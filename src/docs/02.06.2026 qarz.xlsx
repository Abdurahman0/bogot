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S\Desktop\"/>
    </mc:Choice>
  </mc:AlternateContent>
  <bookViews>
    <workbookView xWindow="0" yWindow="0" windowWidth="23040" windowHeight="8352" activeTab="2"/>
  </bookViews>
  <sheets>
    <sheet name="Лист1" sheetId="1" r:id="rId1"/>
    <sheet name="Лист2" sheetId="2" r:id="rId2"/>
    <sheet name="qarzdorlar " sheetId="3" r:id="rId3"/>
    <sheet name="Bollarga O`ndirish uchun " sheetId="5" r:id="rId4"/>
    <sheet name="unishi qiyin qarzlar " sheetId="4" r:id="rId5"/>
  </sheets>
  <definedNames>
    <definedName name="_xlnm._FilterDatabase" localSheetId="3" hidden="1">'Bollarga O`ndirish uchun '!$A$2:$L$56</definedName>
    <definedName name="_xlnm._FilterDatabase" localSheetId="2" hidden="1">'qarzdorlar '!$A$2:$Y$556</definedName>
  </definedNames>
  <calcPr calcId="162913"/>
</workbook>
</file>

<file path=xl/calcChain.xml><?xml version="1.0" encoding="utf-8"?>
<calcChain xmlns="http://schemas.openxmlformats.org/spreadsheetml/2006/main">
  <c r="E436" i="3" l="1"/>
  <c r="E553" i="3" l="1"/>
  <c r="E567" i="3"/>
  <c r="E552" i="3" l="1"/>
  <c r="E90" i="3" l="1"/>
  <c r="E565" i="3" l="1"/>
  <c r="E542" i="3" l="1"/>
  <c r="E568" i="3"/>
  <c r="E557" i="3"/>
  <c r="E556" i="3"/>
  <c r="E554" i="3" l="1"/>
  <c r="E561" i="3" l="1"/>
  <c r="E558" i="3"/>
  <c r="E468" i="3" l="1"/>
  <c r="E562" i="3"/>
  <c r="E564" i="3" l="1"/>
  <c r="E524" i="3" l="1"/>
  <c r="E563" i="3" l="1"/>
  <c r="E502" i="3"/>
  <c r="E454" i="3"/>
  <c r="E457" i="3" l="1"/>
  <c r="J580" i="3" l="1"/>
  <c r="J578" i="3"/>
  <c r="J575" i="3"/>
  <c r="J573" i="3"/>
  <c r="J572" i="3"/>
  <c r="E559" i="3"/>
  <c r="E540" i="3"/>
  <c r="E547" i="3"/>
  <c r="E549" i="3" l="1"/>
  <c r="E38" i="3" l="1"/>
  <c r="E478" i="3" l="1"/>
  <c r="E56" i="3"/>
  <c r="E370" i="3" l="1"/>
  <c r="E124" i="3" l="1"/>
  <c r="E422" i="3" l="1"/>
  <c r="E349" i="3" l="1"/>
  <c r="E483" i="3" l="1"/>
  <c r="E555" i="3"/>
  <c r="E469" i="3" l="1"/>
  <c r="E503" i="3"/>
  <c r="E480" i="3"/>
  <c r="E93" i="3" l="1"/>
  <c r="E525" i="3" l="1"/>
  <c r="E545" i="3" l="1"/>
  <c r="E544" i="3"/>
  <c r="E543" i="3"/>
  <c r="E541" i="3"/>
  <c r="E538" i="3"/>
  <c r="E537" i="3"/>
  <c r="E551" i="3"/>
  <c r="E550" i="3" l="1"/>
  <c r="E510" i="3" l="1"/>
  <c r="E94" i="3"/>
  <c r="E267" i="3" l="1"/>
  <c r="E548" i="3"/>
  <c r="E487" i="3"/>
  <c r="E96" i="3"/>
  <c r="E258" i="3"/>
  <c r="E252" i="3" l="1"/>
  <c r="E83" i="3"/>
  <c r="E439" i="3" l="1"/>
  <c r="E497" i="3" l="1"/>
  <c r="E512" i="3" l="1"/>
  <c r="E464" i="3"/>
  <c r="E440" i="3"/>
  <c r="E17" i="3"/>
  <c r="E386" i="3" l="1"/>
  <c r="E496" i="3" l="1"/>
  <c r="E491" i="3"/>
  <c r="E535" i="3"/>
  <c r="E411" i="3"/>
  <c r="E85" i="3"/>
  <c r="E312" i="3" l="1"/>
  <c r="E520" i="3"/>
  <c r="E173" i="3"/>
  <c r="E427" i="3"/>
  <c r="E470" i="3"/>
  <c r="E412" i="3"/>
  <c r="E425" i="3"/>
  <c r="E415" i="3"/>
  <c r="E523" i="3"/>
  <c r="E227" i="3"/>
  <c r="E521" i="3"/>
  <c r="E499" i="3"/>
  <c r="E486" i="3" l="1"/>
  <c r="E417" i="3"/>
  <c r="E23" i="3"/>
  <c r="E15" i="3"/>
  <c r="E80" i="3" l="1"/>
  <c r="E399" i="3"/>
  <c r="E482" i="3"/>
  <c r="E385" i="3"/>
  <c r="E460" i="3" l="1"/>
  <c r="E277" i="3" l="1"/>
  <c r="E341" i="3"/>
  <c r="E154" i="3" l="1"/>
  <c r="E159" i="3"/>
  <c r="E516" i="3"/>
  <c r="E84" i="3"/>
  <c r="E455" i="3"/>
  <c r="E405" i="3"/>
  <c r="D16" i="4" l="1"/>
  <c r="D15" i="4"/>
  <c r="E176" i="3" l="1"/>
  <c r="E190" i="3"/>
  <c r="E501" i="3" l="1"/>
  <c r="E445" i="3"/>
  <c r="E172" i="3"/>
  <c r="E430" i="3" l="1"/>
  <c r="E209" i="3" l="1"/>
  <c r="E492" i="3"/>
  <c r="E392" i="3"/>
  <c r="E418" i="3" l="1"/>
  <c r="E435" i="3"/>
  <c r="E442" i="3"/>
  <c r="E391" i="3"/>
  <c r="E424" i="3"/>
  <c r="E389" i="3" l="1"/>
  <c r="E255" i="3"/>
  <c r="E199" i="3"/>
  <c r="E189" i="3"/>
  <c r="E167" i="3"/>
  <c r="E407" i="3"/>
  <c r="E249" i="3"/>
  <c r="E238" i="3" l="1"/>
  <c r="E446" i="3"/>
  <c r="E423" i="3"/>
  <c r="E513" i="3" l="1"/>
  <c r="E515" i="3" l="1"/>
  <c r="E357" i="3"/>
  <c r="E233" i="3"/>
  <c r="E217" i="3" l="1"/>
  <c r="E522" i="3"/>
  <c r="D230" i="4" l="1"/>
  <c r="G85" i="4" s="1"/>
  <c r="C230" i="4"/>
  <c r="L142" i="4"/>
  <c r="L141" i="4"/>
  <c r="C140" i="4"/>
  <c r="C139" i="4"/>
  <c r="C134" i="4"/>
  <c r="C133" i="4"/>
  <c r="C132" i="4"/>
  <c r="C123" i="4"/>
  <c r="C114" i="4"/>
  <c r="D108" i="4"/>
  <c r="C104" i="4"/>
  <c r="C103" i="4"/>
  <c r="C99" i="4"/>
  <c r="C98" i="4"/>
  <c r="C97" i="4"/>
  <c r="C96" i="4"/>
  <c r="C94" i="4"/>
  <c r="C93" i="4"/>
  <c r="C88" i="4"/>
  <c r="C87" i="4"/>
  <c r="C73" i="4"/>
  <c r="C72" i="4"/>
  <c r="C70" i="4"/>
  <c r="C69" i="4"/>
  <c r="C65" i="4"/>
  <c r="C64" i="4"/>
  <c r="C62" i="4"/>
  <c r="C61" i="4"/>
  <c r="C50" i="4"/>
  <c r="C49" i="4"/>
  <c r="G58" i="4" l="1"/>
  <c r="G114" i="4" s="1"/>
  <c r="G141" i="4" s="1"/>
  <c r="E443" i="3" l="1"/>
  <c r="E262" i="3" l="1"/>
  <c r="E261" i="3"/>
  <c r="E466" i="3" l="1"/>
  <c r="E471" i="3"/>
  <c r="E472" i="3"/>
  <c r="E381" i="3"/>
  <c r="E343" i="3"/>
  <c r="E99" i="3"/>
  <c r="E53" i="3"/>
  <c r="E507" i="3"/>
  <c r="E493" i="3"/>
  <c r="E193" i="3"/>
  <c r="E485" i="3" l="1"/>
  <c r="E449" i="3"/>
  <c r="E479" i="3"/>
  <c r="E514" i="3"/>
  <c r="E484" i="3"/>
  <c r="E410" i="3"/>
  <c r="E394" i="3" l="1"/>
  <c r="E504" i="3"/>
  <c r="E461" i="3"/>
  <c r="E519" i="3"/>
  <c r="E476" i="3"/>
  <c r="E437" i="3" l="1"/>
  <c r="E416" i="3"/>
  <c r="K383" i="3"/>
  <c r="H373" i="5"/>
  <c r="D358" i="5"/>
  <c r="D366" i="5"/>
  <c r="D359" i="5"/>
  <c r="E511" i="3"/>
  <c r="E505" i="3" l="1"/>
  <c r="E426" i="3"/>
  <c r="E378" i="3" l="1"/>
  <c r="E220" i="3" l="1"/>
  <c r="E517" i="3" l="1"/>
  <c r="E375" i="3" l="1"/>
  <c r="E494" i="3"/>
  <c r="E489" i="3" l="1"/>
  <c r="E481" i="3"/>
  <c r="E506" i="3" l="1"/>
  <c r="E409" i="3"/>
  <c r="E500" i="3"/>
  <c r="E11" i="3"/>
  <c r="E495" i="3"/>
  <c r="E395" i="3"/>
  <c r="E459" i="3" l="1"/>
  <c r="E447" i="3" l="1"/>
  <c r="E462" i="3"/>
  <c r="E260" i="3"/>
  <c r="E408" i="3"/>
  <c r="E477" i="3" l="1"/>
  <c r="E474" i="3" l="1"/>
  <c r="E490" i="3"/>
  <c r="E453" i="3" l="1"/>
  <c r="E382" i="3"/>
  <c r="E458" i="3" l="1"/>
  <c r="E465" i="3" l="1"/>
  <c r="E428" i="3" l="1"/>
  <c r="E452" i="3"/>
  <c r="E388" i="3" l="1"/>
  <c r="E467" i="3" l="1"/>
  <c r="E429" i="3"/>
  <c r="E404" i="3"/>
  <c r="E444" i="3"/>
  <c r="E438" i="3"/>
  <c r="E451" i="3"/>
  <c r="E456" i="3"/>
  <c r="E313" i="3" l="1"/>
  <c r="E431" i="3" l="1"/>
  <c r="E303" i="3"/>
  <c r="E22" i="3" l="1"/>
  <c r="E39" i="3"/>
  <c r="E420" i="3" l="1"/>
  <c r="E441" i="3" l="1"/>
  <c r="E134" i="3" l="1"/>
  <c r="E379" i="3"/>
  <c r="E240" i="3" l="1"/>
  <c r="E266" i="3"/>
  <c r="E9" i="3"/>
  <c r="E401" i="3" l="1"/>
  <c r="E398" i="3"/>
  <c r="E92" i="3"/>
  <c r="E374" i="3" l="1"/>
  <c r="E387" i="3"/>
  <c r="E239" i="3"/>
  <c r="E360" i="3"/>
  <c r="E402" i="3" l="1"/>
  <c r="E95" i="3" l="1"/>
  <c r="E171" i="3"/>
  <c r="E89" i="3"/>
  <c r="E351" i="3"/>
  <c r="E131" i="3"/>
  <c r="E414" i="3"/>
  <c r="E18" i="3" l="1"/>
  <c r="E108" i="3"/>
  <c r="E208" i="3"/>
  <c r="E125" i="3"/>
  <c r="E181" i="3"/>
  <c r="E74" i="3" l="1"/>
  <c r="E406" i="3"/>
  <c r="E247" i="3" l="1"/>
  <c r="E196" i="3"/>
  <c r="E272" i="3"/>
  <c r="E235" i="3"/>
  <c r="E336" i="3"/>
  <c r="E194" i="3" l="1"/>
  <c r="E81" i="3"/>
  <c r="E202" i="3"/>
  <c r="E141" i="3"/>
  <c r="E320" i="3"/>
  <c r="E371" i="3" l="1"/>
  <c r="E153" i="3"/>
  <c r="E393" i="3"/>
  <c r="E316" i="3"/>
  <c r="E301" i="3" l="1"/>
  <c r="E315" i="3"/>
  <c r="E138" i="3"/>
  <c r="E215" i="3"/>
  <c r="E105" i="3" l="1"/>
  <c r="E318" i="3" l="1"/>
  <c r="E270" i="3"/>
  <c r="E182" i="3" l="1"/>
  <c r="E25" i="3" l="1"/>
  <c r="E328" i="3"/>
  <c r="E158" i="3" l="1"/>
  <c r="E340" i="3"/>
  <c r="E214" i="3"/>
  <c r="E42" i="3"/>
  <c r="E273" i="3"/>
  <c r="E79" i="3"/>
  <c r="E195" i="3"/>
  <c r="E212" i="3"/>
  <c r="E324" i="3"/>
  <c r="E264" i="3"/>
  <c r="E376" i="3" l="1"/>
  <c r="E319" i="3"/>
  <c r="E219" i="3"/>
  <c r="E331" i="3"/>
  <c r="E287" i="3"/>
  <c r="E352" i="3"/>
  <c r="E225" i="3"/>
  <c r="E106" i="3"/>
  <c r="E372" i="3" l="1"/>
  <c r="E253" i="3"/>
  <c r="E69" i="3"/>
  <c r="E20" i="3"/>
  <c r="E27" i="3" l="1"/>
  <c r="E216" i="3"/>
  <c r="E205" i="3"/>
  <c r="E243" i="3" l="1"/>
  <c r="E177" i="3"/>
  <c r="E206" i="3"/>
  <c r="E112" i="3"/>
  <c r="E75" i="3"/>
  <c r="E62" i="3"/>
  <c r="E50" i="3"/>
  <c r="E37" i="3"/>
  <c r="E136" i="3"/>
  <c r="E103" i="3"/>
  <c r="E70" i="3"/>
  <c r="E68" i="3"/>
  <c r="E65" i="3"/>
  <c r="E64" i="3"/>
  <c r="E61" i="3"/>
  <c r="E24" i="3"/>
  <c r="E35" i="3"/>
  <c r="E322" i="3"/>
  <c r="E300" i="3" l="1"/>
  <c r="E200" i="3"/>
  <c r="E132" i="3"/>
  <c r="E314" i="3"/>
  <c r="E369" i="3"/>
  <c r="E166" i="3"/>
  <c r="E110" i="3"/>
  <c r="E348" i="3"/>
  <c r="E234" i="3" l="1"/>
  <c r="E289" i="3"/>
  <c r="E101" i="3"/>
  <c r="E342" i="3"/>
  <c r="E346" i="3"/>
  <c r="E218" i="3"/>
  <c r="E98" i="3" l="1"/>
  <c r="E100" i="3"/>
  <c r="I82" i="3" l="1"/>
  <c r="E21" i="3" l="1"/>
  <c r="E157" i="3"/>
  <c r="E271" i="3"/>
  <c r="E344" i="3"/>
  <c r="E144" i="3" l="1"/>
  <c r="E207" i="3"/>
  <c r="E294" i="3" l="1"/>
  <c r="E282" i="3"/>
  <c r="E365" i="3"/>
  <c r="E26" i="3"/>
  <c r="E184" i="3"/>
  <c r="E299" i="3"/>
  <c r="E297" i="3"/>
  <c r="E306" i="3"/>
  <c r="E222" i="3" l="1"/>
  <c r="E250" i="3"/>
  <c r="E288" i="3"/>
  <c r="E55" i="3" l="1"/>
  <c r="E46" i="3" l="1"/>
  <c r="E115" i="3"/>
  <c r="E210" i="3" l="1"/>
  <c r="E259" i="3" l="1"/>
  <c r="E120" i="3" l="1"/>
  <c r="E333" i="3" l="1"/>
  <c r="E139" i="3"/>
  <c r="E213" i="3"/>
  <c r="E332" i="3"/>
  <c r="D5" i="4"/>
  <c r="D342" i="5"/>
  <c r="D341" i="5"/>
  <c r="D339" i="5"/>
  <c r="D338" i="5"/>
  <c r="D337" i="5"/>
  <c r="D336" i="5"/>
  <c r="D335" i="5"/>
  <c r="D333" i="5"/>
  <c r="D332" i="5"/>
  <c r="D331" i="5"/>
  <c r="D330" i="5"/>
  <c r="D329" i="5"/>
  <c r="D328" i="5"/>
  <c r="D327" i="5"/>
  <c r="D324" i="5"/>
  <c r="D323" i="5"/>
  <c r="D320" i="5"/>
  <c r="D318" i="5"/>
  <c r="D317" i="5"/>
  <c r="D315" i="5"/>
  <c r="D314" i="5"/>
  <c r="D313" i="5"/>
  <c r="D312" i="5"/>
  <c r="D311" i="5"/>
  <c r="D310" i="5"/>
  <c r="D309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1" i="5"/>
  <c r="D290" i="5"/>
  <c r="D289" i="5"/>
  <c r="D287" i="5"/>
  <c r="D286" i="5"/>
  <c r="D285" i="5"/>
  <c r="D284" i="5"/>
  <c r="D283" i="5"/>
  <c r="D282" i="5"/>
  <c r="D281" i="5"/>
  <c r="D280" i="5"/>
  <c r="D279" i="5"/>
  <c r="D276" i="5"/>
  <c r="D275" i="5"/>
  <c r="D274" i="5"/>
  <c r="D272" i="5"/>
  <c r="D271" i="5"/>
  <c r="D270" i="5"/>
  <c r="D269" i="5"/>
  <c r="D268" i="5"/>
  <c r="D267" i="5"/>
  <c r="D266" i="5"/>
  <c r="D265" i="5"/>
  <c r="D264" i="5"/>
  <c r="D262" i="5"/>
  <c r="D260" i="5"/>
  <c r="D259" i="5"/>
  <c r="D258" i="5"/>
  <c r="D257" i="5"/>
  <c r="D255" i="5"/>
  <c r="D254" i="5"/>
  <c r="D253" i="5"/>
  <c r="D251" i="5"/>
  <c r="D250" i="5"/>
  <c r="D249" i="5"/>
  <c r="D248" i="5"/>
  <c r="D247" i="5"/>
  <c r="D246" i="5"/>
  <c r="D242" i="5"/>
  <c r="D241" i="5"/>
  <c r="D240" i="5"/>
  <c r="D239" i="5"/>
  <c r="D237" i="5"/>
  <c r="D236" i="5"/>
  <c r="D235" i="5"/>
  <c r="D234" i="5"/>
  <c r="D233" i="5"/>
  <c r="D230" i="5"/>
  <c r="D228" i="5"/>
  <c r="D227" i="5"/>
  <c r="D226" i="5"/>
  <c r="D225" i="5"/>
  <c r="D224" i="5"/>
  <c r="D223" i="5"/>
  <c r="D222" i="5"/>
  <c r="D221" i="5"/>
  <c r="D220" i="5"/>
  <c r="D218" i="5"/>
  <c r="D217" i="5"/>
  <c r="D216" i="5"/>
  <c r="D215" i="5"/>
  <c r="D214" i="5"/>
  <c r="D212" i="5"/>
  <c r="D211" i="5"/>
  <c r="D210" i="5"/>
  <c r="D209" i="5"/>
  <c r="D208" i="5"/>
  <c r="D206" i="5"/>
  <c r="D203" i="5"/>
  <c r="D202" i="5"/>
  <c r="D201" i="5"/>
  <c r="D200" i="5"/>
  <c r="D199" i="5"/>
  <c r="D198" i="5"/>
  <c r="D197" i="5"/>
  <c r="D196" i="5"/>
  <c r="D195" i="5"/>
  <c r="D194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3" i="5"/>
  <c r="D172" i="5"/>
  <c r="D170" i="5"/>
  <c r="D168" i="5"/>
  <c r="D167" i="5"/>
  <c r="D166" i="5"/>
  <c r="D165" i="5"/>
  <c r="D164" i="5"/>
  <c r="D163" i="5"/>
  <c r="D162" i="5"/>
  <c r="D161" i="5"/>
  <c r="D160" i="5"/>
  <c r="D159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5" i="5"/>
  <c r="D124" i="5"/>
  <c r="D122" i="5"/>
  <c r="D121" i="5"/>
  <c r="D120" i="5"/>
  <c r="D119" i="5"/>
  <c r="D118" i="5"/>
  <c r="D117" i="5"/>
  <c r="D115" i="5"/>
  <c r="D114" i="5"/>
  <c r="D113" i="5"/>
  <c r="D110" i="5"/>
  <c r="D109" i="5"/>
  <c r="D108" i="5"/>
  <c r="D107" i="5"/>
  <c r="D106" i="5"/>
  <c r="D105" i="5"/>
  <c r="D104" i="5"/>
  <c r="D103" i="5"/>
  <c r="D101" i="5"/>
  <c r="D100" i="5"/>
  <c r="D99" i="5"/>
  <c r="D97" i="5"/>
  <c r="D96" i="5"/>
  <c r="D95" i="5"/>
  <c r="D94" i="5"/>
  <c r="D92" i="5"/>
  <c r="D91" i="5"/>
  <c r="D90" i="5"/>
  <c r="D89" i="5"/>
  <c r="D88" i="5"/>
  <c r="D84" i="5"/>
  <c r="D83" i="5"/>
  <c r="D81" i="5"/>
  <c r="D78" i="5"/>
  <c r="D76" i="5"/>
  <c r="D75" i="5"/>
  <c r="D70" i="5"/>
  <c r="D68" i="5"/>
  <c r="D67" i="5"/>
  <c r="D65" i="5"/>
  <c r="D64" i="5"/>
  <c r="D63" i="5"/>
  <c r="D61" i="5"/>
  <c r="D60" i="5"/>
  <c r="D59" i="5"/>
  <c r="D55" i="5"/>
  <c r="D54" i="5"/>
  <c r="D53" i="5"/>
  <c r="D52" i="5"/>
  <c r="D50" i="5"/>
  <c r="D49" i="5"/>
  <c r="D47" i="5"/>
  <c r="D46" i="5"/>
  <c r="E44" i="5"/>
  <c r="D44" i="5"/>
  <c r="D42" i="5"/>
  <c r="D41" i="5"/>
  <c r="D39" i="5"/>
  <c r="D38" i="5"/>
  <c r="D36" i="5"/>
  <c r="D35" i="5"/>
  <c r="D34" i="5"/>
  <c r="D33" i="5"/>
  <c r="D32" i="5"/>
  <c r="D31" i="5"/>
  <c r="D30" i="5"/>
  <c r="D29" i="5"/>
  <c r="D28" i="5"/>
  <c r="D27" i="5"/>
  <c r="D26" i="5"/>
  <c r="D24" i="5"/>
  <c r="D22" i="5"/>
  <c r="D21" i="5"/>
  <c r="D20" i="5"/>
  <c r="D19" i="5"/>
  <c r="D18" i="5"/>
  <c r="D17" i="5"/>
  <c r="D16" i="5"/>
  <c r="D15" i="5"/>
  <c r="D14" i="5"/>
  <c r="D13" i="5"/>
  <c r="D12" i="5"/>
  <c r="D11" i="5"/>
  <c r="I10" i="5"/>
  <c r="D7" i="5"/>
  <c r="D6" i="5"/>
  <c r="D5" i="5"/>
  <c r="D4" i="5"/>
  <c r="D3" i="5"/>
  <c r="E323" i="3"/>
  <c r="E321" i="3"/>
  <c r="E308" i="3"/>
  <c r="E304" i="3"/>
  <c r="E292" i="3"/>
  <c r="E290" i="3"/>
  <c r="E283" i="3"/>
  <c r="E268" i="3"/>
  <c r="E265" i="3"/>
  <c r="E257" i="3"/>
  <c r="E251" i="3"/>
  <c r="E246" i="3"/>
  <c r="E248" i="3"/>
  <c r="E242" i="3"/>
  <c r="E237" i="3"/>
  <c r="E230" i="3"/>
  <c r="E229" i="3"/>
  <c r="E226" i="3"/>
  <c r="E224" i="3"/>
  <c r="E223" i="3"/>
  <c r="E211" i="3"/>
  <c r="E201" i="3"/>
  <c r="E197" i="3"/>
  <c r="E186" i="3"/>
  <c r="E185" i="3"/>
  <c r="E179" i="3"/>
  <c r="E170" i="3"/>
  <c r="E168" i="3"/>
  <c r="E160" i="3"/>
  <c r="E155" i="3"/>
  <c r="E152" i="3"/>
  <c r="E150" i="3"/>
  <c r="E145" i="3"/>
  <c r="E142" i="3"/>
  <c r="E140" i="3"/>
  <c r="I132" i="3"/>
  <c r="E129" i="3"/>
  <c r="E122" i="3"/>
  <c r="E121" i="3"/>
  <c r="E119" i="3"/>
  <c r="E116" i="3"/>
  <c r="E111" i="3"/>
  <c r="E102" i="3"/>
  <c r="E91" i="3"/>
  <c r="E87" i="3"/>
  <c r="I90" i="3"/>
  <c r="I86" i="3"/>
  <c r="E86" i="3" s="1"/>
  <c r="E88" i="3"/>
  <c r="I73" i="3"/>
  <c r="E73" i="3" s="1"/>
  <c r="E67" i="3"/>
  <c r="E60" i="3"/>
  <c r="E59" i="3"/>
  <c r="I58" i="3"/>
  <c r="E58" i="3" s="1"/>
  <c r="E51" i="3"/>
  <c r="E52" i="3"/>
  <c r="E45" i="3"/>
  <c r="I43" i="3"/>
  <c r="E43" i="3" s="1"/>
  <c r="E47" i="3"/>
  <c r="E36" i="3"/>
  <c r="E33" i="3"/>
  <c r="E34" i="3"/>
  <c r="E32" i="3"/>
  <c r="I31" i="3"/>
  <c r="E31" i="3" s="1"/>
  <c r="E30" i="3"/>
  <c r="E29" i="3"/>
  <c r="I526" i="3"/>
  <c r="E19" i="3"/>
  <c r="E16" i="3"/>
  <c r="E14" i="3"/>
  <c r="E13" i="3"/>
  <c r="E12" i="3"/>
  <c r="M10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<sst xmlns="http://schemas.openxmlformats.org/spreadsheetml/2006/main" count="2698" uniqueCount="1305">
  <si>
    <t>09,07,2023</t>
  </si>
  <si>
    <t>11,07,2023</t>
  </si>
  <si>
    <t>Ruslan chimchi 99 563 01 03</t>
  </si>
  <si>
    <t xml:space="preserve">Furqat </t>
  </si>
  <si>
    <t xml:space="preserve">Bunyod  91 999 36 63 </t>
  </si>
  <si>
    <t xml:space="preserve">Sanat 91 868 87 78   90 578 94 44 </t>
  </si>
  <si>
    <t xml:space="preserve">03,11,2024 da keladi </t>
  </si>
  <si>
    <t xml:space="preserve">Iqush  obod 99 501 22 00 </t>
  </si>
  <si>
    <t xml:space="preserve">Toxir kirob Toypoq  94 232 22 90 </t>
  </si>
  <si>
    <t xml:space="preserve">Sarvar Xokim yordamchi 91 278 80 07 </t>
  </si>
  <si>
    <t xml:space="preserve">Dadaxon Deklarant  99 662 99 99 </t>
  </si>
  <si>
    <t xml:space="preserve">Olimboy Jabbarov Qulonqorabog`  94 314 88 01 </t>
  </si>
  <si>
    <t xml:space="preserve">Renat 99 773 25 08 </t>
  </si>
  <si>
    <t xml:space="preserve"> </t>
  </si>
  <si>
    <t xml:space="preserve">Shoxrux Beruniy Diller  99 869 40 40 </t>
  </si>
  <si>
    <t xml:space="preserve">06,09,2023 ratcho`t </t>
  </si>
  <si>
    <t xml:space="preserve">29,07,2024 yilda 4 mln berildi </t>
  </si>
  <si>
    <t xml:space="preserve">Ilhom qobulov  97 605 17 71 </t>
  </si>
  <si>
    <t xml:space="preserve">Nurbek Xokim yordamchi  97 525 03 33 </t>
  </si>
  <si>
    <t xml:space="preserve">Muzaffar og`a Sultonov 97 090 97 79 </t>
  </si>
  <si>
    <t xml:space="preserve">Donyor Broker 91 999 33 55 </t>
  </si>
  <si>
    <t xml:space="preserve">Jahon Mehnatguli 97 606 94 94 </t>
  </si>
  <si>
    <t xml:space="preserve">Shonazarov Og`abek 97 567 77 55 </t>
  </si>
  <si>
    <t xml:space="preserve">25,10,2024 aniq beradi </t>
  </si>
  <si>
    <t xml:space="preserve">01,07,2024 da bug`doyni sotib beradi </t>
  </si>
  <si>
    <t xml:space="preserve">Razzaqov Rasulbek 99 502 43 50 </t>
  </si>
  <si>
    <t>12,07,2023</t>
  </si>
  <si>
    <t>10,07,2024</t>
  </si>
  <si>
    <t xml:space="preserve">Fermer isuzu Manaviyat   99 571 64 65 </t>
  </si>
  <si>
    <t>17,07,2023</t>
  </si>
  <si>
    <t xml:space="preserve">01,07,2024 fermer buva </t>
  </si>
  <si>
    <t xml:space="preserve">Ilyos Botvoy  91 917 58 57 </t>
  </si>
  <si>
    <t xml:space="preserve">Ergash og`a Shokir og`ani tanishi </t>
  </si>
  <si>
    <t xml:space="preserve">samarqand 97 912 11 42 </t>
  </si>
  <si>
    <t>09,08,2023</t>
  </si>
  <si>
    <t>Jumaboyev Jasur Gulshan 99 282 52 10 akasi Nazaboy gazchi 99 703 52 10   +7 930 909 02 11</t>
  </si>
  <si>
    <t xml:space="preserve">whatsapp plastik tashlandi </t>
  </si>
  <si>
    <t>12,08,2023</t>
  </si>
  <si>
    <t xml:space="preserve">15 sentabrgacha beradi </t>
  </si>
  <si>
    <t xml:space="preserve">Xurriyat XakimoV temurbulat  </t>
  </si>
  <si>
    <t xml:space="preserve">20 avgustda beradi </t>
  </si>
  <si>
    <t xml:space="preserve">Mang`it optom 207 82 87 </t>
  </si>
  <si>
    <t xml:space="preserve">Rustambek Xiva Qo`shko`pirdan moto olgan  97 601 79 99 </t>
  </si>
  <si>
    <t>ждл</t>
  </si>
  <si>
    <t xml:space="preserve">Xiva Sanjar og`a </t>
  </si>
  <si>
    <t xml:space="preserve">50 mln 15,03,2024 </t>
  </si>
  <si>
    <t xml:space="preserve">Ozod og`a Kirob 95 339 29 30 </t>
  </si>
  <si>
    <t>31,08,2023</t>
  </si>
  <si>
    <t xml:space="preserve">G`ani ponti 95 067 02 85 </t>
  </si>
  <si>
    <t>06,09,2023</t>
  </si>
  <si>
    <t xml:space="preserve">Temur Boyot </t>
  </si>
  <si>
    <t xml:space="preserve">shu oyda beradi </t>
  </si>
  <si>
    <t>Bog`ibek og`a Gulzor 99 425 56 67</t>
  </si>
  <si>
    <t xml:space="preserve">Vaisova Bekposhsha Nurafshon 99 156 50 12 </t>
  </si>
  <si>
    <t>09,09,2023</t>
  </si>
  <si>
    <t>10,11,2023</t>
  </si>
  <si>
    <t xml:space="preserve">Ro`ziboyev Ro`ziboy 99 293 10 27  95 556 10 27      11,12,1984  O`zbekiston mmfy </t>
  </si>
  <si>
    <t>16,09,2023</t>
  </si>
  <si>
    <t xml:space="preserve">20 oktabrga  10 mln  20 noyabrga 10,5 mln </t>
  </si>
  <si>
    <t xml:space="preserve">Muzaffar og`a Xunarmand 95 244 00 82 </t>
  </si>
  <si>
    <t xml:space="preserve">2,8 odamlar motosini pulidan xisoblaniladi </t>
  </si>
  <si>
    <t xml:space="preserve">Qadam ota Xazarasp </t>
  </si>
  <si>
    <t xml:space="preserve">1430 dollar berildi </t>
  </si>
  <si>
    <t xml:space="preserve">Zafar og`a nolog </t>
  </si>
  <si>
    <t xml:space="preserve">Nurulla malyarka Madaniyat 97 791 07 76 </t>
  </si>
  <si>
    <t xml:space="preserve">Matrasulova Xonimjon 93 076 58 24 </t>
  </si>
  <si>
    <t xml:space="preserve">Nodir og`a  Nolog 97 090 88 87 </t>
  </si>
  <si>
    <t>20,10,2024</t>
  </si>
  <si>
    <t xml:space="preserve">Jonibek og`a Jack </t>
  </si>
  <si>
    <t xml:space="preserve">Ro`ziboyev G`ayrat 94 315 66 98 </t>
  </si>
  <si>
    <t xml:space="preserve">10,10,2023 da beradi </t>
  </si>
  <si>
    <t xml:space="preserve">Sapayev Akbarali 93 113 14 75   94 113 27 23  lenin oq maktab </t>
  </si>
  <si>
    <t>22 yanvarda beradi ,</t>
  </si>
  <si>
    <t>Zafar  Anvar Bazarqom  dekabrda ratcho`t qiladi 99 568 94 84</t>
  </si>
  <si>
    <t xml:space="preserve">19,10,2024 aniq beradi </t>
  </si>
  <si>
    <t xml:space="preserve">Jonibek qarapalpoq Xokim yordamchi </t>
  </si>
  <si>
    <t xml:space="preserve">Erkin og`a Jibbi og`ani og`asi 99 955 77 07 </t>
  </si>
  <si>
    <t xml:space="preserve">20 yanvarda beradi </t>
  </si>
  <si>
    <t xml:space="preserve">Toyir kirob optom moto </t>
  </si>
  <si>
    <t xml:space="preserve">Ortiqov Rasul qaxramon og`a ustasi  99 169 85 66 </t>
  </si>
  <si>
    <t xml:space="preserve">1 dekabrga beradi </t>
  </si>
  <si>
    <t xml:space="preserve">Qo`chqarov Shixnazar 88 510 25 65 Lelizim 88 299 20 92 </t>
  </si>
  <si>
    <t xml:space="preserve">yanvarda beradi </t>
  </si>
  <si>
    <t xml:space="preserve">Umar g`alaba Xokim yordamchi 99 958 14 79 </t>
  </si>
  <si>
    <t xml:space="preserve">Bekzod og`a Nolog 88 607 20 26 </t>
  </si>
  <si>
    <t xml:space="preserve">Azizxon Welomax </t>
  </si>
  <si>
    <t xml:space="preserve">Xalq banki </t>
  </si>
  <si>
    <t xml:space="preserve">Odilbek Ashxabod  og`a Xokim yordamchi </t>
  </si>
  <si>
    <t xml:space="preserve">Jumanazarova Dilorom </t>
  </si>
  <si>
    <t xml:space="preserve">Bektash og`a Qo`shko`pir </t>
  </si>
  <si>
    <t xml:space="preserve">Jumanazarov Shoxnurbek </t>
  </si>
  <si>
    <t>13,02,2024</t>
  </si>
  <si>
    <t xml:space="preserve">Shermatboyev Juratbek </t>
  </si>
  <si>
    <t xml:space="preserve">Xolmurod og`a Agrobank  91 278 74 00  Matsakil uchun </t>
  </si>
  <si>
    <t>Ochiliov Shoxrux</t>
  </si>
  <si>
    <t xml:space="preserve">Ro`zmetov Doniyor 97 525 89 83  Lelizim Arxitektura Ko`nabirlashuv </t>
  </si>
  <si>
    <t xml:space="preserve">Qo`ziyeva Zulayxo </t>
  </si>
  <si>
    <t xml:space="preserve">navr`oz Xokim yordamchi </t>
  </si>
  <si>
    <t xml:space="preserve">Bekturdiyev Otabek </t>
  </si>
  <si>
    <t>Elyor Hokim yordamchi 97 362 9150</t>
  </si>
  <si>
    <t xml:space="preserve">1 tank 1500 lik </t>
  </si>
  <si>
    <t xml:space="preserve">Ro`zmetova Xalima </t>
  </si>
  <si>
    <t xml:space="preserve">Ilhom og`a Oltinqum </t>
  </si>
  <si>
    <t xml:space="preserve">Saidjonova Malohat </t>
  </si>
  <si>
    <t xml:space="preserve">Yangiariq Ro`ziyev Ismoil kasaklik </t>
  </si>
  <si>
    <t xml:space="preserve">Jumaboyev Doston </t>
  </si>
  <si>
    <t xml:space="preserve">Mo`minjon Mikra 88 364 02 00 </t>
  </si>
  <si>
    <t xml:space="preserve">Karimov Umrbek </t>
  </si>
  <si>
    <t xml:space="preserve">Palvonova Dilnoza Raximboyevna </t>
  </si>
  <si>
    <t xml:space="preserve">Ali Sarvar usta Xazarasp Zapchast </t>
  </si>
  <si>
    <t xml:space="preserve">Polvonov Siroj </t>
  </si>
  <si>
    <t xml:space="preserve">aloqabank </t>
  </si>
  <si>
    <t xml:space="preserve">Sarvar Ustani o`zi redektor </t>
  </si>
  <si>
    <t xml:space="preserve">Polvonova Dilnoza </t>
  </si>
  <si>
    <t>Qahramon og`ani qaynagasi dinom 93 867 80 30</t>
  </si>
  <si>
    <t xml:space="preserve">Saidjonov Saidnazar </t>
  </si>
  <si>
    <t>To`pchi Saboxat Aziz moto oldi Xursand og`a olib keladi 97 790 00 60</t>
  </si>
  <si>
    <t xml:space="preserve">Saidjonov Qahramon </t>
  </si>
  <si>
    <t xml:space="preserve">Rustam og`a ekologiya 99 421 75 11 </t>
  </si>
  <si>
    <t xml:space="preserve">Aloqabank daston </t>
  </si>
  <si>
    <t xml:space="preserve">Jo`rabek Qaraqalpoq  99 450 00 57 </t>
  </si>
  <si>
    <t xml:space="preserve">Olma apa amma </t>
  </si>
  <si>
    <t xml:space="preserve">Rahmatjon Qadastr 99 502 90 90 </t>
  </si>
  <si>
    <t>19,01,2023</t>
  </si>
  <si>
    <t xml:space="preserve">Saidov Odilbek Yunus og`a story 97 792 16 77  99 157 28 77 </t>
  </si>
  <si>
    <t xml:space="preserve"> 1570 edi  400 berdi  1170 qoldi  20,02,2024 200 dollar berdi  14,03,2024  200 dollar berdi  285 dollar 07,05,2024 da berildi 09,10,2024 Reduktor </t>
  </si>
  <si>
    <t>29,01,2024</t>
  </si>
  <si>
    <t xml:space="preserve">Yusupov Yaqubboy Oltinqum ilhom og`a kafil 99 529 95 86 </t>
  </si>
  <si>
    <t>30,01,2024</t>
  </si>
  <si>
    <t>Sanjar og`a nolog 887921103</t>
  </si>
  <si>
    <t>07,02,2024</t>
  </si>
  <si>
    <t xml:space="preserve">Aminov Nuraddin 97 856 46 96  88 856 46 96  Gulshan akmulyator </t>
  </si>
  <si>
    <t>10,02,2024</t>
  </si>
  <si>
    <t xml:space="preserve">Azamat Yaqubov  G`alaba 99 447 59 73 </t>
  </si>
  <si>
    <t>27,02,2024</t>
  </si>
  <si>
    <t xml:space="preserve"> 47 da ham bor Jahongir Mexnatguli </t>
  </si>
  <si>
    <t>28,02,2024</t>
  </si>
  <si>
    <t>Otabek Saxovat Xokim yordamchi 1400</t>
  </si>
  <si>
    <t>29,02,2024</t>
  </si>
  <si>
    <t xml:space="preserve">Ramz Saidjonov Kreditiga 1 mln </t>
  </si>
  <si>
    <t xml:space="preserve">Yamg`urov Baxtiyor  1400 dollar </t>
  </si>
  <si>
    <t>06,03,2024</t>
  </si>
  <si>
    <t xml:space="preserve">Gulzoda apka baliqxona 94 313 77 85 </t>
  </si>
  <si>
    <t xml:space="preserve">Masharipova Shaxodat 97 203 48 28 </t>
  </si>
  <si>
    <t xml:space="preserve">Toyir poypoq Kirob </t>
  </si>
  <si>
    <t>07,03,2024</t>
  </si>
  <si>
    <t xml:space="preserve">Bekmurod Xonqa 93 090 40 07 </t>
  </si>
  <si>
    <t xml:space="preserve">Kolkaga kritilgan Pulla </t>
  </si>
  <si>
    <t xml:space="preserve"> 24,09,2024   15+9,5 mln klonka sotildi  10,10,2024 yil  20 mln kolnkaga </t>
  </si>
  <si>
    <t>14,03,2024</t>
  </si>
  <si>
    <t xml:space="preserve">Xursand og`a to`pchi lider tadbirkor </t>
  </si>
  <si>
    <t xml:space="preserve">75 lik akmulyator </t>
  </si>
  <si>
    <t xml:space="preserve">2,5 mln Dilfuzani plastigina  4,93 darcha </t>
  </si>
  <si>
    <t>18,03,2024</t>
  </si>
  <si>
    <t xml:space="preserve">Xumoyun  Sotuvchi o`zlarimiz </t>
  </si>
  <si>
    <t>Ali xolavatcha prezident pabeda 95 792 34 34</t>
  </si>
  <si>
    <t>19,03,2024</t>
  </si>
  <si>
    <t>Sanjar kadastr  jo`ra 94 110 30 04</t>
  </si>
  <si>
    <t xml:space="preserve">qarz qaytari beradi </t>
  </si>
  <si>
    <t xml:space="preserve">Ollaberganov Mashiribjon Nurafshon 95 399 92 30  94 112 03 27 </t>
  </si>
  <si>
    <t xml:space="preserve">18 mlnga berildi 1200 dollar 1 avgustgacha beradi  22,03,2024   2,2 mln berib ketdi </t>
  </si>
  <si>
    <t>25,03,2024</t>
  </si>
  <si>
    <t xml:space="preserve">Qurbonboyev Sarvar Madaniyat 97 299 00 08  Reyim polvon axtigi </t>
  </si>
  <si>
    <t xml:space="preserve">18 mln sotildi qolganini 3 oyda beradi </t>
  </si>
  <si>
    <t>29,03,2024</t>
  </si>
  <si>
    <t xml:space="preserve">Diyor Og`a Oq Oltin 99 411 82 28 </t>
  </si>
  <si>
    <t xml:space="preserve">18 mlnga berildi yarmini beradi qolganini iyun oyida beradi </t>
  </si>
  <si>
    <t>02,04,2024</t>
  </si>
  <si>
    <t xml:space="preserve">Otajonov Odilbek quloq Qumbodoq 94 110 74 87 </t>
  </si>
  <si>
    <t>09,10,2024</t>
  </si>
  <si>
    <t xml:space="preserve">Welo kabinali </t>
  </si>
  <si>
    <t>03,04,2024</t>
  </si>
  <si>
    <t xml:space="preserve">Yusupova Baxtigul 99 202 08 14  88 858 26 66 </t>
  </si>
  <si>
    <t xml:space="preserve">Lelin Alisher 94 115 21 22 </t>
  </si>
  <si>
    <t xml:space="preserve">Cavalo Benzin </t>
  </si>
  <si>
    <t>06,04,2024</t>
  </si>
  <si>
    <t xml:space="preserve">Ro`zmetova Gulandom 95 774 40 09 </t>
  </si>
  <si>
    <t>30,10,2024</t>
  </si>
  <si>
    <t xml:space="preserve">tez beradi </t>
  </si>
  <si>
    <t>07,04,2024</t>
  </si>
  <si>
    <t xml:space="preserve">Shokir og`a Norboyev  Xokim yordamchi </t>
  </si>
  <si>
    <t xml:space="preserve">G`ulomni qarzi uchun 1,6 o`tkazildi  2 oldin olingan </t>
  </si>
  <si>
    <t xml:space="preserve">Nurafshon Rustam Xokim yordamchi  463 da ham bor 99 966 02 23 </t>
  </si>
  <si>
    <t>09,04,2024</t>
  </si>
  <si>
    <t xml:space="preserve">Shokir og`amni lelizimli jo`rasi uyga oldi </t>
  </si>
  <si>
    <t>10,04,2024</t>
  </si>
  <si>
    <t xml:space="preserve">Akbar og`a ch`olli Oq Oltin 95 252 85 14    99 963 70 35 </t>
  </si>
  <si>
    <t xml:space="preserve">2024 iyulda beradi agar sentyabrda bersa 19,5 bo`ladi </t>
  </si>
  <si>
    <t>18,04,2024</t>
  </si>
  <si>
    <t xml:space="preserve">Umid og`a Birja Bux 93 752 17 44 </t>
  </si>
  <si>
    <t xml:space="preserve">Ali baliqchi Jo`rasi Qashqali pasrebnik 95 599 88 87 </t>
  </si>
  <si>
    <t xml:space="preserve">1500 dollar yozda beradi  1000 dollar 06,09,2024 </t>
  </si>
  <si>
    <t>19,04,2024</t>
  </si>
  <si>
    <t>EGAMOV SHUXRAT BEKCHANOVICH  moto soliq qarziga utkazildi 280 33 923 75 75</t>
  </si>
  <si>
    <t>21,04,2024</t>
  </si>
  <si>
    <t xml:space="preserve">To`rayev Dilshod Nayman bo`yi 99 756 87 50  </t>
  </si>
  <si>
    <t xml:space="preserve">1343 dollar  - 475 berildi  870 qoldi </t>
  </si>
  <si>
    <t xml:space="preserve">G`iyos Jura Oq Oltin 94 318 09 60  99 377 38 94 </t>
  </si>
  <si>
    <t>22,04,2024</t>
  </si>
  <si>
    <t>Sanat og`a Manaviyat Shura gai 95 077 55 99</t>
  </si>
  <si>
    <t>30,10,2025</t>
  </si>
  <si>
    <t xml:space="preserve">Samarqand Xasanboy aka skuter puli </t>
  </si>
  <si>
    <t xml:space="preserve">11 mln skuter </t>
  </si>
  <si>
    <t>23,04,2024</t>
  </si>
  <si>
    <t xml:space="preserve">Azimboy og`a usta Oq Oltin 99 445 56 88 </t>
  </si>
  <si>
    <t>16,10,2024</t>
  </si>
  <si>
    <t>25,04,2024</t>
  </si>
  <si>
    <t>Ulug`bek jura Madaniyat kreditdan Xisoblashadi 97 361 00 09</t>
  </si>
  <si>
    <t xml:space="preserve">Jasur og`a 99 09 </t>
  </si>
  <si>
    <t>26,04,2024</t>
  </si>
  <si>
    <t xml:space="preserve">Ilyos Mamatov Jo`shqin Xokim yordamchi Odami 99 505 97 80 </t>
  </si>
  <si>
    <t xml:space="preserve">Qo`shkopiq Aroq optam Shoxruxni jo`rasi 93 757 63 33   93 737 70 77 </t>
  </si>
  <si>
    <t>28,04,2024</t>
  </si>
  <si>
    <t xml:space="preserve">Nolog Go`zal apka </t>
  </si>
  <si>
    <t>29,04,2024</t>
  </si>
  <si>
    <t>Abduraximov Shonazar Manaviyat 99 334 97 70</t>
  </si>
  <si>
    <t xml:space="preserve">avgust sentyabr </t>
  </si>
  <si>
    <t>03,05,2024</t>
  </si>
  <si>
    <t xml:space="preserve">Oq Oltin Quvondiq Birgada 91 437 35 85 </t>
  </si>
  <si>
    <t>01,11,2024</t>
  </si>
  <si>
    <t xml:space="preserve">Tozaboy ishi O`zamizi </t>
  </si>
  <si>
    <t xml:space="preserve">ikki vilka </t>
  </si>
  <si>
    <t>05,05,2024</t>
  </si>
  <si>
    <t xml:space="preserve">Quryozov Zaripboy 88 790 38 88 </t>
  </si>
  <si>
    <t>09,05,2024</t>
  </si>
  <si>
    <t xml:space="preserve">Ochil ochiki  Oq Oltin  93 708 84 89 </t>
  </si>
  <si>
    <t>10,05,2024</t>
  </si>
  <si>
    <t xml:space="preserve">Umid og`a Oq tepa Sho`ra 91 999 44 24 </t>
  </si>
  <si>
    <t xml:space="preserve">Madiyor Kassob 94 310 87 86 </t>
  </si>
  <si>
    <t>11,05,2024</t>
  </si>
  <si>
    <t xml:space="preserve">Yusupov Ollabergan Yaniqadam 99 334 38 28  Shayor </t>
  </si>
  <si>
    <t>10,11,2024</t>
  </si>
  <si>
    <t>14,05,2024</t>
  </si>
  <si>
    <t xml:space="preserve">Bahriddin og`a transbank 95 91 </t>
  </si>
  <si>
    <t>15,05,2024</t>
  </si>
  <si>
    <t xml:space="preserve">Ortiq Povur Elot 99 508 60 79 </t>
  </si>
  <si>
    <t>17,05,2024</t>
  </si>
  <si>
    <t xml:space="preserve">Ollaberganov Lutfulla Gulshan MFY Gaz idora 99 565 77 71 </t>
  </si>
  <si>
    <t xml:space="preserve">1500 kelishildi 400 dollar berdi </t>
  </si>
  <si>
    <t>18,05,2024</t>
  </si>
  <si>
    <t xml:space="preserve">Erkavoy Stat Oq Oltin 99 755 05 41 </t>
  </si>
  <si>
    <t xml:space="preserve">Xumoyun  Sotuvchi o`zlarimiz  yuqorda ham bor </t>
  </si>
  <si>
    <t>19,05,2024</t>
  </si>
  <si>
    <t xml:space="preserve">Sahovat Jumaniyozov Xusinboy 99 069 52 12 </t>
  </si>
  <si>
    <t xml:space="preserve">1600 dollar  397 dollar berid+ 25,09,2024  600 dollar Dilbar apka + 600 dollar </t>
  </si>
  <si>
    <t>20,05,2024</t>
  </si>
  <si>
    <t>Furachi Xudayberganov Baxtiyor Xazarasp pichoqchi 94 318 40 05  93 752 03 00</t>
  </si>
  <si>
    <t xml:space="preserve">19 berildi 10 berdi 9 qoldi </t>
  </si>
  <si>
    <t xml:space="preserve">Ishonch Alibek ter Boja 97 790 74 04 </t>
  </si>
  <si>
    <t>23,05,2024</t>
  </si>
  <si>
    <t xml:space="preserve">Salayev Ollayor Xonqa Qizilbayroq Lider Xursand kafil 88 787 60 04 </t>
  </si>
  <si>
    <t>25,05,2024</t>
  </si>
  <si>
    <t>Poshsha Amma 97 605 25 40</t>
  </si>
  <si>
    <t xml:space="preserve">1370 -300 1070 qoldi </t>
  </si>
  <si>
    <t>26,05,2024</t>
  </si>
  <si>
    <t xml:space="preserve">Otayev Nurbek Ganjaboy og`a 91 860 09 85 </t>
  </si>
  <si>
    <t xml:space="preserve">Ali og`a Abbayev Usta  91 429 86 16 </t>
  </si>
  <si>
    <t>27,05,2024</t>
  </si>
  <si>
    <t xml:space="preserve">Davletov Ozod Mo`lla Oq Oltin  99 459 24 17 </t>
  </si>
  <si>
    <t xml:space="preserve">Saidniyozov Sarvar G`alaba  97 600 96 38 </t>
  </si>
  <si>
    <t>27,11,2024</t>
  </si>
  <si>
    <t xml:space="preserve">1600 ga berildi 400 dollar berdi 1200 dollar qoldi </t>
  </si>
  <si>
    <t>30,05,2024</t>
  </si>
  <si>
    <t xml:space="preserve">Boltayev Azizbek To`pchi 77 097 92 76 </t>
  </si>
  <si>
    <t>31,05,2024</t>
  </si>
  <si>
    <t xml:space="preserve">Quromboy Transbank  </t>
  </si>
  <si>
    <t>02,06,2024</t>
  </si>
  <si>
    <t xml:space="preserve">Sultonov Navro`z To`pchi  99 674 55 91 </t>
  </si>
  <si>
    <t>03,06,2024</t>
  </si>
  <si>
    <t xml:space="preserve">Egamberdiyev Shokir Ashxobod 97 119 25 66 </t>
  </si>
  <si>
    <t>04,06,2024</t>
  </si>
  <si>
    <t xml:space="preserve">Qurbonboyev Qahramon  Oq Oltin  99 156 76 31 </t>
  </si>
  <si>
    <t xml:space="preserve">Qurbonboyev Shermat Oq Oltin  94 235 14 71 </t>
  </si>
  <si>
    <t>05,06,2024</t>
  </si>
  <si>
    <t xml:space="preserve">Raximov Bargan Obod 91 275 57 36 </t>
  </si>
  <si>
    <t>06,06,2024</t>
  </si>
  <si>
    <t xml:space="preserve">Ulug`bek qoraqalpoq Xokim yordamchi 97 356 47 04 </t>
  </si>
  <si>
    <t xml:space="preserve">Ali Ustalar Xokim yordamchi 3 mln 09 09 </t>
  </si>
  <si>
    <t>07,06,2024</t>
  </si>
  <si>
    <t xml:space="preserve">Muhammad yangi ariq 99 527 73 13  99 558 03 87 </t>
  </si>
  <si>
    <t>08,06,2024</t>
  </si>
  <si>
    <t>Sapayev Otabek OQ Oltin 99 423 66 60</t>
  </si>
  <si>
    <t xml:space="preserve">Maytaqubov Bobonazar Sahovat Yurist 88 202 94 83 </t>
  </si>
  <si>
    <t xml:space="preserve">Bematov Xursand Xonqa Jirmiz 95 480 44 49 </t>
  </si>
  <si>
    <t>09,06,2024</t>
  </si>
  <si>
    <t xml:space="preserve">Ibodullayev Sardor Xonqa Urganch taraf 99 429 16 16 </t>
  </si>
  <si>
    <t>10,06,2024</t>
  </si>
  <si>
    <t xml:space="preserve">Xudayberganov Ro`ziboy Xurriyat kabina ofisni to`g`risi </t>
  </si>
  <si>
    <t>12,06,2024</t>
  </si>
  <si>
    <t xml:space="preserve">Pitnak Davletov Otabek 97 452 76 16  424 da ham bor </t>
  </si>
  <si>
    <t>Egamberdiyeva Feruza Oltinqum 97 529 09 33</t>
  </si>
  <si>
    <t>14,06,2024</t>
  </si>
  <si>
    <t xml:space="preserve">Matniyozov Muzaffar Ko`nabirlashuv 94 202 99 79 </t>
  </si>
  <si>
    <t xml:space="preserve">Rahmonov Shermat To`pchi Uragan 99 662 13 82 </t>
  </si>
  <si>
    <t xml:space="preserve">Dilmurod Agrobank 97 513 55 59  Tozabozor </t>
  </si>
  <si>
    <t>15,06,2024</t>
  </si>
  <si>
    <t xml:space="preserve">Davletov Otabek  Pitnak 97 452 76 16  Tesla  415 da ham bor </t>
  </si>
  <si>
    <t>17,06,2024</t>
  </si>
  <si>
    <t>Boltayev Musabek Xonqa 97 201 40 41</t>
  </si>
  <si>
    <t>Sapayev Xamdam Tozabozor 97 410 96 16</t>
  </si>
  <si>
    <t>18,10,2024</t>
  </si>
  <si>
    <t>18,06,2024</t>
  </si>
  <si>
    <t>Matkarimov Xudashukur Ko`nabirlashuv Magrur 97 453 45 23</t>
  </si>
  <si>
    <t>19,06,2024</t>
  </si>
  <si>
    <t xml:space="preserve">Qurbonov Sardorbek Manviyat 99 152 03 02  Sanat sho`ra </t>
  </si>
  <si>
    <t xml:space="preserve">Matyniyozov Bobomurod Qumbodoq 93 285 70 17 </t>
  </si>
  <si>
    <t xml:space="preserve">Sabirov Otabek O`zgarish 97 451 31 91 </t>
  </si>
  <si>
    <t>20,06,2024</t>
  </si>
  <si>
    <t xml:space="preserve">Atajonov Rinat Xonqa Qoramazi 88 615 09 14 </t>
  </si>
  <si>
    <t xml:space="preserve">Bog`ibekov Bekzod Xonqa Qoramazi Dilshod bux ukasi 88 600 56 56   99 202 55 33 </t>
  </si>
  <si>
    <t>21,06,2024</t>
  </si>
  <si>
    <t>Yusupov Sirojbek Manviyat 91 163 82 28</t>
  </si>
  <si>
    <t xml:space="preserve">Umr Traktorchi Oq Oltin 99 112 54 76 </t>
  </si>
  <si>
    <t xml:space="preserve">dollar 1220 dollar beradi </t>
  </si>
  <si>
    <t>22,06,2024</t>
  </si>
  <si>
    <t xml:space="preserve">Bobojonov Jasur Yangiqadam 88 600 16 86 </t>
  </si>
  <si>
    <t xml:space="preserve">Sobirjon Klonka Ko`na birlashuv 88 141 31 51 </t>
  </si>
  <si>
    <t>24,06,2024</t>
  </si>
  <si>
    <t xml:space="preserve">Pirnafasov Narimon Naymanbo`yi  </t>
  </si>
  <si>
    <t xml:space="preserve">Safayev Farid Dukonchi 99 194 34 80 </t>
  </si>
  <si>
    <t xml:space="preserve">Navro`zov Inoyat Nayman qomadni ukasi  88 299 24 88 </t>
  </si>
  <si>
    <t>20,11,2024</t>
  </si>
  <si>
    <t xml:space="preserve">1600 dollarga berildi 400 dollar berdi   -300 dollar 31,07,2024  -200 dollar 02,09,2024 </t>
  </si>
  <si>
    <t xml:space="preserve">O`dakov G`anijon  99 048 16 13 </t>
  </si>
  <si>
    <t>26,06,2024</t>
  </si>
  <si>
    <t>Yangibozor Bobur Optom 99 757 53 55</t>
  </si>
  <si>
    <t xml:space="preserve">2 dona skuter </t>
  </si>
  <si>
    <t xml:space="preserve">30,07,2024  limit uchun 8 mln tashlandi moniyga </t>
  </si>
  <si>
    <t xml:space="preserve">Urganch karuch zavod Sadullayev Inomjon  99 500 85 15 </t>
  </si>
  <si>
    <t>Sherzod Bux shogirti operatsiyasi uchun 99 548 30 10</t>
  </si>
  <si>
    <t>27,06,2024</t>
  </si>
  <si>
    <t xml:space="preserve">Iskandarov Marks Uzumzor 94 298 23 27 </t>
  </si>
  <si>
    <t xml:space="preserve">Muzaffar Mikra Boshliq 98 770 12 01 </t>
  </si>
  <si>
    <t>28,06,2024</t>
  </si>
  <si>
    <t xml:space="preserve">Yusupov Olimboy Obod 90 725 34 64 </t>
  </si>
  <si>
    <t>29,06,2024</t>
  </si>
  <si>
    <t xml:space="preserve">Rustam og`a Nurafshon Xokim yordamchi  229 da ham bor  99 966 02 23 </t>
  </si>
  <si>
    <t xml:space="preserve">tez xal qilish kerak </t>
  </si>
  <si>
    <t xml:space="preserve">Davletov Zokirjon Ko`nabirlashuv 94 234 72 32 </t>
  </si>
  <si>
    <t xml:space="preserve">30 dekabr 2024 gacha </t>
  </si>
  <si>
    <t>30,06,2024</t>
  </si>
  <si>
    <t xml:space="preserve">Ro`zmetov Sultonbek olg`a Yangiariq 93 061 57 42 </t>
  </si>
  <si>
    <t>01,07,2024</t>
  </si>
  <si>
    <t xml:space="preserve">Samandarov Rahmatjon Samsung DB 93 967 60 01 </t>
  </si>
  <si>
    <t xml:space="preserve">Jumaniyozov G`ayrat  Samsung DB 93 622 77 66 </t>
  </si>
  <si>
    <t>02,07,2024</t>
  </si>
  <si>
    <t xml:space="preserve">Jahongir Baxolash 91 999 56 56 </t>
  </si>
  <si>
    <t xml:space="preserve">1200 dollar qoldi 15,12,2024 gacha  09,08,2024 200 dollar berildi </t>
  </si>
  <si>
    <t xml:space="preserve">Davletov Toxir Gulshan 97 518 09 49  Sklmax </t>
  </si>
  <si>
    <t xml:space="preserve">Daston jura Xazarasp 99 969 86 24 </t>
  </si>
  <si>
    <t>03,07,2024</t>
  </si>
  <si>
    <t xml:space="preserve">Matchanova Zebo Yangiariq 94 279 52 20 </t>
  </si>
  <si>
    <t>24,10,2024</t>
  </si>
  <si>
    <t>01,10,2024</t>
  </si>
  <si>
    <t>04,07,2024</t>
  </si>
  <si>
    <t xml:space="preserve">Kamol darcha 97 451 60 51 </t>
  </si>
  <si>
    <t xml:space="preserve">Xajiyev Otabek Pitnak  97 529 19 06 </t>
  </si>
  <si>
    <t>15,10,2024</t>
  </si>
  <si>
    <t xml:space="preserve">Avezov Sulton aka Oq Oltin </t>
  </si>
  <si>
    <t>08,07,2024</t>
  </si>
  <si>
    <t xml:space="preserve">Rahmatjon Kadastr G`alaba Xarbiy  99 091 70 71 Furqat   502 90 90 </t>
  </si>
  <si>
    <t>01,12,2024</t>
  </si>
  <si>
    <t>09,07,2024</t>
  </si>
  <si>
    <t xml:space="preserve">Sultonov Furqat Xamid xalq bank 93 744 64 65 domla </t>
  </si>
  <si>
    <t xml:space="preserve">Rajabboyev Asadbek Xonqa  99 669 65 65 </t>
  </si>
  <si>
    <t xml:space="preserve">Xajiyev Xakimboy Ashxobod 94 005 03 98 </t>
  </si>
  <si>
    <t xml:space="preserve">Shomurotov Muzaffar Gijdonov 99 093 91 41 </t>
  </si>
  <si>
    <t>11,07,2024</t>
  </si>
  <si>
    <t xml:space="preserve">Samsung Dexqon bozor Boshliq Tel 88 512 66 66 </t>
  </si>
  <si>
    <t>12,07,2024</t>
  </si>
  <si>
    <t xml:space="preserve">Xudayberganov Ozod To`pchi </t>
  </si>
  <si>
    <t xml:space="preserve">2400 berildi 100 dollar berdi </t>
  </si>
  <si>
    <t>14,07,2024</t>
  </si>
  <si>
    <t xml:space="preserve">Yaxshimurotov Umar Oq Oltin 99 202 94 35 </t>
  </si>
  <si>
    <t>15,07,2024</t>
  </si>
  <si>
    <t xml:space="preserve">Sobirov Doniyor Xonqa  Navro`z 95 434 55 35 Lider Xursand og`ani ishchisi </t>
  </si>
  <si>
    <t>16,07,2024</t>
  </si>
  <si>
    <t xml:space="preserve">Shermat Duktor Oq Oltin 93 280 19 56 </t>
  </si>
  <si>
    <t xml:space="preserve">19,5 berildi 800 dollar berdi </t>
  </si>
  <si>
    <t xml:space="preserve">Fayzulla So`zma </t>
  </si>
  <si>
    <t xml:space="preserve">2000 dollar qarz berdi 2200 dollar </t>
  </si>
  <si>
    <t xml:space="preserve">Ro`zmetov Xamid 88 518 01 60 Madaniyat </t>
  </si>
  <si>
    <t xml:space="preserve">Raximov Rustam Alp cho`nkaradigan Xonqa Olaja 99 577 79 71 </t>
  </si>
  <si>
    <t>25,10,2024</t>
  </si>
  <si>
    <t xml:space="preserve">2700 lik alp cho`nkaradigan </t>
  </si>
  <si>
    <t xml:space="preserve">Ismoilov Otanazar Qorabog` Lider xursand kafil 94 231 28 10 </t>
  </si>
  <si>
    <t xml:space="preserve">1500 lik tank </t>
  </si>
  <si>
    <t xml:space="preserve">Matyaqubov Sherzod To`pchi Lider Xurasnd og`a  99 667 31 86 </t>
  </si>
  <si>
    <t xml:space="preserve">1400 lik aksiya </t>
  </si>
  <si>
    <t>17,07,2024</t>
  </si>
  <si>
    <t xml:space="preserve">Madaminov Yusufjon Shokir og`ani tanishi 10 30  Usta </t>
  </si>
  <si>
    <t>Boltayev Maxmudjon Olaja 99 752 53 59</t>
  </si>
  <si>
    <t xml:space="preserve">Ro`zmetov Bekzod Sahovat 97 607 16 56 </t>
  </si>
  <si>
    <t xml:space="preserve">Jumamazarov Og`abek Nayman 88 299 94 97 </t>
  </si>
  <si>
    <t>18,07,2024</t>
  </si>
  <si>
    <t xml:space="preserve">Masharipov Maqsud Dexqonobod 88 007 06 85 </t>
  </si>
  <si>
    <t xml:space="preserve">Matniyozova Tozagul To`pchi Xursand og`a kafil 97 526 96 20 </t>
  </si>
  <si>
    <t xml:space="preserve">alp </t>
  </si>
  <si>
    <t>19,07,2024</t>
  </si>
  <si>
    <t xml:space="preserve">Tojiyev Bekturdi Tozabozor 99 963 67 03 </t>
  </si>
  <si>
    <t>20,07,2024</t>
  </si>
  <si>
    <t xml:space="preserve">Sapayev Mansur Madaniyat Oybek xolli 97 518 91 31 </t>
  </si>
  <si>
    <t xml:space="preserve">1500 ga 500 berdi 1000 qoldi </t>
  </si>
  <si>
    <t xml:space="preserve">Sherzod Qursdosh Xazarasp 289 07 08 </t>
  </si>
  <si>
    <t>22,07,2024</t>
  </si>
  <si>
    <t>Oybek kamxo`z qo`shni Mo`min ishchisi 91 571 85 09</t>
  </si>
  <si>
    <t xml:space="preserve">Iskandarov Safarmad To`pchi 88 362 49 77 </t>
  </si>
  <si>
    <t xml:space="preserve">Oskarov Gafur To`pchi 99 025 50 44 </t>
  </si>
  <si>
    <t xml:space="preserve">330 lik </t>
  </si>
  <si>
    <t xml:space="preserve"> yuqorda ham bor </t>
  </si>
  <si>
    <t>23,07,2024</t>
  </si>
  <si>
    <t>Davletov Doniyor Pitnak  88 515 14 90 ( Otabek )</t>
  </si>
  <si>
    <t>22,10,2024</t>
  </si>
  <si>
    <t>24,07,2024</t>
  </si>
  <si>
    <t xml:space="preserve">Sadullayev Anvar Nayman  93 289 30 94 </t>
  </si>
  <si>
    <t>full</t>
  </si>
  <si>
    <t>25,07,2024</t>
  </si>
  <si>
    <t xml:space="preserve">Sadullayev Xamdam Obod 99  348 70 26 </t>
  </si>
  <si>
    <t>26,07,2024</t>
  </si>
  <si>
    <t xml:space="preserve">Rahimov Shuhrat Lelin 93 391 85 89 </t>
  </si>
  <si>
    <t xml:space="preserve">2000 lik uragan </t>
  </si>
  <si>
    <t xml:space="preserve">Yaqubova Umida Navro`z </t>
  </si>
  <si>
    <t xml:space="preserve">1400 lik </t>
  </si>
  <si>
    <t xml:space="preserve">Safarov Xursand 88 516 75 85  Otabek pitnak </t>
  </si>
  <si>
    <t>27,07,2024</t>
  </si>
  <si>
    <t xml:space="preserve">Quramboyev Abdulla Durvadik 88 599 90 07 </t>
  </si>
  <si>
    <t>29,07,2024</t>
  </si>
  <si>
    <t xml:space="preserve">Rajabova Poshsha Olaja 88 601 04 07 </t>
  </si>
  <si>
    <t xml:space="preserve">330 skuter </t>
  </si>
  <si>
    <t xml:space="preserve">Allanazarov Xamro Doyi Oq Oltin 99 026 86 16 </t>
  </si>
  <si>
    <t xml:space="preserve">Boltayev Temur Olaja 94 405 10 30 </t>
  </si>
  <si>
    <t xml:space="preserve">1500 lik ko`na </t>
  </si>
  <si>
    <t xml:space="preserve">Javlon og`a Qurovchi  93 922 95 55 </t>
  </si>
  <si>
    <t xml:space="preserve">Sherzod og`a Bux </t>
  </si>
  <si>
    <t>30,07,2024</t>
  </si>
  <si>
    <t xml:space="preserve">Otajonova Gulara G`ijdonob  99 133 02 63 </t>
  </si>
  <si>
    <t>31,07,2024</t>
  </si>
  <si>
    <t xml:space="preserve">Razzaqov Rustam Xurriyat 99 424 67 88 </t>
  </si>
  <si>
    <t xml:space="preserve">Saparov Maxmudjon Navbaxor 88 201 31 61 </t>
  </si>
  <si>
    <t xml:space="preserve">Madaminov Temur Xunarmand 90 557 40 97 </t>
  </si>
  <si>
    <t>01,08,2024</t>
  </si>
  <si>
    <t xml:space="preserve">Bekturdiyev Aslbek Karim Otyoz Oq Oltin 95 334 03 07 </t>
  </si>
  <si>
    <t xml:space="preserve">1500 tank </t>
  </si>
  <si>
    <t xml:space="preserve">Qurbonov Odilbek Xazarasp 97 516 81 79 </t>
  </si>
  <si>
    <t xml:space="preserve">Yusupov Masqud Ko`sa Oq Oltin 99 198 20 50 </t>
  </si>
  <si>
    <t xml:space="preserve">Sodiqov Qosim To`pchi Xursand xokim yordamchi 97 570 00 60 </t>
  </si>
  <si>
    <t xml:space="preserve">2200 lik alp chertak </t>
  </si>
  <si>
    <t>02,08,2024</t>
  </si>
  <si>
    <t xml:space="preserve">To`xtaboyev Asadbek Navbaxor 94 234 16 72   99 239 57 37 </t>
  </si>
  <si>
    <t xml:space="preserve">Ro`zmetov Ibroxim Nayman 97 227 68 66 </t>
  </si>
  <si>
    <t xml:space="preserve">1400 full </t>
  </si>
  <si>
    <t xml:space="preserve">Annayeva Baxtigul Sahovat 93 239 23 78 </t>
  </si>
  <si>
    <t xml:space="preserve">Xakimov Sanjarbek To`pchi 99 156 05 17 </t>
  </si>
  <si>
    <t>03,08,2024</t>
  </si>
  <si>
    <t xml:space="preserve">Abulova Muqaddas Pitnak 99 217 24 75 </t>
  </si>
  <si>
    <t>05,08,2024</t>
  </si>
  <si>
    <t xml:space="preserve">Xajiyev Ruslanbek Pitnak 93 214 41 87 </t>
  </si>
  <si>
    <t xml:space="preserve">1500 lik </t>
  </si>
  <si>
    <t>06,08,2024</t>
  </si>
  <si>
    <t xml:space="preserve">Abdullayev Shaxzod Tozabozor 97 201 79 79 </t>
  </si>
  <si>
    <t xml:space="preserve">Yusupov Baxtiyor Asamad </t>
  </si>
  <si>
    <t>08,08,2024</t>
  </si>
  <si>
    <t xml:space="preserve">Yaxshi,urotov O`tkir Tozabozor 97 512 65 73 </t>
  </si>
  <si>
    <t xml:space="preserve">Rajabov Muxiddin Nayman 93 336 29 05 </t>
  </si>
  <si>
    <t>09,08,2024</t>
  </si>
  <si>
    <t xml:space="preserve">Sadiqov Nodirbek Nurli Hayot 94 339 24 42 </t>
  </si>
  <si>
    <t xml:space="preserve">1400 lik ko`na </t>
  </si>
  <si>
    <t>10,08,2024</t>
  </si>
  <si>
    <t xml:space="preserve">Xudashukurov Farxod Pitnak  97 514 90 84 </t>
  </si>
  <si>
    <t xml:space="preserve">1400 ful </t>
  </si>
  <si>
    <t xml:space="preserve">oktaybar oxiri </t>
  </si>
  <si>
    <t>13,08,2024</t>
  </si>
  <si>
    <t>Abdullayeva Dilbar Gulshan 99 421 89 69</t>
  </si>
  <si>
    <t>14,08,2024</t>
  </si>
  <si>
    <t xml:space="preserve">Ibadullayev Doston Ko`nabirlashuv  95 989 36 63  Bunyodni Tanishishi </t>
  </si>
  <si>
    <t xml:space="preserve">Qabulov Otajon Ashxobod 99 719 40 53 </t>
  </si>
  <si>
    <t xml:space="preserve">2000 lik Alp </t>
  </si>
  <si>
    <t>16,08,2024</t>
  </si>
  <si>
    <t xml:space="preserve">Allaberganov Baxtiyor Nurafshon </t>
  </si>
  <si>
    <t xml:space="preserve">2000 lik  Uragan </t>
  </si>
  <si>
    <t xml:space="preserve">Axmedov Qahramon Sohibkor yog` payoq 88 526 02 32 </t>
  </si>
  <si>
    <t xml:space="preserve">Ataniyozov Sarvar Oq Oltin 77 708 84 14 </t>
  </si>
  <si>
    <t xml:space="preserve">1400 lik full </t>
  </si>
  <si>
    <t xml:space="preserve">Maqsuda Apka Xalq Banki 93 928 52 58 </t>
  </si>
  <si>
    <t>18,08,2024</t>
  </si>
  <si>
    <t xml:space="preserve">Ismolilov Isroil Xiva skuter 88 529 36 06  </t>
  </si>
  <si>
    <t xml:space="preserve">Islmoilov Murod Choyxona yonbosh Xiva 88 529 36 06 </t>
  </si>
  <si>
    <t xml:space="preserve">Davlatyorov Javlon Pitnak 93 588 01 73 </t>
  </si>
  <si>
    <t>1400 lik full 20,11,2024</t>
  </si>
  <si>
    <t>20,08,2024</t>
  </si>
  <si>
    <t xml:space="preserve">Davletova Gulasal To`pchi 97 510 40 44 </t>
  </si>
  <si>
    <t xml:space="preserve">1350 lik </t>
  </si>
  <si>
    <t>Quryozov Azamat Soxibkor 91 782 63 68</t>
  </si>
  <si>
    <t xml:space="preserve">Yo`ldosh kassir Oq Oltin 93 864 04 48 </t>
  </si>
  <si>
    <t>21,08,2024</t>
  </si>
  <si>
    <t xml:space="preserve">Matyaqubov Mardon Mehnatguli 99 712 87 54 </t>
  </si>
  <si>
    <t xml:space="preserve">Baltayev Og`abek Xonqa Madaniyat 97 456 74 10 </t>
  </si>
  <si>
    <t>22,08,2024</t>
  </si>
  <si>
    <t xml:space="preserve">Ismoliloov Nurbek Navro`z 95 171 77 22 </t>
  </si>
  <si>
    <t>23,08,2024</t>
  </si>
  <si>
    <t xml:space="preserve">Ernazarov Nizombek G`alaba 99 700 87 17 </t>
  </si>
  <si>
    <t xml:space="preserve">Matyaqubov Otabek O`zgarish 97 601 53 70 </t>
  </si>
  <si>
    <t xml:space="preserve">2200 lik alp ko`sha balon </t>
  </si>
  <si>
    <t>24,08,2024</t>
  </si>
  <si>
    <t xml:space="preserve">Qo`shayev Xolmurod Madaniyat 88 515 05 78 </t>
  </si>
  <si>
    <t xml:space="preserve">1400 lik Full </t>
  </si>
  <si>
    <t xml:space="preserve">Karimov Baxodir Pitnak 97 458 24 79 </t>
  </si>
  <si>
    <t xml:space="preserve">2200 lik alp  01 oktyabr </t>
  </si>
  <si>
    <t>25,08,2024</t>
  </si>
  <si>
    <t xml:space="preserve">Otamurot Xofiz Navro`z 95 679 07 06 </t>
  </si>
  <si>
    <t>27,08,2024</t>
  </si>
  <si>
    <t xml:space="preserve">Quvaqov  Muhammad Nurafshon 99 701 52 09 </t>
  </si>
  <si>
    <t xml:space="preserve">Xo`janiyozov Sherzod Ashxobod 95 355 55 15 </t>
  </si>
  <si>
    <t>28,08,2024</t>
  </si>
  <si>
    <t xml:space="preserve">Jumayeva Shoxista Kreditdan qaytadi Jurat Yangiariq 94 236 96 96 </t>
  </si>
  <si>
    <t xml:space="preserve">Bekchonov asadbek Xonqa Navro`z Uragan 2150  97 513 04 78 </t>
  </si>
  <si>
    <t xml:space="preserve">2150 uragan </t>
  </si>
  <si>
    <t xml:space="preserve">Sharipov Davronbek O`zbekiston 94 514 19 97 </t>
  </si>
  <si>
    <t>29,08,2024</t>
  </si>
  <si>
    <t xml:space="preserve">Ro`zmetov Umrbek Nurafshon 93 504 81 99 </t>
  </si>
  <si>
    <t xml:space="preserve">Jumaniyozov Yunus Manaviyat Soxibkor 93 281 21 84 </t>
  </si>
  <si>
    <t xml:space="preserve">Ro`zmetov Umidjon O`zgarish 97 202 37 17 </t>
  </si>
  <si>
    <t xml:space="preserve">Rajabov Maqsad Ashxobod 99 025 84 90 </t>
  </si>
  <si>
    <t xml:space="preserve">400 lik </t>
  </si>
  <si>
    <t xml:space="preserve">Raximberdiyev Umrbek O`zbekiston Furachi 94 049 82 12  93 234 10 82 </t>
  </si>
  <si>
    <t xml:space="preserve">2025 yil Mart oyida beradi Yangi yilga qadar yarmini beradi </t>
  </si>
  <si>
    <t>30,08,2024</t>
  </si>
  <si>
    <t xml:space="preserve">Machit Ehson qolgani </t>
  </si>
  <si>
    <t>31,08,2024</t>
  </si>
  <si>
    <t xml:space="preserve">Matniyozov Komil Qumbodoq 88 036 65 66 </t>
  </si>
  <si>
    <t xml:space="preserve">4 Akmulyator </t>
  </si>
  <si>
    <t xml:space="preserve">Rahmonov Elmurod Ko`nabirlashuv 95 897 61 31 </t>
  </si>
  <si>
    <t xml:space="preserve">Polyozov Iskandar Madaniyat 97 791 12 76 </t>
  </si>
  <si>
    <t xml:space="preserve">5 akmulyator </t>
  </si>
  <si>
    <t>01,09,2024</t>
  </si>
  <si>
    <t xml:space="preserve">Qulmetov Sobir Olaja 93 758 55 02 </t>
  </si>
  <si>
    <t xml:space="preserve">skuter 280 lik </t>
  </si>
  <si>
    <t>02,09,2024</t>
  </si>
  <si>
    <t xml:space="preserve">Polvonova Bektursun Manaviyat 95 227 1143 </t>
  </si>
  <si>
    <t>04,09,2024</t>
  </si>
  <si>
    <t xml:space="preserve">Qurbonov Erkaboy Xonqa 99 160 89 44  90 736 42 44 </t>
  </si>
  <si>
    <t xml:space="preserve">1220 lik  ko`na </t>
  </si>
  <si>
    <t xml:space="preserve">Qurbonboyev Maqsud Nurli Hayot 93 776 31 11 </t>
  </si>
  <si>
    <t>1400 lik full +</t>
  </si>
  <si>
    <t>Qutlimurotova Rohatjon Oq Oltin 99 574 17 05</t>
  </si>
  <si>
    <t>05,11,2024</t>
  </si>
  <si>
    <t>05,09,2024</t>
  </si>
  <si>
    <t xml:space="preserve">To`rayev Mansur Xiva 93 745 11 91 </t>
  </si>
  <si>
    <t xml:space="preserve">1220 lik </t>
  </si>
  <si>
    <t xml:space="preserve">Xo`jayev Ozod Nayman 97 602 16 26 </t>
  </si>
  <si>
    <t xml:space="preserve">1400 lik  noyabar </t>
  </si>
  <si>
    <t>06,09,2024</t>
  </si>
  <si>
    <t xml:space="preserve">Shermat Klara Oq Oltin 94 351 25 80 </t>
  </si>
  <si>
    <t>07,09,2024</t>
  </si>
  <si>
    <t xml:space="preserve">Matkarimov Odilbek Madaniyat 91 432 71 98 </t>
  </si>
  <si>
    <t xml:space="preserve">Sabirova Sadoqat Atov 88 500 22 52 </t>
  </si>
  <si>
    <t xml:space="preserve">2000 lik dinom </t>
  </si>
  <si>
    <t>08,09,2024</t>
  </si>
  <si>
    <t>Atajonov Saparboy Pitnak 97 360 85 49</t>
  </si>
  <si>
    <t xml:space="preserve">2250 lik qo`sha balon </t>
  </si>
  <si>
    <t xml:space="preserve">Fayzullayev Jumanazar Xurriyat 77 311 82 57 </t>
  </si>
  <si>
    <t xml:space="preserve">370 skuter </t>
  </si>
  <si>
    <t>09,09,2024</t>
  </si>
  <si>
    <t xml:space="preserve">Sultonov Baxodir Gulshan 97 601 70 08 </t>
  </si>
  <si>
    <t xml:space="preserve">2200 lik </t>
  </si>
  <si>
    <t>10,09,2024</t>
  </si>
  <si>
    <t xml:space="preserve">Rustamov Xusanboy Oq Tepa 93 422 62 82 </t>
  </si>
  <si>
    <t xml:space="preserve">Muhammad ali aka Qibray Xoji buva </t>
  </si>
  <si>
    <t xml:space="preserve">1550 lik kabina </t>
  </si>
  <si>
    <t>11,09,2024</t>
  </si>
  <si>
    <t xml:space="preserve">Muzaffar Og`a Sultonov Nolog </t>
  </si>
  <si>
    <t>Jumaniyozov Xasanboy Yangiqadam 99 952 76 87</t>
  </si>
  <si>
    <t>17,10,2024</t>
  </si>
  <si>
    <t xml:space="preserve">Ibadullayev Erkin Navbaxor 97 299 94 97 </t>
  </si>
  <si>
    <t>12,09,2024</t>
  </si>
  <si>
    <t xml:space="preserve">Matyaqubova Gulfiza Qalajiqala 97 526 33 90 </t>
  </si>
  <si>
    <t xml:space="preserve">Umid Yaqubov Nayman 97 744 52 65 </t>
  </si>
  <si>
    <t xml:space="preserve">O`rozova Malohat Nayman  97 526 30 47 </t>
  </si>
  <si>
    <t>13,09,2024</t>
  </si>
  <si>
    <t xml:space="preserve">Sadullayev Xursand Xonqa Navro`z 88 299 04 55  97 529 55 44 </t>
  </si>
  <si>
    <t xml:space="preserve">Matniyozov Shuxrat Ashxobod Xamro og`a sim sim 88 607 75 05 </t>
  </si>
  <si>
    <t xml:space="preserve">Jasur Polvon  99 09 </t>
  </si>
  <si>
    <t>15,09,2024</t>
  </si>
  <si>
    <t xml:space="preserve">Jo`rabek usta Uyniki Xiva 90 578 50 75 </t>
  </si>
  <si>
    <t>16,09,2024</t>
  </si>
  <si>
    <t xml:space="preserve">Matniyozov Xamro Yangiqadam 97 513 33 94 </t>
  </si>
  <si>
    <t xml:space="preserve">Bobojonov Xudashukur Nurli Xayot 93 745 94 62 </t>
  </si>
  <si>
    <t xml:space="preserve">2*65 </t>
  </si>
  <si>
    <t>17,09,2024</t>
  </si>
  <si>
    <t xml:space="preserve">Rajabova Sharifa Oq Oltin 77 082 43 03 </t>
  </si>
  <si>
    <t>30,11,2024</t>
  </si>
  <si>
    <t xml:space="preserve">Xasanboy Aka Samarqanddan yubargan pul </t>
  </si>
  <si>
    <t>18,09,2024</t>
  </si>
  <si>
    <t>Bobojonov Shuhrat Yangiqadam 1</t>
  </si>
  <si>
    <t>19,09,2024</t>
  </si>
  <si>
    <t xml:space="preserve">Aminov Albert Olaja Oydin Hayot 99 384 72 24 </t>
  </si>
  <si>
    <t xml:space="preserve">2000 lik Uragan </t>
  </si>
  <si>
    <t xml:space="preserve">G`ayipov Ilhom Obod 88 510 80 80 </t>
  </si>
  <si>
    <t xml:space="preserve">370 lik xugo </t>
  </si>
  <si>
    <t xml:space="preserve">To`xtaboyev Ro`zimboy To`pchi 88 208 19 87 </t>
  </si>
  <si>
    <t xml:space="preserve">4 akmulyator </t>
  </si>
  <si>
    <t xml:space="preserve">Nemat Xazarasp Uragan 97 513 84 44 </t>
  </si>
  <si>
    <t xml:space="preserve">2150 lik uragan </t>
  </si>
  <si>
    <t>20,09,2024</t>
  </si>
  <si>
    <t xml:space="preserve">Zoxid Elektrik G`alaba 91 572 71 72 </t>
  </si>
  <si>
    <t>Xarbiy 900</t>
  </si>
  <si>
    <t>22,09,2024</t>
  </si>
  <si>
    <t xml:space="preserve">Adamboyev Ro`zmat Ko`nabirlashuv 94 118 54 44 </t>
  </si>
  <si>
    <t xml:space="preserve">Matyaqubov Ravshanbek Qizilbayroq Xonqa 88 451 89 82 </t>
  </si>
  <si>
    <t>1500 lik  dvijoq bilan</t>
  </si>
  <si>
    <t xml:space="preserve">Xo`jayeva Sayyora Pitnak 97 608 05 77 </t>
  </si>
  <si>
    <t>23,09,2024</t>
  </si>
  <si>
    <t xml:space="preserve">Jumanazarov Mardon Istambul to`yxona 99 347 02 34 </t>
  </si>
  <si>
    <t>1200 lik wudii</t>
  </si>
  <si>
    <t xml:space="preserve">Xusainov Odilbek Xonqa Navoiy 93 248 05 78 </t>
  </si>
  <si>
    <t xml:space="preserve">Xusainov Quvondiq Xonqa Olaja 97 859 71 81 </t>
  </si>
  <si>
    <t>25,09,2024</t>
  </si>
  <si>
    <t xml:space="preserve">Shokir Og`ani Tanishi Gulmira Roosiya 15,10,2024 da beradi </t>
  </si>
  <si>
    <t>26,09,2024</t>
  </si>
  <si>
    <t xml:space="preserve">Jumaniyozov Xusanboy Yangiqadam 99 686 22 84 </t>
  </si>
  <si>
    <t xml:space="preserve">280 lik </t>
  </si>
  <si>
    <t>27,09,2024</t>
  </si>
  <si>
    <t xml:space="preserve">Jumaniyozov Quvondiq To`pchi 99 032 42 90 </t>
  </si>
  <si>
    <t>28,09,2024</t>
  </si>
  <si>
    <t>Quromboy qursdosh 97 211 12 09</t>
  </si>
  <si>
    <t>Matniyozov Dilmurod Pitnak 97 791 43 70</t>
  </si>
  <si>
    <t xml:space="preserve">2200 lik Alp </t>
  </si>
  <si>
    <t xml:space="preserve">Jumaboyev Polvon Yangiqadam 88 858 53 20 </t>
  </si>
  <si>
    <t xml:space="preserve">500 lik zemma </t>
  </si>
  <si>
    <t>29,09,2024</t>
  </si>
  <si>
    <t xml:space="preserve">Rajabova Nilufar Nayman 99 336 88 66 </t>
  </si>
  <si>
    <t xml:space="preserve">Ali Mo`lla Mechit Yangiqadam </t>
  </si>
  <si>
    <t>30,09,2024</t>
  </si>
  <si>
    <t xml:space="preserve">Maxmudov Maxmudjon To`pchi 88 856 91 00 </t>
  </si>
  <si>
    <t xml:space="preserve">370 gerrov </t>
  </si>
  <si>
    <t xml:space="preserve">Jumaniyozov Davronbek 99 660 52 52  Diamond </t>
  </si>
  <si>
    <t xml:space="preserve">2550 lik Alp qo`sha balon samasval </t>
  </si>
  <si>
    <t xml:space="preserve">Qurbonov Yarashboy Uzumzor 93 746 57 61 </t>
  </si>
  <si>
    <t>04,10,2024</t>
  </si>
  <si>
    <t xml:space="preserve">Matnazarov Shokir Ashxobod 99 266 85 87 </t>
  </si>
  <si>
    <t>05,10,2024</t>
  </si>
  <si>
    <t xml:space="preserve">Matchanov Po`latboy Pitnak 97 605 33 23 </t>
  </si>
  <si>
    <t>07,10,2024</t>
  </si>
  <si>
    <t xml:space="preserve">Qurbonboyev Umrbek Ashxobod Full 99 747 15 01 </t>
  </si>
  <si>
    <t xml:space="preserve">1400 lik full 10 noyabr 2024 yil </t>
  </si>
  <si>
    <t>08,10,2024</t>
  </si>
  <si>
    <t xml:space="preserve">Ibraximov Javoxir Ulug` stalavay </t>
  </si>
  <si>
    <t xml:space="preserve">290 lik zemma  08,11,2024 da beradi </t>
  </si>
  <si>
    <t xml:space="preserve">Ramat Eshakchi Oq Oltin 77 044 01 66 </t>
  </si>
  <si>
    <t xml:space="preserve">dinom </t>
  </si>
  <si>
    <t xml:space="preserve">Ibragimov Sotimboy O`zgarish 91 090 61 54 </t>
  </si>
  <si>
    <t xml:space="preserve">900 lik </t>
  </si>
  <si>
    <t>11,10,2024</t>
  </si>
  <si>
    <t>12,10,2024</t>
  </si>
  <si>
    <t xml:space="preserve">Qurbonov Sanjar Manaviyat 93 772 33 22 </t>
  </si>
  <si>
    <t>14,10,2024</t>
  </si>
  <si>
    <t xml:space="preserve">Eshchanov Umid Agrobank Navro`z 97 361 58 85 </t>
  </si>
  <si>
    <t xml:space="preserve">Davletov Farxod Bog`zor 99 947 48 07 </t>
  </si>
  <si>
    <t xml:space="preserve">1200 lik wudi </t>
  </si>
  <si>
    <t>19,10,2024</t>
  </si>
  <si>
    <t xml:space="preserve">Ataxonov Asadbek Oq Maktab lelin 97 510 40 00 </t>
  </si>
  <si>
    <t xml:space="preserve">1550 lik ko`na </t>
  </si>
  <si>
    <t xml:space="preserve">Shermat Bozorko`m  97 525 00 06 </t>
  </si>
  <si>
    <t xml:space="preserve">Ozod og`a Kirob </t>
  </si>
  <si>
    <t xml:space="preserve">Zafar  Anvar Bazarqom  dekabrda ratcho`t qiladi </t>
  </si>
  <si>
    <t xml:space="preserve">Umar g`alaba Xokim yordamchi </t>
  </si>
  <si>
    <t xml:space="preserve">Ro`zmetov Doniyor 97 525 89 83  Lelizim Arxitektura </t>
  </si>
  <si>
    <t xml:space="preserve">To`pchi Saboxat Aziz moto oldi Xursand og`a olib keladi </t>
  </si>
  <si>
    <t xml:space="preserve">sherzod zam prakuror 88 891 77 77 </t>
  </si>
  <si>
    <t xml:space="preserve">Saidov Odilbek Yunus og`a story 97 792 16 77 </t>
  </si>
  <si>
    <t xml:space="preserve">Sanjar kadastr  jo`ra </t>
  </si>
  <si>
    <t xml:space="preserve">Nurafshon Rustam Xokim yordamchi </t>
  </si>
  <si>
    <t xml:space="preserve">EGAMOV SHUXRAT BEKCHANOVICH  moto soliq qarziga utkazildi 280 </t>
  </si>
  <si>
    <t xml:space="preserve">To`tayev Dilshod Nayman bo`yi 99 756 87 50  </t>
  </si>
  <si>
    <t xml:space="preserve">G`iyos Jura Oq Oltin 94 318 09 60 </t>
  </si>
  <si>
    <t xml:space="preserve">Sanat og`a Manaviyat Shura gai </t>
  </si>
  <si>
    <t xml:space="preserve">Oratiq Povur Elot 99 508 60 79 </t>
  </si>
  <si>
    <t xml:space="preserve">Poshsha Amma </t>
  </si>
  <si>
    <t xml:space="preserve">Qurbonov Sardorbek Manviyat 99 152 03 02 </t>
  </si>
  <si>
    <t xml:space="preserve">Sherzod Bux shogirti operatsiyasi uchun </t>
  </si>
  <si>
    <t xml:space="preserve">Muzaffar Mikra Boshliq </t>
  </si>
  <si>
    <t xml:space="preserve">Rustam og`a Nurafshon Xokim yordamchi  229 da ham bor </t>
  </si>
  <si>
    <t xml:space="preserve">Rahmatjon Kadastr G`alaba Xarbiy 502 90 90 </t>
  </si>
  <si>
    <t xml:space="preserve">Oybek kamxo`z qo`shni Mo`min ishchisi </t>
  </si>
  <si>
    <t xml:space="preserve">Go`zal nolog </t>
  </si>
  <si>
    <t xml:space="preserve">Safarov Xursand 88 516 75 85  Otabek </t>
  </si>
  <si>
    <t xml:space="preserve">Xudakov Bekzod Qalajiqala gerrov 2266 5,6 </t>
  </si>
  <si>
    <t xml:space="preserve">Qutlimurotova Rohatjon Oq Oltin </t>
  </si>
  <si>
    <t xml:space="preserve">Ulug`bek Zapchast  Divijoq uchun </t>
  </si>
  <si>
    <t xml:space="preserve">izzat </t>
  </si>
  <si>
    <t xml:space="preserve">Samarqand Xasanboy aka </t>
  </si>
  <si>
    <t xml:space="preserve">eldor </t>
  </si>
  <si>
    <t xml:space="preserve">Ali og`a Usta </t>
  </si>
  <si>
    <t xml:space="preserve">Baxtiyor Tozabozor </t>
  </si>
  <si>
    <t>ilyos</t>
  </si>
  <si>
    <t xml:space="preserve">Azizbek O`zgarish </t>
  </si>
  <si>
    <t xml:space="preserve">Nozimjon </t>
  </si>
  <si>
    <t xml:space="preserve">Yangiqadam Murod </t>
  </si>
  <si>
    <t>21,02,2024</t>
  </si>
  <si>
    <t>22,02,2024</t>
  </si>
  <si>
    <t>26,02,2024</t>
  </si>
  <si>
    <t>24,02,2024</t>
  </si>
  <si>
    <t>25,02,2024</t>
  </si>
  <si>
    <t xml:space="preserve">Xudakov Bekzod Qalajiqala gerrov 2266 5,6  Xushnud nolog 88 458 88 10 </t>
  </si>
  <si>
    <t>26,10,2024</t>
  </si>
  <si>
    <t xml:space="preserve">Nurli Maskan Usta Maqsud og`a Xokim yordamchi </t>
  </si>
  <si>
    <t xml:space="preserve">Baxriddin og`a bilan keldi </t>
  </si>
  <si>
    <t xml:space="preserve">Sadullayev Umrbek Madaniyat 97 529 01 79 </t>
  </si>
  <si>
    <t xml:space="preserve">Abdalniyozov Baxtiyor Ko`nabirlashuv 33 123 36 08 </t>
  </si>
  <si>
    <t>23,10,2024</t>
  </si>
  <si>
    <t xml:space="preserve">Azamjon Nolog </t>
  </si>
  <si>
    <t xml:space="preserve">Qurbonov Baxodir Obod 90 719 08 86   90 920 96 91 </t>
  </si>
  <si>
    <t xml:space="preserve">Amanov Quvondiq Nurafshon 99 484 79 02 </t>
  </si>
  <si>
    <t xml:space="preserve">Ollashukurov G`anijon Ortiq Otajon MFY 77 062 03 83 </t>
  </si>
  <si>
    <t xml:space="preserve">Allabmerdiyev Mardon O`zbekiston 99 285 26 93 </t>
  </si>
  <si>
    <t xml:space="preserve">dino </t>
  </si>
  <si>
    <t xml:space="preserve">Yusupov Yaqubboy Oltinqum ilhom og`a kafil 77 020 06 95 </t>
  </si>
  <si>
    <t>29,10,2024</t>
  </si>
  <si>
    <t xml:space="preserve">Xudayberganova Laylo Ortiq Otajon 94 116 86 27 </t>
  </si>
  <si>
    <t xml:space="preserve">Iqush  obod 99 501 22 00  91 437 01 03 </t>
  </si>
  <si>
    <t>31,10,2024</t>
  </si>
  <si>
    <t xml:space="preserve">Rajabov Ibodulla Ashxobod 91 428 03 88 </t>
  </si>
  <si>
    <t>15,11,2024</t>
  </si>
  <si>
    <t xml:space="preserve">Madaminov Nurali Pitnak 97 513 46 88   97 456 45 99 </t>
  </si>
  <si>
    <t xml:space="preserve">2200 lik alp </t>
  </si>
  <si>
    <t>20,12,20214</t>
  </si>
  <si>
    <t xml:space="preserve">Inomaddinov G`ulomjon Ashxobod  88 600 17 51 </t>
  </si>
  <si>
    <t xml:space="preserve"> dinom </t>
  </si>
  <si>
    <t>02,11,2024</t>
  </si>
  <si>
    <t>03,10,2024</t>
  </si>
  <si>
    <t>Sapayeva Gavharjon Yangiariq 88 132 61 11  93 332 83 06</t>
  </si>
  <si>
    <t>25,11,2024</t>
  </si>
  <si>
    <t xml:space="preserve">Matniyozov Komil Qumbodoq 88 036 65 66  Behzod nolog beradi </t>
  </si>
  <si>
    <t xml:space="preserve">Faxriddin ishchi </t>
  </si>
  <si>
    <t>04,11,2024</t>
  </si>
  <si>
    <t>samarqand 97 912 11 42  93 737 07 82</t>
  </si>
  <si>
    <t xml:space="preserve">Ro`ziboyev G`ayrat 94 315 66 98  Navbaxor </t>
  </si>
  <si>
    <t xml:space="preserve">Yaxshi,urotov O`tkir Tozabozor 97 512 65 73  Agraprom </t>
  </si>
  <si>
    <t>06,11,2024</t>
  </si>
  <si>
    <t>07,11,2024</t>
  </si>
  <si>
    <t>12,11,2024</t>
  </si>
  <si>
    <t xml:space="preserve">Jumayeva Shoxista Kreditdan qaytadi Jurat Yangiariq 94 236 96 96        94 646 73 46 </t>
  </si>
  <si>
    <t>Yangiariq Ro`ziyev Ismoil kasaklik 88 510 71 78</t>
  </si>
  <si>
    <t xml:space="preserve">Saidov G`anisher Usta Xalq banki Parnik Xurriyat </t>
  </si>
  <si>
    <t xml:space="preserve">2500 lik Alp </t>
  </si>
  <si>
    <t>01,02,2025</t>
  </si>
  <si>
    <t>1400 dollar -400 dollar berildi  -200 dollar 23,07,2024 - 200 dollar 06,09,2024 -200 dollar 11,10,2024 - 200 dollar 08,11,2024</t>
  </si>
  <si>
    <t>05,12,2024</t>
  </si>
  <si>
    <t xml:space="preserve">Shonazarov Og`abek     99  737  47 57   97 567 77 55 </t>
  </si>
  <si>
    <t xml:space="preserve">G`afforov Sarvar Navbaxor 94 231 32 32   95 767 36 36 </t>
  </si>
  <si>
    <t>15,12,2024</t>
  </si>
  <si>
    <t>17,11,2024</t>
  </si>
  <si>
    <t xml:space="preserve">Ibadullayev Doston Ko`nabirlashuv  95 989 36 63  Bunyodni Tanishishi  94 119 09 90 </t>
  </si>
  <si>
    <t>16,11,2024</t>
  </si>
  <si>
    <t xml:space="preserve">Rajabova Sharifa Oq Oltin 77 082 43 03  Xumoyun Ammasi </t>
  </si>
  <si>
    <t xml:space="preserve">To`xtaboyev Ro`zimboy To`pchi 88 208 19 87  otasi bilan kelgan  50 711 47 88 </t>
  </si>
  <si>
    <t xml:space="preserve">Nurmetov Sherzod Olaja  93 049 25 28 </t>
  </si>
  <si>
    <t xml:space="preserve">Xasanov Ulug`bek Sahovat 94 119 84 28 </t>
  </si>
  <si>
    <t xml:space="preserve">1400 ko`na </t>
  </si>
  <si>
    <t>18,11,2024</t>
  </si>
  <si>
    <t xml:space="preserve">600 lik </t>
  </si>
  <si>
    <t>01,01,2025</t>
  </si>
  <si>
    <t xml:space="preserve">1 mln soliq qarzi Mirza </t>
  </si>
  <si>
    <t>04,12,2024</t>
  </si>
  <si>
    <t xml:space="preserve">Usmonov Sohibjon Oq Tepa MFY 93 507 80 48 </t>
  </si>
  <si>
    <t>22,11,2024</t>
  </si>
  <si>
    <t xml:space="preserve">Asqar do`sov Elot Oq Oltin Reduktor  99 282 90 86 </t>
  </si>
  <si>
    <t>t</t>
  </si>
  <si>
    <t xml:space="preserve">Sobirjon Manaviyat Xokim yordamchi qada qay deb plastikka tashlatdi </t>
  </si>
  <si>
    <t>24,11,2024</t>
  </si>
  <si>
    <t>26,11,2024</t>
  </si>
  <si>
    <t xml:space="preserve">Sherzod Bux Joy uchun oldi 20 dekabrda beradi </t>
  </si>
  <si>
    <t xml:space="preserve">Ibadullayev Saidbek To`pchi 94 990 02 90 </t>
  </si>
  <si>
    <t>01,03,2025</t>
  </si>
  <si>
    <t xml:space="preserve">Sapayev Davron Beruniy 97 457 27 14    94 695 82 81 </t>
  </si>
  <si>
    <t>20,12,2024</t>
  </si>
  <si>
    <t>Bobojonov Shuhrat Yangiqadam 95 175 52 64</t>
  </si>
  <si>
    <t>03,12,2024</t>
  </si>
  <si>
    <t>28,11,2024</t>
  </si>
  <si>
    <t>10,12,2024</t>
  </si>
  <si>
    <t xml:space="preserve">O`ktam og`a Artikov Joy uchun oldi </t>
  </si>
  <si>
    <t>Qadam ota Xazarasp  97 510 17 40</t>
  </si>
  <si>
    <t>08,12,2024</t>
  </si>
  <si>
    <t>06,12,2024</t>
  </si>
  <si>
    <t xml:space="preserve">Sanat Usta Oq Oltin Eshakchi 99 501 20 47 </t>
  </si>
  <si>
    <t xml:space="preserve">1200 dollar </t>
  </si>
  <si>
    <t xml:space="preserve">Sanat Usta Oq Oltin Eshakchi 99 501 20 47  Qay og`asi </t>
  </si>
  <si>
    <t xml:space="preserve">1450 dollar </t>
  </si>
  <si>
    <t xml:space="preserve">Elyor Hokim yordamchi 97 362 9150  pasta ham bor </t>
  </si>
  <si>
    <t>p</t>
  </si>
  <si>
    <t>25,12,2024</t>
  </si>
  <si>
    <t xml:space="preserve">1420 dollar -800 berdi  -200 dollar 24,10,2024  -200 dollar 05,12,2024 </t>
  </si>
  <si>
    <t xml:space="preserve">MFY </t>
  </si>
  <si>
    <t xml:space="preserve">Oq tepa </t>
  </si>
  <si>
    <t xml:space="preserve">Dehqonobod </t>
  </si>
  <si>
    <t xml:space="preserve">Yangiqadam </t>
  </si>
  <si>
    <t xml:space="preserve">Urganch </t>
  </si>
  <si>
    <t xml:space="preserve">Obod </t>
  </si>
  <si>
    <t xml:space="preserve">G`alaba </t>
  </si>
  <si>
    <t xml:space="preserve">Oq Oltin </t>
  </si>
  <si>
    <t xml:space="preserve">Qulonqorabog` </t>
  </si>
  <si>
    <t xml:space="preserve">Nurlihayot </t>
  </si>
  <si>
    <t>Navro`z</t>
  </si>
  <si>
    <t xml:space="preserve">Oq Tepa </t>
  </si>
  <si>
    <t xml:space="preserve">Nayman </t>
  </si>
  <si>
    <t xml:space="preserve">To`pchi </t>
  </si>
  <si>
    <t xml:space="preserve">Manaviyat </t>
  </si>
  <si>
    <t xml:space="preserve">Xazarasp </t>
  </si>
  <si>
    <t xml:space="preserve">Gulshan </t>
  </si>
  <si>
    <t xml:space="preserve">Xurriyat </t>
  </si>
  <si>
    <t>Xiva</t>
  </si>
  <si>
    <t>Qalajiqala</t>
  </si>
  <si>
    <t xml:space="preserve">Nurafshon </t>
  </si>
  <si>
    <t xml:space="preserve">O`zbekiston </t>
  </si>
  <si>
    <t xml:space="preserve">Ashxobod </t>
  </si>
  <si>
    <t xml:space="preserve">Navbaxor </t>
  </si>
  <si>
    <t xml:space="preserve">Beruniy Qoraqolpoq </t>
  </si>
  <si>
    <t xml:space="preserve">Gulzor </t>
  </si>
  <si>
    <t xml:space="preserve">Qo`qon </t>
  </si>
  <si>
    <t xml:space="preserve">Qo`shko`pir </t>
  </si>
  <si>
    <t xml:space="preserve">Yangiariq </t>
  </si>
  <si>
    <t xml:space="preserve">Xonqa </t>
  </si>
  <si>
    <t xml:space="preserve">Oltinqum </t>
  </si>
  <si>
    <t>Nayman</t>
  </si>
  <si>
    <t xml:space="preserve">Sahobat </t>
  </si>
  <si>
    <t xml:space="preserve">Tozabozor </t>
  </si>
  <si>
    <t xml:space="preserve">Madaniyat </t>
  </si>
  <si>
    <t>Xokim</t>
  </si>
  <si>
    <t xml:space="preserve">Beruniy </t>
  </si>
  <si>
    <t>To`pchi</t>
  </si>
  <si>
    <t>Tozabozor</t>
  </si>
  <si>
    <t>Pitnak</t>
  </si>
  <si>
    <t xml:space="preserve">Ko`nabirlashuv </t>
  </si>
  <si>
    <t>Yangibozor</t>
  </si>
  <si>
    <t>Yangiariq</t>
  </si>
  <si>
    <t>G`alaba</t>
  </si>
  <si>
    <t>Xonqa</t>
  </si>
  <si>
    <t>Bux</t>
  </si>
  <si>
    <t>Xurriyat</t>
  </si>
  <si>
    <t>Navbaxor</t>
  </si>
  <si>
    <t>Gulshan</t>
  </si>
  <si>
    <t>Ko`nabirlashuv</t>
  </si>
  <si>
    <t>Mehnatguli</t>
  </si>
  <si>
    <t>qolgani</t>
  </si>
  <si>
    <t>Ashxobod</t>
  </si>
  <si>
    <t>Yangiqadam</t>
  </si>
  <si>
    <t>Beruniy</t>
  </si>
  <si>
    <t>Manaviyat</t>
  </si>
  <si>
    <t>Obod</t>
  </si>
  <si>
    <t xml:space="preserve">lelin </t>
  </si>
  <si>
    <t>Navbahor</t>
  </si>
  <si>
    <t xml:space="preserve">Sohibkor </t>
  </si>
  <si>
    <t xml:space="preserve">Navro`z </t>
  </si>
  <si>
    <t xml:space="preserve">Qumbodoq </t>
  </si>
  <si>
    <t xml:space="preserve">Pitnak </t>
  </si>
  <si>
    <t>Toshkent</t>
  </si>
  <si>
    <t xml:space="preserve">Xazarsp </t>
  </si>
  <si>
    <t xml:space="preserve">Lelin </t>
  </si>
  <si>
    <t xml:space="preserve">10,12,2024 Istambul to`yxona </t>
  </si>
  <si>
    <t>07,12,2024</t>
  </si>
  <si>
    <t xml:space="preserve">Murod Navbaxor Xokim yordamchi skuter oldi 99 590 12 88 </t>
  </si>
  <si>
    <t xml:space="preserve">380 gerrov </t>
  </si>
  <si>
    <t>15,01,2025</t>
  </si>
  <si>
    <t>20,01,2024</t>
  </si>
  <si>
    <t>11,12,2024</t>
  </si>
  <si>
    <t>10,01,2024</t>
  </si>
  <si>
    <t>Umid Yaqubov Nayman 97 744 52 65  94 107 53 20</t>
  </si>
  <si>
    <t xml:space="preserve">15,12,2024 uyiga borildi </t>
  </si>
  <si>
    <t xml:space="preserve">Ro`zmetov Ibroxim Nayman 97 527 68 66 </t>
  </si>
  <si>
    <t xml:space="preserve">Xakimov Sanjarbek To`pchi  97 510 06 77    99 156 05 17 </t>
  </si>
  <si>
    <t>sh</t>
  </si>
  <si>
    <t>q</t>
  </si>
  <si>
    <t>w</t>
  </si>
  <si>
    <t xml:space="preserve">sh </t>
  </si>
  <si>
    <t xml:space="preserve">Matniyozov Shuxrat Yangiqadam  Xamro og`a sim sim 97 600 12 17  88 607 75 05 </t>
  </si>
  <si>
    <t xml:space="preserve">Yusupova Baxtigul  77 116 09 77  99 202 08 14  88 858 26 66 </t>
  </si>
  <si>
    <t>14,12,2024</t>
  </si>
  <si>
    <t>13,12,2024</t>
  </si>
  <si>
    <t>20,01,2025</t>
  </si>
  <si>
    <t xml:space="preserve">3,2 lik ni ko`rish kerak 3,5 deyishyapti </t>
  </si>
  <si>
    <t>10,01,2025</t>
  </si>
  <si>
    <t xml:space="preserve">5 akmulyatori bizada </t>
  </si>
  <si>
    <t>1500 dollar -300 dollar 18,07,2024  - 300 dollar 01,08,2024 -400 dollar berdi 23,10,2024  400 dollar 14,12,2024</t>
  </si>
  <si>
    <t xml:space="preserve">Muzaffar Zayniddinov Mashindan xisob kitob </t>
  </si>
  <si>
    <t xml:space="preserve">Aminov Albert Olaja Oydin Hayot 93 648 16 62   94 538 76 77    99 384 72 24 </t>
  </si>
  <si>
    <t xml:space="preserve">31,01,2025 yilda ratcho`t qiladi 01,02,2025 Ga utmaydi </t>
  </si>
  <si>
    <t xml:space="preserve">4 mln limit uchun </t>
  </si>
  <si>
    <t>sud  24,12,2024</t>
  </si>
  <si>
    <t>23,12,2024</t>
  </si>
  <si>
    <t xml:space="preserve">Islmoilov Murod Choyxona yonbosh Xiva  95 117 65 65   88 529 36 06 </t>
  </si>
  <si>
    <t xml:space="preserve">Ismolilov Isroil Xiva skuter    88 529 36 06  </t>
  </si>
  <si>
    <t>28,02,2025</t>
  </si>
  <si>
    <t>22,12,2024</t>
  </si>
  <si>
    <t>27,12,2024</t>
  </si>
  <si>
    <t xml:space="preserve">Qurbonov Odilbek Xazarasp  97 526 43 45   97 516 81 79 </t>
  </si>
  <si>
    <t xml:space="preserve">Razzaqov Rustam Xurriyat  95 060 62 65 99 424 67 88 </t>
  </si>
  <si>
    <t xml:space="preserve">Qudrat og`a Bog`zor Matsakil  99 054 77 88 </t>
  </si>
  <si>
    <t xml:space="preserve">G`ani Choyma Oq Oltin 99 268 67 92 </t>
  </si>
  <si>
    <t xml:space="preserve">01,02,2025 da Xisoblashadi </t>
  </si>
  <si>
    <t xml:space="preserve">   Mansur Akfachi  88 450 01 88 Qahramon Tozaboy Shakarjon  91 422 17 00 </t>
  </si>
  <si>
    <t>22,01,2025</t>
  </si>
  <si>
    <t>24,12,2024</t>
  </si>
  <si>
    <t>03,01,2025</t>
  </si>
  <si>
    <t xml:space="preserve">03,01,2025 yil 12350 ga kelishildi 4000 dollar 03,01,2025 berildi  8350 qoldi </t>
  </si>
  <si>
    <t xml:space="preserve">Umidjon Joy uchun dacha taraf  99 960 63 21 </t>
  </si>
  <si>
    <t>13,01,2025</t>
  </si>
  <si>
    <t xml:space="preserve">1400 lik full  1350 berildi 850 dollar qoldi  200 dollar 27,09,2024  100 dollar 30,10,2024  12,01,2025 da 3 mln berildi </t>
  </si>
  <si>
    <t xml:space="preserve">Jumaniyozov Botir Sohibkor  99 626 02 62  </t>
  </si>
  <si>
    <t xml:space="preserve">30,01,2025 ga beradi 65 lik akmulyator </t>
  </si>
  <si>
    <t xml:space="preserve">2025 yil iyul oyi </t>
  </si>
  <si>
    <t xml:space="preserve">yarimi 01 da qolgani fervarlda 2025 yil </t>
  </si>
  <si>
    <t xml:space="preserve">Xudayberganov Alisher Xonqa Madaniyat 95 770 14 89  97 517 06 99 </t>
  </si>
  <si>
    <t>16,01,2025</t>
  </si>
  <si>
    <t xml:space="preserve">15,04,2025 da beradi </t>
  </si>
  <si>
    <t>17,01,2025</t>
  </si>
  <si>
    <t>30,01,2025</t>
  </si>
  <si>
    <t>25,01,2025</t>
  </si>
  <si>
    <t>15,02,2025</t>
  </si>
  <si>
    <t>05,02,2025</t>
  </si>
  <si>
    <t>20,02,2025</t>
  </si>
  <si>
    <t>10,02,2025</t>
  </si>
  <si>
    <t xml:space="preserve">Yo`ldosh kassir Oq Oltin   99 774 02 48 </t>
  </si>
  <si>
    <t>27,01,2025</t>
  </si>
  <si>
    <t xml:space="preserve">Rajabov Beknazar Oq Oltin Ali baliqchi darak 95 792 34 34 </t>
  </si>
  <si>
    <t xml:space="preserve">Ro`zmetov Sulton Madaniyat 97 458 61 68 </t>
  </si>
  <si>
    <t>29,01,2025</t>
  </si>
  <si>
    <t>07,02,2025</t>
  </si>
  <si>
    <t>04,02,2025</t>
  </si>
  <si>
    <t xml:space="preserve">Usta Jalil Oq Oltin Sovur sovur 93 289 50 85 </t>
  </si>
  <si>
    <t xml:space="preserve">01,05,2025 maygacha  </t>
  </si>
  <si>
    <t xml:space="preserve">1250 lik wudi </t>
  </si>
  <si>
    <t xml:space="preserve">Allaberganov Baxrom Yangiariq Tagan 1 may 93 288 20 90  94 073 26 23 </t>
  </si>
  <si>
    <t xml:space="preserve">01,03,2025 mart oxiriga </t>
  </si>
  <si>
    <t xml:space="preserve">Jumaniyozov Po`lat qazaqboyevich </t>
  </si>
  <si>
    <t xml:space="preserve">Tel </t>
  </si>
  <si>
    <t xml:space="preserve">Maxalla </t>
  </si>
  <si>
    <t xml:space="preserve">Aminov Nuraddin    Xo`janiyozova Maftuna ( 50 101 47 96 ) 97 856 46 96  88 856 46 96  Gulshan akmulyator </t>
  </si>
  <si>
    <t xml:space="preserve">Norboyev Xushnud Oq Oltin 95 405 14 22 </t>
  </si>
  <si>
    <t xml:space="preserve">1400 lik wudi </t>
  </si>
  <si>
    <t xml:space="preserve">Safayeva Lobar Xonqa Jirmiz 50 570 81 18   50 722 09 13 </t>
  </si>
  <si>
    <t>03,02,2025</t>
  </si>
  <si>
    <t xml:space="preserve">01,03,2025 aprel oyiga </t>
  </si>
  <si>
    <t xml:space="preserve">1350 lik Armada </t>
  </si>
  <si>
    <t xml:space="preserve">Fermer isuzu Manaviyat   99 571 64 65  Kamoladdin Kengash 97 526 15 77 </t>
  </si>
  <si>
    <t>10,03,2025</t>
  </si>
  <si>
    <t>14,02,2025</t>
  </si>
  <si>
    <t>kreditdan 5 mln beradi qolgani 30,06,2025</t>
  </si>
  <si>
    <t>05,03,2025</t>
  </si>
  <si>
    <t>13,02,2025</t>
  </si>
  <si>
    <t>11,02,2025</t>
  </si>
  <si>
    <t>01,09,2025</t>
  </si>
  <si>
    <t>01,06,2025</t>
  </si>
  <si>
    <t xml:space="preserve">Avazmetova Gulnora To`pchi 99 584 07 85   93 542 14 84 </t>
  </si>
  <si>
    <t>20,05,2025</t>
  </si>
  <si>
    <t xml:space="preserve">Xamid va Vali Xalq banki </t>
  </si>
  <si>
    <t xml:space="preserve">Xumoyun Panel qarz </t>
  </si>
  <si>
    <t xml:space="preserve">Xayrulla Bank Xalq Banki </t>
  </si>
  <si>
    <t xml:space="preserve">Qurbonov Jahongir Xonqa Navoiy 99 083 86 72 </t>
  </si>
  <si>
    <t xml:space="preserve">Nemat 1200 lik </t>
  </si>
  <si>
    <t xml:space="preserve">Xudaynazarov Mashrab Ustalar Abbar 88 593 93 27  88 115 44 94 </t>
  </si>
  <si>
    <t xml:space="preserve">16,5 berilid oyiga 1 mlndan beradi </t>
  </si>
  <si>
    <t xml:space="preserve">Sobirov Anvarbek Oltinqum Ruslan chimchi darak 95 535 77 20   90 648 35 64 </t>
  </si>
  <si>
    <t xml:space="preserve">20,06,2025 beradi </t>
  </si>
  <si>
    <t>25,02,2025</t>
  </si>
  <si>
    <t xml:space="preserve">Kamolladin firma olgan 93 044 67 76 </t>
  </si>
  <si>
    <t xml:space="preserve">Ali Ustalar Xokim yordamchi  09 09 </t>
  </si>
  <si>
    <t>31,03,2025</t>
  </si>
  <si>
    <t xml:space="preserve">Avezov Voxidjon Qalajiqala Zafar Nolohni ukasi 99 626 55 68 </t>
  </si>
  <si>
    <t xml:space="preserve">Lutfulla Og`a Usta </t>
  </si>
  <si>
    <t>Akmulyator  20,03,2025</t>
  </si>
  <si>
    <t>3,5 mln auksion  1 mln kreditga 13,03,2025</t>
  </si>
  <si>
    <t xml:space="preserve">Dadaxon Xokim yordamchi Tikish mashin olib bergan Kimgadir </t>
  </si>
  <si>
    <t xml:space="preserve">Ruzmetov Manzurbek Xonqa Olaja </t>
  </si>
  <si>
    <t xml:space="preserve">1550 dollar beradi 14,07,2025 gacha </t>
  </si>
  <si>
    <t xml:space="preserve">Armada </t>
  </si>
  <si>
    <t xml:space="preserve">Sadullayev Obidjon Tozabozor Shaxzod laqachi 97 201 94 00 </t>
  </si>
  <si>
    <t xml:space="preserve">30,04,2025 gacha o`tsa 3,5 mln </t>
  </si>
  <si>
    <t xml:space="preserve"> Polvonov Renat 99 773 25 08 </t>
  </si>
  <si>
    <t xml:space="preserve">Toyir poypoq Kirob  94 232 22 90 </t>
  </si>
  <si>
    <t>28,,03,2025</t>
  </si>
  <si>
    <t>28,03,2025</t>
  </si>
  <si>
    <t>26,03,2025</t>
  </si>
  <si>
    <t xml:space="preserve">akmulyator 5 dona  inventorni qolgan puli 5,28 mln </t>
  </si>
  <si>
    <t xml:space="preserve">Nusrat Tojik Usta </t>
  </si>
  <si>
    <t xml:space="preserve">15,04,2025 </t>
  </si>
  <si>
    <t>s</t>
  </si>
  <si>
    <t xml:space="preserve">s </t>
  </si>
  <si>
    <t xml:space="preserve">Qurbonboyeva Dilnavoz Oq Oltin 94 264 11 08  99 172 26 25 </t>
  </si>
  <si>
    <t xml:space="preserve">Ro`zmetov Zarifboy Obod Tozaxudud  99 135 47 64 </t>
  </si>
  <si>
    <t>10,04,2025</t>
  </si>
  <si>
    <t xml:space="preserve">Qarz Open Byudjet uchun   Ilyos va Dadaxon 99 120 00 96   95 123 86 86 </t>
  </si>
  <si>
    <t xml:space="preserve">Matsakil Fuqaroniki  02,04,2025 da egalari kelib 4,4 mln berib ketdi </t>
  </si>
  <si>
    <t xml:space="preserve">sherzod zam prakuror   93 289 75 77 94 033 00 00  Xonqa Sherzon og`a Otaniyozov xonqa Prez </t>
  </si>
  <si>
    <t xml:space="preserve">Rahmatjon Darcha Olaja 77 043 05 09   95 790 87 27 </t>
  </si>
  <si>
    <t xml:space="preserve">1350 lik armada </t>
  </si>
  <si>
    <t xml:space="preserve">10,06,2025 gacha </t>
  </si>
  <si>
    <t xml:space="preserve">Rahimov Zohidjon Navbaxor Shokir og`ani tanishi 93 249 27 99 </t>
  </si>
  <si>
    <t>20,06,2025</t>
  </si>
  <si>
    <t xml:space="preserve">Sapayev Nematjon Oq Oltin 99 029 37 31 </t>
  </si>
  <si>
    <t>10,05,2025</t>
  </si>
  <si>
    <t xml:space="preserve">Avezov Sulton aka Oq Oltin  99 295 54 00  99 105 72 60 </t>
  </si>
  <si>
    <t xml:space="preserve">Pitnak Klient Skuter Otabek  Pitnak </t>
  </si>
  <si>
    <t xml:space="preserve">Xumoyun </t>
  </si>
  <si>
    <t xml:space="preserve">19,04,2023 da tashtdi 1 mln </t>
  </si>
  <si>
    <t xml:space="preserve">Yashnar Usta Mashin uchun oldi </t>
  </si>
  <si>
    <t xml:space="preserve">Yaqubov Axmed eshakchi Oq Oltin 95 545 71 73 </t>
  </si>
  <si>
    <t xml:space="preserve">Quryozov Yunus Oq Oltin Gijmon 99 084 80 16 </t>
  </si>
  <si>
    <t xml:space="preserve">1 hafta </t>
  </si>
  <si>
    <t xml:space="preserve">Qolya Shovot </t>
  </si>
  <si>
    <t xml:space="preserve">Yusupov Xamidjon Oltinqum 88 526 91 92   88 333 16 88 </t>
  </si>
  <si>
    <t xml:space="preserve">10,10,2025   10,05,2025 gacha 6 mln beradi </t>
  </si>
  <si>
    <t>04,05,2025</t>
  </si>
  <si>
    <t xml:space="preserve">1384 dollar  100 dollar berdi </t>
  </si>
  <si>
    <t xml:space="preserve">Taxirov Bekzod 94 665 99 10  Oq Oltin </t>
  </si>
  <si>
    <t xml:space="preserve">20,05,2025 da beradi </t>
  </si>
  <si>
    <t xml:space="preserve">Ruslanova Madina Tozabozor 97 800 01 25 </t>
  </si>
  <si>
    <t>30,05,2025</t>
  </si>
  <si>
    <t xml:space="preserve">Oxoxon Natarius 99 531 00 09 </t>
  </si>
  <si>
    <t>01,07,2025</t>
  </si>
  <si>
    <t xml:space="preserve">Xo`janazar domla Xumoyunni ustozi Yangiariq 99 336 88 66 </t>
  </si>
  <si>
    <t xml:space="preserve">Achilov Zafarbek Nurlimaskan 99 996 66 10   99 105 33 20 </t>
  </si>
  <si>
    <t>20,07,2025</t>
  </si>
  <si>
    <t>17,9 -6*1=11,9</t>
  </si>
  <si>
    <t xml:space="preserve">1400 lik ko`na   20,05,2025 </t>
  </si>
  <si>
    <t xml:space="preserve">Shomurotov Zafar Oq Oltin 77 402 97 08 </t>
  </si>
  <si>
    <t xml:space="preserve">Rajabova Kumushoy Navbaxor 97 602 05 97 Nuquljon </t>
  </si>
  <si>
    <t xml:space="preserve">Bobojonov Yunusjon Dexqonobod 88 515 57 87  99 964 43 96 </t>
  </si>
  <si>
    <t xml:space="preserve">Alp samasval 2600 lik </t>
  </si>
  <si>
    <t>01,11,2025</t>
  </si>
  <si>
    <t xml:space="preserve">Murod Yangiqadam limit uchun davron og`a 75 72 </t>
  </si>
  <si>
    <t xml:space="preserve">Nizomov Bardiboy Bog`zor  88 402 85 55 </t>
  </si>
  <si>
    <t>16,06,2025</t>
  </si>
  <si>
    <t xml:space="preserve">Bobojonov G`ulom Oq Oltin 95 755 53 51 </t>
  </si>
  <si>
    <t xml:space="preserve">Alisher Oq Maktab Lelin 94 115 21 22  93 929 66 55 </t>
  </si>
  <si>
    <t xml:space="preserve">02,08,2025 gacha xisoblashadi </t>
  </si>
  <si>
    <t xml:space="preserve">Yo`ldoshev Oybek Nayman 97 518 11 81 </t>
  </si>
  <si>
    <t xml:space="preserve">2600 lik alp </t>
  </si>
  <si>
    <t>Fayzulla Usta panel 94 111 88 83</t>
  </si>
  <si>
    <t xml:space="preserve">Baxtiyorov G`iyos Pitnak 88 361 11 61 </t>
  </si>
  <si>
    <t xml:space="preserve">Madrimov Dastonbek Pitnak 97 211 07 69 </t>
  </si>
  <si>
    <t xml:space="preserve">Tangriberganov Xursand Yangiariq Kamuna 94 783 82 85  Iskandar baliqchi kafil </t>
  </si>
  <si>
    <t>31,07,2025</t>
  </si>
  <si>
    <t xml:space="preserve">Sabirova Nasiba Oq Oltin 99 383 01 48 </t>
  </si>
  <si>
    <t>10,10,2025</t>
  </si>
  <si>
    <t xml:space="preserve">Baxrom Sho`ra Asamat 88 592 55 77 </t>
  </si>
  <si>
    <t xml:space="preserve">Allaberganova Manzura Qulonqorabog`  93 285 20 72 </t>
  </si>
  <si>
    <t xml:space="preserve">Matchanov Azamat Nayman 97 203 28 28 </t>
  </si>
  <si>
    <t xml:space="preserve">Raximov Zarifboy Nurafshon 99 501 92 96 </t>
  </si>
  <si>
    <t xml:space="preserve">Murod Og`a Zapchast panel qo`yildi  10 kwat </t>
  </si>
  <si>
    <t xml:space="preserve">Yovbasarov Sirojbek Oltinqum 99 054 92 57 </t>
  </si>
  <si>
    <t xml:space="preserve">Atamurotov Sanjar Yangiariq 77 326 88 00  Iskan baliqchi kafil </t>
  </si>
  <si>
    <t xml:space="preserve">Karimov Mansur Navbaxor 99 164 28 38  Pellonis </t>
  </si>
  <si>
    <t xml:space="preserve">Pelonis </t>
  </si>
  <si>
    <t xml:space="preserve">1500 dollar  01,09,2025 gacha  beradi  04,03,2025  200 dollar berildi  10,06,2025 300 dollar berildi </t>
  </si>
  <si>
    <t xml:space="preserve">Raximboyev Behzod Oq Oltin 95 174 95 09 </t>
  </si>
  <si>
    <t xml:space="preserve">Alp 2600 lik </t>
  </si>
  <si>
    <t xml:space="preserve">Masharipov Quvonchbek Xonqa Qizilbayroq 97 680 89 88 </t>
  </si>
  <si>
    <t xml:space="preserve">Marks doyim </t>
  </si>
  <si>
    <t xml:space="preserve">Rajabova Zubayda sentr skuter </t>
  </si>
  <si>
    <t xml:space="preserve">30,06,2025 Sudga berilishi kearak </t>
  </si>
  <si>
    <t xml:space="preserve">Sadullayev Anvar Nayman  88 202 22 73 </t>
  </si>
  <si>
    <t xml:space="preserve">Boboddinov Davron sho`ra Oltinqum 91 420 70 72 </t>
  </si>
  <si>
    <t xml:space="preserve">1450 lik 400 berdi </t>
  </si>
  <si>
    <t xml:space="preserve">Yaqubov Matrasul Eshakchi Oq Oltin 93 288 80 14 </t>
  </si>
  <si>
    <t xml:space="preserve">O`tkir Qatti Oq Oltin 97 512 42 83 </t>
  </si>
  <si>
    <t xml:space="preserve">Safarov Ozod Navbaxor 94 048 35 85 </t>
  </si>
  <si>
    <t xml:space="preserve">Egamov Akbar Oq Oltin Mfy 99 116 82 28 </t>
  </si>
  <si>
    <t>4 mln berdi 30,10,2025</t>
  </si>
  <si>
    <t xml:space="preserve">Ro`zmetov Rustam Nurli Hayot 94 311 37 03 </t>
  </si>
  <si>
    <t>30,07,2025</t>
  </si>
  <si>
    <t xml:space="preserve">Odilbek Yangiariq Kamuna Xumoyun kursdoshi 88 364 36 63 </t>
  </si>
  <si>
    <t xml:space="preserve">Sanat usta Yashnar sastaf Madaniyat </t>
  </si>
  <si>
    <t xml:space="preserve">Sadullayev Sardor Navbaxor 97 203 98 96 </t>
  </si>
  <si>
    <t>24,06,2025</t>
  </si>
  <si>
    <t xml:space="preserve">skuter 21,06,2025 300 dollar berdi  21,06,2025 skuter 2  dona 700 dollardan </t>
  </si>
  <si>
    <t xml:space="preserve">Donyor nolog Pirnafasova Sayyora Yangiqadam 99 221 58 70 </t>
  </si>
  <si>
    <t>01,08,2025</t>
  </si>
  <si>
    <t xml:space="preserve">Matyaqubov Alisher Ortiq Otajon MFY 99 941 78 83 </t>
  </si>
  <si>
    <t xml:space="preserve">Karimova Mexribon To`pchi 50 840 00 73 </t>
  </si>
  <si>
    <t xml:space="preserve">Ro`ziboyev Xudayor Oq Oltin 93 054 43 95 </t>
  </si>
  <si>
    <t xml:space="preserve">Sultonov Quvonchbek Bog`iston 99 272 39 83 </t>
  </si>
  <si>
    <t xml:space="preserve">Matmurotova Mexribon Xazarasp Otov 88 458 32 32  93 286 36 70 </t>
  </si>
  <si>
    <t>30,08,2025</t>
  </si>
  <si>
    <t xml:space="preserve">Xursand og`a to`pchi lider tadbirkor  Yuqorida ham bor ancha 5 mln qarz olgan naqd pul  </t>
  </si>
  <si>
    <t xml:space="preserve">Qurbonova Salima Nurli hayot 93 850 30 73 </t>
  </si>
  <si>
    <t xml:space="preserve">Xo`janiyozov Davron Nurafshon 99 504 04 51 </t>
  </si>
  <si>
    <t>18,07,2025</t>
  </si>
  <si>
    <t xml:space="preserve">Ochilov Izzatbek Oq Oltin 95 279 85 35 </t>
  </si>
  <si>
    <t xml:space="preserve">1400 lik full  18,12,2024  400 dollar berib ketdi   02,06,2025 200 dollar berildi  11,07,2025  200 dollar berildi </t>
  </si>
  <si>
    <t xml:space="preserve">Ibadullayev Iskandar Madaniyat 88 602 15 71 </t>
  </si>
  <si>
    <t xml:space="preserve">Allamov Ozod Qizilbayroq Xonqa 97 363 98 86  88 528 21 65 </t>
  </si>
  <si>
    <t xml:space="preserve">2250 lik alp </t>
  </si>
  <si>
    <t xml:space="preserve">Xajiyev Bobomurod Nurafshon  99 292 27 16 </t>
  </si>
  <si>
    <t xml:space="preserve">skuter </t>
  </si>
  <si>
    <t xml:space="preserve">Quryozov Raximboy Madaniyat Rim cho`mmak  93 360 11 58 </t>
  </si>
  <si>
    <t xml:space="preserve">Mardon Qarri Oq Oltin 95 540 52 18 </t>
  </si>
  <si>
    <t>25,10,2025</t>
  </si>
  <si>
    <t xml:space="preserve">Qurbonov  Shuxrat To`pchi 2600 lik </t>
  </si>
  <si>
    <t xml:space="preserve">Bobur Sinfdosh 99 250 95 55 </t>
  </si>
  <si>
    <t xml:space="preserve">Ulug` Cho`lli Oq Oltin 77 044 98 78 </t>
  </si>
  <si>
    <t xml:space="preserve">Abdrimov Omangaldi Sentr Obodlashtirsh 99 048 07 17 </t>
  </si>
  <si>
    <t xml:space="preserve">Yusupov Zokir  Moykachi </t>
  </si>
  <si>
    <t xml:space="preserve">Wudi olgan Xisoblashish kerak  bizni oladigan pulimiz bor </t>
  </si>
  <si>
    <t xml:space="preserve">Mansur Povur Oq Oltin 99 220 80 40 </t>
  </si>
  <si>
    <t xml:space="preserve">Avezov Nematjon Oq Oltin 88 177 89 92 </t>
  </si>
  <si>
    <t>31,12,2024</t>
  </si>
  <si>
    <t xml:space="preserve">Qurbonboyev Xakimboy Oq Oltin 94 161 09 22 </t>
  </si>
  <si>
    <t xml:space="preserve">Shavkat Usta Bangi Oq Oltin 99 968 04 33 </t>
  </si>
  <si>
    <t xml:space="preserve">Vafayev To`lqin Xunarmand Maqsad bojani qarindoshi 91 422 85 65 </t>
  </si>
  <si>
    <t xml:space="preserve">4 oyda xar oy 2,5 mln dan </t>
  </si>
  <si>
    <t xml:space="preserve">Ozod Boss bergan Yangiariqdagi Xokim  Do`stlik </t>
  </si>
  <si>
    <t xml:space="preserve">Panel </t>
  </si>
  <si>
    <t xml:space="preserve">Shokir og`a qurilish </t>
  </si>
  <si>
    <t xml:space="preserve">Xarajatlar </t>
  </si>
  <si>
    <t xml:space="preserve">Zdaniya </t>
  </si>
  <si>
    <t xml:space="preserve">Asqar </t>
  </si>
  <si>
    <t xml:space="preserve">4000 dollar </t>
  </si>
  <si>
    <t xml:space="preserve">9900 dollar </t>
  </si>
  <si>
    <t xml:space="preserve">11 ыутенфиквф здфыешлвфт иуквш 3174 пф </t>
  </si>
  <si>
    <t xml:space="preserve">Xarajat </t>
  </si>
  <si>
    <t xml:space="preserve">Shokir </t>
  </si>
  <si>
    <t xml:space="preserve">Qahramon </t>
  </si>
  <si>
    <t xml:space="preserve">Ozod boss o`zi </t>
  </si>
  <si>
    <t xml:space="preserve">akmulyatotr  1 25,10,2025 ASADBEKKA BERILDI </t>
  </si>
  <si>
    <t xml:space="preserve">Yashnarbek Usta Uyga </t>
  </si>
  <si>
    <t xml:space="preserve">25,10,2025 instrument uchun 2+3=5 </t>
  </si>
  <si>
    <t>04,06,2023</t>
  </si>
  <si>
    <t>15,06,2023</t>
  </si>
  <si>
    <t xml:space="preserve">kabina Elektra Rulli xozir 2 ta qolgan </t>
  </si>
  <si>
    <t xml:space="preserve">Dankratli 1700 sotilgan </t>
  </si>
  <si>
    <t xml:space="preserve">Bodo ochiq xili   dona qolgan </t>
  </si>
  <si>
    <t>18,08,2023</t>
  </si>
  <si>
    <t>23,08,2023</t>
  </si>
  <si>
    <t>20,09,2023</t>
  </si>
  <si>
    <t>11,10,2023</t>
  </si>
  <si>
    <t>17,10,2023</t>
  </si>
  <si>
    <t>03,11,2023</t>
  </si>
  <si>
    <t>24,11,2023</t>
  </si>
  <si>
    <t>13,12,2023</t>
  </si>
  <si>
    <t xml:space="preserve">Bars </t>
  </si>
  <si>
    <t xml:space="preserve">lion </t>
  </si>
  <si>
    <t xml:space="preserve">Camel </t>
  </si>
  <si>
    <t xml:space="preserve">Bear </t>
  </si>
  <si>
    <t xml:space="preserve">Kasatka </t>
  </si>
  <si>
    <t>27,03,2024</t>
  </si>
  <si>
    <t>08,04,2024</t>
  </si>
  <si>
    <t>Lion</t>
  </si>
  <si>
    <t>07,05,2024</t>
  </si>
  <si>
    <t>21,05,2024</t>
  </si>
  <si>
    <t xml:space="preserve">qartarildi 2 moto </t>
  </si>
  <si>
    <t>22,05,2024</t>
  </si>
  <si>
    <t xml:space="preserve">Panda </t>
  </si>
  <si>
    <t>17,08,2024</t>
  </si>
  <si>
    <t>03,09,2024</t>
  </si>
  <si>
    <t>24,09,2024</t>
  </si>
  <si>
    <t>10,10,2024</t>
  </si>
  <si>
    <t>11,11,2024</t>
  </si>
  <si>
    <t>19,11,2024</t>
  </si>
  <si>
    <t>23,12,2025</t>
  </si>
  <si>
    <t>23,01,2025</t>
  </si>
  <si>
    <t>12,02,2025</t>
  </si>
  <si>
    <t>27,02,2025</t>
  </si>
  <si>
    <t>17,03,2025</t>
  </si>
  <si>
    <t>18,03,2025</t>
  </si>
  <si>
    <t xml:space="preserve">akmulyator </t>
  </si>
  <si>
    <t xml:space="preserve">8 mln furaga buni Asqar aka yozmay ketgan </t>
  </si>
  <si>
    <t>09,04,2025</t>
  </si>
  <si>
    <t>19,04,2025</t>
  </si>
  <si>
    <t>23,04,2025</t>
  </si>
  <si>
    <t xml:space="preserve">28 mln yozilgan shuni topish kerak </t>
  </si>
  <si>
    <t>26,04,2025</t>
  </si>
  <si>
    <t>06,05,2025</t>
  </si>
  <si>
    <t>26,05,2025</t>
  </si>
  <si>
    <t>05,06,2025</t>
  </si>
  <si>
    <t>18,06,2025</t>
  </si>
  <si>
    <t>04,07,2025</t>
  </si>
  <si>
    <t>08,07,2025</t>
  </si>
  <si>
    <t>14,07,2025</t>
  </si>
  <si>
    <t>19,07,2025</t>
  </si>
  <si>
    <t>12,08,2025</t>
  </si>
  <si>
    <t>02,09,2025</t>
  </si>
  <si>
    <t>`</t>
  </si>
  <si>
    <t xml:space="preserve">Setjon Og`a Traktorchi Odil 93 750 73 63 </t>
  </si>
  <si>
    <t xml:space="preserve">31,10,2025 yil  2 oy menga 1425 dollar  1500 dollar </t>
  </si>
  <si>
    <t xml:space="preserve">Jasur Polvon  88 342 99 09 </t>
  </si>
  <si>
    <t xml:space="preserve">Yusupov Ollabergan Yaniqadam 99 334 38 28  Shafor </t>
  </si>
  <si>
    <t xml:space="preserve">Xasanov Muhiddin Turtkul 95 893 35 70  Bobur </t>
  </si>
  <si>
    <t xml:space="preserve">Bekmurod Xonqa 93 090 40 07   77 449 01 10 </t>
  </si>
  <si>
    <t>02,08,2025 gacha xisoblashadi  10 mln 14 noyabr</t>
  </si>
  <si>
    <t>P</t>
  </si>
  <si>
    <t xml:space="preserve">1500 lik tank   14,11,2025 1,5 mln </t>
  </si>
  <si>
    <t xml:space="preserve">Orif Mashennik Nolog  97 453 55 33 </t>
  </si>
  <si>
    <t xml:space="preserve">Bog`zor </t>
  </si>
  <si>
    <t xml:space="preserve">Tozobozor </t>
  </si>
  <si>
    <t xml:space="preserve">Ustalar </t>
  </si>
  <si>
    <t>Qulonqorabog`</t>
  </si>
  <si>
    <t xml:space="preserve">Dexqonobod </t>
  </si>
  <si>
    <t xml:space="preserve">Soxibkor </t>
  </si>
  <si>
    <t xml:space="preserve">Shovot </t>
  </si>
  <si>
    <t>Davron og`a Sobirov 99 748 96 26  Open Byudjet  99 570 40 32</t>
  </si>
  <si>
    <t>qalajiqala</t>
  </si>
  <si>
    <t>Nurli Hayot</t>
  </si>
  <si>
    <t xml:space="preserve">Xunarmand </t>
  </si>
  <si>
    <t xml:space="preserve">Quryozov Rozzaqbek Oq Oltin 94 662 09 52  Chaqon </t>
  </si>
  <si>
    <t xml:space="preserve">Yaqubov Sobir  Oq Oltin 99 285 20 62  Eshakchi </t>
  </si>
  <si>
    <t xml:space="preserve">Ollaberganov Quvondiq Aziz Xalq banki kafil 99 676 38 43    97 801 22 00 </t>
  </si>
  <si>
    <t xml:space="preserve">Yanvar va fevral 2026 yil </t>
  </si>
  <si>
    <t>02,12,2025</t>
  </si>
  <si>
    <t>12 mln matsakil uchun 13,12,2024   1000 dollar  10,10,2025   1000 dollar 24,11,2025</t>
  </si>
  <si>
    <t>980 dollar  10 mln sotildi 27,11,2025</t>
  </si>
  <si>
    <t xml:space="preserve">30,06,2025  28,11,2025 krediti tushdi </t>
  </si>
  <si>
    <t xml:space="preserve">02,12,2025 1000 dollar berdi </t>
  </si>
  <si>
    <t>Soxibkor Maxmud Xokim yordamchi sho`rga akmulyator 97 149 90 22  94 112 33 35  99 961 60 90</t>
  </si>
  <si>
    <t xml:space="preserve">Marks Jura 97 131 95 91 </t>
  </si>
  <si>
    <t>30,12,2025</t>
  </si>
  <si>
    <t>25,12,2025</t>
  </si>
  <si>
    <t xml:space="preserve">Xakimov Sherifboy Manaviyat Nolog zabxo`x   99 050 24 11  95 336 01 77  99 716 07 51  Platik bizada </t>
  </si>
  <si>
    <t>11,12,2025</t>
  </si>
  <si>
    <t xml:space="preserve">Bahriidin Tratbank og`ini 97 203 95 91  moto </t>
  </si>
  <si>
    <t>Nozimjon Xurriyat Xokim yordamchi moto oldi uyiga 99 770 82 48</t>
  </si>
  <si>
    <t xml:space="preserve">25 mln Ro`zmetova Tursunoy  10 mln 12,12,2024  06,12,2025 7 mln </t>
  </si>
  <si>
    <t xml:space="preserve">Ro`ziboyev Ro`ziboy    95  991 90 95  95 414 33 84  99 293 10 27  95 556 10 27      11,12,1984  O`zbekiston mmfy  Jummi Milisa </t>
  </si>
  <si>
    <t xml:space="preserve">Matniyozova Guliston Tozabozor  97 959 01 25  97 092 72 11  88 830 69 79  Davron 056 sari matiz shuni xotini bo`lishi mumkin </t>
  </si>
  <si>
    <t>15,12,2025</t>
  </si>
  <si>
    <t>Razzaqov Alisher Toshkent Darvoza  99 073 08 35</t>
  </si>
  <si>
    <t>20,12,2025</t>
  </si>
  <si>
    <t xml:space="preserve">Asmadov Ko`palboy Navbaxor  Murod Hokim yordamchiga darak 99 006 44 48  93 665 17 88 </t>
  </si>
  <si>
    <t xml:space="preserve">Saidov Raximboy To`pchi  94 755 06 97  50 104 06 97  94 741 40 06 </t>
  </si>
  <si>
    <t xml:space="preserve">Xudayberganov Xudargan Ashxobod 99 268 49 09 Usta Nizom 99 034 11 82 </t>
  </si>
  <si>
    <t xml:space="preserve">Kamol Deputat Madaniyat  97 513 48 42  98 888 48 42   95 448 48 42     33 505 29 26  </t>
  </si>
  <si>
    <t>16,12,2025</t>
  </si>
  <si>
    <t xml:space="preserve">Saidmurotov Sirojiddin To`pchi  fayzulla aka  97 510 82 69   97 601 82 69 </t>
  </si>
  <si>
    <t xml:space="preserve">G`ayibov Zaripboy Asamat  Kala Jumazar akani bolasi 99 413 48 02 </t>
  </si>
  <si>
    <t>14,04,2025 gacha beradi  15,12,2025   20,12,2025</t>
  </si>
  <si>
    <t xml:space="preserve">Sobirjon Xokim Yordamchi  99 113 82 40   77 085 22 97 </t>
  </si>
  <si>
    <t>19,12,2025</t>
  </si>
  <si>
    <t>31,12,2025</t>
  </si>
  <si>
    <t>Raximov Azizbek Pitnak  88 516 75 85  97 856 75 85</t>
  </si>
  <si>
    <t xml:space="preserve">Madaminov Yusufjon </t>
  </si>
  <si>
    <t xml:space="preserve">Xusinov Maxmud Kirob  Dexqonobod 91 998 02 88  Toshkentda Og`asi 91 422 11 80 </t>
  </si>
  <si>
    <t xml:space="preserve">20,12,2025  24,12,2025 mol sotib beradi </t>
  </si>
  <si>
    <t>15,01,2026</t>
  </si>
  <si>
    <t xml:space="preserve">Go`zal nolog 91 090 22 77   50 105 27 00  Yangi nomer </t>
  </si>
  <si>
    <t xml:space="preserve">Qutimov Davron Nayman 97 203 04 99   26,12,2025 aniq beradi </t>
  </si>
  <si>
    <t>10,01,2026</t>
  </si>
  <si>
    <t xml:space="preserve">06,07 - yanvar 2026 yil </t>
  </si>
  <si>
    <t xml:space="preserve">1220 lik   21,10,2024 100 dollar berdi  11,12,2024 100 dollar berildi  19,02,2025 1 mln  01,04,2025 1,3 mln  08,05,2025  1,3 mln 21,06,2025 1,05 mln  10,07,2025 1 mln  11,08,2025  1 mln berildi  25,11,2025  1 mln berildi   07,01,2026 1 mln berdi </t>
  </si>
  <si>
    <t xml:space="preserve">Quromboy Znoxos qursdosh 11 09 </t>
  </si>
  <si>
    <t xml:space="preserve">YAQUBOV UMIDJON ABDULLAYEVICH  Subsidiya uchun qarz berildi 95 795 09 59 </t>
  </si>
  <si>
    <t xml:space="preserve">Yo`ldoshev Abror Olaja Jonibek tikuv mashin  99 274 26 29   94 318 16 36 </t>
  </si>
  <si>
    <t xml:space="preserve">O`rozmetova Sevara Xunarmand 50 753 08 67   99 081 44 74   Maqsud  91 917 07 89 </t>
  </si>
  <si>
    <t>30,01,2026</t>
  </si>
  <si>
    <t>15,02,2026</t>
  </si>
  <si>
    <t xml:space="preserve">16,01,2026 yilda 1 mln berildi </t>
  </si>
  <si>
    <t xml:space="preserve">ALLABERGANOV DILMUROD XUDOYBERGANOVICH    energiya auditor to`lovi </t>
  </si>
  <si>
    <r>
      <t xml:space="preserve">ABDIKARIMOVA ZAMIRA OLLAYOROVNA  </t>
    </r>
    <r>
      <rPr>
        <b/>
        <sz val="11"/>
        <color theme="1"/>
        <rFont val="Calibri"/>
        <family val="2"/>
        <charset val="204"/>
        <scheme val="minor"/>
      </rPr>
      <t xml:space="preserve">30 kw Panel Jinko inventor deye  99 150 86 88 </t>
    </r>
  </si>
  <si>
    <t xml:space="preserve">BALTOYEV ULUGBEK SHARIPOVICH    10 - 15 kw    energiya auditor to`lovi </t>
  </si>
  <si>
    <t xml:space="preserve">Sherzod qaynog`a </t>
  </si>
  <si>
    <t>YUSUPOV BOG‘IBEK DAVLATBOYEVICH</t>
  </si>
  <si>
    <t>TURDIYEV UKTAM</t>
  </si>
  <si>
    <t xml:space="preserve">KOMILOV RUSLONBEK Oq tepa audit tulovi </t>
  </si>
  <si>
    <t xml:space="preserve">KARIMOV XURSHIDBEK IKROM O‘G‘LI  20 kw yangibazor </t>
  </si>
  <si>
    <t xml:space="preserve">MATYOZOV ABROR FAYZULLAYEVICH   Galaba 10 kw auditor to`lovi </t>
  </si>
  <si>
    <t xml:space="preserve">Jumaboyev Rustam Oq oltin MFY 99 154 64 63  Pelinis </t>
  </si>
  <si>
    <t xml:space="preserve">Qalajiqala Doktor 88 527 70 03  1 oyda Beradi Armada moto oldi </t>
  </si>
  <si>
    <t xml:space="preserve">Sabirov Muxtor  Tarpeda Oq Oltin 99 964 62 86   99 743 13 85 </t>
  </si>
  <si>
    <t xml:space="preserve">1500 dollar 31,07,2026 gacha beradi </t>
  </si>
  <si>
    <t xml:space="preserve">Yusupov Asadbek Audit to`lovi </t>
  </si>
  <si>
    <t xml:space="preserve">1950 dollar  05,09,2026 da beradi </t>
  </si>
  <si>
    <t xml:space="preserve">Sapayev G`iyos Usta Oq Oltin tel 95 614 88 77 </t>
  </si>
  <si>
    <t xml:space="preserve">1300 kelishildi  20,02,2026 413 berildi  887 qoldi </t>
  </si>
  <si>
    <t xml:space="preserve">Avezov Quvondiq Rashid qul  93 339 10 62 </t>
  </si>
  <si>
    <t xml:space="preserve">325 dollar  01,09,2026 da beradi </t>
  </si>
  <si>
    <t xml:space="preserve">Doniyor Ujas Oq Oltin 95 219 25 93 </t>
  </si>
  <si>
    <t xml:space="preserve">Po`lat Moliya Oq Oltin 33 013 04 77 </t>
  </si>
  <si>
    <t xml:space="preserve">08,03,2026  4 oyda beradi </t>
  </si>
  <si>
    <t xml:space="preserve">1250 wudi </t>
  </si>
  <si>
    <t xml:space="preserve">Baltayev Xudayberdi Qalajiqala Tel 88 009 63 60  Yunus traktorchi kafil </t>
  </si>
  <si>
    <t xml:space="preserve">01,10,2026 gacha beradi baxosi 1250 dollarga kelishildi oldinroq bersa ozgina qaytiladi </t>
  </si>
  <si>
    <t xml:space="preserve">Yusup Cho`lli </t>
  </si>
  <si>
    <t>Matniyozov Ergash Otajon yetakchi Qalajiqala   95 210 14 44  77-202-51-33</t>
  </si>
  <si>
    <t xml:space="preserve">2026 yilda beradi </t>
  </si>
  <si>
    <t xml:space="preserve">Qo`shayev Og`abek Oq Oltin 1330 kelishildi xar oyda  100 beradi  90 184 52 54 </t>
  </si>
  <si>
    <t xml:space="preserve">Oybek Qo`shni Kamxo`z 891 571 15 09 </t>
  </si>
  <si>
    <t xml:space="preserve">Avezov Quruvchi Xushnud 97 363 38 88  94 930 08 88 </t>
  </si>
  <si>
    <t xml:space="preserve">Shokir og`a o`zamizni </t>
  </si>
  <si>
    <t xml:space="preserve">Usta Lutfulla Ko`l uchun </t>
  </si>
  <si>
    <t xml:space="preserve">Bekchonboy Mikra 90 114 77 66 </t>
  </si>
  <si>
    <t xml:space="preserve">Saodat Xalq Banki </t>
  </si>
  <si>
    <t xml:space="preserve">Razzoqov Qo`shqor  Xurriyat Fermer Tel 93 121 80 98  </t>
  </si>
  <si>
    <t xml:space="preserve">Uragan oldi 7 mln ni 18,05,2026 beradi  keyin schot spravka beriladi </t>
  </si>
  <si>
    <t>Xamro og`a Yunus og`ani ukasi Bog`iston Tel 94 573 22 75   90 090 65 53</t>
  </si>
  <si>
    <t xml:space="preserve">1350 lik armada 01,12,2026 gacha </t>
  </si>
  <si>
    <t xml:space="preserve">Xushnud og`a Namuna Xokim yordamchi  99 623 02 32 </t>
  </si>
  <si>
    <t xml:space="preserve">Xudayberganov O`ktam O`zbekiston 99 501 06 83 </t>
  </si>
  <si>
    <t xml:space="preserve">Alp qo`sha balon Jamshid </t>
  </si>
  <si>
    <t>02,05,2026</t>
  </si>
  <si>
    <t xml:space="preserve">05,06,2026 ga beradi </t>
  </si>
  <si>
    <t xml:space="preserve">Shoxrux uka uy remonti uchun oldi </t>
  </si>
  <si>
    <t xml:space="preserve">Oxunjon Lutfulla qo`shnisi skuter </t>
  </si>
  <si>
    <t>20,05,2026 yilda Sobirjon aka bilan kelishdik 4500 dollarga 2500 ni berdi 2000 ni 1 oyda beradi agra bekmurod olaman desa 4500 dollar bilan qaytariladi</t>
  </si>
  <si>
    <t xml:space="preserve">1300 kelishildi 03,03,2026 200 dollar berdi 1100 dollar qoldi  21,05,2026 200 dollar berdi </t>
  </si>
  <si>
    <t xml:space="preserve">Lutfulla Usta O`zamizni 5 mln to`y jo`rasini shunga Oldi </t>
  </si>
  <si>
    <t xml:space="preserve">Ozod Boss bergan Yangiariqdagi Xokim yordamchiga Ozod o`zi biladi  Doniyor Xokimyat </t>
  </si>
  <si>
    <t xml:space="preserve">07,06,2026  2 mln patalok ustalar  olib ketdi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</si>
</sst>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\ ##0.00\ _₽_-;\-* #\ ##0.00\ _₽_-;_-* &quot;-&quot;??\ _₽_-;_-@_-"/>
    <numFmt numFmtId="165" formatCode="0.000"/>
  </numFmts>
  <fonts count="65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63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60" fillId="0" borderId="0" xfId="0" applyFont="1" applyFill="1"/>
    <xf numFmtId="0" fontId="61" fillId="0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1" applyFont="1"/>
    <xf numFmtId="0" fontId="62" fillId="0" borderId="0" xfId="0" applyFont="1"/>
    <xf numFmtId="0" fontId="0" fillId="0" borderId="0" xfId="0" applyFill="1" applyAlignment="1">
      <alignment vertical="center"/>
    </xf>
    <xf numFmtId="0" fontId="0" fillId="6" borderId="0" xfId="0" applyFill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60" fillId="0" borderId="1" xfId="0" applyFont="1" applyFill="1" applyBorder="1"/>
    <xf numFmtId="0" fontId="61" fillId="0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61" fillId="0" borderId="0" xfId="0" applyFont="1"/>
    <xf numFmtId="0" fontId="62" fillId="0" borderId="1" xfId="0" applyFont="1" applyBorder="1"/>
    <xf numFmtId="0" fontId="0" fillId="2" borderId="1" xfId="0" applyFill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 applyAlignment="1">
      <alignment wrapText="1"/>
    </xf>
    <xf numFmtId="0" fontId="0" fillId="6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2" borderId="2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64" fillId="5" borderId="1" xfId="0" applyFont="1" applyFill="1" applyBorder="1"/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horizontal="right"/>
    </xf>
    <xf numFmtId="0" fontId="58" fillId="0" borderId="1" xfId="0" applyFont="1" applyFill="1" applyBorder="1"/>
    <xf numFmtId="0" fontId="57" fillId="0" borderId="0" xfId="0" applyFont="1"/>
    <xf numFmtId="0" fontId="56" fillId="0" borderId="0" xfId="0" applyFont="1"/>
    <xf numFmtId="0" fontId="0" fillId="0" borderId="0" xfId="0" applyAlignment="1">
      <alignment horizontal="center" vertical="center"/>
    </xf>
    <xf numFmtId="0" fontId="55" fillId="0" borderId="0" xfId="0" applyFont="1"/>
    <xf numFmtId="0" fontId="55" fillId="0" borderId="1" xfId="0" applyFont="1" applyFill="1" applyBorder="1"/>
    <xf numFmtId="0" fontId="54" fillId="0" borderId="0" xfId="0" applyFont="1"/>
    <xf numFmtId="0" fontId="54" fillId="0" borderId="1" xfId="0" applyFont="1" applyFill="1" applyBorder="1"/>
    <xf numFmtId="0" fontId="53" fillId="0" borderId="1" xfId="0" applyFont="1" applyFill="1" applyBorder="1"/>
    <xf numFmtId="0" fontId="53" fillId="0" borderId="0" xfId="0" applyFont="1"/>
    <xf numFmtId="0" fontId="0" fillId="11" borderId="1" xfId="0" applyFill="1" applyBorder="1"/>
    <xf numFmtId="0" fontId="53" fillId="0" borderId="0" xfId="0" applyFont="1" applyFill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0" fillId="0" borderId="0" xfId="0" applyNumberFormat="1" applyFill="1"/>
    <xf numFmtId="0" fontId="50" fillId="0" borderId="0" xfId="0" applyFont="1" applyFill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7" fillId="0" borderId="0" xfId="0" applyFont="1" applyFill="1"/>
    <xf numFmtId="0" fontId="0" fillId="0" borderId="0" xfId="0" applyFont="1" applyFill="1"/>
    <xf numFmtId="0" fontId="47" fillId="0" borderId="1" xfId="0" applyFont="1" applyBorder="1"/>
    <xf numFmtId="0" fontId="45" fillId="0" borderId="0" xfId="0" applyFont="1"/>
    <xf numFmtId="0" fontId="45" fillId="0" borderId="0" xfId="0" applyFont="1" applyFill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1" xfId="0" applyFont="1" applyBorder="1" applyAlignment="1">
      <alignment wrapText="1"/>
    </xf>
    <xf numFmtId="0" fontId="41" fillId="0" borderId="0" xfId="0" applyFont="1"/>
    <xf numFmtId="0" fontId="40" fillId="0" borderId="0" xfId="0" applyFont="1"/>
    <xf numFmtId="0" fontId="39" fillId="0" borderId="0" xfId="0" applyFont="1"/>
    <xf numFmtId="0" fontId="39" fillId="0" borderId="0" xfId="0" applyFont="1" applyFill="1"/>
    <xf numFmtId="0" fontId="38" fillId="0" borderId="0" xfId="0" applyFont="1"/>
    <xf numFmtId="0" fontId="38" fillId="0" borderId="0" xfId="0" applyFont="1" applyFill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4" fillId="0" borderId="1" xfId="0" applyFont="1" applyBorder="1" applyAlignment="1">
      <alignment wrapText="1"/>
    </xf>
    <xf numFmtId="0" fontId="33" fillId="0" borderId="0" xfId="0" applyFont="1"/>
    <xf numFmtId="0" fontId="32" fillId="0" borderId="0" xfId="0" applyFont="1"/>
    <xf numFmtId="0" fontId="31" fillId="0" borderId="0" xfId="0" applyFont="1"/>
    <xf numFmtId="0" fontId="31" fillId="0" borderId="0" xfId="0" applyFont="1" applyFill="1"/>
    <xf numFmtId="0" fontId="30" fillId="0" borderId="0" xfId="0" applyFont="1"/>
    <xf numFmtId="0" fontId="0" fillId="5" borderId="0" xfId="0" applyFill="1" applyBorder="1"/>
    <xf numFmtId="0" fontId="0" fillId="5" borderId="0" xfId="0" applyFill="1" applyAlignment="1">
      <alignment wrapText="1"/>
    </xf>
    <xf numFmtId="164" fontId="30" fillId="0" borderId="0" xfId="1" applyFont="1"/>
    <xf numFmtId="164" fontId="0" fillId="0" borderId="0" xfId="1" applyFont="1" applyAlignment="1">
      <alignment wrapText="1"/>
    </xf>
    <xf numFmtId="43" fontId="0" fillId="0" borderId="0" xfId="0" applyNumberFormat="1"/>
    <xf numFmtId="0" fontId="28" fillId="0" borderId="0" xfId="0" applyFont="1"/>
    <xf numFmtId="0" fontId="27" fillId="0" borderId="0" xfId="0" applyFont="1"/>
    <xf numFmtId="0" fontId="27" fillId="0" borderId="0" xfId="0" applyFont="1" applyFill="1"/>
    <xf numFmtId="0" fontId="27" fillId="0" borderId="1" xfId="0" applyFont="1" applyFill="1" applyBorder="1"/>
    <xf numFmtId="0" fontId="27" fillId="0" borderId="0" xfId="0" applyFont="1" applyAlignment="1">
      <alignment wrapText="1"/>
    </xf>
    <xf numFmtId="164" fontId="27" fillId="0" borderId="0" xfId="1" applyFont="1"/>
    <xf numFmtId="0" fontId="26" fillId="0" borderId="0" xfId="0" applyFont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3" borderId="0" xfId="0" applyFill="1" applyBorder="1"/>
    <xf numFmtId="0" fontId="54" fillId="0" borderId="0" xfId="0" applyFont="1" applyBorder="1"/>
    <xf numFmtId="0" fontId="50" fillId="0" borderId="0" xfId="0" applyFont="1" applyBorder="1"/>
    <xf numFmtId="0" fontId="32" fillId="0" borderId="0" xfId="0" applyFont="1" applyBorder="1"/>
    <xf numFmtId="0" fontId="29" fillId="0" borderId="0" xfId="0" applyFont="1" applyBorder="1"/>
    <xf numFmtId="0" fontId="43" fillId="0" borderId="0" xfId="0" applyFont="1" applyBorder="1"/>
    <xf numFmtId="0" fontId="27" fillId="0" borderId="0" xfId="0" applyFont="1" applyBorder="1"/>
    <xf numFmtId="0" fontId="26" fillId="0" borderId="0" xfId="0" applyFont="1" applyBorder="1"/>
    <xf numFmtId="0" fontId="37" fillId="0" borderId="0" xfId="0" applyFont="1" applyBorder="1"/>
    <xf numFmtId="0" fontId="39" fillId="0" borderId="0" xfId="0" applyFont="1" applyBorder="1"/>
    <xf numFmtId="0" fontId="45" fillId="0" borderId="0" xfId="0" applyFont="1" applyBorder="1"/>
    <xf numFmtId="0" fontId="48" fillId="0" borderId="0" xfId="0" applyFont="1" applyBorder="1"/>
    <xf numFmtId="0" fontId="33" fillId="0" borderId="0" xfId="0" applyFont="1" applyBorder="1"/>
    <xf numFmtId="0" fontId="31" fillId="0" borderId="0" xfId="0" applyFont="1" applyBorder="1"/>
    <xf numFmtId="0" fontId="34" fillId="0" borderId="0" xfId="0" applyFont="1" applyBorder="1"/>
    <xf numFmtId="0" fontId="41" fillId="0" borderId="0" xfId="0" applyFont="1" applyBorder="1"/>
    <xf numFmtId="0" fontId="44" fillId="0" borderId="0" xfId="0" applyFont="1" applyBorder="1"/>
    <xf numFmtId="0" fontId="46" fillId="0" borderId="0" xfId="0" applyFont="1" applyBorder="1"/>
    <xf numFmtId="0" fontId="40" fillId="0" borderId="0" xfId="0" applyFont="1" applyBorder="1"/>
    <xf numFmtId="0" fontId="59" fillId="0" borderId="0" xfId="0" applyFont="1" applyBorder="1"/>
    <xf numFmtId="0" fontId="0" fillId="0" borderId="0" xfId="0" applyFont="1" applyFill="1" applyBorder="1"/>
    <xf numFmtId="0" fontId="29" fillId="0" borderId="0" xfId="0" applyFont="1" applyFill="1" applyBorder="1"/>
    <xf numFmtId="0" fontId="47" fillId="0" borderId="0" xfId="0" applyFont="1" applyFill="1" applyBorder="1"/>
    <xf numFmtId="0" fontId="27" fillId="0" borderId="0" xfId="0" applyFont="1" applyFill="1" applyBorder="1"/>
    <xf numFmtId="0" fontId="27" fillId="0" borderId="0" xfId="0" applyFont="1" applyBorder="1" applyAlignment="1">
      <alignment wrapText="1"/>
    </xf>
    <xf numFmtId="0" fontId="39" fillId="0" borderId="0" xfId="0" applyFont="1" applyFill="1" applyBorder="1"/>
    <xf numFmtId="0" fontId="0" fillId="2" borderId="0" xfId="0" applyFill="1" applyBorder="1"/>
    <xf numFmtId="0" fontId="0" fillId="3" borderId="2" xfId="0" applyFill="1" applyBorder="1"/>
    <xf numFmtId="0" fontId="26" fillId="0" borderId="0" xfId="0" applyFont="1" applyFill="1"/>
    <xf numFmtId="0" fontId="25" fillId="0" borderId="0" xfId="0" applyFont="1" applyFill="1"/>
    <xf numFmtId="0" fontId="25" fillId="0" borderId="0" xfId="0" applyFont="1" applyBorder="1" applyAlignment="1">
      <alignment wrapText="1"/>
    </xf>
    <xf numFmtId="0" fontId="25" fillId="0" borderId="0" xfId="0" applyFont="1" applyBorder="1"/>
    <xf numFmtId="0" fontId="25" fillId="0" borderId="1" xfId="0" applyFont="1" applyBorder="1" applyAlignment="1">
      <alignment wrapText="1"/>
    </xf>
    <xf numFmtId="0" fontId="25" fillId="8" borderId="1" xfId="0" applyFont="1" applyFill="1" applyBorder="1"/>
    <xf numFmtId="0" fontId="25" fillId="0" borderId="1" xfId="0" applyFont="1" applyBorder="1"/>
    <xf numFmtId="0" fontId="25" fillId="0" borderId="1" xfId="0" applyFont="1" applyFill="1" applyBorder="1"/>
    <xf numFmtId="0" fontId="24" fillId="0" borderId="0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0" xfId="0" applyFont="1"/>
    <xf numFmtId="0" fontId="24" fillId="0" borderId="0" xfId="0" applyFont="1" applyFill="1"/>
    <xf numFmtId="0" fontId="24" fillId="0" borderId="0" xfId="0" applyFont="1" applyFill="1" applyBorder="1"/>
    <xf numFmtId="0" fontId="24" fillId="0" borderId="1" xfId="0" applyFont="1" applyFill="1" applyBorder="1"/>
    <xf numFmtId="0" fontId="0" fillId="0" borderId="2" xfId="0" applyFont="1" applyFill="1" applyBorder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1" fillId="0" borderId="1" xfId="0" applyFont="1" applyBorder="1"/>
    <xf numFmtId="0" fontId="20" fillId="0" borderId="0" xfId="0" applyFont="1"/>
    <xf numFmtId="0" fontId="19" fillId="0" borderId="0" xfId="0" applyFont="1"/>
    <xf numFmtId="0" fontId="18" fillId="0" borderId="0" xfId="0" applyFont="1" applyFill="1"/>
    <xf numFmtId="0" fontId="18" fillId="0" borderId="0" xfId="0" applyFont="1"/>
    <xf numFmtId="0" fontId="17" fillId="0" borderId="0" xfId="0" applyFont="1"/>
    <xf numFmtId="0" fontId="17" fillId="0" borderId="0" xfId="0" applyFont="1" applyFill="1"/>
    <xf numFmtId="0" fontId="16" fillId="0" borderId="0" xfId="0" applyFont="1"/>
    <xf numFmtId="165" fontId="0" fillId="0" borderId="0" xfId="0" applyNumberFormat="1" applyFill="1" applyBorder="1"/>
    <xf numFmtId="0" fontId="15" fillId="0" borderId="0" xfId="0" applyFont="1"/>
    <xf numFmtId="0" fontId="15" fillId="0" borderId="0" xfId="0" applyFont="1" applyFill="1"/>
    <xf numFmtId="0" fontId="14" fillId="0" borderId="0" xfId="0" applyFont="1"/>
    <xf numFmtId="0" fontId="14" fillId="0" borderId="0" xfId="0" applyFont="1" applyFill="1"/>
    <xf numFmtId="0" fontId="14" fillId="0" borderId="0" xfId="0" applyFont="1" applyBorder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Fill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1" xfId="0" applyFont="1" applyFill="1" applyBorder="1"/>
    <xf numFmtId="0" fontId="3" fillId="0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J14" sqref="J14"/>
    </sheetView>
  </sheetViews>
  <sheetFormatPr defaultColWidth="9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"/>
  <sheetViews>
    <sheetView workbookViewId="0">
      <selection activeCell="C5" sqref="C5"/>
    </sheetView>
  </sheetViews>
  <sheetFormatPr defaultColWidth="9" defaultRowHeight="14.4" x14ac:dyDescent="0.3"/>
  <cols>
    <col min="2" max="2" width="9.88671875" bestFit="1" customWidth="1"/>
    <col min="3" max="3" width="33.77734375" customWidth="1"/>
    <col min="4" max="4" width="15.44140625" customWidth="1"/>
  </cols>
  <sheetData>
    <row r="2" spans="2:9" x14ac:dyDescent="0.3">
      <c r="D2" t="s">
        <v>935</v>
      </c>
      <c r="E2" t="s">
        <v>934</v>
      </c>
    </row>
    <row r="3" spans="2:9" x14ac:dyDescent="0.3">
      <c r="B3" s="42" t="s">
        <v>745</v>
      </c>
      <c r="C3" s="42" t="s">
        <v>933</v>
      </c>
      <c r="D3" s="42" t="s">
        <v>832</v>
      </c>
      <c r="E3" s="42"/>
      <c r="F3" s="42"/>
      <c r="G3" s="42"/>
      <c r="H3" s="42"/>
      <c r="I3" s="42"/>
    </row>
    <row r="4" spans="2:9" x14ac:dyDescent="0.3">
      <c r="B4" s="42"/>
      <c r="C4" s="42"/>
      <c r="D4" s="42"/>
      <c r="E4" s="42"/>
      <c r="F4" s="42"/>
      <c r="G4" s="42"/>
      <c r="H4" s="42"/>
      <c r="I4" s="42"/>
    </row>
    <row r="5" spans="2:9" x14ac:dyDescent="0.3">
      <c r="B5" s="42"/>
      <c r="C5" s="42"/>
      <c r="D5" s="42"/>
      <c r="E5" s="42"/>
      <c r="F5" s="42"/>
      <c r="G5" s="42"/>
      <c r="H5" s="42"/>
      <c r="I5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2:Y620"/>
  <sheetViews>
    <sheetView tabSelected="1" topLeftCell="A371" workbookViewId="0">
      <selection activeCell="D394" sqref="D394"/>
    </sheetView>
  </sheetViews>
  <sheetFormatPr defaultColWidth="9" defaultRowHeight="14.4" x14ac:dyDescent="0.3"/>
  <cols>
    <col min="2" max="2" width="10.88671875" customWidth="1"/>
    <col min="4" max="4" width="105" bestFit="1" customWidth="1"/>
    <col min="5" max="5" width="12.6640625" style="3" customWidth="1"/>
    <col min="6" max="6" width="6.21875" style="3" customWidth="1"/>
    <col min="7" max="7" width="12.6640625" style="3" customWidth="1"/>
    <col min="8" max="8" width="22.77734375" style="3" customWidth="1"/>
    <col min="9" max="9" width="44.109375" style="1" customWidth="1"/>
    <col min="10" max="10" width="17.5546875" customWidth="1"/>
    <col min="13" max="13" width="17.6640625" customWidth="1"/>
    <col min="17" max="17" width="23.109375" customWidth="1"/>
    <col min="18" max="18" width="16" customWidth="1"/>
  </cols>
  <sheetData>
    <row r="2" spans="1:19" x14ac:dyDescent="0.3">
      <c r="E2" s="3" t="s">
        <v>0</v>
      </c>
      <c r="G2" s="3" t="s">
        <v>792</v>
      </c>
      <c r="I2" s="1" t="s">
        <v>1</v>
      </c>
    </row>
    <row r="3" spans="1:19" x14ac:dyDescent="0.3">
      <c r="A3" s="14">
        <v>0</v>
      </c>
      <c r="B3" s="14">
        <v>0</v>
      </c>
      <c r="C3" s="14">
        <v>1</v>
      </c>
      <c r="D3" s="14" t="s">
        <v>2</v>
      </c>
      <c r="E3" s="15">
        <f>5.5+1.8+0.2+7.1+1</f>
        <v>15.6</v>
      </c>
      <c r="F3" s="15"/>
      <c r="G3" s="15" t="s">
        <v>793</v>
      </c>
      <c r="H3" s="15"/>
      <c r="I3" s="14"/>
    </row>
    <row r="4" spans="1:19" x14ac:dyDescent="0.3">
      <c r="A4" s="14">
        <v>0</v>
      </c>
      <c r="B4" s="14">
        <v>0</v>
      </c>
      <c r="C4" s="14">
        <v>2</v>
      </c>
      <c r="D4" s="14" t="s">
        <v>3</v>
      </c>
      <c r="E4" s="15">
        <f>0.2+0.4+0.5+1+2+1+0.1+1.2+0.55+0.2+0.1+0.105+2</f>
        <v>9.3550000000000004</v>
      </c>
      <c r="F4" s="15"/>
      <c r="G4" s="15" t="s">
        <v>794</v>
      </c>
      <c r="H4" s="15"/>
      <c r="I4" s="14"/>
    </row>
    <row r="5" spans="1:19" x14ac:dyDescent="0.3">
      <c r="A5" s="14">
        <v>0</v>
      </c>
      <c r="B5" s="14">
        <v>0</v>
      </c>
      <c r="C5" s="14">
        <v>4</v>
      </c>
      <c r="D5" s="14" t="s">
        <v>4</v>
      </c>
      <c r="E5" s="15">
        <f>4.5+10+0.5+1.25+1.9+0.2+10+1.23-10+7.9+6+0.6+1.5+4+13-1.265+1.2+5+1.2+1.6-13-1.2-1.6+4.5+3+1.95</f>
        <v>53.965000000000003</v>
      </c>
      <c r="F5" s="15"/>
      <c r="G5" s="15" t="s">
        <v>795</v>
      </c>
      <c r="H5" s="15"/>
      <c r="I5" s="14"/>
    </row>
    <row r="6" spans="1:19" x14ac:dyDescent="0.3">
      <c r="A6" s="14">
        <v>0</v>
      </c>
      <c r="B6" s="14">
        <v>1</v>
      </c>
      <c r="C6" s="14">
        <v>5</v>
      </c>
      <c r="D6" s="14" t="s">
        <v>5</v>
      </c>
      <c r="E6" s="15">
        <f>62.1-1</f>
        <v>61.1</v>
      </c>
      <c r="F6" s="15"/>
      <c r="G6" s="15" t="s">
        <v>796</v>
      </c>
      <c r="H6" s="15" t="s">
        <v>6</v>
      </c>
      <c r="I6" s="16"/>
    </row>
    <row r="7" spans="1:19" x14ac:dyDescent="0.3">
      <c r="A7" s="14">
        <v>0</v>
      </c>
      <c r="B7" s="14">
        <v>1</v>
      </c>
      <c r="C7" s="14">
        <v>6</v>
      </c>
      <c r="D7" s="14" t="s">
        <v>719</v>
      </c>
      <c r="E7" s="15">
        <f>2.2+17.5-5-5-5</f>
        <v>4.6999999999999993</v>
      </c>
      <c r="F7" s="15"/>
      <c r="G7" s="15" t="s">
        <v>797</v>
      </c>
      <c r="H7" s="15"/>
      <c r="I7" s="16"/>
    </row>
    <row r="8" spans="1:19" x14ac:dyDescent="0.3">
      <c r="A8" s="14">
        <v>0</v>
      </c>
      <c r="B8" s="14">
        <v>0</v>
      </c>
      <c r="C8" s="14">
        <v>9</v>
      </c>
      <c r="D8" s="14" t="s">
        <v>8</v>
      </c>
      <c r="E8" s="17">
        <v>4.5</v>
      </c>
      <c r="F8" s="17"/>
      <c r="G8" s="17" t="s">
        <v>794</v>
      </c>
      <c r="H8" s="17"/>
      <c r="I8" s="14"/>
    </row>
    <row r="9" spans="1:19" hidden="1" x14ac:dyDescent="0.3">
      <c r="A9" s="14">
        <v>1</v>
      </c>
      <c r="B9" s="14">
        <v>1</v>
      </c>
      <c r="C9" s="14">
        <v>12</v>
      </c>
      <c r="D9" s="14" t="s">
        <v>9</v>
      </c>
      <c r="E9" s="15">
        <f>5-1.5-3.5</f>
        <v>0</v>
      </c>
      <c r="F9" s="15" t="s">
        <v>985</v>
      </c>
      <c r="G9" s="15" t="s">
        <v>798</v>
      </c>
      <c r="H9" s="15" t="s">
        <v>984</v>
      </c>
      <c r="I9" s="16"/>
      <c r="Q9" t="s">
        <v>86</v>
      </c>
    </row>
    <row r="10" spans="1:19" x14ac:dyDescent="0.3">
      <c r="A10" s="14">
        <v>0</v>
      </c>
      <c r="B10" s="14">
        <v>0</v>
      </c>
      <c r="C10" s="14">
        <v>14</v>
      </c>
      <c r="D10" s="14" t="s">
        <v>10</v>
      </c>
      <c r="E10" s="15">
        <v>4</v>
      </c>
      <c r="F10" s="15"/>
      <c r="G10" s="15" t="s">
        <v>799</v>
      </c>
      <c r="H10" s="15">
        <v>0</v>
      </c>
      <c r="I10" s="14"/>
      <c r="M10">
        <f>600*12000</f>
        <v>7200000</v>
      </c>
      <c r="Q10" s="6" t="s">
        <v>88</v>
      </c>
      <c r="R10" s="6">
        <v>98626136</v>
      </c>
      <c r="S10" s="6"/>
    </row>
    <row r="11" spans="1:19" x14ac:dyDescent="0.3">
      <c r="A11" s="14">
        <v>1</v>
      </c>
      <c r="B11" s="14">
        <v>1</v>
      </c>
      <c r="C11" s="14">
        <v>15</v>
      </c>
      <c r="D11" s="14" t="s">
        <v>11</v>
      </c>
      <c r="E11" s="15">
        <f>3+2+14*1.3-4*1.27-10*1.27</f>
        <v>5.4199999999999982</v>
      </c>
      <c r="F11" s="15"/>
      <c r="G11" s="15" t="s">
        <v>800</v>
      </c>
      <c r="H11" s="15" t="s">
        <v>909</v>
      </c>
      <c r="I11" s="16"/>
      <c r="Q11" s="6" t="s">
        <v>90</v>
      </c>
      <c r="R11" s="6">
        <v>47048239</v>
      </c>
      <c r="S11" s="6"/>
    </row>
    <row r="12" spans="1:19" x14ac:dyDescent="0.3">
      <c r="A12" s="14">
        <v>0</v>
      </c>
      <c r="B12" s="14">
        <v>0</v>
      </c>
      <c r="C12" s="14">
        <v>17</v>
      </c>
      <c r="D12" s="14" t="s">
        <v>977</v>
      </c>
      <c r="E12" s="15">
        <f>2.2</f>
        <v>2.2000000000000002</v>
      </c>
      <c r="F12" s="15"/>
      <c r="G12" s="15" t="s">
        <v>795</v>
      </c>
      <c r="H12" s="15"/>
      <c r="I12" s="14"/>
      <c r="K12" t="s">
        <v>13</v>
      </c>
      <c r="Q12" s="6" t="s">
        <v>92</v>
      </c>
      <c r="R12" s="6">
        <v>57111036</v>
      </c>
      <c r="S12" s="6"/>
    </row>
    <row r="13" spans="1:19" x14ac:dyDescent="0.3">
      <c r="A13" s="14">
        <v>0</v>
      </c>
      <c r="B13" s="14">
        <v>0</v>
      </c>
      <c r="C13" s="14">
        <v>18</v>
      </c>
      <c r="D13" s="14" t="s">
        <v>14</v>
      </c>
      <c r="E13" s="15">
        <f>4+0.2+4+1.8+3.5+2.5+2.5+3.5+0.35+0.3+3.6+2+0.4+0.93+2.07+3+1+1+0.4+0.15+1.37+3+1+4</f>
        <v>46.57</v>
      </c>
      <c r="F13" s="15"/>
      <c r="G13" s="15"/>
      <c r="H13" s="15"/>
      <c r="I13" s="14" t="s">
        <v>15</v>
      </c>
      <c r="L13" t="s">
        <v>16</v>
      </c>
      <c r="Q13" s="6" t="s">
        <v>94</v>
      </c>
      <c r="R13" s="6">
        <v>96367894</v>
      </c>
      <c r="S13" s="6"/>
    </row>
    <row r="14" spans="1:19" x14ac:dyDescent="0.3">
      <c r="A14" s="14">
        <v>0</v>
      </c>
      <c r="B14" s="14">
        <v>0</v>
      </c>
      <c r="C14" s="14">
        <v>19</v>
      </c>
      <c r="D14" s="14" t="s">
        <v>17</v>
      </c>
      <c r="E14" s="18">
        <f>1.2-1+2</f>
        <v>2.2000000000000002</v>
      </c>
      <c r="F14" s="18"/>
      <c r="G14" s="18" t="s">
        <v>801</v>
      </c>
      <c r="H14" s="18"/>
      <c r="I14" s="14"/>
      <c r="Q14" s="6" t="s">
        <v>96</v>
      </c>
      <c r="R14" s="6">
        <v>76309243</v>
      </c>
      <c r="S14" s="6"/>
    </row>
    <row r="15" spans="1:19" x14ac:dyDescent="0.3">
      <c r="A15" s="14">
        <v>1</v>
      </c>
      <c r="B15" s="14">
        <v>1</v>
      </c>
      <c r="C15" s="14">
        <v>27</v>
      </c>
      <c r="D15" s="14" t="s">
        <v>18</v>
      </c>
      <c r="E15" s="15">
        <f>10+7-4-2-2-2-1.5-1-1</f>
        <v>3.5</v>
      </c>
      <c r="F15" s="15" t="s">
        <v>985</v>
      </c>
      <c r="G15" s="15" t="s">
        <v>802</v>
      </c>
      <c r="H15" s="46" t="s">
        <v>920</v>
      </c>
      <c r="I15" s="16"/>
      <c r="M15">
        <v>80</v>
      </c>
      <c r="Q15" s="6" t="s">
        <v>98</v>
      </c>
      <c r="R15" s="6">
        <v>29079072</v>
      </c>
      <c r="S15" s="6">
        <v>0</v>
      </c>
    </row>
    <row r="16" spans="1:19" x14ac:dyDescent="0.3">
      <c r="A16" s="14">
        <v>0</v>
      </c>
      <c r="B16" s="14">
        <v>0</v>
      </c>
      <c r="C16" s="14">
        <v>29</v>
      </c>
      <c r="D16" s="14" t="s">
        <v>19</v>
      </c>
      <c r="E16" s="15">
        <f>5.2-3+18-18</f>
        <v>2.1999999999999993</v>
      </c>
      <c r="F16" s="15"/>
      <c r="G16" s="15" t="s">
        <v>800</v>
      </c>
      <c r="H16" s="15"/>
      <c r="I16" s="14"/>
      <c r="M16">
        <v>9.6999999999999993</v>
      </c>
      <c r="Q16" s="6" t="s">
        <v>101</v>
      </c>
      <c r="R16" s="6">
        <v>21983131</v>
      </c>
      <c r="S16" s="6">
        <v>0</v>
      </c>
    </row>
    <row r="17" spans="1:21" x14ac:dyDescent="0.3">
      <c r="A17" s="14">
        <v>0</v>
      </c>
      <c r="B17" s="14">
        <v>0</v>
      </c>
      <c r="C17" s="14">
        <v>39</v>
      </c>
      <c r="D17" s="14" t="s">
        <v>20</v>
      </c>
      <c r="E17" s="15">
        <f>6.2+5+6.8+0.9+4+0.3-1.14+3+10-13+10+1.3+1.5+1+4+2+3+3+1.5+1+2+0.5+1.2+15+0.306+3.635+4.5+2.6+2+1+0.1+0.4-28.741-5+5.2+2+3+1+3+1+1+3+11+1+1+1+1+18-8+1+1+1+1.4+0.3+1+1+0.3+1+10+3.8+10+1+1.5+5</f>
        <v>133.36000000000001</v>
      </c>
      <c r="F17" s="15"/>
      <c r="G17" s="15" t="s">
        <v>803</v>
      </c>
      <c r="H17" s="15"/>
      <c r="I17" s="14"/>
      <c r="Q17" t="s">
        <v>103</v>
      </c>
      <c r="R17">
        <v>93038579</v>
      </c>
      <c r="S17">
        <v>0</v>
      </c>
      <c r="T17">
        <v>190.7</v>
      </c>
      <c r="U17">
        <v>2.5</v>
      </c>
    </row>
    <row r="18" spans="1:21" x14ac:dyDescent="0.3">
      <c r="A18" s="14">
        <v>1</v>
      </c>
      <c r="B18" s="14">
        <v>1</v>
      </c>
      <c r="C18" s="14">
        <v>41</v>
      </c>
      <c r="D18" s="145" t="s">
        <v>788</v>
      </c>
      <c r="E18" s="15">
        <f>5+55-14.5-10+1+3.5-14+1</f>
        <v>27</v>
      </c>
      <c r="F18" s="15"/>
      <c r="G18" s="15" t="s">
        <v>804</v>
      </c>
      <c r="H18" s="39" t="s">
        <v>893</v>
      </c>
      <c r="I18" s="16" t="s">
        <v>970</v>
      </c>
      <c r="J18" t="s">
        <v>100</v>
      </c>
      <c r="Q18" s="6" t="s">
        <v>101</v>
      </c>
      <c r="R18" s="6">
        <v>21983131</v>
      </c>
      <c r="S18" s="6">
        <v>0</v>
      </c>
    </row>
    <row r="19" spans="1:21" x14ac:dyDescent="0.3">
      <c r="A19" s="14">
        <v>0</v>
      </c>
      <c r="B19" s="14">
        <v>0</v>
      </c>
      <c r="C19" s="14">
        <v>47</v>
      </c>
      <c r="D19" s="24" t="s">
        <v>21</v>
      </c>
      <c r="E19" s="15">
        <f>0.3+1+3.23-4-1+1+0.2+2.5</f>
        <v>3.2300000000000004</v>
      </c>
      <c r="F19" s="15"/>
      <c r="G19" s="15" t="s">
        <v>804</v>
      </c>
      <c r="H19" s="15"/>
      <c r="I19" s="14"/>
      <c r="Q19" s="6" t="s">
        <v>105</v>
      </c>
      <c r="R19" s="6">
        <v>90078953</v>
      </c>
      <c r="S19" s="6">
        <v>0</v>
      </c>
      <c r="T19" s="6">
        <v>0</v>
      </c>
    </row>
    <row r="20" spans="1:21" hidden="1" x14ac:dyDescent="0.3">
      <c r="A20" s="14">
        <v>1</v>
      </c>
      <c r="B20" s="14">
        <v>1</v>
      </c>
      <c r="C20" s="14">
        <v>60</v>
      </c>
      <c r="D20" s="14" t="s">
        <v>748</v>
      </c>
      <c r="E20" s="15">
        <f>20-10-5-5</f>
        <v>0</v>
      </c>
      <c r="F20" s="15"/>
      <c r="G20" s="15" t="s">
        <v>805</v>
      </c>
      <c r="H20" s="15" t="s">
        <v>23</v>
      </c>
      <c r="I20" s="16" t="s">
        <v>1</v>
      </c>
      <c r="K20" t="s">
        <v>24</v>
      </c>
      <c r="Q20" s="6" t="s">
        <v>107</v>
      </c>
      <c r="R20" s="6">
        <v>94021622</v>
      </c>
      <c r="S20" s="6">
        <v>0</v>
      </c>
      <c r="T20" s="6">
        <v>0</v>
      </c>
    </row>
    <row r="21" spans="1:21" x14ac:dyDescent="0.3">
      <c r="A21" s="14">
        <v>1</v>
      </c>
      <c r="B21" s="14">
        <v>1</v>
      </c>
      <c r="C21" s="14">
        <v>61</v>
      </c>
      <c r="D21" s="14" t="s">
        <v>25</v>
      </c>
      <c r="E21" s="15">
        <f>20-12-7-0.5</f>
        <v>0.5</v>
      </c>
      <c r="F21" s="15" t="s">
        <v>985</v>
      </c>
      <c r="G21" s="15" t="s">
        <v>805</v>
      </c>
      <c r="H21" s="15" t="s">
        <v>23</v>
      </c>
      <c r="I21" s="16" t="s">
        <v>26</v>
      </c>
      <c r="K21" t="s">
        <v>27</v>
      </c>
      <c r="Q21" t="s">
        <v>108</v>
      </c>
      <c r="R21">
        <v>39204116</v>
      </c>
      <c r="S21">
        <v>0</v>
      </c>
      <c r="T21">
        <v>27.5</v>
      </c>
      <c r="U21">
        <v>0.32</v>
      </c>
    </row>
    <row r="22" spans="1:21" hidden="1" x14ac:dyDescent="0.3">
      <c r="A22" s="14">
        <v>1</v>
      </c>
      <c r="B22" s="14">
        <v>1</v>
      </c>
      <c r="C22" s="14">
        <v>64</v>
      </c>
      <c r="D22" s="14" t="s">
        <v>943</v>
      </c>
      <c r="E22" s="15">
        <f>6-2-1-3</f>
        <v>0</v>
      </c>
      <c r="F22" s="15" t="s">
        <v>985</v>
      </c>
      <c r="G22" s="15" t="s">
        <v>806</v>
      </c>
      <c r="H22" s="15" t="s">
        <v>775</v>
      </c>
      <c r="I22" s="16" t="s">
        <v>29</v>
      </c>
      <c r="K22" t="s">
        <v>30</v>
      </c>
      <c r="Q22" s="6" t="s">
        <v>110</v>
      </c>
      <c r="R22" s="6">
        <v>28078695</v>
      </c>
      <c r="S22" s="6">
        <v>0</v>
      </c>
      <c r="T22" s="6">
        <v>0</v>
      </c>
    </row>
    <row r="23" spans="1:21" x14ac:dyDescent="0.3">
      <c r="A23" s="14">
        <v>0</v>
      </c>
      <c r="B23" s="14">
        <v>0</v>
      </c>
      <c r="C23" s="19">
        <v>66</v>
      </c>
      <c r="D23" s="19" t="s">
        <v>31</v>
      </c>
      <c r="E23" s="15">
        <f>5+0.5+3.55+1.5+0.5+0.3*2+0.55+0.276+2.5-1+1.5+3+0.5+0.5+1+0.4+0.5+0.3+0.5+0.5+1.3+1.8+1.6+0.2+0.3+2.3+0.7+26.2+1.6+0.6+1.7+1.2+0.8+1.03+40-30.36+1.5-1.92+0.7+0.7+1+29+3-32+1+1.2+40-10+0.6+0.25+2-10+3+5+2+0.8+1-53+1+1.6+1.62+1+1+0.7+1+1.5+2.7</f>
        <v>71.596000000000004</v>
      </c>
      <c r="F23" s="15"/>
      <c r="G23" s="15" t="s">
        <v>799</v>
      </c>
      <c r="H23" s="15">
        <v>0</v>
      </c>
      <c r="I23" s="14" t="s">
        <v>29</v>
      </c>
    </row>
    <row r="24" spans="1:21" hidden="1" x14ac:dyDescent="0.3">
      <c r="A24" s="14" t="s">
        <v>870</v>
      </c>
      <c r="B24" s="14">
        <v>0</v>
      </c>
      <c r="C24" s="14">
        <v>70</v>
      </c>
      <c r="D24" s="14" t="s">
        <v>32</v>
      </c>
      <c r="E24" s="20">
        <f>0.4-0.4</f>
        <v>0</v>
      </c>
      <c r="F24" s="20"/>
      <c r="G24" s="20"/>
      <c r="H24" s="20"/>
      <c r="I24" s="14"/>
      <c r="Q24" t="s">
        <v>111</v>
      </c>
    </row>
    <row r="25" spans="1:21" x14ac:dyDescent="0.3">
      <c r="A25" s="14">
        <v>0</v>
      </c>
      <c r="B25" s="14">
        <v>1</v>
      </c>
      <c r="C25" s="14">
        <v>100</v>
      </c>
      <c r="D25" s="14" t="s">
        <v>735</v>
      </c>
      <c r="E25" s="15">
        <f>17.5-5-2-2-2-2-1.5-1-1</f>
        <v>1</v>
      </c>
      <c r="F25" s="15"/>
      <c r="G25" s="15" t="s">
        <v>807</v>
      </c>
      <c r="H25" s="15" t="s">
        <v>775</v>
      </c>
      <c r="I25" s="16" t="s">
        <v>34</v>
      </c>
      <c r="Q25" t="s">
        <v>103</v>
      </c>
      <c r="R25">
        <v>62410972</v>
      </c>
      <c r="S25">
        <v>0</v>
      </c>
    </row>
    <row r="26" spans="1:21" x14ac:dyDescent="0.3">
      <c r="A26" s="14">
        <v>1</v>
      </c>
      <c r="B26" s="14">
        <v>1</v>
      </c>
      <c r="C26" s="14">
        <v>104</v>
      </c>
      <c r="D26" s="14" t="s">
        <v>35</v>
      </c>
      <c r="E26" s="15">
        <f>2-0.62</f>
        <v>1.38</v>
      </c>
      <c r="F26" s="15" t="s">
        <v>985</v>
      </c>
      <c r="G26" s="15" t="s">
        <v>808</v>
      </c>
      <c r="H26" s="15" t="s">
        <v>36</v>
      </c>
      <c r="I26" s="16" t="s">
        <v>37</v>
      </c>
      <c r="J26" t="s">
        <v>38</v>
      </c>
      <c r="Q26" t="s">
        <v>113</v>
      </c>
      <c r="R26">
        <v>79472254</v>
      </c>
      <c r="S26">
        <v>0</v>
      </c>
      <c r="T26">
        <v>208.2</v>
      </c>
    </row>
    <row r="27" spans="1:21" hidden="1" x14ac:dyDescent="0.3">
      <c r="A27" s="14">
        <v>1</v>
      </c>
      <c r="B27" s="14">
        <v>1</v>
      </c>
      <c r="C27" s="14">
        <v>105</v>
      </c>
      <c r="D27" s="14" t="s">
        <v>39</v>
      </c>
      <c r="E27" s="19">
        <f>0.96-0.5-0.3-0.16</f>
        <v>0</v>
      </c>
      <c r="F27" s="19"/>
      <c r="G27" s="15" t="s">
        <v>809</v>
      </c>
      <c r="H27" s="15"/>
      <c r="I27" s="16" t="s">
        <v>37</v>
      </c>
      <c r="J27" t="s">
        <v>40</v>
      </c>
      <c r="Q27" t="s">
        <v>115</v>
      </c>
      <c r="R27">
        <v>942712</v>
      </c>
      <c r="S27">
        <v>0</v>
      </c>
      <c r="T27">
        <v>59.5</v>
      </c>
    </row>
    <row r="28" spans="1:21" hidden="1" x14ac:dyDescent="0.3">
      <c r="A28" s="25">
        <v>0</v>
      </c>
      <c r="B28" s="25">
        <v>0</v>
      </c>
      <c r="C28" s="14">
        <v>110</v>
      </c>
      <c r="D28" s="14" t="s">
        <v>41</v>
      </c>
      <c r="E28" s="25">
        <v>0</v>
      </c>
      <c r="F28" s="25"/>
      <c r="G28" s="15"/>
      <c r="H28" s="15"/>
      <c r="I28" s="14"/>
      <c r="Q28" t="s">
        <v>117</v>
      </c>
      <c r="R28">
        <v>14998628</v>
      </c>
      <c r="S28">
        <v>0</v>
      </c>
      <c r="T28">
        <v>184.1</v>
      </c>
    </row>
    <row r="29" spans="1:21" x14ac:dyDescent="0.3">
      <c r="A29" s="14">
        <v>0</v>
      </c>
      <c r="B29" s="14">
        <v>1</v>
      </c>
      <c r="C29" s="14">
        <v>111</v>
      </c>
      <c r="D29" s="14" t="s">
        <v>42</v>
      </c>
      <c r="E29" s="15">
        <f>8-1</f>
        <v>7</v>
      </c>
      <c r="F29" s="15"/>
      <c r="G29" s="15" t="s">
        <v>810</v>
      </c>
      <c r="H29" s="15"/>
      <c r="I29" s="16"/>
      <c r="L29" t="s">
        <v>43</v>
      </c>
    </row>
    <row r="30" spans="1:21" x14ac:dyDescent="0.3">
      <c r="A30" s="14">
        <v>0</v>
      </c>
      <c r="B30" s="14">
        <v>0</v>
      </c>
      <c r="C30" s="14">
        <v>120</v>
      </c>
      <c r="D30" s="14" t="s">
        <v>44</v>
      </c>
      <c r="E30" s="15">
        <f>17.2*3-40+17.4*6-85+1.3*3+18.3*2-17.08+4*16.8+18.3*6-60+18.3*4-17*2+18.3*2-18.3-17-60+18.8*2+18.8*2-50+13.2-90+4-60-18.8+18.8*2-60</f>
        <v>3.1199999999999619</v>
      </c>
      <c r="F30" s="15"/>
      <c r="G30" s="15" t="s">
        <v>810</v>
      </c>
      <c r="H30" s="15"/>
      <c r="I30" s="14"/>
    </row>
    <row r="31" spans="1:21" x14ac:dyDescent="0.3">
      <c r="A31" s="14">
        <v>0</v>
      </c>
      <c r="B31" s="14">
        <v>0</v>
      </c>
      <c r="C31" s="14">
        <v>120</v>
      </c>
      <c r="D31" s="14" t="s">
        <v>44</v>
      </c>
      <c r="E31" s="15">
        <f>+I31*12400/1000000-50-49.9+23.5+24.76+18.034-60-28+18*5+18*2+18*3-20+32.5-4-4.5-11.5-25-30-30+0.9-30</f>
        <v>202.15400000000002</v>
      </c>
      <c r="F31" s="15"/>
      <c r="G31" s="15" t="s">
        <v>810</v>
      </c>
      <c r="H31" s="15"/>
      <c r="I31" s="14">
        <f>4*1550+2*1550+2*1550+1400+1550+2*1550+1550+1400</f>
        <v>21400</v>
      </c>
      <c r="M31" t="s">
        <v>45</v>
      </c>
    </row>
    <row r="32" spans="1:21" x14ac:dyDescent="0.3">
      <c r="A32" s="14">
        <v>1</v>
      </c>
      <c r="B32" s="14">
        <v>1</v>
      </c>
      <c r="C32" s="14">
        <v>123</v>
      </c>
      <c r="D32" s="14" t="s">
        <v>46</v>
      </c>
      <c r="E32" s="15">
        <f>1.15+0.3+0.6-0.88-0.6+0.5+1.5+0.5</f>
        <v>3.07</v>
      </c>
      <c r="F32" s="15"/>
      <c r="G32" s="15" t="s">
        <v>794</v>
      </c>
      <c r="H32" s="15"/>
      <c r="I32" s="16" t="s">
        <v>47</v>
      </c>
    </row>
    <row r="33" spans="1:15" hidden="1" x14ac:dyDescent="0.3">
      <c r="A33" s="14">
        <v>0</v>
      </c>
      <c r="B33" s="14">
        <v>0</v>
      </c>
      <c r="C33" s="14">
        <v>131</v>
      </c>
      <c r="D33" s="14" t="s">
        <v>50</v>
      </c>
      <c r="E33" s="20">
        <f>18-4.8-1-2-10.2</f>
        <v>0</v>
      </c>
      <c r="F33" s="20"/>
      <c r="G33" s="20"/>
      <c r="H33" s="20"/>
      <c r="I33" s="14" t="s">
        <v>49</v>
      </c>
      <c r="J33" t="s">
        <v>51</v>
      </c>
    </row>
    <row r="34" spans="1:15" x14ac:dyDescent="0.3">
      <c r="A34" s="14">
        <v>0</v>
      </c>
      <c r="B34" s="14">
        <v>0</v>
      </c>
      <c r="C34" s="14">
        <v>128</v>
      </c>
      <c r="D34" s="14" t="s">
        <v>48</v>
      </c>
      <c r="E34" s="20">
        <f>17.6-8.5-1.5-2.5</f>
        <v>5.1000000000000014</v>
      </c>
      <c r="F34" s="20"/>
      <c r="G34" s="20"/>
      <c r="H34" s="20"/>
      <c r="I34" s="14" t="s">
        <v>49</v>
      </c>
    </row>
    <row r="35" spans="1:15" hidden="1" x14ac:dyDescent="0.3">
      <c r="A35" s="14">
        <v>1</v>
      </c>
      <c r="B35" s="14">
        <v>1</v>
      </c>
      <c r="C35" s="20">
        <v>135</v>
      </c>
      <c r="D35" s="14" t="s">
        <v>53</v>
      </c>
      <c r="E35" s="35">
        <f>18-5-10-2-1</f>
        <v>0</v>
      </c>
      <c r="F35" s="35"/>
      <c r="G35" s="15" t="s">
        <v>812</v>
      </c>
      <c r="H35" s="15" t="s">
        <v>361</v>
      </c>
      <c r="I35" s="16" t="s">
        <v>54</v>
      </c>
      <c r="J35" t="s">
        <v>55</v>
      </c>
      <c r="O35" s="21"/>
    </row>
    <row r="36" spans="1:15" x14ac:dyDescent="0.3">
      <c r="A36" s="14"/>
      <c r="B36" s="14">
        <v>0</v>
      </c>
      <c r="C36" s="20">
        <v>134</v>
      </c>
      <c r="D36" s="14" t="s">
        <v>52</v>
      </c>
      <c r="E36" s="15">
        <f>3+2+15+0.5+0.2+5</f>
        <v>25.7</v>
      </c>
      <c r="F36" s="15"/>
      <c r="G36" s="15" t="s">
        <v>811</v>
      </c>
      <c r="H36" s="15"/>
      <c r="I36" s="14"/>
    </row>
    <row r="37" spans="1:15" hidden="1" x14ac:dyDescent="0.3">
      <c r="A37" s="14" t="s">
        <v>871</v>
      </c>
      <c r="B37" s="14">
        <v>1</v>
      </c>
      <c r="C37" s="14">
        <v>148</v>
      </c>
      <c r="D37" s="14" t="s">
        <v>59</v>
      </c>
      <c r="E37" s="20">
        <f>2.8+2.5+1.5-1.5-5.3</f>
        <v>0</v>
      </c>
      <c r="F37" s="20"/>
      <c r="G37" s="15"/>
      <c r="H37" s="15"/>
      <c r="I37" s="16"/>
      <c r="J37" t="s">
        <v>60</v>
      </c>
    </row>
    <row r="38" spans="1:15" x14ac:dyDescent="0.3">
      <c r="A38" s="14">
        <v>1</v>
      </c>
      <c r="B38" s="14">
        <v>1</v>
      </c>
      <c r="C38" s="20">
        <v>142</v>
      </c>
      <c r="D38" s="14" t="s">
        <v>1221</v>
      </c>
      <c r="E38" s="15">
        <f>10.5-5-1.8-1.215</f>
        <v>2.4850000000000003</v>
      </c>
      <c r="F38" s="15" t="s">
        <v>985</v>
      </c>
      <c r="G38" s="15" t="s">
        <v>813</v>
      </c>
      <c r="H38" s="46" t="s">
        <v>944</v>
      </c>
      <c r="I38" s="16" t="s">
        <v>57</v>
      </c>
      <c r="J38" t="s">
        <v>58</v>
      </c>
    </row>
    <row r="39" spans="1:15" x14ac:dyDescent="0.3">
      <c r="A39" s="14">
        <v>1</v>
      </c>
      <c r="B39" s="14">
        <v>1</v>
      </c>
      <c r="C39" s="14">
        <v>149</v>
      </c>
      <c r="D39" s="14" t="s">
        <v>781</v>
      </c>
      <c r="E39" s="15">
        <f>17.5-0.8-0.3</f>
        <v>16.399999999999999</v>
      </c>
      <c r="F39" s="15" t="s">
        <v>985</v>
      </c>
      <c r="G39" s="15" t="s">
        <v>807</v>
      </c>
      <c r="H39" s="15" t="s">
        <v>918</v>
      </c>
      <c r="I39" s="16" t="s">
        <v>62</v>
      </c>
    </row>
    <row r="40" spans="1:15" hidden="1" x14ac:dyDescent="0.3">
      <c r="A40" s="14">
        <v>0</v>
      </c>
      <c r="B40" s="14">
        <v>1</v>
      </c>
      <c r="C40" s="14">
        <v>153</v>
      </c>
      <c r="D40" s="14" t="s">
        <v>64</v>
      </c>
      <c r="E40" s="19">
        <v>0</v>
      </c>
      <c r="F40" s="19"/>
      <c r="G40" s="19"/>
      <c r="H40" s="19"/>
      <c r="I40" s="16"/>
    </row>
    <row r="41" spans="1:15" x14ac:dyDescent="0.3">
      <c r="A41" s="14">
        <v>0</v>
      </c>
      <c r="B41" s="14">
        <v>0</v>
      </c>
      <c r="C41" s="14">
        <v>152</v>
      </c>
      <c r="D41" s="14" t="s">
        <v>63</v>
      </c>
      <c r="E41" s="15">
        <v>2</v>
      </c>
      <c r="F41" s="15"/>
      <c r="G41" s="15"/>
      <c r="H41" s="15"/>
      <c r="I41" s="14"/>
    </row>
    <row r="42" spans="1:15" hidden="1" x14ac:dyDescent="0.3">
      <c r="A42" s="14">
        <v>1</v>
      </c>
      <c r="B42" s="14">
        <v>1</v>
      </c>
      <c r="C42" s="14">
        <v>155</v>
      </c>
      <c r="D42" s="14" t="s">
        <v>66</v>
      </c>
      <c r="E42" s="19">
        <f>3-1-1-0.7-0.3</f>
        <v>0</v>
      </c>
      <c r="F42" s="19"/>
      <c r="G42" s="15" t="s">
        <v>814</v>
      </c>
      <c r="H42" s="15" t="s">
        <v>747</v>
      </c>
      <c r="I42" s="16"/>
    </row>
    <row r="43" spans="1:15" hidden="1" x14ac:dyDescent="0.3">
      <c r="A43" s="14">
        <v>0</v>
      </c>
      <c r="B43" s="14">
        <v>0</v>
      </c>
      <c r="C43" s="14">
        <v>159</v>
      </c>
      <c r="D43" s="14" t="s">
        <v>68</v>
      </c>
      <c r="E43" s="15">
        <f>-I43*12450/1000000</f>
        <v>0</v>
      </c>
      <c r="F43" s="15"/>
      <c r="G43" s="15"/>
      <c r="H43" s="15"/>
      <c r="I43" s="14">
        <f>570-300+360-500+420+305+970-1000+340+360-800+500+350+360-1200-200-400-135</f>
        <v>0</v>
      </c>
    </row>
    <row r="44" spans="1:15" hidden="1" x14ac:dyDescent="0.3">
      <c r="A44" s="14">
        <v>0</v>
      </c>
      <c r="B44" s="14">
        <v>1</v>
      </c>
      <c r="C44" s="14">
        <v>162</v>
      </c>
      <c r="D44" s="14" t="s">
        <v>736</v>
      </c>
      <c r="E44" s="25">
        <v>0</v>
      </c>
      <c r="F44" s="25"/>
      <c r="G44" s="15" t="s">
        <v>815</v>
      </c>
      <c r="H44" s="15" t="s">
        <v>863</v>
      </c>
      <c r="I44" s="16" t="s">
        <v>70</v>
      </c>
    </row>
    <row r="45" spans="1:15" hidden="1" x14ac:dyDescent="0.3">
      <c r="A45" s="14">
        <v>0</v>
      </c>
      <c r="B45" s="14">
        <v>1</v>
      </c>
      <c r="C45" s="14">
        <v>166</v>
      </c>
      <c r="D45" s="14" t="s">
        <v>71</v>
      </c>
      <c r="E45" s="19">
        <f>19.5-5-1.5-5-3-5</f>
        <v>0</v>
      </c>
      <c r="F45" s="19"/>
      <c r="G45" s="19"/>
      <c r="H45" s="19"/>
      <c r="I45" s="16" t="s">
        <v>72</v>
      </c>
    </row>
    <row r="46" spans="1:15" hidden="1" x14ac:dyDescent="0.3">
      <c r="A46" s="19">
        <v>0</v>
      </c>
      <c r="B46" s="14">
        <v>1</v>
      </c>
      <c r="C46" s="14">
        <v>171</v>
      </c>
      <c r="D46" s="14" t="s">
        <v>73</v>
      </c>
      <c r="E46" s="19">
        <f>19-5-2-2-5.5-2-1.2-1.3</f>
        <v>0</v>
      </c>
      <c r="F46" s="19"/>
      <c r="G46" s="19"/>
      <c r="H46" s="15" t="s">
        <v>74</v>
      </c>
      <c r="I46" s="16"/>
    </row>
    <row r="47" spans="1:15" x14ac:dyDescent="0.3">
      <c r="A47" s="14">
        <v>0</v>
      </c>
      <c r="B47" s="14">
        <v>0</v>
      </c>
      <c r="C47" s="14">
        <v>154</v>
      </c>
      <c r="D47" s="14" t="s">
        <v>65</v>
      </c>
      <c r="E47" s="15">
        <f>18-3.5-1-6-2-2</f>
        <v>3.5</v>
      </c>
      <c r="F47" s="15"/>
      <c r="G47" s="15"/>
      <c r="H47" s="15"/>
      <c r="I47" s="14"/>
    </row>
    <row r="48" spans="1:15" hidden="1" x14ac:dyDescent="0.3">
      <c r="A48" s="14">
        <v>0</v>
      </c>
      <c r="B48" s="14">
        <v>0</v>
      </c>
      <c r="C48" s="20">
        <v>180</v>
      </c>
      <c r="D48" s="14" t="s">
        <v>76</v>
      </c>
      <c r="E48" s="19">
        <v>0</v>
      </c>
      <c r="F48" s="19"/>
      <c r="G48" s="19"/>
      <c r="H48" s="19"/>
      <c r="I48" s="14"/>
      <c r="J48" t="s">
        <v>77</v>
      </c>
    </row>
    <row r="49" spans="1:20" x14ac:dyDescent="0.3">
      <c r="A49" s="14">
        <v>0</v>
      </c>
      <c r="B49" s="14">
        <v>1</v>
      </c>
      <c r="C49" s="14">
        <v>177</v>
      </c>
      <c r="D49" s="14" t="s">
        <v>75</v>
      </c>
      <c r="E49" s="15">
        <v>1</v>
      </c>
      <c r="F49" s="15"/>
      <c r="G49" s="15" t="s">
        <v>816</v>
      </c>
      <c r="H49" s="15"/>
      <c r="I49" s="16"/>
    </row>
    <row r="50" spans="1:20" hidden="1" x14ac:dyDescent="0.3">
      <c r="A50" s="14" t="s">
        <v>871</v>
      </c>
      <c r="B50" s="14">
        <v>0</v>
      </c>
      <c r="C50" s="14">
        <v>187</v>
      </c>
      <c r="D50" s="14" t="s">
        <v>79</v>
      </c>
      <c r="E50" s="20">
        <f>19.3-19.3</f>
        <v>0</v>
      </c>
      <c r="F50" s="20"/>
      <c r="G50" s="20"/>
      <c r="H50" s="20"/>
      <c r="I50" s="14" t="s">
        <v>80</v>
      </c>
    </row>
    <row r="51" spans="1:20" hidden="1" x14ac:dyDescent="0.3">
      <c r="A51" s="14">
        <v>0</v>
      </c>
      <c r="B51" s="14">
        <v>0</v>
      </c>
      <c r="C51" s="14">
        <v>188</v>
      </c>
      <c r="D51" s="15" t="s">
        <v>81</v>
      </c>
      <c r="E51" s="19">
        <f>19.5-10-4-2-3-0.5</f>
        <v>0</v>
      </c>
      <c r="F51" s="19"/>
      <c r="G51" s="19"/>
      <c r="H51" s="19"/>
      <c r="I51" s="16" t="s">
        <v>82</v>
      </c>
    </row>
    <row r="52" spans="1:20" x14ac:dyDescent="0.3">
      <c r="A52" s="14">
        <v>0</v>
      </c>
      <c r="B52" s="14">
        <v>0</v>
      </c>
      <c r="C52" s="14">
        <v>184</v>
      </c>
      <c r="D52" s="14" t="s">
        <v>78</v>
      </c>
      <c r="E52" s="15">
        <f>-30+17.5*5+19*3+22.5+3.5+2-32*0.95-22.5-17.5*3-19-19</f>
        <v>-0.90000000000000568</v>
      </c>
      <c r="F52" s="15"/>
      <c r="G52" s="15" t="s">
        <v>794</v>
      </c>
      <c r="H52" s="15"/>
      <c r="I52" s="14"/>
    </row>
    <row r="53" spans="1:20" x14ac:dyDescent="0.3">
      <c r="A53" s="14">
        <v>1</v>
      </c>
      <c r="B53" s="14">
        <v>1</v>
      </c>
      <c r="C53" s="14">
        <v>190</v>
      </c>
      <c r="D53" s="14" t="s">
        <v>83</v>
      </c>
      <c r="E53" s="15">
        <f>1+1-0.5+0.2+0.32+0.5+0.5+0.2+1-0.25+0.5-0.3-0.06-0.11+1+1-1</f>
        <v>5.0000000000000009</v>
      </c>
      <c r="F53" s="15"/>
      <c r="G53" s="15" t="s">
        <v>798</v>
      </c>
      <c r="H53" s="15" t="s">
        <v>775</v>
      </c>
      <c r="I53" s="16"/>
    </row>
    <row r="54" spans="1:20" x14ac:dyDescent="0.3">
      <c r="A54" s="14">
        <v>0</v>
      </c>
      <c r="B54" s="14" t="s">
        <v>212</v>
      </c>
      <c r="C54" s="14">
        <v>191</v>
      </c>
      <c r="D54" s="14" t="s">
        <v>213</v>
      </c>
      <c r="E54" s="15">
        <v>0.6</v>
      </c>
      <c r="F54" s="15" t="s">
        <v>985</v>
      </c>
      <c r="G54" s="15" t="s">
        <v>797</v>
      </c>
      <c r="H54" s="15"/>
      <c r="I54" s="16"/>
      <c r="Q54" s="10"/>
      <c r="R54" s="10">
        <v>-6000000</v>
      </c>
    </row>
    <row r="55" spans="1:20" x14ac:dyDescent="0.3">
      <c r="A55" s="14">
        <v>0</v>
      </c>
      <c r="B55" s="14">
        <v>0</v>
      </c>
      <c r="C55" s="14">
        <v>192</v>
      </c>
      <c r="D55" s="14" t="s">
        <v>84</v>
      </c>
      <c r="E55" s="15">
        <f>30+17.5-29.5-14.9+1.44</f>
        <v>4.5399999999999991</v>
      </c>
      <c r="F55" s="15"/>
      <c r="G55" s="15" t="s">
        <v>817</v>
      </c>
      <c r="H55" s="15"/>
      <c r="I55" s="14"/>
    </row>
    <row r="56" spans="1:20" x14ac:dyDescent="0.3">
      <c r="A56" s="14">
        <v>0</v>
      </c>
      <c r="B56" s="14">
        <v>0</v>
      </c>
      <c r="C56" s="15">
        <v>192</v>
      </c>
      <c r="D56" s="14"/>
      <c r="E56" s="15">
        <f>+I56*12500/1000000-17+20+26.67-25+19+18.5*3-5+18.5+18.5+19.5-10+18.5+18.5+27.83+28+1+28.5+18.5*2-6.08-25-22.8-33+18.5-25-56+20+29.5+18.5+2*18.5+2*0.3+29.5-67-46+18.5+0.3-18.5+1.1-18.5+18.5+0.28+0.28+18.5+0.28+18.5+0.28-87+27*2-4+16+18.5+26.9-100+18.5+16-50+26.5-56.5-17-29-15-17-2.7+1-6+26.5+34.3+26.5-33+26.5-29.85+34.45+17.5-20+17.5*2+17.5-40+27+34.5+17.5+4+34.5+28.6-5-20+30.5-30-32.8-5.2-22.8-14-12.5+17+17-17+17+25+25+27-52-20-60-14-15-20</f>
        <v>62.640000000000043</v>
      </c>
      <c r="F56" s="15"/>
      <c r="G56" s="15" t="s">
        <v>817</v>
      </c>
      <c r="H56" s="15"/>
      <c r="I56" s="14">
        <v>1400</v>
      </c>
    </row>
    <row r="57" spans="1:20" x14ac:dyDescent="0.3">
      <c r="A57" s="14">
        <v>0</v>
      </c>
      <c r="B57" s="14">
        <v>0</v>
      </c>
      <c r="C57" s="14">
        <v>196</v>
      </c>
      <c r="D57" s="14" t="s">
        <v>85</v>
      </c>
      <c r="E57" s="15">
        <v>6.5</v>
      </c>
      <c r="F57" s="15"/>
      <c r="G57" s="15" t="s">
        <v>818</v>
      </c>
      <c r="H57" s="15"/>
      <c r="I57" s="14"/>
    </row>
    <row r="58" spans="1:20" hidden="1" x14ac:dyDescent="0.3">
      <c r="A58" s="14">
        <v>0</v>
      </c>
      <c r="B58" s="14">
        <v>0</v>
      </c>
      <c r="C58" s="14">
        <v>191</v>
      </c>
      <c r="D58" s="14" t="s">
        <v>89</v>
      </c>
      <c r="E58" s="15">
        <f>+I58*1.24/100-15-25-20-32+7-40-4.5-20-20+17.4+15+17.4-27+13.5+18+13.5-32-30+15.5*2-10-31+10-6.65-5-15*2-15-10-12.69</f>
        <v>0</v>
      </c>
      <c r="F58" s="15"/>
      <c r="G58" s="15" t="s">
        <v>819</v>
      </c>
      <c r="H58" s="15"/>
      <c r="I58" s="14">
        <f>1400+1550+1550+1400+350+1500+1550+1500+1550+1650+1400+1400+1400+1400</f>
        <v>19600</v>
      </c>
      <c r="K58" t="s">
        <v>91</v>
      </c>
      <c r="Q58" s="6" t="s">
        <v>92</v>
      </c>
      <c r="R58" s="6">
        <v>57111036</v>
      </c>
      <c r="S58" s="6"/>
    </row>
    <row r="59" spans="1:20" x14ac:dyDescent="0.3">
      <c r="A59" s="14">
        <v>0</v>
      </c>
      <c r="B59" s="14">
        <v>0</v>
      </c>
      <c r="C59" s="14">
        <v>219</v>
      </c>
      <c r="D59" s="14" t="s">
        <v>106</v>
      </c>
      <c r="E59" s="20">
        <f>4.5+2+3</f>
        <v>9.5</v>
      </c>
      <c r="F59" s="20"/>
      <c r="G59" s="15"/>
      <c r="H59" s="15"/>
      <c r="I59" s="14"/>
      <c r="Q59" t="s">
        <v>107</v>
      </c>
      <c r="R59" s="8">
        <v>94021622</v>
      </c>
      <c r="S59">
        <v>0</v>
      </c>
      <c r="T59">
        <v>5.3</v>
      </c>
    </row>
    <row r="60" spans="1:20" x14ac:dyDescent="0.3">
      <c r="A60" s="14" t="s">
        <v>767</v>
      </c>
      <c r="B60" s="14">
        <v>1</v>
      </c>
      <c r="C60" s="31">
        <v>234</v>
      </c>
      <c r="D60" s="33" t="s">
        <v>116</v>
      </c>
      <c r="E60" s="24">
        <f>17.5-15</f>
        <v>2.5</v>
      </c>
      <c r="F60" s="24"/>
      <c r="G60" s="24"/>
      <c r="H60" s="15"/>
      <c r="I60" s="16"/>
      <c r="Q60" t="s">
        <v>117</v>
      </c>
      <c r="R60">
        <v>14998628</v>
      </c>
      <c r="S60">
        <v>0</v>
      </c>
      <c r="T60">
        <v>186</v>
      </c>
    </row>
    <row r="61" spans="1:20" hidden="1" x14ac:dyDescent="0.3">
      <c r="A61" s="14" t="s">
        <v>870</v>
      </c>
      <c r="B61" s="14">
        <v>0</v>
      </c>
      <c r="C61" s="14">
        <v>205</v>
      </c>
      <c r="D61" s="14" t="s">
        <v>87</v>
      </c>
      <c r="E61" s="20">
        <f>1+5-6</f>
        <v>0</v>
      </c>
      <c r="F61" s="20"/>
      <c r="G61" s="20" t="s">
        <v>814</v>
      </c>
      <c r="H61" s="15"/>
      <c r="I61" s="14"/>
      <c r="Q61" s="6" t="s">
        <v>88</v>
      </c>
      <c r="R61" s="6">
        <v>98626136</v>
      </c>
      <c r="S61" s="6"/>
    </row>
    <row r="62" spans="1:20" hidden="1" x14ac:dyDescent="0.3">
      <c r="A62" s="14" t="s">
        <v>871</v>
      </c>
      <c r="B62" s="14">
        <v>0</v>
      </c>
      <c r="C62" s="14">
        <v>208</v>
      </c>
      <c r="D62" s="14" t="s">
        <v>93</v>
      </c>
      <c r="E62" s="20">
        <f>28-17-11</f>
        <v>0</v>
      </c>
      <c r="F62" s="20"/>
      <c r="G62" s="20"/>
      <c r="H62" s="15"/>
      <c r="I62" s="14"/>
      <c r="Q62" s="6" t="s">
        <v>94</v>
      </c>
      <c r="R62" s="6">
        <v>96367894</v>
      </c>
      <c r="S62" s="6"/>
    </row>
    <row r="63" spans="1:20" hidden="1" x14ac:dyDescent="0.3">
      <c r="A63" s="14">
        <v>1</v>
      </c>
      <c r="B63" s="14">
        <v>1</v>
      </c>
      <c r="C63" s="14">
        <v>209</v>
      </c>
      <c r="D63" s="14" t="s">
        <v>95</v>
      </c>
      <c r="E63" s="15">
        <v>0</v>
      </c>
      <c r="F63" s="15"/>
      <c r="G63" s="15" t="s">
        <v>806</v>
      </c>
      <c r="H63" s="15" t="s">
        <v>775</v>
      </c>
      <c r="I63" s="16" t="s">
        <v>533</v>
      </c>
      <c r="Q63" s="6" t="s">
        <v>96</v>
      </c>
      <c r="R63" s="6">
        <v>76309243</v>
      </c>
      <c r="S63" s="6"/>
    </row>
    <row r="64" spans="1:20" hidden="1" x14ac:dyDescent="0.3">
      <c r="A64" s="14" t="s">
        <v>870</v>
      </c>
      <c r="B64" s="14">
        <v>0</v>
      </c>
      <c r="C64" s="14">
        <v>212</v>
      </c>
      <c r="D64" s="14" t="s">
        <v>97</v>
      </c>
      <c r="E64" s="20">
        <f>1+1-2</f>
        <v>0</v>
      </c>
      <c r="F64" s="20"/>
      <c r="G64" s="20"/>
      <c r="H64" s="20"/>
      <c r="I64" s="14"/>
      <c r="Q64" t="s">
        <v>98</v>
      </c>
      <c r="R64" s="8">
        <v>29079072</v>
      </c>
      <c r="S64">
        <v>0</v>
      </c>
      <c r="T64">
        <v>8.8000000000000007</v>
      </c>
    </row>
    <row r="65" spans="1:25" hidden="1" x14ac:dyDescent="0.3">
      <c r="A65" s="14" t="s">
        <v>870</v>
      </c>
      <c r="B65" s="14">
        <v>0</v>
      </c>
      <c r="C65" s="14">
        <v>214</v>
      </c>
      <c r="D65" s="14" t="s">
        <v>102</v>
      </c>
      <c r="E65" s="20">
        <f>1-1</f>
        <v>0</v>
      </c>
      <c r="F65" s="20"/>
      <c r="G65" s="20"/>
      <c r="H65" s="20"/>
      <c r="I65" s="14"/>
      <c r="Q65" t="s">
        <v>103</v>
      </c>
      <c r="R65">
        <v>93038579</v>
      </c>
      <c r="S65">
        <v>0</v>
      </c>
      <c r="T65">
        <v>192.3</v>
      </c>
    </row>
    <row r="66" spans="1:25" hidden="1" x14ac:dyDescent="0.3">
      <c r="A66" s="14">
        <v>1</v>
      </c>
      <c r="B66" s="14">
        <v>1</v>
      </c>
      <c r="C66" s="20">
        <v>216</v>
      </c>
      <c r="D66" s="14" t="s">
        <v>742</v>
      </c>
      <c r="E66" s="15">
        <v>0</v>
      </c>
      <c r="F66" s="15"/>
      <c r="G66" s="15" t="s">
        <v>820</v>
      </c>
      <c r="H66" s="15" t="s">
        <v>747</v>
      </c>
      <c r="I66" s="16"/>
      <c r="Q66" t="s">
        <v>105</v>
      </c>
      <c r="R66">
        <v>90078953</v>
      </c>
      <c r="S66">
        <v>0</v>
      </c>
      <c r="T66">
        <v>3.7</v>
      </c>
    </row>
    <row r="67" spans="1:25" x14ac:dyDescent="0.3">
      <c r="A67" s="14">
        <v>0</v>
      </c>
      <c r="B67" s="14">
        <v>0</v>
      </c>
      <c r="C67" s="14">
        <v>236</v>
      </c>
      <c r="D67" s="14" t="s">
        <v>119</v>
      </c>
      <c r="E67" s="20">
        <f>9.725-1.645-6.425</f>
        <v>1.6550000000000002</v>
      </c>
      <c r="F67" s="20"/>
      <c r="G67" s="20"/>
      <c r="H67" s="15"/>
      <c r="I67" s="16"/>
      <c r="Q67" t="s">
        <v>115</v>
      </c>
      <c r="R67">
        <v>942712</v>
      </c>
      <c r="S67">
        <v>0</v>
      </c>
      <c r="T67">
        <v>71.2</v>
      </c>
    </row>
    <row r="68" spans="1:25" hidden="1" x14ac:dyDescent="0.3">
      <c r="A68" s="14" t="s">
        <v>870</v>
      </c>
      <c r="B68" s="14">
        <v>0</v>
      </c>
      <c r="C68" s="14">
        <v>223</v>
      </c>
      <c r="D68" s="14" t="s">
        <v>109</v>
      </c>
      <c r="E68" s="20">
        <f>6.5+3.5-4.5-4.5-1</f>
        <v>0</v>
      </c>
      <c r="F68" s="20"/>
      <c r="G68" s="20"/>
      <c r="H68" s="15"/>
      <c r="I68" s="16"/>
      <c r="Q68" t="s">
        <v>110</v>
      </c>
      <c r="R68">
        <v>28078695</v>
      </c>
      <c r="S68">
        <v>0</v>
      </c>
      <c r="T68">
        <v>5.4</v>
      </c>
      <c r="Y68">
        <v>1.25</v>
      </c>
    </row>
    <row r="69" spans="1:25" hidden="1" x14ac:dyDescent="0.3">
      <c r="A69" s="14">
        <v>1</v>
      </c>
      <c r="B69" s="14" t="s">
        <v>179</v>
      </c>
      <c r="C69" s="14">
        <v>229</v>
      </c>
      <c r="D69" s="14" t="s">
        <v>182</v>
      </c>
      <c r="E69" s="15">
        <f>2-2</f>
        <v>0</v>
      </c>
      <c r="F69" s="15"/>
      <c r="G69" s="15" t="s">
        <v>812</v>
      </c>
      <c r="H69" s="15" t="s">
        <v>750</v>
      </c>
      <c r="I69" s="16"/>
    </row>
    <row r="70" spans="1:25" hidden="1" x14ac:dyDescent="0.3">
      <c r="A70" s="14" t="s">
        <v>870</v>
      </c>
      <c r="B70" s="14">
        <v>0</v>
      </c>
      <c r="C70" s="14">
        <v>231</v>
      </c>
      <c r="D70" s="14" t="s">
        <v>112</v>
      </c>
      <c r="E70" s="20">
        <f>0.7-0.7</f>
        <v>0</v>
      </c>
      <c r="F70" s="20"/>
      <c r="G70" s="20"/>
      <c r="H70" s="15"/>
      <c r="I70" s="16"/>
      <c r="Q70" t="s">
        <v>113</v>
      </c>
      <c r="R70">
        <v>79472254</v>
      </c>
      <c r="S70">
        <v>0</v>
      </c>
      <c r="T70">
        <v>210</v>
      </c>
      <c r="Y70">
        <v>0.15</v>
      </c>
    </row>
    <row r="71" spans="1:25" hidden="1" x14ac:dyDescent="0.3">
      <c r="A71" s="14">
        <v>0</v>
      </c>
      <c r="B71" s="14">
        <v>1</v>
      </c>
      <c r="C71" s="14">
        <v>232</v>
      </c>
      <c r="D71" s="14" t="s">
        <v>114</v>
      </c>
      <c r="E71" s="19">
        <v>0</v>
      </c>
      <c r="F71" s="19"/>
      <c r="G71" s="19"/>
      <c r="H71" s="15"/>
      <c r="I71" s="16"/>
      <c r="Q71" t="s">
        <v>115</v>
      </c>
      <c r="R71">
        <v>942712</v>
      </c>
      <c r="S71">
        <v>0</v>
      </c>
      <c r="T71">
        <v>77.900000000000006</v>
      </c>
    </row>
    <row r="72" spans="1:25" x14ac:dyDescent="0.3">
      <c r="A72" s="14">
        <v>0</v>
      </c>
      <c r="B72" s="14">
        <v>0</v>
      </c>
      <c r="C72" s="14">
        <v>237</v>
      </c>
      <c r="D72" s="14" t="s">
        <v>120</v>
      </c>
      <c r="E72" s="15">
        <v>5</v>
      </c>
      <c r="F72" s="15"/>
      <c r="G72" s="15" t="s">
        <v>816</v>
      </c>
      <c r="H72" s="15"/>
      <c r="I72" s="16"/>
    </row>
    <row r="73" spans="1:25" x14ac:dyDescent="0.3">
      <c r="A73" s="14">
        <v>1</v>
      </c>
      <c r="B73" s="14" t="s">
        <v>126</v>
      </c>
      <c r="C73" s="20">
        <v>249</v>
      </c>
      <c r="D73" s="14" t="s">
        <v>716</v>
      </c>
      <c r="E73" s="15">
        <f>+I73*12400/1000000</f>
        <v>5.27</v>
      </c>
      <c r="F73" s="15" t="s">
        <v>985</v>
      </c>
      <c r="G73" s="15" t="s">
        <v>822</v>
      </c>
      <c r="H73" s="15"/>
      <c r="I73" s="16">
        <f>85*5</f>
        <v>425</v>
      </c>
    </row>
    <row r="74" spans="1:25" x14ac:dyDescent="0.3">
      <c r="A74" s="14">
        <v>0</v>
      </c>
      <c r="B74" s="14" t="s">
        <v>128</v>
      </c>
      <c r="C74" s="14">
        <v>250</v>
      </c>
      <c r="D74" s="14" t="s">
        <v>129</v>
      </c>
      <c r="E74" s="15">
        <f>2+3</f>
        <v>5</v>
      </c>
      <c r="F74" s="15"/>
      <c r="G74" s="15" t="s">
        <v>806</v>
      </c>
      <c r="H74" s="15" t="s">
        <v>750</v>
      </c>
      <c r="I74" s="16"/>
    </row>
    <row r="75" spans="1:25" hidden="1" x14ac:dyDescent="0.3">
      <c r="A75" s="14" t="s">
        <v>871</v>
      </c>
      <c r="B75" s="14">
        <v>1</v>
      </c>
      <c r="C75" s="14">
        <v>239</v>
      </c>
      <c r="D75" s="14" t="s">
        <v>121</v>
      </c>
      <c r="E75" s="20">
        <f>0.8-0.8</f>
        <v>0</v>
      </c>
      <c r="F75" s="20"/>
      <c r="G75" s="20"/>
      <c r="H75" s="15"/>
      <c r="I75" s="16"/>
    </row>
    <row r="76" spans="1:25" hidden="1" x14ac:dyDescent="0.3">
      <c r="A76" s="14">
        <v>1</v>
      </c>
      <c r="B76" s="14">
        <v>1</v>
      </c>
      <c r="C76" s="14">
        <v>245</v>
      </c>
      <c r="D76" s="14" t="s">
        <v>122</v>
      </c>
      <c r="E76" s="15">
        <v>0</v>
      </c>
      <c r="F76" s="15"/>
      <c r="G76" s="15"/>
      <c r="H76" s="15" t="s">
        <v>775</v>
      </c>
      <c r="I76" s="16"/>
    </row>
    <row r="77" spans="1:25" hidden="1" x14ac:dyDescent="0.3">
      <c r="A77" s="14">
        <v>1</v>
      </c>
      <c r="B77" s="14"/>
      <c r="C77" s="14">
        <v>246</v>
      </c>
      <c r="D77" s="14" t="s">
        <v>992</v>
      </c>
      <c r="E77" s="38">
        <v>0</v>
      </c>
      <c r="F77" s="38" t="s">
        <v>985</v>
      </c>
      <c r="G77" s="15" t="s">
        <v>821</v>
      </c>
      <c r="H77" s="15" t="s">
        <v>782</v>
      </c>
      <c r="I77" s="16">
        <v>1500</v>
      </c>
    </row>
    <row r="78" spans="1:25" ht="43.2" hidden="1" x14ac:dyDescent="0.3">
      <c r="A78" s="14">
        <v>0</v>
      </c>
      <c r="B78" s="14" t="s">
        <v>123</v>
      </c>
      <c r="C78" s="14">
        <v>248</v>
      </c>
      <c r="D78" s="14" t="s">
        <v>124</v>
      </c>
      <c r="E78" s="19">
        <v>0</v>
      </c>
      <c r="F78" s="19"/>
      <c r="G78" s="19"/>
      <c r="H78" s="15"/>
      <c r="I78" s="16" t="s">
        <v>125</v>
      </c>
    </row>
    <row r="79" spans="1:25" x14ac:dyDescent="0.3">
      <c r="A79" s="14">
        <v>0</v>
      </c>
      <c r="B79" s="14" t="s">
        <v>134</v>
      </c>
      <c r="C79" s="14">
        <v>263</v>
      </c>
      <c r="D79" s="24" t="s">
        <v>135</v>
      </c>
      <c r="E79" s="15">
        <f>2+7+8+1.27+0.5+4-4</f>
        <v>18.77</v>
      </c>
      <c r="F79" s="15"/>
      <c r="G79" s="15" t="s">
        <v>804</v>
      </c>
      <c r="H79" s="15" t="s">
        <v>886</v>
      </c>
      <c r="I79" s="16"/>
    </row>
    <row r="80" spans="1:25" x14ac:dyDescent="0.3">
      <c r="A80" s="14">
        <v>0</v>
      </c>
      <c r="B80" s="14" t="s">
        <v>136</v>
      </c>
      <c r="C80" s="14">
        <v>265</v>
      </c>
      <c r="D80" s="14" t="s">
        <v>137</v>
      </c>
      <c r="E80" s="15">
        <f>17.9-6-8</f>
        <v>3.8999999999999986</v>
      </c>
      <c r="F80" s="15" t="s">
        <v>985</v>
      </c>
      <c r="G80" s="15" t="s">
        <v>824</v>
      </c>
      <c r="H80" s="15"/>
      <c r="I80" s="16" t="s">
        <v>1022</v>
      </c>
    </row>
    <row r="81" spans="1:12" hidden="1" x14ac:dyDescent="0.3">
      <c r="A81" s="14">
        <v>0</v>
      </c>
      <c r="B81" s="14" t="s">
        <v>130</v>
      </c>
      <c r="C81" s="14">
        <v>251</v>
      </c>
      <c r="D81" s="14" t="s">
        <v>936</v>
      </c>
      <c r="E81" s="20">
        <f>1.1-1.1</f>
        <v>0</v>
      </c>
      <c r="F81" s="20"/>
      <c r="G81" s="20"/>
      <c r="H81" s="15"/>
      <c r="I81" s="16"/>
    </row>
    <row r="82" spans="1:12" hidden="1" x14ac:dyDescent="0.3">
      <c r="A82" s="14">
        <v>1</v>
      </c>
      <c r="B82" s="14" t="s">
        <v>132</v>
      </c>
      <c r="C82" s="14">
        <v>253</v>
      </c>
      <c r="D82" s="14" t="s">
        <v>133</v>
      </c>
      <c r="E82" s="19">
        <v>0</v>
      </c>
      <c r="F82" s="19"/>
      <c r="G82" s="15" t="s">
        <v>798</v>
      </c>
      <c r="H82" s="15" t="s">
        <v>790</v>
      </c>
      <c r="I82" s="16">
        <f>1500-800-274-157</f>
        <v>269</v>
      </c>
    </row>
    <row r="83" spans="1:12" x14ac:dyDescent="0.3">
      <c r="A83" s="14">
        <v>0</v>
      </c>
      <c r="B83" s="14" t="s">
        <v>138</v>
      </c>
      <c r="C83" s="14">
        <v>267</v>
      </c>
      <c r="D83" s="14" t="s">
        <v>139</v>
      </c>
      <c r="E83" s="15">
        <f>1+1-1.36+0.36+1.2+0.5+0.8</f>
        <v>3.5</v>
      </c>
      <c r="F83" s="15"/>
      <c r="G83" s="15" t="s">
        <v>799</v>
      </c>
      <c r="H83" s="15" t="s">
        <v>750</v>
      </c>
      <c r="I83" s="16"/>
    </row>
    <row r="84" spans="1:12" x14ac:dyDescent="0.3">
      <c r="A84" s="14">
        <v>0</v>
      </c>
      <c r="B84" s="14" t="s">
        <v>138</v>
      </c>
      <c r="C84" s="14">
        <v>269</v>
      </c>
      <c r="D84" s="14" t="s">
        <v>140</v>
      </c>
      <c r="E84" s="15">
        <f>+I84*12500/1000000+2-5</f>
        <v>14.5</v>
      </c>
      <c r="F84" s="15" t="s">
        <v>985</v>
      </c>
      <c r="G84" s="15" t="s">
        <v>825</v>
      </c>
      <c r="H84" s="15"/>
      <c r="I84" s="16">
        <v>1400</v>
      </c>
    </row>
    <row r="85" spans="1:12" ht="15" hidden="1" customHeight="1" x14ac:dyDescent="0.3">
      <c r="A85" s="14">
        <v>1</v>
      </c>
      <c r="B85" s="14" t="s">
        <v>141</v>
      </c>
      <c r="C85" s="14">
        <v>272</v>
      </c>
      <c r="D85" s="14" t="s">
        <v>142</v>
      </c>
      <c r="E85" s="15">
        <f>17.5-6-6-2.5-0.8-1.5-0.7</f>
        <v>0</v>
      </c>
      <c r="F85" s="15" t="s">
        <v>985</v>
      </c>
      <c r="G85" s="15" t="s">
        <v>801</v>
      </c>
      <c r="H85" s="15" t="s">
        <v>917</v>
      </c>
      <c r="I85" s="16"/>
    </row>
    <row r="86" spans="1:12" x14ac:dyDescent="0.3">
      <c r="A86" s="14">
        <v>0</v>
      </c>
      <c r="B86" s="14" t="s">
        <v>141</v>
      </c>
      <c r="C86" s="14">
        <v>274</v>
      </c>
      <c r="D86" s="14" t="s">
        <v>978</v>
      </c>
      <c r="E86" s="15">
        <f>+I86*12500/1000000-35-25-15+18.5*2+18*2-12.6-45-17+5*3+18.5-40+17.7-17.7+2*20+4*18.5+2*20+2*18.5-2*20-90+18.5+13*2+18*2-24.2-40-25-20-16.5-16-16-11-22-12+0.3-20-0.3-22-2.5-18-18-12.1-3.5-3.5-0.8*5-13</f>
        <v>129.6</v>
      </c>
      <c r="F86" s="15"/>
      <c r="G86" s="15" t="s">
        <v>794</v>
      </c>
      <c r="H86" s="92" t="s">
        <v>1208</v>
      </c>
      <c r="I86" s="16">
        <f>1420*10+1420*2+1420*5+1420*5</f>
        <v>31240</v>
      </c>
    </row>
    <row r="87" spans="1:12" x14ac:dyDescent="0.3">
      <c r="A87" s="14">
        <v>0</v>
      </c>
      <c r="B87" s="14"/>
      <c r="C87" s="14">
        <v>275</v>
      </c>
      <c r="D87" s="14" t="s">
        <v>1187</v>
      </c>
      <c r="E87" s="15">
        <f>60+10</f>
        <v>70</v>
      </c>
      <c r="F87" s="15"/>
      <c r="G87" s="15" t="s">
        <v>821</v>
      </c>
      <c r="H87" s="15"/>
      <c r="I87" s="16"/>
    </row>
    <row r="88" spans="1:12" hidden="1" x14ac:dyDescent="0.3">
      <c r="A88" s="19">
        <v>0</v>
      </c>
      <c r="B88" s="14" t="s">
        <v>141</v>
      </c>
      <c r="C88" s="14">
        <v>273</v>
      </c>
      <c r="D88" s="14" t="s">
        <v>143</v>
      </c>
      <c r="E88" s="19">
        <f>0.3-0.3</f>
        <v>0</v>
      </c>
      <c r="F88" s="19"/>
      <c r="G88" s="19"/>
      <c r="H88" s="19"/>
      <c r="I88" s="16"/>
    </row>
    <row r="89" spans="1:12" x14ac:dyDescent="0.3">
      <c r="A89" s="14">
        <v>0</v>
      </c>
      <c r="B89" s="14"/>
      <c r="C89" s="15">
        <v>275</v>
      </c>
      <c r="D89" s="14" t="s">
        <v>147</v>
      </c>
      <c r="E89" s="15">
        <f>4*1.27+57-20+2.5+2.5+6.2+1.26*20+2.5-15-9-20-2-6-7.706</f>
        <v>21.274000000000004</v>
      </c>
      <c r="F89" s="15"/>
      <c r="G89" s="15" t="s">
        <v>821</v>
      </c>
      <c r="H89" s="15"/>
      <c r="I89" s="16"/>
      <c r="L89" t="s">
        <v>148</v>
      </c>
    </row>
    <row r="90" spans="1:12" x14ac:dyDescent="0.3">
      <c r="A90" s="14">
        <v>0</v>
      </c>
      <c r="B90" s="14" t="s">
        <v>145</v>
      </c>
      <c r="C90" s="14">
        <v>275</v>
      </c>
      <c r="D90" s="14" t="s">
        <v>146</v>
      </c>
      <c r="E90" s="15">
        <f>+I90*12500/1000000-25*1.21</f>
        <v>23.75</v>
      </c>
      <c r="F90" s="15"/>
      <c r="G90" s="15" t="s">
        <v>821</v>
      </c>
      <c r="H90" s="169" t="s">
        <v>1300</v>
      </c>
      <c r="I90" s="16">
        <f>1400*10+4*1520-1400*6-1400-1520-1520*2-1400</f>
        <v>4320</v>
      </c>
    </row>
    <row r="91" spans="1:12" x14ac:dyDescent="0.3">
      <c r="A91" s="14" t="s">
        <v>767</v>
      </c>
      <c r="B91" s="14" t="s">
        <v>149</v>
      </c>
      <c r="C91" s="31">
        <v>279</v>
      </c>
      <c r="D91" s="33" t="s">
        <v>150</v>
      </c>
      <c r="E91" s="24">
        <f>95*2*12500/1000000+2.5+3+5.78+1.43+2.8+2.5+1.15+4.93+1+0.5+5</f>
        <v>32.965000000000003</v>
      </c>
      <c r="F91" s="24"/>
      <c r="G91" s="24" t="s">
        <v>805</v>
      </c>
      <c r="H91" s="15"/>
      <c r="I91" s="16" t="s">
        <v>151</v>
      </c>
      <c r="K91" t="s">
        <v>152</v>
      </c>
    </row>
    <row r="92" spans="1:12" x14ac:dyDescent="0.3">
      <c r="A92" s="14">
        <v>0</v>
      </c>
      <c r="B92" s="14" t="s">
        <v>153</v>
      </c>
      <c r="C92" s="14">
        <v>282</v>
      </c>
      <c r="D92" s="14" t="s">
        <v>154</v>
      </c>
      <c r="E92" s="15">
        <f>3.5+30+4.82</f>
        <v>38.32</v>
      </c>
      <c r="F92" s="15"/>
      <c r="G92" s="15" t="s">
        <v>799</v>
      </c>
      <c r="H92" s="15"/>
      <c r="I92" s="16" t="s">
        <v>982</v>
      </c>
    </row>
    <row r="93" spans="1:12" ht="43.2" hidden="1" x14ac:dyDescent="0.3">
      <c r="A93" s="14">
        <v>1</v>
      </c>
      <c r="B93" s="14" t="s">
        <v>153</v>
      </c>
      <c r="C93" s="14">
        <v>283</v>
      </c>
      <c r="D93" s="14" t="s">
        <v>155</v>
      </c>
      <c r="E93" s="15">
        <f>0*12500/1000000+1.4-1.4</f>
        <v>0</v>
      </c>
      <c r="F93" s="15"/>
      <c r="G93" s="15" t="s">
        <v>799</v>
      </c>
      <c r="H93" s="15" t="s">
        <v>865</v>
      </c>
      <c r="I93" s="16" t="s">
        <v>882</v>
      </c>
    </row>
    <row r="94" spans="1:12" hidden="1" x14ac:dyDescent="0.3">
      <c r="A94" s="14">
        <v>0</v>
      </c>
      <c r="B94" s="14" t="s">
        <v>156</v>
      </c>
      <c r="C94" s="14">
        <v>284</v>
      </c>
      <c r="D94" s="14" t="s">
        <v>157</v>
      </c>
      <c r="E94" s="15">
        <f>20-6-6-7.3-0.7</f>
        <v>0</v>
      </c>
      <c r="F94" s="15"/>
      <c r="G94" s="15" t="s">
        <v>799</v>
      </c>
      <c r="H94" s="15">
        <v>0</v>
      </c>
      <c r="I94" s="16"/>
      <c r="J94" t="s">
        <v>158</v>
      </c>
    </row>
    <row r="95" spans="1:12" ht="28.8" x14ac:dyDescent="0.3">
      <c r="A95" s="14">
        <v>1</v>
      </c>
      <c r="B95" s="14" t="s">
        <v>156</v>
      </c>
      <c r="C95" s="14">
        <v>285</v>
      </c>
      <c r="D95" s="14" t="s">
        <v>159</v>
      </c>
      <c r="E95" s="15">
        <f>1200*12500/1000000-2.2-0.8-8-1</f>
        <v>3</v>
      </c>
      <c r="F95" s="15" t="s">
        <v>985</v>
      </c>
      <c r="G95" s="15" t="s">
        <v>812</v>
      </c>
      <c r="H95" s="15" t="s">
        <v>773</v>
      </c>
      <c r="I95" s="16" t="s">
        <v>160</v>
      </c>
    </row>
    <row r="96" spans="1:12" x14ac:dyDescent="0.3">
      <c r="A96" s="14">
        <v>1</v>
      </c>
      <c r="B96" s="14" t="s">
        <v>161</v>
      </c>
      <c r="C96" s="14">
        <v>287</v>
      </c>
      <c r="D96" s="14" t="s">
        <v>162</v>
      </c>
      <c r="E96" s="15">
        <f>18-9.5-2-2-2-1-1-0.3</f>
        <v>0.2</v>
      </c>
      <c r="F96" s="15" t="s">
        <v>985</v>
      </c>
      <c r="G96" s="15" t="s">
        <v>826</v>
      </c>
      <c r="H96" s="15" t="s">
        <v>917</v>
      </c>
      <c r="I96" s="16" t="s">
        <v>163</v>
      </c>
    </row>
    <row r="97" spans="1:18" ht="28.8" hidden="1" x14ac:dyDescent="0.3">
      <c r="A97" s="19">
        <v>0</v>
      </c>
      <c r="B97" s="14" t="s">
        <v>164</v>
      </c>
      <c r="C97" s="14">
        <v>288</v>
      </c>
      <c r="D97" s="14" t="s">
        <v>165</v>
      </c>
      <c r="E97" s="19">
        <v>0</v>
      </c>
      <c r="F97" s="19"/>
      <c r="G97" s="19"/>
      <c r="H97" s="15"/>
      <c r="I97" s="16" t="s">
        <v>166</v>
      </c>
    </row>
    <row r="98" spans="1:18" hidden="1" x14ac:dyDescent="0.3">
      <c r="A98" s="19">
        <v>0</v>
      </c>
      <c r="B98" s="14" t="s">
        <v>167</v>
      </c>
      <c r="C98" s="14">
        <v>294</v>
      </c>
      <c r="D98" s="14" t="s">
        <v>168</v>
      </c>
      <c r="E98" s="19">
        <f>22-7.56-3-7-2.2+5-1.5-1.3-1.4-1.1-1.94</f>
        <v>0</v>
      </c>
      <c r="F98" s="19"/>
      <c r="G98" s="19"/>
      <c r="H98" s="15" t="s">
        <v>169</v>
      </c>
      <c r="I98" s="16" t="s">
        <v>170</v>
      </c>
    </row>
    <row r="99" spans="1:18" x14ac:dyDescent="0.3">
      <c r="A99" s="14">
        <v>1</v>
      </c>
      <c r="B99" s="14" t="s">
        <v>171</v>
      </c>
      <c r="C99" s="20">
        <v>296</v>
      </c>
      <c r="D99" s="14" t="s">
        <v>875</v>
      </c>
      <c r="E99" s="15">
        <f>23-2.5-0.5-7</f>
        <v>13</v>
      </c>
      <c r="F99" s="15" t="s">
        <v>985</v>
      </c>
      <c r="G99" s="15" t="s">
        <v>822</v>
      </c>
      <c r="H99" s="15" t="s">
        <v>979</v>
      </c>
      <c r="I99" s="16" t="s">
        <v>170</v>
      </c>
    </row>
    <row r="100" spans="1:18" hidden="1" x14ac:dyDescent="0.3">
      <c r="A100" s="19">
        <v>0</v>
      </c>
      <c r="B100" s="14" t="s">
        <v>171</v>
      </c>
      <c r="C100" s="14">
        <v>297</v>
      </c>
      <c r="D100" s="14" t="s">
        <v>173</v>
      </c>
      <c r="E100" s="19">
        <f>20.4-20+18+25.4+25.4-50.8+18-18.4+17.5-35.5+18+18+18-23*0.9-23*0.9-12.6</f>
        <v>0</v>
      </c>
      <c r="F100" s="19"/>
      <c r="G100" s="19"/>
      <c r="H100" s="15" t="s">
        <v>231</v>
      </c>
      <c r="I100" s="16" t="s">
        <v>174</v>
      </c>
    </row>
    <row r="101" spans="1:18" hidden="1" x14ac:dyDescent="0.3">
      <c r="A101" s="19">
        <v>0</v>
      </c>
      <c r="B101" s="14" t="s">
        <v>175</v>
      </c>
      <c r="C101" s="14">
        <v>300</v>
      </c>
      <c r="D101" s="14" t="s">
        <v>176</v>
      </c>
      <c r="E101" s="19">
        <f>4-1.7-1.3-1</f>
        <v>0</v>
      </c>
      <c r="F101" s="19"/>
      <c r="G101" s="19"/>
      <c r="H101" s="15" t="s">
        <v>177</v>
      </c>
      <c r="I101" s="16" t="s">
        <v>178</v>
      </c>
    </row>
    <row r="102" spans="1:18" x14ac:dyDescent="0.3">
      <c r="A102" s="14">
        <v>0</v>
      </c>
      <c r="B102" s="14" t="s">
        <v>179</v>
      </c>
      <c r="C102" s="14">
        <v>302</v>
      </c>
      <c r="D102" s="14" t="s">
        <v>180</v>
      </c>
      <c r="E102" s="20">
        <f>2+1.6</f>
        <v>3.6</v>
      </c>
      <c r="F102" s="20"/>
      <c r="G102" s="15"/>
      <c r="H102" s="15"/>
      <c r="I102" s="16"/>
      <c r="J102" t="s">
        <v>181</v>
      </c>
    </row>
    <row r="103" spans="1:18" hidden="1" x14ac:dyDescent="0.3">
      <c r="A103" s="14" t="s">
        <v>873</v>
      </c>
      <c r="B103" s="14" t="s">
        <v>183</v>
      </c>
      <c r="C103" s="14">
        <v>303</v>
      </c>
      <c r="D103" s="14" t="s">
        <v>184</v>
      </c>
      <c r="E103" s="20">
        <f>7.2-7.2</f>
        <v>0</v>
      </c>
      <c r="F103" s="20"/>
      <c r="G103" s="15"/>
      <c r="H103" s="15"/>
      <c r="I103" s="16"/>
    </row>
    <row r="104" spans="1:18" ht="28.8" hidden="1" x14ac:dyDescent="0.3">
      <c r="A104" s="14">
        <v>0</v>
      </c>
      <c r="B104" s="14" t="s">
        <v>185</v>
      </c>
      <c r="C104" s="14">
        <v>304</v>
      </c>
      <c r="D104" s="14" t="s">
        <v>186</v>
      </c>
      <c r="E104" s="19">
        <v>0</v>
      </c>
      <c r="F104" s="19"/>
      <c r="G104" s="19"/>
      <c r="H104" s="15"/>
      <c r="I104" s="16" t="s">
        <v>187</v>
      </c>
    </row>
    <row r="105" spans="1:18" hidden="1" x14ac:dyDescent="0.3">
      <c r="A105" s="14">
        <v>0</v>
      </c>
      <c r="B105" s="14" t="s">
        <v>188</v>
      </c>
      <c r="C105" s="14">
        <v>306</v>
      </c>
      <c r="D105" s="14" t="s">
        <v>189</v>
      </c>
      <c r="E105" s="19">
        <f>18.3-5-3-5-5.3</f>
        <v>0</v>
      </c>
      <c r="F105" s="19"/>
      <c r="G105" s="15" t="s">
        <v>801</v>
      </c>
      <c r="H105" s="15" t="s">
        <v>790</v>
      </c>
      <c r="I105" s="16"/>
    </row>
    <row r="106" spans="1:18" hidden="1" x14ac:dyDescent="0.3">
      <c r="A106" s="14">
        <v>1</v>
      </c>
      <c r="B106" s="14" t="s">
        <v>188</v>
      </c>
      <c r="C106" s="14">
        <v>308</v>
      </c>
      <c r="D106" s="14" t="s">
        <v>190</v>
      </c>
      <c r="E106" s="19">
        <f>500*12700/1000000-1.3-3*1.27-1.24</f>
        <v>0</v>
      </c>
      <c r="F106" s="19"/>
      <c r="G106" s="15" t="s">
        <v>798</v>
      </c>
      <c r="H106" s="15" t="s">
        <v>750</v>
      </c>
      <c r="I106" s="16" t="s">
        <v>191</v>
      </c>
    </row>
    <row r="107" spans="1:18" hidden="1" x14ac:dyDescent="0.3">
      <c r="A107" s="19">
        <v>0</v>
      </c>
      <c r="B107" s="14" t="s">
        <v>192</v>
      </c>
      <c r="C107" s="14">
        <v>309</v>
      </c>
      <c r="D107" s="14" t="s">
        <v>193</v>
      </c>
      <c r="E107" s="19">
        <v>0</v>
      </c>
      <c r="F107" s="19"/>
      <c r="G107" s="19"/>
      <c r="H107" s="15"/>
      <c r="I107" s="16"/>
    </row>
    <row r="108" spans="1:18" hidden="1" x14ac:dyDescent="0.3">
      <c r="A108" s="14">
        <v>1</v>
      </c>
      <c r="B108" s="14" t="s">
        <v>194</v>
      </c>
      <c r="C108" s="20">
        <v>313</v>
      </c>
      <c r="D108" s="14" t="s">
        <v>195</v>
      </c>
      <c r="E108" s="15">
        <f>870*12700/1000000-1-10.049</f>
        <v>0</v>
      </c>
      <c r="F108" s="15"/>
      <c r="G108" s="15" t="s">
        <v>795</v>
      </c>
      <c r="H108" s="15" t="s">
        <v>920</v>
      </c>
      <c r="I108" s="16" t="s">
        <v>196</v>
      </c>
    </row>
    <row r="109" spans="1:18" hidden="1" x14ac:dyDescent="0.3">
      <c r="A109" s="14">
        <v>0</v>
      </c>
      <c r="B109" s="14" t="s">
        <v>194</v>
      </c>
      <c r="C109" s="14">
        <v>314</v>
      </c>
      <c r="D109" s="14" t="s">
        <v>197</v>
      </c>
      <c r="E109" s="15">
        <v>0</v>
      </c>
      <c r="F109" s="15"/>
      <c r="G109" s="15"/>
      <c r="H109" s="15" t="s">
        <v>177</v>
      </c>
      <c r="I109" s="16"/>
      <c r="Q109" s="10"/>
      <c r="R109" s="10"/>
    </row>
    <row r="110" spans="1:18" hidden="1" x14ac:dyDescent="0.3">
      <c r="A110" s="14">
        <v>1</v>
      </c>
      <c r="B110" s="14" t="s">
        <v>198</v>
      </c>
      <c r="C110" s="14">
        <v>315</v>
      </c>
      <c r="D110" s="14" t="s">
        <v>199</v>
      </c>
      <c r="E110" s="15">
        <f>2+19.5+1-2-19.5-1</f>
        <v>0</v>
      </c>
      <c r="F110" s="15"/>
      <c r="G110" s="15"/>
      <c r="H110" s="15" t="s">
        <v>200</v>
      </c>
      <c r="I110" s="16" t="s">
        <v>762</v>
      </c>
      <c r="Q110" s="10"/>
      <c r="R110" s="10"/>
    </row>
    <row r="111" spans="1:18" x14ac:dyDescent="0.3">
      <c r="A111" s="14">
        <v>0</v>
      </c>
      <c r="B111" s="14" t="s">
        <v>198</v>
      </c>
      <c r="C111" s="14">
        <v>317</v>
      </c>
      <c r="D111" s="14" t="s">
        <v>201</v>
      </c>
      <c r="E111" s="15">
        <f>0.635+11</f>
        <v>11.635</v>
      </c>
      <c r="F111" s="15"/>
      <c r="G111" s="15" t="s">
        <v>828</v>
      </c>
      <c r="H111" s="15"/>
      <c r="I111" s="16"/>
      <c r="J111" t="s">
        <v>202</v>
      </c>
      <c r="Q111" s="10"/>
      <c r="R111" s="10"/>
    </row>
    <row r="112" spans="1:18" hidden="1" x14ac:dyDescent="0.3">
      <c r="A112" s="14" t="s">
        <v>871</v>
      </c>
      <c r="B112" s="14" t="s">
        <v>203</v>
      </c>
      <c r="C112" s="14">
        <v>318</v>
      </c>
      <c r="D112" s="14" t="s">
        <v>204</v>
      </c>
      <c r="E112" s="20">
        <f>6-3-1.27-0.23-0.3-1.2</f>
        <v>0</v>
      </c>
      <c r="F112" s="20"/>
      <c r="G112" s="20"/>
      <c r="H112" s="15" t="s">
        <v>205</v>
      </c>
      <c r="I112" s="16"/>
      <c r="Q112" s="10">
        <v>100000000</v>
      </c>
      <c r="R112" s="10"/>
    </row>
    <row r="113" spans="1:18" hidden="1" x14ac:dyDescent="0.3">
      <c r="A113" s="14">
        <v>1</v>
      </c>
      <c r="B113" s="14" t="s">
        <v>206</v>
      </c>
      <c r="C113" s="14">
        <v>321</v>
      </c>
      <c r="D113" s="14" t="s">
        <v>207</v>
      </c>
      <c r="E113" s="15">
        <v>0</v>
      </c>
      <c r="F113" s="15" t="s">
        <v>985</v>
      </c>
      <c r="G113" s="15" t="s">
        <v>826</v>
      </c>
      <c r="H113" s="15" t="s">
        <v>231</v>
      </c>
      <c r="I113" s="16"/>
      <c r="Q113" s="10"/>
      <c r="R113" s="10"/>
    </row>
    <row r="114" spans="1:18" hidden="1" x14ac:dyDescent="0.3">
      <c r="A114" s="14">
        <v>0</v>
      </c>
      <c r="B114" s="14" t="s">
        <v>206</v>
      </c>
      <c r="C114" s="14">
        <v>323</v>
      </c>
      <c r="D114" s="14" t="s">
        <v>208</v>
      </c>
      <c r="E114" s="19">
        <v>0</v>
      </c>
      <c r="F114" s="19"/>
      <c r="G114" s="19"/>
      <c r="H114" s="19"/>
      <c r="I114" s="16"/>
      <c r="Q114" s="10"/>
      <c r="R114" s="10"/>
    </row>
    <row r="115" spans="1:18" hidden="1" x14ac:dyDescent="0.3">
      <c r="A115" s="19">
        <v>0</v>
      </c>
      <c r="B115" s="14" t="s">
        <v>209</v>
      </c>
      <c r="C115" s="14">
        <v>324</v>
      </c>
      <c r="D115" s="14" t="s">
        <v>210</v>
      </c>
      <c r="E115" s="19">
        <f>19-4-4-2-2-6-1</f>
        <v>0</v>
      </c>
      <c r="F115" s="19"/>
      <c r="G115" s="19"/>
      <c r="H115" s="15" t="s">
        <v>704</v>
      </c>
      <c r="I115" s="16"/>
      <c r="Q115" s="10"/>
      <c r="R115" s="10"/>
    </row>
    <row r="116" spans="1:18" x14ac:dyDescent="0.3">
      <c r="A116" s="14">
        <v>1</v>
      </c>
      <c r="B116" s="14" t="s">
        <v>209</v>
      </c>
      <c r="C116" s="14">
        <v>325</v>
      </c>
      <c r="D116" s="14" t="s">
        <v>211</v>
      </c>
      <c r="E116" s="15">
        <f>16.5-5.5-1</f>
        <v>10</v>
      </c>
      <c r="F116" s="15" t="s">
        <v>985</v>
      </c>
      <c r="G116" s="15" t="s">
        <v>819</v>
      </c>
      <c r="H116" s="15" t="s">
        <v>887</v>
      </c>
      <c r="I116" s="16"/>
      <c r="Q116" s="10">
        <v>95345000</v>
      </c>
      <c r="R116" s="10"/>
    </row>
    <row r="117" spans="1:18" hidden="1" x14ac:dyDescent="0.3">
      <c r="A117" s="19">
        <v>0</v>
      </c>
      <c r="B117" s="14" t="s">
        <v>214</v>
      </c>
      <c r="C117" s="14">
        <v>329</v>
      </c>
      <c r="D117" s="14" t="s">
        <v>215</v>
      </c>
      <c r="E117" s="19">
        <v>0</v>
      </c>
      <c r="F117" s="19"/>
      <c r="G117" s="19"/>
      <c r="H117" s="15" t="s">
        <v>177</v>
      </c>
      <c r="I117" s="16"/>
      <c r="J117" t="s">
        <v>216</v>
      </c>
      <c r="Q117" s="10"/>
      <c r="R117" s="10">
        <v>-31525000</v>
      </c>
    </row>
    <row r="118" spans="1:18" hidden="1" x14ac:dyDescent="0.3">
      <c r="A118" s="27">
        <v>0</v>
      </c>
      <c r="B118" s="14" t="s">
        <v>217</v>
      </c>
      <c r="C118" s="14">
        <v>334</v>
      </c>
      <c r="D118" s="14" t="s">
        <v>218</v>
      </c>
      <c r="E118" s="27">
        <v>0</v>
      </c>
      <c r="F118" s="27"/>
      <c r="G118" s="27"/>
      <c r="H118" s="15" t="s">
        <v>219</v>
      </c>
      <c r="I118" s="16"/>
      <c r="Q118" s="10"/>
      <c r="R118" s="10">
        <v>-1300000</v>
      </c>
    </row>
    <row r="119" spans="1:18" x14ac:dyDescent="0.3">
      <c r="A119" s="14">
        <v>0</v>
      </c>
      <c r="B119" s="14" t="s">
        <v>217</v>
      </c>
      <c r="C119" s="14">
        <v>336</v>
      </c>
      <c r="D119" s="14" t="s">
        <v>220</v>
      </c>
      <c r="E119" s="20">
        <f>400*12700/1000000-1+0.6</f>
        <v>4.68</v>
      </c>
      <c r="F119" s="20"/>
      <c r="G119" s="15" t="s">
        <v>814</v>
      </c>
      <c r="H119" s="15"/>
      <c r="I119" s="16"/>
      <c r="J119" t="s">
        <v>221</v>
      </c>
      <c r="R119" s="10">
        <v>-800000</v>
      </c>
    </row>
    <row r="120" spans="1:18" hidden="1" x14ac:dyDescent="0.3">
      <c r="A120" s="14">
        <v>0</v>
      </c>
      <c r="B120" s="14" t="s">
        <v>222</v>
      </c>
      <c r="C120" s="14">
        <v>339</v>
      </c>
      <c r="D120" s="22" t="s">
        <v>223</v>
      </c>
      <c r="E120" s="19">
        <f>18.5-2-10-3.5-3</f>
        <v>0</v>
      </c>
      <c r="F120" s="19"/>
      <c r="G120" s="19"/>
      <c r="H120" s="15"/>
      <c r="I120" s="16"/>
      <c r="R120" s="10">
        <v>-4500000</v>
      </c>
    </row>
    <row r="121" spans="1:18" hidden="1" x14ac:dyDescent="0.3">
      <c r="A121" s="14">
        <v>0</v>
      </c>
      <c r="B121" s="14" t="s">
        <v>224</v>
      </c>
      <c r="C121" s="14">
        <v>345</v>
      </c>
      <c r="D121" s="14" t="s">
        <v>225</v>
      </c>
      <c r="E121" s="19">
        <f>18.8-13-4-1.8</f>
        <v>0</v>
      </c>
      <c r="F121" s="19"/>
      <c r="G121" s="19"/>
      <c r="H121" s="19"/>
      <c r="I121" s="16"/>
    </row>
    <row r="122" spans="1:18" hidden="1" x14ac:dyDescent="0.3">
      <c r="A122" s="14">
        <v>0</v>
      </c>
      <c r="B122" s="14" t="s">
        <v>226</v>
      </c>
      <c r="C122" s="14">
        <v>346</v>
      </c>
      <c r="D122" s="14" t="s">
        <v>227</v>
      </c>
      <c r="E122" s="19">
        <f>12+12+2.5-26.5</f>
        <v>0</v>
      </c>
      <c r="F122" s="19"/>
      <c r="G122" s="19"/>
      <c r="H122" s="19"/>
      <c r="I122" s="16"/>
    </row>
    <row r="123" spans="1:18" hidden="1" x14ac:dyDescent="0.3">
      <c r="A123" s="14">
        <v>0</v>
      </c>
      <c r="B123" s="14" t="s">
        <v>226</v>
      </c>
      <c r="C123" s="14">
        <v>347</v>
      </c>
      <c r="D123" s="14" t="s">
        <v>228</v>
      </c>
      <c r="E123" s="20">
        <v>0</v>
      </c>
      <c r="F123" s="20"/>
      <c r="G123" s="15" t="s">
        <v>799</v>
      </c>
      <c r="H123" s="15">
        <v>0</v>
      </c>
      <c r="I123" s="16"/>
    </row>
    <row r="124" spans="1:18" hidden="1" x14ac:dyDescent="0.3">
      <c r="A124" s="14">
        <v>1</v>
      </c>
      <c r="B124" s="14" t="s">
        <v>229</v>
      </c>
      <c r="C124" s="14">
        <v>348</v>
      </c>
      <c r="D124" s="14" t="s">
        <v>1185</v>
      </c>
      <c r="E124" s="15">
        <f>18.5-6.5-5-1-1-0.5-1-1-0.5-2</f>
        <v>0</v>
      </c>
      <c r="F124" s="15" t="s">
        <v>985</v>
      </c>
      <c r="G124" s="15" t="s">
        <v>795</v>
      </c>
      <c r="H124" s="15" t="s">
        <v>920</v>
      </c>
      <c r="I124" s="16"/>
    </row>
    <row r="125" spans="1:18" x14ac:dyDescent="0.3">
      <c r="A125" s="14">
        <v>0</v>
      </c>
      <c r="B125" s="14" t="s">
        <v>232</v>
      </c>
      <c r="C125" s="14">
        <v>355</v>
      </c>
      <c r="D125" s="14" t="s">
        <v>233</v>
      </c>
      <c r="E125" s="15">
        <f>2+1.5+2+1.6+0.8+0.5+0.41+0.5+1+1</f>
        <v>11.309999999999999</v>
      </c>
      <c r="F125" s="15"/>
      <c r="G125" s="15" t="s">
        <v>809</v>
      </c>
      <c r="H125" s="15"/>
      <c r="I125" s="16"/>
    </row>
    <row r="126" spans="1:18" hidden="1" x14ac:dyDescent="0.3">
      <c r="A126" s="14">
        <v>0</v>
      </c>
      <c r="B126" s="14" t="s">
        <v>234</v>
      </c>
      <c r="C126" s="14">
        <v>359</v>
      </c>
      <c r="D126" s="14" t="s">
        <v>235</v>
      </c>
      <c r="E126" s="19">
        <v>0</v>
      </c>
      <c r="F126" s="19"/>
      <c r="G126" s="19"/>
      <c r="H126" s="19"/>
      <c r="I126" s="16"/>
    </row>
    <row r="127" spans="1:18" hidden="1" x14ac:dyDescent="0.3">
      <c r="A127" s="25">
        <v>0</v>
      </c>
      <c r="B127" s="14" t="s">
        <v>236</v>
      </c>
      <c r="C127" s="14">
        <v>363</v>
      </c>
      <c r="D127" s="14" t="s">
        <v>237</v>
      </c>
      <c r="E127" s="25">
        <v>0</v>
      </c>
      <c r="F127" s="25"/>
      <c r="G127" s="15" t="s">
        <v>808</v>
      </c>
      <c r="H127" s="15" t="s">
        <v>775</v>
      </c>
      <c r="I127" s="16" t="s">
        <v>238</v>
      </c>
    </row>
    <row r="128" spans="1:18" hidden="1" x14ac:dyDescent="0.3">
      <c r="A128" s="19">
        <v>0</v>
      </c>
      <c r="B128" s="14" t="s">
        <v>239</v>
      </c>
      <c r="C128" s="14">
        <v>366</v>
      </c>
      <c r="D128" s="14" t="s">
        <v>240</v>
      </c>
      <c r="E128" s="19">
        <v>0</v>
      </c>
      <c r="F128" s="19"/>
      <c r="G128" s="19"/>
      <c r="H128" s="15"/>
      <c r="I128" s="16"/>
    </row>
    <row r="129" spans="1:9" hidden="1" x14ac:dyDescent="0.3">
      <c r="A129" s="14">
        <v>0</v>
      </c>
      <c r="B129" s="14" t="s">
        <v>239</v>
      </c>
      <c r="C129" s="14">
        <v>368</v>
      </c>
      <c r="D129" s="14" t="s">
        <v>241</v>
      </c>
      <c r="E129" s="19">
        <f>-15+6.2+1.3+2+1.5+4</f>
        <v>0</v>
      </c>
      <c r="F129" s="19"/>
      <c r="G129" s="19"/>
      <c r="H129" s="19"/>
      <c r="I129" s="16"/>
    </row>
    <row r="130" spans="1:9" ht="28.8" hidden="1" x14ac:dyDescent="0.3">
      <c r="A130" s="14">
        <v>0</v>
      </c>
      <c r="B130" s="14" t="s">
        <v>242</v>
      </c>
      <c r="C130" s="14">
        <v>369</v>
      </c>
      <c r="D130" s="14" t="s">
        <v>243</v>
      </c>
      <c r="E130" s="23">
        <v>0</v>
      </c>
      <c r="F130" s="23"/>
      <c r="G130" s="23"/>
      <c r="H130" s="23"/>
      <c r="I130" s="16" t="s">
        <v>244</v>
      </c>
    </row>
    <row r="131" spans="1:9" hidden="1" x14ac:dyDescent="0.3">
      <c r="A131" s="14">
        <v>1</v>
      </c>
      <c r="B131" s="14" t="s">
        <v>245</v>
      </c>
      <c r="C131" s="14">
        <v>371</v>
      </c>
      <c r="D131" s="14" t="s">
        <v>246</v>
      </c>
      <c r="E131" s="15">
        <f>19-10-2.5-4.5-1-1</f>
        <v>0</v>
      </c>
      <c r="F131" s="15"/>
      <c r="G131" s="15" t="s">
        <v>807</v>
      </c>
      <c r="H131" s="15" t="s">
        <v>920</v>
      </c>
      <c r="I131" s="16" t="s">
        <v>247</v>
      </c>
    </row>
    <row r="132" spans="1:9" hidden="1" x14ac:dyDescent="0.3">
      <c r="A132" s="14">
        <v>1</v>
      </c>
      <c r="B132" s="24" t="s">
        <v>245</v>
      </c>
      <c r="C132" s="14">
        <v>373</v>
      </c>
      <c r="D132" s="14" t="s">
        <v>248</v>
      </c>
      <c r="E132" s="15">
        <f>18+4.3+11.6-4.3+4.4-4.4+4.4-11.6-4.4+5.5-5.5-18</f>
        <v>0</v>
      </c>
      <c r="F132" s="15"/>
      <c r="G132" s="15"/>
      <c r="H132" s="15"/>
      <c r="I132" s="16">
        <f>1350+350+900</f>
        <v>2600</v>
      </c>
    </row>
    <row r="133" spans="1:9" hidden="1" x14ac:dyDescent="0.3">
      <c r="A133" s="19">
        <v>0</v>
      </c>
      <c r="B133" s="14" t="s">
        <v>249</v>
      </c>
      <c r="C133" s="14">
        <v>377</v>
      </c>
      <c r="D133" s="14" t="s">
        <v>250</v>
      </c>
      <c r="E133" s="19">
        <v>0</v>
      </c>
      <c r="F133" s="19"/>
      <c r="G133" s="19"/>
      <c r="H133" s="15" t="s">
        <v>722</v>
      </c>
      <c r="I133" s="16"/>
    </row>
    <row r="134" spans="1:9" hidden="1" x14ac:dyDescent="0.3">
      <c r="A134" s="14">
        <v>1</v>
      </c>
      <c r="B134" s="14" t="s">
        <v>251</v>
      </c>
      <c r="C134" s="14">
        <v>380</v>
      </c>
      <c r="D134" s="14" t="s">
        <v>252</v>
      </c>
      <c r="E134" s="15">
        <f>10.7*1.274-4*1.274-6.7*1.274</f>
        <v>0</v>
      </c>
      <c r="F134" s="15"/>
      <c r="G134" s="15" t="s">
        <v>824</v>
      </c>
      <c r="H134" s="15" t="s">
        <v>775</v>
      </c>
      <c r="I134" s="16" t="s">
        <v>253</v>
      </c>
    </row>
    <row r="135" spans="1:9" hidden="1" x14ac:dyDescent="0.3">
      <c r="A135" s="19">
        <v>0</v>
      </c>
      <c r="B135" s="14" t="s">
        <v>254</v>
      </c>
      <c r="C135" s="14">
        <v>382</v>
      </c>
      <c r="D135" s="14" t="s">
        <v>255</v>
      </c>
      <c r="E135" s="19">
        <v>0</v>
      </c>
      <c r="F135" s="19"/>
      <c r="G135" s="19"/>
      <c r="H135" s="15"/>
      <c r="I135" s="16"/>
    </row>
    <row r="136" spans="1:9" hidden="1" x14ac:dyDescent="0.3">
      <c r="A136" s="14" t="s">
        <v>870</v>
      </c>
      <c r="B136" s="31" t="s">
        <v>254</v>
      </c>
      <c r="C136" s="14">
        <v>384</v>
      </c>
      <c r="D136" s="14" t="s">
        <v>256</v>
      </c>
      <c r="E136" s="20">
        <f>25.5-10-15.5</f>
        <v>0</v>
      </c>
      <c r="F136" s="20"/>
      <c r="G136" s="20"/>
      <c r="H136" s="15"/>
      <c r="I136" s="16"/>
    </row>
    <row r="137" spans="1:9" hidden="1" x14ac:dyDescent="0.3">
      <c r="A137" s="19">
        <v>0</v>
      </c>
      <c r="B137" s="14" t="s">
        <v>257</v>
      </c>
      <c r="C137" s="14">
        <v>386</v>
      </c>
      <c r="D137" s="14" t="s">
        <v>258</v>
      </c>
      <c r="E137" s="19">
        <v>0</v>
      </c>
      <c r="F137" s="19"/>
      <c r="G137" s="19"/>
      <c r="H137" s="19"/>
      <c r="I137" s="16"/>
    </row>
    <row r="138" spans="1:9" hidden="1" x14ac:dyDescent="0.3">
      <c r="A138" s="14">
        <v>1</v>
      </c>
      <c r="B138" s="14" t="s">
        <v>257</v>
      </c>
      <c r="C138" s="14">
        <v>387</v>
      </c>
      <c r="D138" s="14" t="s">
        <v>259</v>
      </c>
      <c r="E138" s="15">
        <f>12*1.27-11-1.7-2.54</f>
        <v>0</v>
      </c>
      <c r="F138" s="15"/>
      <c r="G138" s="15" t="s">
        <v>798</v>
      </c>
      <c r="H138" s="15" t="s">
        <v>790</v>
      </c>
      <c r="I138" s="16" t="s">
        <v>261</v>
      </c>
    </row>
    <row r="139" spans="1:9" hidden="1" x14ac:dyDescent="0.3">
      <c r="A139" s="14">
        <v>0</v>
      </c>
      <c r="B139" s="14" t="s">
        <v>262</v>
      </c>
      <c r="C139" s="14">
        <v>392</v>
      </c>
      <c r="D139" s="14" t="s">
        <v>263</v>
      </c>
      <c r="E139" s="19">
        <f>18.5-15.5-3</f>
        <v>0</v>
      </c>
      <c r="F139" s="19"/>
      <c r="G139" s="19"/>
      <c r="H139" s="15" t="s">
        <v>67</v>
      </c>
      <c r="I139" s="16"/>
    </row>
    <row r="140" spans="1:9" x14ac:dyDescent="0.3">
      <c r="A140" s="14">
        <v>1</v>
      </c>
      <c r="B140" s="14" t="s">
        <v>264</v>
      </c>
      <c r="C140" s="14">
        <v>394</v>
      </c>
      <c r="D140" s="14" t="s">
        <v>265</v>
      </c>
      <c r="E140" s="15">
        <f>10-4.15</f>
        <v>5.85</v>
      </c>
      <c r="F140" s="15"/>
      <c r="G140" s="15" t="s">
        <v>810</v>
      </c>
      <c r="H140" s="15"/>
      <c r="I140" s="16"/>
    </row>
    <row r="141" spans="1:9" hidden="1" x14ac:dyDescent="0.3">
      <c r="A141" s="19" t="s">
        <v>767</v>
      </c>
      <c r="B141" s="14" t="s">
        <v>266</v>
      </c>
      <c r="C141" s="20">
        <v>396</v>
      </c>
      <c r="D141" s="33" t="s">
        <v>267</v>
      </c>
      <c r="E141" s="19">
        <f>15-2-1-2-2-2-2-3-1</f>
        <v>0</v>
      </c>
      <c r="F141" s="19"/>
      <c r="G141" s="15" t="s">
        <v>805</v>
      </c>
      <c r="H141" s="15" t="s">
        <v>927</v>
      </c>
      <c r="I141" s="16"/>
    </row>
    <row r="142" spans="1:9" hidden="1" x14ac:dyDescent="0.3">
      <c r="A142" s="14">
        <v>0</v>
      </c>
      <c r="B142" s="14" t="s">
        <v>268</v>
      </c>
      <c r="C142" s="14">
        <v>397</v>
      </c>
      <c r="D142" s="14" t="s">
        <v>269</v>
      </c>
      <c r="E142" s="19">
        <f>18.8-5-5-4.4-4.4</f>
        <v>0</v>
      </c>
      <c r="F142" s="19"/>
      <c r="G142" s="19"/>
      <c r="H142" s="19"/>
      <c r="I142" s="16"/>
    </row>
    <row r="143" spans="1:9" hidden="1" x14ac:dyDescent="0.3">
      <c r="A143" s="14">
        <v>1</v>
      </c>
      <c r="B143" s="14" t="s">
        <v>270</v>
      </c>
      <c r="C143" s="14">
        <v>399</v>
      </c>
      <c r="D143" s="14" t="s">
        <v>271</v>
      </c>
      <c r="E143" s="15">
        <v>0</v>
      </c>
      <c r="F143" s="15"/>
      <c r="G143" s="15" t="s">
        <v>799</v>
      </c>
      <c r="H143" s="15" t="s">
        <v>790</v>
      </c>
      <c r="I143" s="16"/>
    </row>
    <row r="144" spans="1:9" hidden="1" x14ac:dyDescent="0.3">
      <c r="A144" s="19">
        <v>0</v>
      </c>
      <c r="B144" s="14" t="s">
        <v>270</v>
      </c>
      <c r="C144" s="14">
        <v>400</v>
      </c>
      <c r="D144" s="14" t="s">
        <v>272</v>
      </c>
      <c r="E144" s="19">
        <f>18.3-5-13.3</f>
        <v>0</v>
      </c>
      <c r="F144" s="19"/>
      <c r="G144" s="19"/>
      <c r="H144" s="15" t="s">
        <v>219</v>
      </c>
      <c r="I144" s="16"/>
    </row>
    <row r="145" spans="1:9" hidden="1" x14ac:dyDescent="0.3">
      <c r="A145" s="14">
        <v>0</v>
      </c>
      <c r="B145" s="14" t="s">
        <v>273</v>
      </c>
      <c r="C145" s="14">
        <v>401</v>
      </c>
      <c r="D145" s="14" t="s">
        <v>274</v>
      </c>
      <c r="E145" s="19">
        <f>15.5-14.26-1.24</f>
        <v>0</v>
      </c>
      <c r="F145" s="19"/>
      <c r="G145" s="19"/>
      <c r="H145" s="19"/>
      <c r="I145" s="16"/>
    </row>
    <row r="146" spans="1:9" hidden="1" x14ac:dyDescent="0.3">
      <c r="A146" s="19">
        <v>0</v>
      </c>
      <c r="B146" s="14" t="s">
        <v>275</v>
      </c>
      <c r="C146" s="14">
        <v>404</v>
      </c>
      <c r="D146" s="14" t="s">
        <v>276</v>
      </c>
      <c r="E146" s="19">
        <v>0</v>
      </c>
      <c r="F146" s="19"/>
      <c r="G146" s="19"/>
      <c r="H146" s="15" t="s">
        <v>205</v>
      </c>
      <c r="I146" s="16"/>
    </row>
    <row r="147" spans="1:9" hidden="1" x14ac:dyDescent="0.3">
      <c r="A147" s="14">
        <v>0</v>
      </c>
      <c r="B147" s="14" t="s">
        <v>275</v>
      </c>
      <c r="C147" s="25">
        <v>407</v>
      </c>
      <c r="D147" s="14" t="s">
        <v>277</v>
      </c>
      <c r="E147" s="19">
        <v>0</v>
      </c>
      <c r="F147" s="19"/>
      <c r="G147" s="19"/>
      <c r="H147" s="19"/>
      <c r="I147" s="16"/>
    </row>
    <row r="148" spans="1:9" hidden="1" x14ac:dyDescent="0.3">
      <c r="A148" s="14">
        <v>0</v>
      </c>
      <c r="B148" s="14" t="s">
        <v>278</v>
      </c>
      <c r="C148" s="14">
        <v>408</v>
      </c>
      <c r="D148" s="14" t="s">
        <v>279</v>
      </c>
      <c r="E148" s="20">
        <v>0</v>
      </c>
      <c r="F148" s="20"/>
      <c r="G148" s="20"/>
      <c r="H148" s="15" t="s">
        <v>231</v>
      </c>
      <c r="I148" s="16"/>
    </row>
    <row r="149" spans="1:9" hidden="1" x14ac:dyDescent="0.3">
      <c r="A149" s="25">
        <v>0</v>
      </c>
      <c r="B149" s="14" t="s">
        <v>280</v>
      </c>
      <c r="C149" s="14">
        <v>409</v>
      </c>
      <c r="D149" s="14" t="s">
        <v>281</v>
      </c>
      <c r="E149" s="25">
        <v>0</v>
      </c>
      <c r="F149" s="25"/>
      <c r="G149" s="15" t="s">
        <v>799</v>
      </c>
      <c r="H149" s="15" t="s">
        <v>775</v>
      </c>
      <c r="I149" s="16"/>
    </row>
    <row r="150" spans="1:9" hidden="1" x14ac:dyDescent="0.3">
      <c r="A150" s="14">
        <v>0</v>
      </c>
      <c r="B150" s="25" t="s">
        <v>280</v>
      </c>
      <c r="C150" s="14">
        <v>410</v>
      </c>
      <c r="D150" s="14" t="s">
        <v>282</v>
      </c>
      <c r="E150" s="19">
        <f>16.5-5-9-2-0.5</f>
        <v>0</v>
      </c>
      <c r="F150" s="19"/>
      <c r="G150" s="19"/>
      <c r="H150" s="19"/>
      <c r="I150" s="16"/>
    </row>
    <row r="151" spans="1:9" hidden="1" x14ac:dyDescent="0.3">
      <c r="A151" s="19">
        <v>0</v>
      </c>
      <c r="B151" s="14" t="s">
        <v>280</v>
      </c>
      <c r="C151" s="14">
        <v>411</v>
      </c>
      <c r="D151" s="14" t="s">
        <v>283</v>
      </c>
      <c r="E151" s="19">
        <v>0</v>
      </c>
      <c r="F151" s="19"/>
      <c r="G151" s="19"/>
      <c r="H151" s="15"/>
      <c r="I151" s="16"/>
    </row>
    <row r="152" spans="1:9" hidden="1" x14ac:dyDescent="0.3">
      <c r="A152" s="14">
        <v>0</v>
      </c>
      <c r="B152" s="14" t="s">
        <v>284</v>
      </c>
      <c r="C152" s="14">
        <v>412</v>
      </c>
      <c r="D152" s="14" t="s">
        <v>285</v>
      </c>
      <c r="E152" s="19">
        <f>19-9.8-9.2</f>
        <v>0</v>
      </c>
      <c r="F152" s="19"/>
      <c r="G152" s="19"/>
      <c r="H152" s="19"/>
      <c r="I152" s="16"/>
    </row>
    <row r="153" spans="1:9" x14ac:dyDescent="0.3">
      <c r="A153" s="14">
        <v>1</v>
      </c>
      <c r="B153" s="14" t="s">
        <v>286</v>
      </c>
      <c r="C153" s="14">
        <v>413</v>
      </c>
      <c r="D153" s="14" t="s">
        <v>287</v>
      </c>
      <c r="E153" s="15">
        <f>19-4*1.27-4-2.6-1.28*2-1</f>
        <v>3.76</v>
      </c>
      <c r="F153" s="15" t="s">
        <v>985</v>
      </c>
      <c r="G153" s="15" t="s">
        <v>795</v>
      </c>
      <c r="H153" s="15" t="s">
        <v>920</v>
      </c>
      <c r="I153" s="16"/>
    </row>
    <row r="154" spans="1:9" x14ac:dyDescent="0.3">
      <c r="A154" s="14" t="s">
        <v>789</v>
      </c>
      <c r="B154" s="14" t="s">
        <v>288</v>
      </c>
      <c r="C154" s="14">
        <v>415</v>
      </c>
      <c r="D154" s="32" t="s">
        <v>289</v>
      </c>
      <c r="E154" s="15">
        <f>19-8-1</f>
        <v>10</v>
      </c>
      <c r="F154" s="15" t="s">
        <v>985</v>
      </c>
      <c r="G154" s="15" t="s">
        <v>831</v>
      </c>
      <c r="H154" s="15"/>
      <c r="I154" s="16"/>
    </row>
    <row r="155" spans="1:9" hidden="1" x14ac:dyDescent="0.3">
      <c r="A155" s="14">
        <v>0</v>
      </c>
      <c r="B155" s="14" t="s">
        <v>288</v>
      </c>
      <c r="C155" s="14">
        <v>417</v>
      </c>
      <c r="D155" s="14" t="s">
        <v>290</v>
      </c>
      <c r="E155" s="19">
        <f>19.5-5-2.5-5-1-1-1-1-1-1.3-0.7</f>
        <v>0</v>
      </c>
      <c r="F155" s="19"/>
      <c r="G155" s="19"/>
      <c r="H155" s="19"/>
      <c r="I155" s="16"/>
    </row>
    <row r="156" spans="1:9" hidden="1" x14ac:dyDescent="0.3">
      <c r="A156" s="14">
        <v>0</v>
      </c>
      <c r="B156" s="14" t="s">
        <v>291</v>
      </c>
      <c r="C156" s="14">
        <v>418</v>
      </c>
      <c r="D156" s="14" t="s">
        <v>292</v>
      </c>
      <c r="E156" s="19">
        <v>0</v>
      </c>
      <c r="F156" s="19"/>
      <c r="G156" s="19"/>
      <c r="H156" s="15" t="s">
        <v>219</v>
      </c>
      <c r="I156" s="16"/>
    </row>
    <row r="157" spans="1:9" hidden="1" x14ac:dyDescent="0.3">
      <c r="A157" s="19">
        <v>0</v>
      </c>
      <c r="B157" s="14" t="s">
        <v>291</v>
      </c>
      <c r="C157" s="14">
        <v>419</v>
      </c>
      <c r="D157" s="14" t="s">
        <v>293</v>
      </c>
      <c r="E157" s="19">
        <f>30-5-10-15</f>
        <v>0</v>
      </c>
      <c r="F157" s="19"/>
      <c r="G157" s="19"/>
      <c r="H157" s="15" t="s">
        <v>738</v>
      </c>
      <c r="I157" s="16"/>
    </row>
    <row r="158" spans="1:9" ht="43.2" hidden="1" x14ac:dyDescent="0.3">
      <c r="A158" s="14">
        <v>1</v>
      </c>
      <c r="B158" s="14" t="s">
        <v>291</v>
      </c>
      <c r="C158" s="14">
        <v>421</v>
      </c>
      <c r="D158" s="14" t="s">
        <v>294</v>
      </c>
      <c r="E158" s="19">
        <f>2*1.27-2.54</f>
        <v>0</v>
      </c>
      <c r="F158" s="19"/>
      <c r="G158" s="15" t="s">
        <v>825</v>
      </c>
      <c r="H158" s="15" t="s">
        <v>775</v>
      </c>
      <c r="I158" s="16" t="s">
        <v>746</v>
      </c>
    </row>
    <row r="159" spans="1:9" hidden="1" x14ac:dyDescent="0.3">
      <c r="A159" s="14" t="s">
        <v>789</v>
      </c>
      <c r="B159" s="14" t="s">
        <v>295</v>
      </c>
      <c r="C159" s="14">
        <v>424</v>
      </c>
      <c r="D159" s="32" t="s">
        <v>296</v>
      </c>
      <c r="E159" s="15">
        <f>10-10</f>
        <v>0</v>
      </c>
      <c r="F159" s="15" t="s">
        <v>985</v>
      </c>
      <c r="G159" s="15" t="s">
        <v>831</v>
      </c>
      <c r="H159" s="15"/>
      <c r="I159" s="16"/>
    </row>
    <row r="160" spans="1:9" hidden="1" x14ac:dyDescent="0.3">
      <c r="A160" s="14">
        <v>0</v>
      </c>
      <c r="B160" s="14" t="s">
        <v>297</v>
      </c>
      <c r="C160" s="14">
        <v>425</v>
      </c>
      <c r="D160" s="14" t="s">
        <v>298</v>
      </c>
      <c r="E160" s="19">
        <f>18-10-2-2-2-2</f>
        <v>0</v>
      </c>
      <c r="F160" s="19"/>
      <c r="G160" s="19"/>
      <c r="H160" s="19"/>
      <c r="I160" s="16"/>
    </row>
    <row r="161" spans="1:12" hidden="1" x14ac:dyDescent="0.3">
      <c r="A161" s="14">
        <v>0</v>
      </c>
      <c r="B161" s="14" t="s">
        <v>297</v>
      </c>
      <c r="C161" s="14">
        <v>427</v>
      </c>
      <c r="D161" s="14" t="s">
        <v>299</v>
      </c>
      <c r="E161" s="19">
        <v>0</v>
      </c>
      <c r="F161" s="19"/>
      <c r="G161" s="19"/>
      <c r="H161" s="15" t="s">
        <v>300</v>
      </c>
      <c r="I161" s="16"/>
    </row>
    <row r="162" spans="1:12" hidden="1" x14ac:dyDescent="0.3">
      <c r="A162" s="14">
        <v>1</v>
      </c>
      <c r="B162" s="14" t="s">
        <v>301</v>
      </c>
      <c r="C162" s="14">
        <v>429</v>
      </c>
      <c r="D162" s="14" t="s">
        <v>302</v>
      </c>
      <c r="E162" s="19">
        <v>0</v>
      </c>
      <c r="F162" s="19"/>
      <c r="G162" s="15" t="s">
        <v>832</v>
      </c>
      <c r="H162" s="15" t="s">
        <v>777</v>
      </c>
      <c r="I162" s="16"/>
    </row>
    <row r="163" spans="1:12" hidden="1" x14ac:dyDescent="0.3">
      <c r="A163" s="14">
        <v>0</v>
      </c>
      <c r="B163" s="14" t="s">
        <v>303</v>
      </c>
      <c r="C163" s="14">
        <v>434</v>
      </c>
      <c r="D163" s="14" t="s">
        <v>304</v>
      </c>
      <c r="E163" s="19">
        <v>0</v>
      </c>
      <c r="F163" s="19"/>
      <c r="G163" s="19"/>
      <c r="H163" s="15" t="s">
        <v>67</v>
      </c>
      <c r="I163" s="16"/>
    </row>
    <row r="164" spans="1:12" hidden="1" x14ac:dyDescent="0.3">
      <c r="A164" s="19">
        <v>0</v>
      </c>
      <c r="B164" s="14" t="s">
        <v>303</v>
      </c>
      <c r="C164" s="14">
        <v>435</v>
      </c>
      <c r="D164" s="14" t="s">
        <v>305</v>
      </c>
      <c r="E164" s="19">
        <v>0</v>
      </c>
      <c r="F164" s="19"/>
      <c r="G164" s="19"/>
      <c r="H164" s="15" t="s">
        <v>205</v>
      </c>
      <c r="I164" s="16"/>
    </row>
    <row r="165" spans="1:12" hidden="1" x14ac:dyDescent="0.3">
      <c r="A165" s="19">
        <v>0</v>
      </c>
      <c r="B165" s="14" t="s">
        <v>303</v>
      </c>
      <c r="C165" s="14">
        <v>438</v>
      </c>
      <c r="D165" s="14" t="s">
        <v>306</v>
      </c>
      <c r="E165" s="19">
        <v>0</v>
      </c>
      <c r="F165" s="19"/>
      <c r="G165" s="19"/>
      <c r="H165" s="19"/>
      <c r="I165" s="16"/>
    </row>
    <row r="166" spans="1:12" hidden="1" x14ac:dyDescent="0.3">
      <c r="A166" s="14">
        <v>1</v>
      </c>
      <c r="B166" s="14" t="s">
        <v>307</v>
      </c>
      <c r="C166" s="14">
        <v>442</v>
      </c>
      <c r="D166" s="14" t="s">
        <v>308</v>
      </c>
      <c r="E166" s="25">
        <f>19.5-5-3-2.8-2.9-2.9-2.9</f>
        <v>0</v>
      </c>
      <c r="F166" s="25"/>
      <c r="G166" s="25"/>
      <c r="H166" s="15" t="s">
        <v>783</v>
      </c>
      <c r="I166" s="16"/>
    </row>
    <row r="167" spans="1:12" hidden="1" x14ac:dyDescent="0.3">
      <c r="A167" s="14">
        <v>1</v>
      </c>
      <c r="B167" s="14" t="s">
        <v>307</v>
      </c>
      <c r="C167" s="14">
        <v>443</v>
      </c>
      <c r="D167" s="14" t="s">
        <v>309</v>
      </c>
      <c r="E167" s="15">
        <f>19.5-5-4-5-2-3-0.5</f>
        <v>0</v>
      </c>
      <c r="F167" s="15" t="s">
        <v>985</v>
      </c>
      <c r="G167" s="15" t="s">
        <v>821</v>
      </c>
      <c r="H167" s="44" t="s">
        <v>920</v>
      </c>
      <c r="I167" s="16"/>
    </row>
    <row r="168" spans="1:12" hidden="1" x14ac:dyDescent="0.3">
      <c r="A168" s="14">
        <v>0</v>
      </c>
      <c r="B168" s="14" t="s">
        <v>310</v>
      </c>
      <c r="C168" s="14">
        <v>444</v>
      </c>
      <c r="D168" s="14" t="s">
        <v>311</v>
      </c>
      <c r="E168" s="19">
        <f>13-7-6</f>
        <v>0</v>
      </c>
      <c r="F168" s="19"/>
      <c r="G168" s="19"/>
      <c r="H168" s="19"/>
      <c r="I168" s="16"/>
    </row>
    <row r="169" spans="1:12" hidden="1" x14ac:dyDescent="0.3">
      <c r="A169" s="14">
        <v>1</v>
      </c>
      <c r="B169" s="14" t="s">
        <v>310</v>
      </c>
      <c r="C169" s="14">
        <v>445</v>
      </c>
      <c r="D169" s="14" t="s">
        <v>312</v>
      </c>
      <c r="E169" s="24">
        <v>0</v>
      </c>
      <c r="F169" s="24"/>
      <c r="G169" s="24"/>
      <c r="H169" s="15" t="s">
        <v>321</v>
      </c>
      <c r="I169" s="16" t="s">
        <v>313</v>
      </c>
    </row>
    <row r="170" spans="1:12" hidden="1" x14ac:dyDescent="0.3">
      <c r="A170" s="19">
        <v>0</v>
      </c>
      <c r="B170" s="14" t="s">
        <v>314</v>
      </c>
      <c r="C170" s="14">
        <v>448</v>
      </c>
      <c r="D170" s="14" t="s">
        <v>315</v>
      </c>
      <c r="E170" s="19">
        <f>4.5-1.5-1-2</f>
        <v>0</v>
      </c>
      <c r="F170" s="19"/>
      <c r="G170" s="19"/>
      <c r="H170" s="19"/>
      <c r="I170" s="16"/>
    </row>
    <row r="171" spans="1:12" hidden="1" x14ac:dyDescent="0.3">
      <c r="A171" s="14">
        <v>1</v>
      </c>
      <c r="B171" s="14" t="s">
        <v>314</v>
      </c>
      <c r="C171" s="14">
        <v>450</v>
      </c>
      <c r="D171" s="14" t="s">
        <v>316</v>
      </c>
      <c r="E171" s="15">
        <f>4.5+8.5-8.5+8-8-4.5</f>
        <v>0</v>
      </c>
      <c r="F171" s="15"/>
      <c r="G171" s="15" t="s">
        <v>832</v>
      </c>
      <c r="H171" s="15" t="s">
        <v>783</v>
      </c>
      <c r="I171" s="16"/>
    </row>
    <row r="172" spans="1:12" x14ac:dyDescent="0.3">
      <c r="A172" s="14">
        <v>1</v>
      </c>
      <c r="B172" s="14" t="s">
        <v>317</v>
      </c>
      <c r="C172" s="20">
        <v>451</v>
      </c>
      <c r="D172" s="14" t="s">
        <v>318</v>
      </c>
      <c r="E172" s="15">
        <f>1.02*5+0.35-2-2</f>
        <v>1.4499999999999993</v>
      </c>
      <c r="F172" s="15" t="s">
        <v>985</v>
      </c>
      <c r="G172" s="15" t="s">
        <v>795</v>
      </c>
      <c r="H172" s="47" t="s">
        <v>948</v>
      </c>
      <c r="I172" s="16" t="s">
        <v>1207</v>
      </c>
    </row>
    <row r="173" spans="1:12" x14ac:dyDescent="0.3">
      <c r="A173" s="14">
        <v>1</v>
      </c>
      <c r="B173" s="14" t="s">
        <v>317</v>
      </c>
      <c r="C173" s="20">
        <v>452</v>
      </c>
      <c r="D173" s="14" t="s">
        <v>319</v>
      </c>
      <c r="E173" s="15">
        <f>+(13-1-1)*1.28-0.8-0.2-1</f>
        <v>12.08</v>
      </c>
      <c r="F173" s="15" t="s">
        <v>985</v>
      </c>
      <c r="G173" s="15" t="s">
        <v>795</v>
      </c>
      <c r="H173" s="15" t="s">
        <v>750</v>
      </c>
      <c r="I173" s="16" t="s">
        <v>1230</v>
      </c>
    </row>
    <row r="174" spans="1:12" hidden="1" x14ac:dyDescent="0.3">
      <c r="A174" s="14">
        <v>1</v>
      </c>
      <c r="B174" s="14" t="s">
        <v>317</v>
      </c>
      <c r="C174" s="20">
        <v>453</v>
      </c>
      <c r="D174" s="14" t="s">
        <v>320</v>
      </c>
      <c r="E174" s="15">
        <v>0</v>
      </c>
      <c r="F174" s="15" t="s">
        <v>985</v>
      </c>
      <c r="G174" s="15" t="s">
        <v>804</v>
      </c>
      <c r="H174" s="15" t="s">
        <v>321</v>
      </c>
      <c r="I174" s="16"/>
      <c r="J174" t="s">
        <v>322</v>
      </c>
    </row>
    <row r="175" spans="1:12" hidden="1" x14ac:dyDescent="0.3">
      <c r="A175" s="19">
        <v>0</v>
      </c>
      <c r="B175" s="14" t="s">
        <v>317</v>
      </c>
      <c r="C175" s="14">
        <v>454</v>
      </c>
      <c r="D175" s="14" t="s">
        <v>323</v>
      </c>
      <c r="E175" s="19">
        <v>0</v>
      </c>
      <c r="F175" s="19"/>
      <c r="G175" s="19"/>
      <c r="H175" s="15" t="s">
        <v>722</v>
      </c>
      <c r="I175" s="16"/>
    </row>
    <row r="176" spans="1:12" ht="28.8" x14ac:dyDescent="0.3">
      <c r="A176" s="14">
        <v>1</v>
      </c>
      <c r="B176" s="14" t="s">
        <v>324</v>
      </c>
      <c r="C176" s="20">
        <v>456</v>
      </c>
      <c r="D176" s="14" t="s">
        <v>325</v>
      </c>
      <c r="E176" s="15">
        <f>4.5+4.5+4.5*2+8+15.5+18-25*0.9-10-10-10+160-54.5-7</f>
        <v>105.5</v>
      </c>
      <c r="F176" s="15"/>
      <c r="G176" s="15" t="s">
        <v>833</v>
      </c>
      <c r="H176" s="15" t="s">
        <v>980</v>
      </c>
      <c r="I176" s="16" t="s">
        <v>1220</v>
      </c>
      <c r="J176" t="s">
        <v>326</v>
      </c>
      <c r="L176" t="s">
        <v>327</v>
      </c>
    </row>
    <row r="177" spans="1:10" hidden="1" x14ac:dyDescent="0.3">
      <c r="A177" s="14" t="s">
        <v>872</v>
      </c>
      <c r="B177" s="14" t="s">
        <v>324</v>
      </c>
      <c r="C177" s="14">
        <v>457</v>
      </c>
      <c r="D177" s="14" t="s">
        <v>328</v>
      </c>
      <c r="E177" s="20">
        <f>18-10+8+8-24</f>
        <v>0</v>
      </c>
      <c r="F177" s="20"/>
      <c r="G177" s="20"/>
      <c r="H177" s="15"/>
      <c r="I177" s="16"/>
    </row>
    <row r="178" spans="1:10" hidden="1" x14ac:dyDescent="0.3">
      <c r="A178" s="14">
        <v>0</v>
      </c>
      <c r="B178" s="14" t="s">
        <v>324</v>
      </c>
      <c r="C178" s="14">
        <v>458</v>
      </c>
      <c r="D178" s="14" t="s">
        <v>329</v>
      </c>
      <c r="E178" s="19">
        <v>0</v>
      </c>
      <c r="F178" s="19"/>
      <c r="G178" s="19"/>
      <c r="H178" s="19"/>
      <c r="I178" s="16"/>
    </row>
    <row r="179" spans="1:10" hidden="1" x14ac:dyDescent="0.3">
      <c r="A179" s="14">
        <v>1</v>
      </c>
      <c r="B179" s="14" t="s">
        <v>330</v>
      </c>
      <c r="C179" s="14">
        <v>459</v>
      </c>
      <c r="D179" s="14" t="s">
        <v>331</v>
      </c>
      <c r="E179" s="19">
        <f>18.5-3.8-5-6.315-3.385</f>
        <v>0</v>
      </c>
      <c r="F179" s="19"/>
      <c r="G179" s="19"/>
      <c r="H179" s="19"/>
      <c r="I179" s="16"/>
    </row>
    <row r="180" spans="1:10" hidden="1" x14ac:dyDescent="0.3">
      <c r="A180" s="14">
        <v>0</v>
      </c>
      <c r="B180" s="14" t="s">
        <v>330</v>
      </c>
      <c r="C180" s="14">
        <v>460</v>
      </c>
      <c r="D180" s="14" t="s">
        <v>332</v>
      </c>
      <c r="E180" s="19">
        <v>0</v>
      </c>
      <c r="F180" s="19"/>
      <c r="G180" s="19"/>
      <c r="H180" s="15" t="s">
        <v>67</v>
      </c>
      <c r="I180" s="16"/>
    </row>
    <row r="181" spans="1:10" x14ac:dyDescent="0.3">
      <c r="A181" s="14">
        <v>1</v>
      </c>
      <c r="B181" s="14" t="s">
        <v>333</v>
      </c>
      <c r="C181" s="14">
        <v>462</v>
      </c>
      <c r="D181" s="14" t="s">
        <v>334</v>
      </c>
      <c r="E181" s="15">
        <f>4.5-2-1-0.784</f>
        <v>0.71599999999999997</v>
      </c>
      <c r="F181" s="15" t="s">
        <v>985</v>
      </c>
      <c r="G181" s="15" t="s">
        <v>797</v>
      </c>
      <c r="H181" s="47" t="s">
        <v>917</v>
      </c>
      <c r="I181" s="16"/>
    </row>
    <row r="182" spans="1:10" x14ac:dyDescent="0.3">
      <c r="A182" s="14">
        <v>1</v>
      </c>
      <c r="B182" s="20" t="s">
        <v>335</v>
      </c>
      <c r="C182" s="20">
        <v>463</v>
      </c>
      <c r="D182" s="20" t="s">
        <v>336</v>
      </c>
      <c r="E182" s="20">
        <f>10-0.7</f>
        <v>9.3000000000000007</v>
      </c>
      <c r="F182" s="20" t="s">
        <v>985</v>
      </c>
      <c r="G182" s="20" t="s">
        <v>812</v>
      </c>
      <c r="H182" s="20" t="s">
        <v>779</v>
      </c>
      <c r="I182" s="16" t="s">
        <v>981</v>
      </c>
      <c r="J182" t="s">
        <v>337</v>
      </c>
    </row>
    <row r="183" spans="1:10" hidden="1" x14ac:dyDescent="0.3">
      <c r="A183" s="19">
        <v>0</v>
      </c>
      <c r="B183" s="14" t="s">
        <v>335</v>
      </c>
      <c r="C183" s="14">
        <v>465</v>
      </c>
      <c r="D183" s="14" t="s">
        <v>338</v>
      </c>
      <c r="E183" s="19">
        <v>0</v>
      </c>
      <c r="F183" s="19"/>
      <c r="G183" s="19"/>
      <c r="H183" s="15" t="s">
        <v>177</v>
      </c>
      <c r="I183" s="16"/>
      <c r="J183" t="s">
        <v>339</v>
      </c>
    </row>
    <row r="184" spans="1:10" hidden="1" x14ac:dyDescent="0.3">
      <c r="A184" s="19">
        <v>0</v>
      </c>
      <c r="B184" s="14" t="s">
        <v>340</v>
      </c>
      <c r="C184" s="14">
        <v>470</v>
      </c>
      <c r="D184" s="14" t="s">
        <v>341</v>
      </c>
      <c r="E184" s="19">
        <f>18.5-5-2.55-3.3-2.496-0.654-4.5</f>
        <v>0</v>
      </c>
      <c r="F184" s="19"/>
      <c r="G184" s="19"/>
      <c r="H184" s="15" t="s">
        <v>177</v>
      </c>
      <c r="I184" s="16"/>
    </row>
    <row r="185" spans="1:10" hidden="1" x14ac:dyDescent="0.3">
      <c r="A185" s="14">
        <v>0</v>
      </c>
      <c r="B185" s="14" t="s">
        <v>342</v>
      </c>
      <c r="C185" s="14">
        <v>472</v>
      </c>
      <c r="D185" s="14" t="s">
        <v>343</v>
      </c>
      <c r="E185" s="19">
        <f>5.2-1.735-1.73-1.735</f>
        <v>0</v>
      </c>
      <c r="F185" s="19"/>
      <c r="G185" s="19"/>
      <c r="H185" s="19"/>
      <c r="I185" s="16"/>
    </row>
    <row r="186" spans="1:10" hidden="1" x14ac:dyDescent="0.3">
      <c r="A186" s="14">
        <v>0</v>
      </c>
      <c r="B186" s="14" t="s">
        <v>342</v>
      </c>
      <c r="C186" s="14">
        <v>473</v>
      </c>
      <c r="D186" s="14" t="s">
        <v>344</v>
      </c>
      <c r="E186" s="19">
        <f>5.2-5.2</f>
        <v>0</v>
      </c>
      <c r="F186" s="19"/>
      <c r="G186" s="19"/>
      <c r="H186" s="19"/>
      <c r="I186" s="16"/>
    </row>
    <row r="187" spans="1:10" hidden="1" x14ac:dyDescent="0.3">
      <c r="A187" s="14">
        <v>0</v>
      </c>
      <c r="B187" s="14" t="s">
        <v>345</v>
      </c>
      <c r="C187" s="14">
        <v>474</v>
      </c>
      <c r="D187" s="14" t="s">
        <v>346</v>
      </c>
      <c r="E187" s="25">
        <v>0</v>
      </c>
      <c r="F187" s="25"/>
      <c r="G187" s="25"/>
      <c r="H187" s="15" t="s">
        <v>590</v>
      </c>
      <c r="I187" s="16"/>
      <c r="J187" t="s">
        <v>347</v>
      </c>
    </row>
    <row r="188" spans="1:10" hidden="1" x14ac:dyDescent="0.3">
      <c r="A188" s="14">
        <v>1</v>
      </c>
      <c r="B188" s="14" t="s">
        <v>345</v>
      </c>
      <c r="C188" s="14">
        <v>475</v>
      </c>
      <c r="D188" s="14" t="s">
        <v>348</v>
      </c>
      <c r="E188" s="19">
        <v>0</v>
      </c>
      <c r="F188" s="19"/>
      <c r="G188" s="19"/>
      <c r="H188" s="15" t="s">
        <v>590</v>
      </c>
      <c r="I188" s="16"/>
    </row>
    <row r="189" spans="1:10" x14ac:dyDescent="0.3">
      <c r="A189" s="14">
        <v>0</v>
      </c>
      <c r="B189" s="14" t="s">
        <v>345</v>
      </c>
      <c r="C189" s="14">
        <v>476</v>
      </c>
      <c r="D189" s="14" t="s">
        <v>349</v>
      </c>
      <c r="E189" s="15">
        <f>9.7*1.27-4*1.27-5*1.278</f>
        <v>0.84899999999999842</v>
      </c>
      <c r="F189" s="15"/>
      <c r="G189" s="15" t="s">
        <v>807</v>
      </c>
      <c r="H189" s="15" t="s">
        <v>738</v>
      </c>
      <c r="I189" s="16"/>
    </row>
    <row r="190" spans="1:10" hidden="1" x14ac:dyDescent="0.3">
      <c r="A190" s="14">
        <v>1</v>
      </c>
      <c r="B190" s="14" t="s">
        <v>350</v>
      </c>
      <c r="C190" s="14">
        <v>478</v>
      </c>
      <c r="D190" s="14" t="s">
        <v>351</v>
      </c>
      <c r="E190" s="15">
        <f>19-5-5-0.8-2.2-2-1-0.5-0.4-1.5-0.6</f>
        <v>0</v>
      </c>
      <c r="F190" s="15" t="s">
        <v>985</v>
      </c>
      <c r="G190" s="15" t="s">
        <v>834</v>
      </c>
      <c r="H190" s="15" t="s">
        <v>948</v>
      </c>
      <c r="I190" s="16"/>
      <c r="J190" t="s">
        <v>353</v>
      </c>
    </row>
    <row r="191" spans="1:10" hidden="1" x14ac:dyDescent="0.3">
      <c r="A191" s="19">
        <v>0</v>
      </c>
      <c r="B191" s="14" t="s">
        <v>354</v>
      </c>
      <c r="C191" s="14">
        <v>479</v>
      </c>
      <c r="D191" s="14" t="s">
        <v>355</v>
      </c>
      <c r="E191" s="19">
        <v>0</v>
      </c>
      <c r="F191" s="19"/>
      <c r="G191" s="19"/>
      <c r="H191" s="15"/>
      <c r="I191" s="16"/>
    </row>
    <row r="192" spans="1:10" hidden="1" x14ac:dyDescent="0.3">
      <c r="A192" s="14" t="s">
        <v>789</v>
      </c>
      <c r="B192" s="14" t="s">
        <v>354</v>
      </c>
      <c r="C192" s="14">
        <v>481</v>
      </c>
      <c r="D192" s="32" t="s">
        <v>356</v>
      </c>
      <c r="E192" s="15">
        <v>0</v>
      </c>
      <c r="F192" s="15"/>
      <c r="G192" s="15"/>
      <c r="H192" s="15"/>
      <c r="I192" s="16"/>
      <c r="J192" t="s">
        <v>357</v>
      </c>
    </row>
    <row r="193" spans="1:10" hidden="1" x14ac:dyDescent="0.3">
      <c r="A193" s="14">
        <v>1</v>
      </c>
      <c r="B193" s="14" t="s">
        <v>354</v>
      </c>
      <c r="C193" s="14">
        <v>482</v>
      </c>
      <c r="D193" s="61" t="s">
        <v>1000</v>
      </c>
      <c r="E193" s="15">
        <f>5-3-1-1</f>
        <v>0</v>
      </c>
      <c r="F193" s="15" t="s">
        <v>985</v>
      </c>
      <c r="G193" s="15" t="s">
        <v>799</v>
      </c>
      <c r="H193" s="15" t="s">
        <v>917</v>
      </c>
      <c r="I193" s="16"/>
    </row>
    <row r="194" spans="1:10" hidden="1" x14ac:dyDescent="0.3">
      <c r="A194" s="14">
        <v>0</v>
      </c>
      <c r="B194" s="14" t="s">
        <v>359</v>
      </c>
      <c r="C194" s="14">
        <v>488</v>
      </c>
      <c r="D194" s="14" t="s">
        <v>360</v>
      </c>
      <c r="E194" s="25">
        <f>8-8</f>
        <v>0</v>
      </c>
      <c r="F194" s="25"/>
      <c r="G194" s="15" t="s">
        <v>798</v>
      </c>
      <c r="H194" s="15" t="s">
        <v>790</v>
      </c>
      <c r="I194" s="16"/>
    </row>
    <row r="195" spans="1:10" hidden="1" x14ac:dyDescent="0.3">
      <c r="A195" s="14">
        <v>1</v>
      </c>
      <c r="B195" s="14" t="s">
        <v>362</v>
      </c>
      <c r="C195" s="20">
        <v>490</v>
      </c>
      <c r="D195" s="14" t="s">
        <v>363</v>
      </c>
      <c r="E195" s="19">
        <f>14-1-1.4-1-1-9.6</f>
        <v>0</v>
      </c>
      <c r="F195" s="19"/>
      <c r="G195" s="15" t="s">
        <v>801</v>
      </c>
      <c r="H195" s="15" t="s">
        <v>750</v>
      </c>
      <c r="I195" s="16"/>
    </row>
    <row r="196" spans="1:10" hidden="1" x14ac:dyDescent="0.3">
      <c r="A196" s="25">
        <v>0</v>
      </c>
      <c r="B196" s="14" t="s">
        <v>362</v>
      </c>
      <c r="C196" s="14">
        <v>491</v>
      </c>
      <c r="D196" s="14" t="s">
        <v>364</v>
      </c>
      <c r="E196" s="25">
        <f>0.3-0.3</f>
        <v>0</v>
      </c>
      <c r="F196" s="25"/>
      <c r="G196" s="15" t="s">
        <v>821</v>
      </c>
      <c r="H196" s="15"/>
      <c r="I196" s="16"/>
    </row>
    <row r="197" spans="1:10" hidden="1" x14ac:dyDescent="0.3">
      <c r="A197" s="14">
        <v>0</v>
      </c>
      <c r="B197" s="14" t="s">
        <v>27</v>
      </c>
      <c r="C197" s="14">
        <v>492</v>
      </c>
      <c r="D197" s="14" t="s">
        <v>365</v>
      </c>
      <c r="E197" s="19">
        <f>19-6-9-4</f>
        <v>0</v>
      </c>
      <c r="F197" s="19"/>
      <c r="G197" s="19"/>
      <c r="H197" s="15" t="s">
        <v>67</v>
      </c>
      <c r="I197" s="16"/>
    </row>
    <row r="198" spans="1:10" hidden="1" x14ac:dyDescent="0.3">
      <c r="A198" s="14">
        <v>1</v>
      </c>
      <c r="B198" s="14" t="s">
        <v>27</v>
      </c>
      <c r="C198" s="14">
        <v>493</v>
      </c>
      <c r="D198" s="14" t="s">
        <v>366</v>
      </c>
      <c r="E198" s="19">
        <v>0</v>
      </c>
      <c r="F198" s="19"/>
      <c r="G198" s="19"/>
      <c r="H198" s="19"/>
      <c r="I198" s="16"/>
    </row>
    <row r="199" spans="1:10" hidden="1" x14ac:dyDescent="0.3">
      <c r="A199" s="14">
        <v>1</v>
      </c>
      <c r="B199" s="24" t="s">
        <v>367</v>
      </c>
      <c r="C199" s="14">
        <v>495</v>
      </c>
      <c r="D199" s="14" t="s">
        <v>368</v>
      </c>
      <c r="E199" s="15">
        <f>4+5.2-9.2</f>
        <v>0</v>
      </c>
      <c r="F199" s="15"/>
      <c r="G199" s="15"/>
      <c r="H199" s="15"/>
      <c r="I199" s="26"/>
    </row>
    <row r="200" spans="1:10" hidden="1" x14ac:dyDescent="0.3">
      <c r="A200" s="14" t="s">
        <v>767</v>
      </c>
      <c r="B200" s="14" t="s">
        <v>369</v>
      </c>
      <c r="C200" s="14">
        <v>499</v>
      </c>
      <c r="D200" s="33" t="s">
        <v>370</v>
      </c>
      <c r="E200" s="27">
        <f>23*1.27-16.2-13.01</f>
        <v>0</v>
      </c>
      <c r="F200" s="27"/>
      <c r="G200" s="15" t="s">
        <v>805</v>
      </c>
      <c r="H200" s="15" t="s">
        <v>321</v>
      </c>
      <c r="I200" s="16"/>
      <c r="J200" t="s">
        <v>371</v>
      </c>
    </row>
    <row r="201" spans="1:10" hidden="1" x14ac:dyDescent="0.3">
      <c r="A201" s="14">
        <v>0</v>
      </c>
      <c r="B201" s="14" t="s">
        <v>372</v>
      </c>
      <c r="C201" s="14">
        <v>501</v>
      </c>
      <c r="D201" s="14" t="s">
        <v>373</v>
      </c>
      <c r="E201" s="19">
        <f>14-11-2.82-0.18</f>
        <v>0</v>
      </c>
      <c r="F201" s="19"/>
      <c r="G201" s="19"/>
      <c r="H201" s="19"/>
      <c r="I201" s="16"/>
    </row>
    <row r="202" spans="1:10" x14ac:dyDescent="0.3">
      <c r="A202" s="14">
        <v>1</v>
      </c>
      <c r="B202" s="14" t="s">
        <v>374</v>
      </c>
      <c r="C202" s="20">
        <v>502</v>
      </c>
      <c r="D202" s="33" t="s">
        <v>375</v>
      </c>
      <c r="E202" s="15">
        <f>23-3.5-12-7</f>
        <v>0.5</v>
      </c>
      <c r="F202" s="15" t="s">
        <v>985</v>
      </c>
      <c r="G202" s="15" t="s">
        <v>805</v>
      </c>
      <c r="H202" s="15" t="s">
        <v>1011</v>
      </c>
      <c r="I202" s="16"/>
    </row>
    <row r="203" spans="1:10" hidden="1" x14ac:dyDescent="0.3">
      <c r="A203" s="14">
        <v>0</v>
      </c>
      <c r="B203" s="14" t="s">
        <v>376</v>
      </c>
      <c r="C203" s="14">
        <v>503</v>
      </c>
      <c r="D203" s="14" t="s">
        <v>377</v>
      </c>
      <c r="E203" s="19">
        <v>0</v>
      </c>
      <c r="F203" s="19"/>
      <c r="G203" s="19"/>
      <c r="H203" s="19"/>
      <c r="I203" s="16"/>
      <c r="J203" t="s">
        <v>378</v>
      </c>
    </row>
    <row r="204" spans="1:10" hidden="1" x14ac:dyDescent="0.3">
      <c r="A204" s="14">
        <v>0</v>
      </c>
      <c r="B204" s="14" t="s">
        <v>376</v>
      </c>
      <c r="C204" s="14">
        <v>504</v>
      </c>
      <c r="D204" s="14" t="s">
        <v>379</v>
      </c>
      <c r="E204" s="15">
        <v>0</v>
      </c>
      <c r="F204" s="15"/>
      <c r="G204" s="15"/>
      <c r="H204" s="15"/>
      <c r="I204" s="16"/>
      <c r="J204" t="s">
        <v>380</v>
      </c>
    </row>
    <row r="205" spans="1:10" hidden="1" x14ac:dyDescent="0.3">
      <c r="A205" s="14">
        <v>1</v>
      </c>
      <c r="B205" s="14" t="s">
        <v>376</v>
      </c>
      <c r="C205" s="14">
        <v>505</v>
      </c>
      <c r="D205" s="14" t="s">
        <v>381</v>
      </c>
      <c r="E205" s="25">
        <f>4.8-2-1-0.9-0.3-0.3-0.3</f>
        <v>0</v>
      </c>
      <c r="F205" s="25"/>
      <c r="G205" s="15" t="s">
        <v>826</v>
      </c>
      <c r="H205" s="15" t="s">
        <v>590</v>
      </c>
      <c r="I205" s="16"/>
    </row>
    <row r="206" spans="1:10" hidden="1" x14ac:dyDescent="0.3">
      <c r="A206" s="14">
        <v>1</v>
      </c>
      <c r="B206" s="14" t="s">
        <v>376</v>
      </c>
      <c r="C206" s="14">
        <v>506</v>
      </c>
      <c r="D206" s="14" t="s">
        <v>382</v>
      </c>
      <c r="E206" s="15">
        <f>38-7-31</f>
        <v>0</v>
      </c>
      <c r="F206" s="15"/>
      <c r="G206" s="15" t="s">
        <v>821</v>
      </c>
      <c r="H206" s="15" t="s">
        <v>753</v>
      </c>
      <c r="I206" s="16"/>
      <c r="J206" t="s">
        <v>384</v>
      </c>
    </row>
    <row r="207" spans="1:10" hidden="1" x14ac:dyDescent="0.3">
      <c r="A207" s="19">
        <v>0</v>
      </c>
      <c r="B207" s="14" t="s">
        <v>376</v>
      </c>
      <c r="C207" s="14">
        <v>508</v>
      </c>
      <c r="D207" s="14" t="s">
        <v>385</v>
      </c>
      <c r="E207" s="19">
        <f>22-1-11.5-9.5</f>
        <v>0</v>
      </c>
      <c r="F207" s="19"/>
      <c r="G207" s="19"/>
      <c r="H207" s="15" t="s">
        <v>177</v>
      </c>
      <c r="I207" s="16"/>
      <c r="J207" t="s">
        <v>386</v>
      </c>
    </row>
    <row r="208" spans="1:10" hidden="1" x14ac:dyDescent="0.3">
      <c r="A208" s="14" t="s">
        <v>767</v>
      </c>
      <c r="B208" s="14" t="s">
        <v>376</v>
      </c>
      <c r="C208" s="20">
        <v>509</v>
      </c>
      <c r="D208" s="33" t="s">
        <v>387</v>
      </c>
      <c r="E208" s="15">
        <f>19.5-6.08-1-2-10.42</f>
        <v>0</v>
      </c>
      <c r="F208" s="15"/>
      <c r="G208" s="15" t="s">
        <v>805</v>
      </c>
      <c r="H208" s="15" t="s">
        <v>878</v>
      </c>
      <c r="I208" s="16"/>
      <c r="J208" t="s">
        <v>388</v>
      </c>
    </row>
    <row r="209" spans="1:10" x14ac:dyDescent="0.3">
      <c r="A209" s="14">
        <v>1</v>
      </c>
      <c r="B209" s="14" t="s">
        <v>389</v>
      </c>
      <c r="C209" s="14">
        <v>511</v>
      </c>
      <c r="D209" s="133" t="s">
        <v>1238</v>
      </c>
      <c r="E209" s="15">
        <f>19.5-5-2.4-2.54-2.4-2*1.28-4</f>
        <v>0.59999999999999787</v>
      </c>
      <c r="F209" s="15" t="s">
        <v>985</v>
      </c>
      <c r="G209" s="15" t="s">
        <v>803</v>
      </c>
      <c r="H209" s="15" t="s">
        <v>260</v>
      </c>
      <c r="I209" s="16"/>
    </row>
    <row r="210" spans="1:10" hidden="1" x14ac:dyDescent="0.3">
      <c r="A210" s="14">
        <v>0</v>
      </c>
      <c r="B210" s="14" t="s">
        <v>389</v>
      </c>
      <c r="C210" s="14">
        <v>512</v>
      </c>
      <c r="D210" s="14" t="s">
        <v>391</v>
      </c>
      <c r="E210" s="19">
        <f>19-5-5-9</f>
        <v>0</v>
      </c>
      <c r="F210" s="19"/>
      <c r="G210" s="19"/>
      <c r="H210" s="15"/>
      <c r="I210" s="16"/>
    </row>
    <row r="211" spans="1:10" hidden="1" x14ac:dyDescent="0.3">
      <c r="A211" s="14">
        <v>0</v>
      </c>
      <c r="B211" s="14" t="s">
        <v>389</v>
      </c>
      <c r="C211" s="14">
        <v>513</v>
      </c>
      <c r="D211" s="14" t="s">
        <v>392</v>
      </c>
      <c r="E211" s="19">
        <f>18.5-6-4.17-8.33</f>
        <v>0</v>
      </c>
      <c r="F211" s="19"/>
      <c r="G211" s="19"/>
      <c r="H211" s="15"/>
      <c r="I211" s="16"/>
    </row>
    <row r="212" spans="1:10" hidden="1" x14ac:dyDescent="0.3">
      <c r="A212" s="14">
        <v>1</v>
      </c>
      <c r="B212" s="14" t="s">
        <v>389</v>
      </c>
      <c r="C212" s="24">
        <v>514</v>
      </c>
      <c r="D212" s="14" t="s">
        <v>393</v>
      </c>
      <c r="E212" s="15">
        <f>18.5-9-4.7-3.8-1</f>
        <v>0</v>
      </c>
      <c r="F212" s="15"/>
      <c r="G212" s="15" t="s">
        <v>804</v>
      </c>
      <c r="H212" s="15" t="s">
        <v>790</v>
      </c>
      <c r="I212" s="16"/>
    </row>
    <row r="213" spans="1:10" hidden="1" x14ac:dyDescent="0.3">
      <c r="A213" s="14">
        <v>0</v>
      </c>
      <c r="B213" s="14" t="s">
        <v>394</v>
      </c>
      <c r="C213" s="14">
        <v>515</v>
      </c>
      <c r="D213" s="14" t="s">
        <v>395</v>
      </c>
      <c r="E213" s="19">
        <f>16.3-8.8+0.65-5.064-2.536-0.55</f>
        <v>0</v>
      </c>
      <c r="F213" s="19"/>
      <c r="G213" s="19"/>
      <c r="H213" s="15" t="s">
        <v>67</v>
      </c>
      <c r="I213" s="16"/>
    </row>
    <row r="214" spans="1:10" hidden="1" x14ac:dyDescent="0.3">
      <c r="A214" s="14" t="s">
        <v>767</v>
      </c>
      <c r="B214" s="14" t="s">
        <v>394</v>
      </c>
      <c r="C214" s="20">
        <v>516</v>
      </c>
      <c r="D214" s="33" t="s">
        <v>396</v>
      </c>
      <c r="E214" s="15">
        <f>30-3-5-5.5-16.5</f>
        <v>0</v>
      </c>
      <c r="F214" s="15"/>
      <c r="G214" s="15" t="s">
        <v>805</v>
      </c>
      <c r="H214" s="15" t="s">
        <v>892</v>
      </c>
      <c r="I214" s="16"/>
      <c r="J214" t="s">
        <v>397</v>
      </c>
    </row>
    <row r="215" spans="1:10" hidden="1" x14ac:dyDescent="0.3">
      <c r="A215" s="14">
        <v>1</v>
      </c>
      <c r="B215" s="14" t="s">
        <v>398</v>
      </c>
      <c r="C215" s="14">
        <v>519</v>
      </c>
      <c r="D215" s="14" t="s">
        <v>399</v>
      </c>
      <c r="E215" s="25">
        <f>14-10-2-0.5-0.5-0.5-0.5</f>
        <v>0</v>
      </c>
      <c r="F215" s="25"/>
      <c r="G215" s="15" t="s">
        <v>825</v>
      </c>
      <c r="H215" s="15" t="s">
        <v>862</v>
      </c>
      <c r="I215" s="16"/>
      <c r="J215">
        <v>1400</v>
      </c>
    </row>
    <row r="216" spans="1:10" hidden="1" x14ac:dyDescent="0.3">
      <c r="A216" s="14">
        <v>1</v>
      </c>
      <c r="B216" s="14" t="s">
        <v>400</v>
      </c>
      <c r="C216" s="14">
        <v>523</v>
      </c>
      <c r="D216" s="14" t="s">
        <v>401</v>
      </c>
      <c r="E216" s="36">
        <f>8*1.27+0.06-10.22</f>
        <v>0</v>
      </c>
      <c r="F216" s="36"/>
      <c r="G216" s="15" t="s">
        <v>826</v>
      </c>
      <c r="H216" s="15" t="s">
        <v>864</v>
      </c>
      <c r="I216" s="16"/>
      <c r="J216" t="s">
        <v>402</v>
      </c>
    </row>
    <row r="217" spans="1:10" x14ac:dyDescent="0.3">
      <c r="A217" s="14">
        <v>1</v>
      </c>
      <c r="B217" s="14" t="s">
        <v>400</v>
      </c>
      <c r="C217" s="14">
        <v>524</v>
      </c>
      <c r="D217" s="14" t="s">
        <v>403</v>
      </c>
      <c r="E217" s="15">
        <f>14.5*1.27-2.415-8-2-2-3.26</f>
        <v>0.74000000000000021</v>
      </c>
      <c r="F217" s="15"/>
      <c r="G217" s="15" t="s">
        <v>807</v>
      </c>
      <c r="H217" s="15" t="s">
        <v>888</v>
      </c>
      <c r="I217" s="16"/>
      <c r="J217">
        <v>1400</v>
      </c>
    </row>
    <row r="218" spans="1:10" hidden="1" x14ac:dyDescent="0.3">
      <c r="A218" s="14">
        <v>0</v>
      </c>
      <c r="B218" s="14" t="s">
        <v>404</v>
      </c>
      <c r="C218" s="14">
        <v>526</v>
      </c>
      <c r="D218" s="14" t="s">
        <v>405</v>
      </c>
      <c r="E218" s="19">
        <f>1.05-1.05</f>
        <v>0</v>
      </c>
      <c r="F218" s="19"/>
      <c r="G218" s="19"/>
      <c r="H218" s="15"/>
      <c r="I218" s="16"/>
    </row>
    <row r="219" spans="1:10" hidden="1" x14ac:dyDescent="0.3">
      <c r="A219" s="14" t="s">
        <v>767</v>
      </c>
      <c r="B219" s="14" t="s">
        <v>404</v>
      </c>
      <c r="C219" s="14">
        <v>527</v>
      </c>
      <c r="D219" s="33" t="s">
        <v>406</v>
      </c>
      <c r="E219" s="19">
        <f>23-3-5-10-5</f>
        <v>0</v>
      </c>
      <c r="F219" s="19"/>
      <c r="G219" s="15" t="s">
        <v>829</v>
      </c>
      <c r="H219" s="15" t="s">
        <v>779</v>
      </c>
      <c r="I219" s="16"/>
      <c r="J219" t="s">
        <v>386</v>
      </c>
    </row>
    <row r="220" spans="1:10" hidden="1" x14ac:dyDescent="0.3">
      <c r="A220" s="14">
        <v>1</v>
      </c>
      <c r="B220" s="14" t="s">
        <v>404</v>
      </c>
      <c r="C220" s="14">
        <v>528</v>
      </c>
      <c r="D220" s="33" t="s">
        <v>407</v>
      </c>
      <c r="E220" s="15">
        <f>4.8-0.5-1-3.3</f>
        <v>0</v>
      </c>
      <c r="F220" s="15" t="s">
        <v>985</v>
      </c>
      <c r="G220" s="15" t="s">
        <v>829</v>
      </c>
      <c r="H220" s="15" t="s">
        <v>900</v>
      </c>
      <c r="I220" s="16"/>
      <c r="J220" t="s">
        <v>408</v>
      </c>
    </row>
    <row r="221" spans="1:10" x14ac:dyDescent="0.3">
      <c r="A221" s="14">
        <v>1</v>
      </c>
      <c r="B221" s="14" t="s">
        <v>404</v>
      </c>
      <c r="C221" s="14">
        <v>529</v>
      </c>
      <c r="D221" s="133" t="s">
        <v>1242</v>
      </c>
      <c r="E221" s="15">
        <v>4</v>
      </c>
      <c r="F221" s="15" t="s">
        <v>985</v>
      </c>
      <c r="G221" s="15">
        <v>0</v>
      </c>
      <c r="H221" s="134" t="s">
        <v>1241</v>
      </c>
      <c r="I221" s="16" t="s">
        <v>409</v>
      </c>
    </row>
    <row r="222" spans="1:10" hidden="1" x14ac:dyDescent="0.3">
      <c r="A222" s="14">
        <v>0</v>
      </c>
      <c r="B222" s="14" t="s">
        <v>410</v>
      </c>
      <c r="C222" s="14">
        <v>531</v>
      </c>
      <c r="D222" s="14" t="s">
        <v>411</v>
      </c>
      <c r="E222" s="24">
        <f>19-9-10</f>
        <v>0</v>
      </c>
      <c r="F222" s="24"/>
      <c r="G222" s="24"/>
      <c r="H222" s="15" t="s">
        <v>412</v>
      </c>
      <c r="I222" s="16"/>
    </row>
    <row r="223" spans="1:10" hidden="1" x14ac:dyDescent="0.3">
      <c r="A223" s="14">
        <v>0</v>
      </c>
      <c r="B223" s="14" t="s">
        <v>413</v>
      </c>
      <c r="C223" s="14">
        <v>536</v>
      </c>
      <c r="D223" s="14" t="s">
        <v>414</v>
      </c>
      <c r="E223" s="19">
        <f>19-10-8.4-0.6</f>
        <v>0</v>
      </c>
      <c r="F223" s="19"/>
      <c r="G223" s="19"/>
      <c r="H223" s="27"/>
      <c r="I223" s="16">
        <v>1400</v>
      </c>
      <c r="J223" t="s">
        <v>415</v>
      </c>
    </row>
    <row r="224" spans="1:10" hidden="1" x14ac:dyDescent="0.3">
      <c r="A224" s="14">
        <v>0</v>
      </c>
      <c r="B224" s="14" t="s">
        <v>416</v>
      </c>
      <c r="C224" s="14">
        <v>539</v>
      </c>
      <c r="D224" s="14" t="s">
        <v>417</v>
      </c>
      <c r="E224" s="19">
        <f>19.5-10-9-0.5</f>
        <v>0</v>
      </c>
      <c r="F224" s="19"/>
      <c r="G224" s="19"/>
      <c r="H224" s="27"/>
      <c r="I224" s="16"/>
    </row>
    <row r="225" spans="1:9" hidden="1" x14ac:dyDescent="0.3">
      <c r="A225" s="14">
        <v>1</v>
      </c>
      <c r="B225" s="14" t="s">
        <v>418</v>
      </c>
      <c r="C225" s="14">
        <v>540</v>
      </c>
      <c r="D225" s="14" t="s">
        <v>419</v>
      </c>
      <c r="E225" s="19">
        <f>28-5-5-5-10.224-1.28-1.2-0.296</f>
        <v>0</v>
      </c>
      <c r="F225" s="19"/>
      <c r="G225" s="15" t="s">
        <v>849</v>
      </c>
      <c r="H225" s="15" t="s">
        <v>750</v>
      </c>
      <c r="I225" s="16" t="s">
        <v>420</v>
      </c>
    </row>
    <row r="226" spans="1:9" hidden="1" x14ac:dyDescent="0.3">
      <c r="A226" s="14">
        <v>0</v>
      </c>
      <c r="B226" s="14" t="s">
        <v>418</v>
      </c>
      <c r="C226" s="14">
        <v>541</v>
      </c>
      <c r="D226" s="14" t="s">
        <v>421</v>
      </c>
      <c r="E226" s="19">
        <f>18.5-10-8.5</f>
        <v>0</v>
      </c>
      <c r="F226" s="19"/>
      <c r="G226" s="19"/>
      <c r="H226" s="15"/>
      <c r="I226" s="16" t="s">
        <v>422</v>
      </c>
    </row>
    <row r="227" spans="1:9" x14ac:dyDescent="0.3">
      <c r="A227" s="14" t="s">
        <v>789</v>
      </c>
      <c r="B227" s="14" t="s">
        <v>418</v>
      </c>
      <c r="C227" s="14">
        <v>542</v>
      </c>
      <c r="D227" s="32" t="s">
        <v>423</v>
      </c>
      <c r="E227" s="15">
        <f>18.5-3-2-8-1-2</f>
        <v>2.5</v>
      </c>
      <c r="F227" s="15" t="s">
        <v>985</v>
      </c>
      <c r="G227" s="15" t="s">
        <v>831</v>
      </c>
      <c r="H227" s="15" t="s">
        <v>775</v>
      </c>
      <c r="I227" s="16" t="s">
        <v>422</v>
      </c>
    </row>
    <row r="228" spans="1:9" hidden="1" x14ac:dyDescent="0.3">
      <c r="A228" s="14">
        <v>0</v>
      </c>
      <c r="B228" s="14" t="s">
        <v>424</v>
      </c>
      <c r="C228" s="14">
        <v>543</v>
      </c>
      <c r="D228" s="14" t="s">
        <v>425</v>
      </c>
      <c r="E228" s="19">
        <v>0</v>
      </c>
      <c r="F228" s="19"/>
      <c r="G228" s="19"/>
      <c r="H228" s="15"/>
      <c r="I228" s="16" t="s">
        <v>420</v>
      </c>
    </row>
    <row r="229" spans="1:9" hidden="1" x14ac:dyDescent="0.3">
      <c r="A229" s="14">
        <v>0</v>
      </c>
      <c r="B229" s="14" t="s">
        <v>426</v>
      </c>
      <c r="C229" s="14">
        <v>544</v>
      </c>
      <c r="D229" s="14" t="s">
        <v>427</v>
      </c>
      <c r="E229" s="19">
        <f>5-2-3</f>
        <v>0</v>
      </c>
      <c r="F229" s="19"/>
      <c r="G229" s="19"/>
      <c r="H229" s="15"/>
      <c r="I229" s="16" t="s">
        <v>428</v>
      </c>
    </row>
    <row r="230" spans="1:9" hidden="1" x14ac:dyDescent="0.3">
      <c r="A230" s="14">
        <v>0</v>
      </c>
      <c r="B230" s="14" t="s">
        <v>426</v>
      </c>
      <c r="C230" s="14">
        <v>545</v>
      </c>
      <c r="D230" s="14" t="s">
        <v>429</v>
      </c>
      <c r="E230" s="19">
        <f>20-9-11</f>
        <v>0</v>
      </c>
      <c r="F230" s="19"/>
      <c r="G230" s="19"/>
      <c r="H230" s="15"/>
      <c r="I230" s="16" t="s">
        <v>386</v>
      </c>
    </row>
    <row r="231" spans="1:9" hidden="1" x14ac:dyDescent="0.3">
      <c r="A231" s="14">
        <v>1</v>
      </c>
      <c r="B231" s="14" t="s">
        <v>426</v>
      </c>
      <c r="C231" s="14">
        <v>546</v>
      </c>
      <c r="D231" s="14" t="s">
        <v>430</v>
      </c>
      <c r="E231" s="15">
        <v>0</v>
      </c>
      <c r="F231" s="15" t="s">
        <v>985</v>
      </c>
      <c r="G231" s="15" t="s">
        <v>821</v>
      </c>
      <c r="H231" s="15" t="s">
        <v>740</v>
      </c>
      <c r="I231" s="16" t="s">
        <v>431</v>
      </c>
    </row>
    <row r="232" spans="1:9" hidden="1" x14ac:dyDescent="0.3">
      <c r="A232" s="14">
        <v>0</v>
      </c>
      <c r="B232" s="14" t="s">
        <v>426</v>
      </c>
      <c r="C232" s="14">
        <v>547</v>
      </c>
      <c r="D232" s="14" t="s">
        <v>432</v>
      </c>
      <c r="E232" s="15">
        <v>0</v>
      </c>
      <c r="F232" s="15"/>
      <c r="G232" s="15"/>
      <c r="H232" s="15"/>
      <c r="I232" s="16"/>
    </row>
    <row r="233" spans="1:9" hidden="1" x14ac:dyDescent="0.3">
      <c r="A233" s="14">
        <v>0</v>
      </c>
      <c r="B233" s="14" t="s">
        <v>426</v>
      </c>
      <c r="C233" s="14">
        <v>548</v>
      </c>
      <c r="D233" s="14" t="s">
        <v>433</v>
      </c>
      <c r="E233" s="15">
        <f>5-5</f>
        <v>0</v>
      </c>
      <c r="F233" s="15"/>
      <c r="G233" s="15" t="s">
        <v>837</v>
      </c>
      <c r="H233" s="15"/>
      <c r="I233" s="16"/>
    </row>
    <row r="234" spans="1:9" hidden="1" x14ac:dyDescent="0.3">
      <c r="A234" s="14">
        <v>1</v>
      </c>
      <c r="B234" s="14" t="s">
        <v>434</v>
      </c>
      <c r="C234" s="14">
        <v>550</v>
      </c>
      <c r="D234" s="14" t="s">
        <v>435</v>
      </c>
      <c r="E234" s="24">
        <f>0.7-0.7</f>
        <v>0</v>
      </c>
      <c r="F234" s="24"/>
      <c r="G234" s="24"/>
      <c r="H234" s="15" t="s">
        <v>740</v>
      </c>
      <c r="I234" s="16"/>
    </row>
    <row r="235" spans="1:9" x14ac:dyDescent="0.3">
      <c r="A235" s="14">
        <v>1</v>
      </c>
      <c r="B235" s="14" t="s">
        <v>436</v>
      </c>
      <c r="C235" s="20">
        <v>551</v>
      </c>
      <c r="D235" s="14" t="s">
        <v>895</v>
      </c>
      <c r="E235" s="15">
        <f>18.7-16.8-0.5-0.5</f>
        <v>0.89999999999999858</v>
      </c>
      <c r="F235" s="15" t="s">
        <v>985</v>
      </c>
      <c r="G235" s="15" t="s">
        <v>809</v>
      </c>
      <c r="H235" s="140" t="s">
        <v>1252</v>
      </c>
      <c r="I235" s="16">
        <v>1500</v>
      </c>
    </row>
    <row r="236" spans="1:9" hidden="1" x14ac:dyDescent="0.3">
      <c r="A236" s="14">
        <v>1</v>
      </c>
      <c r="B236" s="14" t="s">
        <v>436</v>
      </c>
      <c r="C236" s="14">
        <v>552</v>
      </c>
      <c r="D236" s="14" t="s">
        <v>438</v>
      </c>
      <c r="E236" s="19">
        <v>0</v>
      </c>
      <c r="F236" s="19"/>
      <c r="G236" s="15" t="s">
        <v>850</v>
      </c>
      <c r="H236" s="15" t="s">
        <v>779</v>
      </c>
      <c r="I236" s="16">
        <v>1500</v>
      </c>
    </row>
    <row r="237" spans="1:9" hidden="1" x14ac:dyDescent="0.3">
      <c r="A237" s="14">
        <v>0</v>
      </c>
      <c r="B237" s="14" t="s">
        <v>436</v>
      </c>
      <c r="C237" s="14">
        <v>553</v>
      </c>
      <c r="D237" s="14" t="s">
        <v>439</v>
      </c>
      <c r="E237" s="19">
        <f>5-2-1-2</f>
        <v>0</v>
      </c>
      <c r="F237" s="19"/>
      <c r="G237" s="19"/>
      <c r="H237" s="15"/>
      <c r="I237" s="16">
        <v>330</v>
      </c>
    </row>
    <row r="238" spans="1:9" hidden="1" x14ac:dyDescent="0.3">
      <c r="A238" s="14">
        <v>1</v>
      </c>
      <c r="B238" s="14" t="s">
        <v>440</v>
      </c>
      <c r="C238" s="24">
        <v>555</v>
      </c>
      <c r="D238" s="14" t="s">
        <v>441</v>
      </c>
      <c r="E238" s="15">
        <f>21-5-2-1-1-1-2-2.8-2-4-0.2</f>
        <v>0</v>
      </c>
      <c r="F238" s="15"/>
      <c r="G238" s="15" t="s">
        <v>799</v>
      </c>
      <c r="H238" s="15" t="s">
        <v>891</v>
      </c>
      <c r="I238" s="16" t="s">
        <v>442</v>
      </c>
    </row>
    <row r="239" spans="1:9" hidden="1" x14ac:dyDescent="0.3">
      <c r="A239" s="14">
        <v>1</v>
      </c>
      <c r="B239" s="14" t="s">
        <v>440</v>
      </c>
      <c r="C239" s="20">
        <v>556</v>
      </c>
      <c r="D239" s="14" t="s">
        <v>894</v>
      </c>
      <c r="E239" s="15">
        <f>18-10-1-1-1-1-2-1-1</f>
        <v>0</v>
      </c>
      <c r="F239" s="15" t="s">
        <v>985</v>
      </c>
      <c r="G239" s="15" t="s">
        <v>856</v>
      </c>
      <c r="H239" s="15" t="s">
        <v>915</v>
      </c>
      <c r="I239" s="16" t="s">
        <v>431</v>
      </c>
    </row>
    <row r="240" spans="1:9" hidden="1" x14ac:dyDescent="0.3">
      <c r="A240" s="14">
        <v>1</v>
      </c>
      <c r="B240" s="14" t="s">
        <v>440</v>
      </c>
      <c r="C240" s="14">
        <v>557</v>
      </c>
      <c r="D240" s="14" t="s">
        <v>444</v>
      </c>
      <c r="E240" s="15">
        <f>20-5-3-4-3-3-2</f>
        <v>0</v>
      </c>
      <c r="F240" s="15" t="s">
        <v>985</v>
      </c>
      <c r="G240" s="15" t="s">
        <v>799</v>
      </c>
      <c r="H240" s="15" t="s">
        <v>891</v>
      </c>
      <c r="I240" s="16" t="s">
        <v>386</v>
      </c>
    </row>
    <row r="241" spans="1:10" x14ac:dyDescent="0.3">
      <c r="A241" s="14" t="s">
        <v>767</v>
      </c>
      <c r="B241" s="14" t="s">
        <v>440</v>
      </c>
      <c r="C241" s="14">
        <v>558</v>
      </c>
      <c r="D241" s="33" t="s">
        <v>445</v>
      </c>
      <c r="E241" s="24">
        <v>29</v>
      </c>
      <c r="F241" s="24"/>
      <c r="G241" s="24"/>
      <c r="H241" s="15"/>
      <c r="I241" s="16" t="s">
        <v>446</v>
      </c>
    </row>
    <row r="242" spans="1:10" hidden="1" x14ac:dyDescent="0.3">
      <c r="A242" s="14">
        <v>0</v>
      </c>
      <c r="B242" s="14" t="s">
        <v>447</v>
      </c>
      <c r="C242" s="14">
        <v>559</v>
      </c>
      <c r="D242" s="14" t="s">
        <v>448</v>
      </c>
      <c r="E242" s="27">
        <f>21-10-4.9-5-1.1</f>
        <v>0</v>
      </c>
      <c r="F242" s="27"/>
      <c r="G242" s="27"/>
      <c r="H242" s="27"/>
      <c r="I242" s="16" t="s">
        <v>442</v>
      </c>
    </row>
    <row r="243" spans="1:10" hidden="1" x14ac:dyDescent="0.3">
      <c r="A243" s="14">
        <v>1</v>
      </c>
      <c r="B243" s="14" t="s">
        <v>447</v>
      </c>
      <c r="C243" s="14">
        <v>560</v>
      </c>
      <c r="D243" s="14" t="s">
        <v>868</v>
      </c>
      <c r="E243" s="25">
        <f>18.5-16.797-1.703</f>
        <v>0</v>
      </c>
      <c r="F243" s="25"/>
      <c r="G243" s="15" t="s">
        <v>823</v>
      </c>
      <c r="H243" s="15" t="s">
        <v>864</v>
      </c>
      <c r="I243" s="16" t="s">
        <v>450</v>
      </c>
    </row>
    <row r="244" spans="1:10" hidden="1" x14ac:dyDescent="0.3">
      <c r="A244" s="19">
        <v>0</v>
      </c>
      <c r="B244" s="14" t="s">
        <v>447</v>
      </c>
      <c r="C244" s="14">
        <v>561</v>
      </c>
      <c r="D244" s="14" t="s">
        <v>451</v>
      </c>
      <c r="E244" s="19">
        <v>0</v>
      </c>
      <c r="F244" s="19"/>
      <c r="G244" s="19"/>
      <c r="H244" s="15" t="s">
        <v>219</v>
      </c>
      <c r="I244" s="16" t="s">
        <v>450</v>
      </c>
    </row>
    <row r="245" spans="1:10" ht="28.8" hidden="1" x14ac:dyDescent="0.3">
      <c r="A245" s="14">
        <v>1</v>
      </c>
      <c r="B245" s="14" t="s">
        <v>458</v>
      </c>
      <c r="C245" s="14">
        <v>561</v>
      </c>
      <c r="D245" s="14" t="s">
        <v>459</v>
      </c>
      <c r="E245" s="19">
        <v>0</v>
      </c>
      <c r="F245" s="19"/>
      <c r="G245" s="15" t="s">
        <v>830</v>
      </c>
      <c r="H245" s="15" t="s">
        <v>790</v>
      </c>
      <c r="I245" s="16" t="s">
        <v>791</v>
      </c>
    </row>
    <row r="246" spans="1:10" x14ac:dyDescent="0.3">
      <c r="A246" s="14">
        <v>1</v>
      </c>
      <c r="B246" s="14" t="s">
        <v>458</v>
      </c>
      <c r="C246" s="14">
        <v>562</v>
      </c>
      <c r="D246" s="20" t="s">
        <v>460</v>
      </c>
      <c r="E246" s="20">
        <f>1.15*5-3+0.35</f>
        <v>3.1</v>
      </c>
      <c r="F246" s="20"/>
      <c r="G246" s="20" t="s">
        <v>808</v>
      </c>
      <c r="H246" s="20"/>
      <c r="I246" s="37" t="s">
        <v>881</v>
      </c>
    </row>
    <row r="247" spans="1:10" hidden="1" x14ac:dyDescent="0.3">
      <c r="A247" s="14" t="s">
        <v>767</v>
      </c>
      <c r="B247" s="14" t="s">
        <v>447</v>
      </c>
      <c r="C247" s="14">
        <v>562</v>
      </c>
      <c r="D247" s="33" t="s">
        <v>869</v>
      </c>
      <c r="E247" s="15">
        <f>20-10-10</f>
        <v>0</v>
      </c>
      <c r="F247" s="15"/>
      <c r="G247" s="15" t="s">
        <v>805</v>
      </c>
      <c r="H247" s="47" t="s">
        <v>917</v>
      </c>
      <c r="I247" s="16" t="s">
        <v>450</v>
      </c>
    </row>
    <row r="248" spans="1:10" hidden="1" x14ac:dyDescent="0.3">
      <c r="A248" s="14">
        <v>0</v>
      </c>
      <c r="B248" s="14" t="s">
        <v>453</v>
      </c>
      <c r="C248" s="14">
        <v>563</v>
      </c>
      <c r="D248" s="14" t="s">
        <v>454</v>
      </c>
      <c r="E248" s="19">
        <f>20-6-9-4-1</f>
        <v>0</v>
      </c>
      <c r="F248" s="19"/>
      <c r="G248" s="19"/>
      <c r="H248" s="15"/>
      <c r="I248" s="16" t="s">
        <v>450</v>
      </c>
    </row>
    <row r="249" spans="1:10" x14ac:dyDescent="0.3">
      <c r="A249" s="14">
        <v>1</v>
      </c>
      <c r="B249" s="14" t="s">
        <v>461</v>
      </c>
      <c r="C249" s="20">
        <v>563</v>
      </c>
      <c r="D249" s="14" t="s">
        <v>737</v>
      </c>
      <c r="E249" s="15">
        <f>22-7-9.3</f>
        <v>5.6999999999999993</v>
      </c>
      <c r="F249" s="15" t="s">
        <v>985</v>
      </c>
      <c r="G249" s="15" t="s">
        <v>825</v>
      </c>
      <c r="H249" s="15" t="s">
        <v>888</v>
      </c>
      <c r="I249" s="16" t="s">
        <v>457</v>
      </c>
    </row>
    <row r="250" spans="1:10" hidden="1" x14ac:dyDescent="0.3">
      <c r="A250" s="19">
        <v>0</v>
      </c>
      <c r="B250" s="14" t="s">
        <v>455</v>
      </c>
      <c r="C250" s="14">
        <v>564</v>
      </c>
      <c r="D250" s="14" t="s">
        <v>456</v>
      </c>
      <c r="E250" s="19">
        <f>20.5-12-8.5</f>
        <v>0</v>
      </c>
      <c r="F250" s="19"/>
      <c r="G250" s="19"/>
      <c r="H250" s="15" t="s">
        <v>67</v>
      </c>
      <c r="I250" s="16" t="s">
        <v>457</v>
      </c>
    </row>
    <row r="251" spans="1:10" hidden="1" x14ac:dyDescent="0.3">
      <c r="A251" s="14">
        <v>0</v>
      </c>
      <c r="B251" s="14" t="s">
        <v>461</v>
      </c>
      <c r="C251" s="14">
        <v>564</v>
      </c>
      <c r="D251" s="14" t="s">
        <v>463</v>
      </c>
      <c r="E251" s="27">
        <f>18-14-3.5-0.5</f>
        <v>0</v>
      </c>
      <c r="F251" s="27"/>
      <c r="G251" s="27"/>
      <c r="H251" s="27"/>
      <c r="I251" s="16" t="s">
        <v>450</v>
      </c>
    </row>
    <row r="252" spans="1:10" x14ac:dyDescent="0.3">
      <c r="A252" s="14">
        <v>1</v>
      </c>
      <c r="B252" s="14" t="s">
        <v>464</v>
      </c>
      <c r="C252" s="14">
        <v>567</v>
      </c>
      <c r="D252" s="14" t="s">
        <v>465</v>
      </c>
      <c r="E252" s="15">
        <f>17+1-2-3.5-1.3-2-1-4.2-2.5</f>
        <v>1.4999999999999991</v>
      </c>
      <c r="F252" s="15" t="s">
        <v>985</v>
      </c>
      <c r="G252" s="15" t="s">
        <v>801</v>
      </c>
      <c r="H252" s="15" t="s">
        <v>867</v>
      </c>
      <c r="I252" s="67" t="s">
        <v>1023</v>
      </c>
      <c r="J252" s="29" t="s">
        <v>885</v>
      </c>
    </row>
    <row r="253" spans="1:10" hidden="1" x14ac:dyDescent="0.3">
      <c r="A253" s="14" t="s">
        <v>789</v>
      </c>
      <c r="B253" s="14" t="s">
        <v>467</v>
      </c>
      <c r="C253" s="14">
        <v>569</v>
      </c>
      <c r="D253" s="32" t="s">
        <v>468</v>
      </c>
      <c r="E253" s="19">
        <f>20-7-12-1</f>
        <v>0</v>
      </c>
      <c r="F253" s="19"/>
      <c r="G253" s="15" t="s">
        <v>831</v>
      </c>
      <c r="H253" s="15" t="s">
        <v>750</v>
      </c>
      <c r="I253" s="16" t="s">
        <v>469</v>
      </c>
      <c r="J253" t="s">
        <v>470</v>
      </c>
    </row>
    <row r="254" spans="1:10" hidden="1" x14ac:dyDescent="0.3">
      <c r="A254" s="14">
        <v>1</v>
      </c>
      <c r="B254" s="14" t="s">
        <v>471</v>
      </c>
      <c r="C254" s="14">
        <v>572</v>
      </c>
      <c r="D254" s="14" t="s">
        <v>472</v>
      </c>
      <c r="E254" s="19">
        <v>0</v>
      </c>
      <c r="F254" s="19"/>
      <c r="G254" s="15" t="s">
        <v>840</v>
      </c>
      <c r="H254" s="15" t="s">
        <v>750</v>
      </c>
      <c r="I254" s="16"/>
    </row>
    <row r="255" spans="1:10" hidden="1" x14ac:dyDescent="0.3">
      <c r="A255" s="14">
        <v>1</v>
      </c>
      <c r="B255" s="14" t="s">
        <v>473</v>
      </c>
      <c r="C255" s="14">
        <v>574</v>
      </c>
      <c r="D255" s="14" t="s">
        <v>752</v>
      </c>
      <c r="E255" s="15">
        <f>21.5-5-6.68-5-4.5-0.32</f>
        <v>0</v>
      </c>
      <c r="F255" s="15"/>
      <c r="G255" s="15" t="s">
        <v>841</v>
      </c>
      <c r="H255" s="15" t="s">
        <v>790</v>
      </c>
      <c r="I255" s="16" t="s">
        <v>386</v>
      </c>
    </row>
    <row r="256" spans="1:10" hidden="1" x14ac:dyDescent="0.3">
      <c r="A256" s="14">
        <v>0</v>
      </c>
      <c r="B256" s="14" t="s">
        <v>473</v>
      </c>
      <c r="C256" s="14">
        <v>575</v>
      </c>
      <c r="D256" s="14" t="s">
        <v>475</v>
      </c>
      <c r="E256" s="19">
        <v>0</v>
      </c>
      <c r="F256" s="19"/>
      <c r="G256" s="19"/>
      <c r="H256" s="15" t="s">
        <v>300</v>
      </c>
      <c r="I256" s="16" t="s">
        <v>476</v>
      </c>
    </row>
    <row r="257" spans="1:10" hidden="1" x14ac:dyDescent="0.3">
      <c r="A257" s="14">
        <v>0</v>
      </c>
      <c r="B257" s="14" t="s">
        <v>477</v>
      </c>
      <c r="C257" s="14">
        <v>578</v>
      </c>
      <c r="D257" s="14" t="s">
        <v>478</v>
      </c>
      <c r="E257" s="19">
        <f>26.5-16.5-6-4</f>
        <v>0</v>
      </c>
      <c r="F257" s="19"/>
      <c r="G257" s="19"/>
      <c r="H257" s="15"/>
      <c r="I257" s="16" t="s">
        <v>479</v>
      </c>
    </row>
    <row r="258" spans="1:10" x14ac:dyDescent="0.3">
      <c r="A258" s="14">
        <v>7</v>
      </c>
      <c r="B258" s="14" t="s">
        <v>477</v>
      </c>
      <c r="C258" s="14">
        <v>580</v>
      </c>
      <c r="D258" s="14" t="s">
        <v>480</v>
      </c>
      <c r="E258" s="15">
        <f>21-5-5-2-1.5-1.3-0.7</f>
        <v>5.5</v>
      </c>
      <c r="F258" s="15" t="s">
        <v>985</v>
      </c>
      <c r="G258" s="15" t="s">
        <v>851</v>
      </c>
      <c r="H258" s="47" t="s">
        <v>947</v>
      </c>
      <c r="I258" s="16" t="s">
        <v>1190</v>
      </c>
    </row>
    <row r="259" spans="1:10" hidden="1" x14ac:dyDescent="0.3">
      <c r="A259" s="14">
        <v>0</v>
      </c>
      <c r="B259" s="14" t="s">
        <v>477</v>
      </c>
      <c r="C259" s="14">
        <v>581</v>
      </c>
      <c r="D259" s="14" t="s">
        <v>481</v>
      </c>
      <c r="E259" s="19">
        <f>18-15-3</f>
        <v>0</v>
      </c>
      <c r="F259" s="19"/>
      <c r="G259" s="19"/>
      <c r="H259" s="15"/>
      <c r="I259" s="16" t="s">
        <v>482</v>
      </c>
    </row>
    <row r="260" spans="1:10" ht="43.2" hidden="1" x14ac:dyDescent="0.3">
      <c r="A260" s="14">
        <v>1</v>
      </c>
      <c r="B260" s="14" t="s">
        <v>477</v>
      </c>
      <c r="C260" s="14">
        <v>582</v>
      </c>
      <c r="D260" s="14" t="s">
        <v>483</v>
      </c>
      <c r="E260" s="15">
        <f>5.5*1.27-0.9-3-1.6-1.485</f>
        <v>0</v>
      </c>
      <c r="F260" s="15"/>
      <c r="G260" s="15" t="s">
        <v>841</v>
      </c>
      <c r="H260" s="15"/>
      <c r="I260" s="16" t="s">
        <v>906</v>
      </c>
    </row>
    <row r="261" spans="1:10" hidden="1" x14ac:dyDescent="0.3">
      <c r="A261" s="14">
        <v>1</v>
      </c>
      <c r="B261" s="14" t="s">
        <v>484</v>
      </c>
      <c r="C261" s="19">
        <v>584</v>
      </c>
      <c r="D261" s="19" t="s">
        <v>890</v>
      </c>
      <c r="E261" s="19">
        <f>5-1-1-1.5-1.5</f>
        <v>0</v>
      </c>
      <c r="F261" s="15" t="s">
        <v>985</v>
      </c>
      <c r="G261" s="15" t="s">
        <v>810</v>
      </c>
      <c r="H261" s="15" t="s">
        <v>775</v>
      </c>
      <c r="I261" s="16"/>
    </row>
    <row r="262" spans="1:10" hidden="1" x14ac:dyDescent="0.3">
      <c r="A262" s="14">
        <v>1</v>
      </c>
      <c r="B262" s="14" t="s">
        <v>484</v>
      </c>
      <c r="C262" s="19">
        <v>584</v>
      </c>
      <c r="D262" s="19" t="s">
        <v>889</v>
      </c>
      <c r="E262" s="19">
        <f>4.8-1-3.8</f>
        <v>0</v>
      </c>
      <c r="F262" s="15" t="s">
        <v>985</v>
      </c>
      <c r="G262" s="15" t="s">
        <v>810</v>
      </c>
      <c r="H262" s="15" t="s">
        <v>775</v>
      </c>
      <c r="I262" s="16"/>
      <c r="J262" s="96"/>
    </row>
    <row r="263" spans="1:10" ht="13.8" hidden="1" customHeight="1" x14ac:dyDescent="0.3">
      <c r="A263" s="14">
        <v>0</v>
      </c>
      <c r="B263" s="14" t="s">
        <v>484</v>
      </c>
      <c r="C263" s="14">
        <v>585</v>
      </c>
      <c r="D263" s="14" t="s">
        <v>487</v>
      </c>
      <c r="E263" s="19">
        <v>0</v>
      </c>
      <c r="F263" s="19"/>
      <c r="G263" s="19"/>
      <c r="H263" s="15" t="s">
        <v>67</v>
      </c>
      <c r="I263" s="16" t="s">
        <v>488</v>
      </c>
      <c r="J263" s="97"/>
    </row>
    <row r="264" spans="1:10" hidden="1" x14ac:dyDescent="0.3">
      <c r="A264" s="14" t="s">
        <v>767</v>
      </c>
      <c r="B264" s="14" t="s">
        <v>489</v>
      </c>
      <c r="C264" s="14">
        <v>586</v>
      </c>
      <c r="D264" s="33" t="s">
        <v>490</v>
      </c>
      <c r="E264" s="19">
        <f>17-6.3-10.7</f>
        <v>0</v>
      </c>
      <c r="F264" s="19"/>
      <c r="G264" s="15" t="s">
        <v>829</v>
      </c>
      <c r="H264" s="15" t="s">
        <v>775</v>
      </c>
      <c r="I264" s="16" t="s">
        <v>491</v>
      </c>
    </row>
    <row r="265" spans="1:10" hidden="1" x14ac:dyDescent="0.3">
      <c r="A265" s="14">
        <v>0</v>
      </c>
      <c r="B265" s="14" t="s">
        <v>489</v>
      </c>
      <c r="C265" s="14">
        <v>587</v>
      </c>
      <c r="D265" s="14" t="s">
        <v>492</v>
      </c>
      <c r="E265" s="19">
        <f>18-11-7</f>
        <v>0</v>
      </c>
      <c r="F265" s="19"/>
      <c r="G265" s="19"/>
      <c r="H265" s="27"/>
      <c r="I265" s="16" t="s">
        <v>422</v>
      </c>
    </row>
    <row r="266" spans="1:10" hidden="1" x14ac:dyDescent="0.3">
      <c r="A266" s="14">
        <v>1</v>
      </c>
      <c r="B266" s="14" t="s">
        <v>489</v>
      </c>
      <c r="C266" s="14">
        <v>588</v>
      </c>
      <c r="D266" s="14" t="s">
        <v>921</v>
      </c>
      <c r="E266" s="15">
        <f>0.8-0.5-0.15-0.15</f>
        <v>0</v>
      </c>
      <c r="F266" s="15"/>
      <c r="G266" s="15" t="s">
        <v>799</v>
      </c>
      <c r="H266" s="15" t="s">
        <v>918</v>
      </c>
      <c r="I266" s="16"/>
    </row>
    <row r="267" spans="1:10" x14ac:dyDescent="0.3">
      <c r="A267" s="14">
        <v>1</v>
      </c>
      <c r="B267" s="14" t="s">
        <v>494</v>
      </c>
      <c r="C267" s="20">
        <v>589</v>
      </c>
      <c r="D267" s="133" t="s">
        <v>495</v>
      </c>
      <c r="E267" s="15">
        <f>18.5-5-3*1.2-3*1.2</f>
        <v>6.3000000000000007</v>
      </c>
      <c r="F267" s="15" t="s">
        <v>985</v>
      </c>
      <c r="G267" s="15" t="s">
        <v>842</v>
      </c>
      <c r="H267" s="15" t="s">
        <v>949</v>
      </c>
      <c r="I267" s="16" t="s">
        <v>422</v>
      </c>
    </row>
    <row r="268" spans="1:10" hidden="1" x14ac:dyDescent="0.3">
      <c r="A268" s="14">
        <v>0</v>
      </c>
      <c r="B268" s="14" t="s">
        <v>494</v>
      </c>
      <c r="C268" s="14">
        <v>590</v>
      </c>
      <c r="D268" s="14" t="s">
        <v>496</v>
      </c>
      <c r="E268" s="19">
        <f>14.5-5-8-1.5</f>
        <v>0</v>
      </c>
      <c r="F268" s="19"/>
      <c r="G268" s="19"/>
      <c r="H268" s="19"/>
      <c r="I268" s="16" t="s">
        <v>466</v>
      </c>
      <c r="J268" s="97"/>
    </row>
    <row r="269" spans="1:10" hidden="1" x14ac:dyDescent="0.3">
      <c r="A269" s="14">
        <v>0</v>
      </c>
      <c r="B269" s="14" t="s">
        <v>497</v>
      </c>
      <c r="C269" s="14">
        <v>591</v>
      </c>
      <c r="D269" s="14" t="s">
        <v>498</v>
      </c>
      <c r="E269" s="19">
        <v>0</v>
      </c>
      <c r="F269" s="19"/>
      <c r="G269" s="19"/>
      <c r="H269" s="15"/>
      <c r="I269" s="16" t="s">
        <v>431</v>
      </c>
    </row>
    <row r="270" spans="1:10" hidden="1" x14ac:dyDescent="0.3">
      <c r="A270" s="14">
        <v>1</v>
      </c>
      <c r="B270" s="14" t="s">
        <v>499</v>
      </c>
      <c r="C270" s="14">
        <v>592</v>
      </c>
      <c r="D270" s="14" t="s">
        <v>500</v>
      </c>
      <c r="E270" s="25">
        <f>9-5-3-1</f>
        <v>0</v>
      </c>
      <c r="F270" s="25"/>
      <c r="G270" s="15" t="s">
        <v>835</v>
      </c>
      <c r="H270" s="15" t="s">
        <v>177</v>
      </c>
      <c r="I270" s="16"/>
    </row>
    <row r="271" spans="1:10" hidden="1" x14ac:dyDescent="0.3">
      <c r="A271" s="19">
        <v>0</v>
      </c>
      <c r="B271" s="14" t="s">
        <v>499</v>
      </c>
      <c r="C271" s="14">
        <v>593</v>
      </c>
      <c r="D271" s="14" t="s">
        <v>501</v>
      </c>
      <c r="E271" s="19">
        <f>30-2-10-10-8</f>
        <v>0</v>
      </c>
      <c r="F271" s="19"/>
      <c r="G271" s="19"/>
      <c r="H271" s="15"/>
      <c r="I271" s="16" t="s">
        <v>502</v>
      </c>
    </row>
    <row r="272" spans="1:10" hidden="1" x14ac:dyDescent="0.3">
      <c r="A272" s="25">
        <v>0</v>
      </c>
      <c r="B272" s="14" t="s">
        <v>503</v>
      </c>
      <c r="C272" s="14">
        <v>595</v>
      </c>
      <c r="D272" s="14" t="s">
        <v>504</v>
      </c>
      <c r="E272" s="25">
        <f>20-2.5-5.48-5-5-2.02</f>
        <v>0</v>
      </c>
      <c r="F272" s="25"/>
      <c r="G272" s="15" t="s">
        <v>826</v>
      </c>
      <c r="H272" s="15" t="s">
        <v>773</v>
      </c>
      <c r="I272" s="16" t="s">
        <v>505</v>
      </c>
    </row>
    <row r="273" spans="1:15" hidden="1" x14ac:dyDescent="0.3">
      <c r="A273" s="14" t="s">
        <v>789</v>
      </c>
      <c r="B273" s="14" t="s">
        <v>503</v>
      </c>
      <c r="C273" s="14">
        <v>596</v>
      </c>
      <c r="D273" s="32" t="s">
        <v>506</v>
      </c>
      <c r="E273" s="19">
        <f>32-2-17-4-7-2</f>
        <v>0</v>
      </c>
      <c r="F273" s="19"/>
      <c r="G273" s="15" t="s">
        <v>831</v>
      </c>
      <c r="H273" s="15" t="s">
        <v>722</v>
      </c>
      <c r="I273" s="16" t="s">
        <v>507</v>
      </c>
    </row>
    <row r="274" spans="1:15" hidden="1" x14ac:dyDescent="0.3">
      <c r="A274" s="14">
        <v>1</v>
      </c>
      <c r="B274" s="14" t="s">
        <v>508</v>
      </c>
      <c r="C274" s="14">
        <v>597</v>
      </c>
      <c r="D274" s="14" t="s">
        <v>509</v>
      </c>
      <c r="E274" s="15">
        <v>0</v>
      </c>
      <c r="F274" s="15" t="s">
        <v>985</v>
      </c>
      <c r="G274" s="15" t="s">
        <v>852</v>
      </c>
      <c r="H274" s="15" t="s">
        <v>773</v>
      </c>
      <c r="I274" s="16" t="s">
        <v>482</v>
      </c>
    </row>
    <row r="275" spans="1:15" hidden="1" x14ac:dyDescent="0.3">
      <c r="A275" s="14">
        <v>0</v>
      </c>
      <c r="B275" s="14" t="s">
        <v>510</v>
      </c>
      <c r="C275" s="14">
        <v>600</v>
      </c>
      <c r="D275" s="14" t="s">
        <v>511</v>
      </c>
      <c r="E275" s="19">
        <v>0</v>
      </c>
      <c r="F275" s="19"/>
      <c r="G275" s="19"/>
      <c r="H275" s="15" t="s">
        <v>321</v>
      </c>
      <c r="I275" s="16" t="s">
        <v>482</v>
      </c>
    </row>
    <row r="276" spans="1:15" hidden="1" x14ac:dyDescent="0.3">
      <c r="A276" s="19">
        <v>0</v>
      </c>
      <c r="B276" s="14" t="s">
        <v>510</v>
      </c>
      <c r="C276" s="14">
        <v>602</v>
      </c>
      <c r="D276" s="14" t="s">
        <v>512</v>
      </c>
      <c r="E276" s="19">
        <v>0</v>
      </c>
      <c r="F276" s="19"/>
      <c r="G276" s="19"/>
      <c r="H276" s="15" t="s">
        <v>728</v>
      </c>
      <c r="I276" s="16"/>
    </row>
    <row r="277" spans="1:15" x14ac:dyDescent="0.3">
      <c r="A277" s="14">
        <v>1</v>
      </c>
      <c r="B277" s="14" t="s">
        <v>513</v>
      </c>
      <c r="C277" s="14">
        <v>603</v>
      </c>
      <c r="D277" s="14" t="s">
        <v>741</v>
      </c>
      <c r="E277" s="15">
        <f>8-4-0.5-0.5</f>
        <v>3</v>
      </c>
      <c r="F277" s="15" t="s">
        <v>985</v>
      </c>
      <c r="G277" s="15" t="s">
        <v>820</v>
      </c>
      <c r="H277" s="15" t="s">
        <v>865</v>
      </c>
      <c r="I277" s="16"/>
    </row>
    <row r="278" spans="1:15" hidden="1" x14ac:dyDescent="0.3">
      <c r="A278" s="14">
        <v>0</v>
      </c>
      <c r="B278" s="14" t="s">
        <v>513</v>
      </c>
      <c r="C278" s="14">
        <v>604</v>
      </c>
      <c r="D278" s="14" t="s">
        <v>515</v>
      </c>
      <c r="E278" s="19">
        <v>0</v>
      </c>
      <c r="F278" s="19"/>
      <c r="G278" s="19"/>
      <c r="H278" s="19"/>
      <c r="I278" s="16" t="s">
        <v>516</v>
      </c>
    </row>
    <row r="279" spans="1:15" hidden="1" x14ac:dyDescent="0.3">
      <c r="A279" s="14">
        <v>0</v>
      </c>
      <c r="B279" s="14" t="s">
        <v>513</v>
      </c>
      <c r="C279" s="14">
        <v>605</v>
      </c>
      <c r="D279" s="14" t="s">
        <v>517</v>
      </c>
      <c r="E279" s="24">
        <v>0</v>
      </c>
      <c r="F279" s="24"/>
      <c r="G279" s="24"/>
      <c r="H279" s="15" t="s">
        <v>383</v>
      </c>
      <c r="I279" s="16" t="s">
        <v>482</v>
      </c>
    </row>
    <row r="280" spans="1:15" hidden="1" x14ac:dyDescent="0.3">
      <c r="A280" s="14">
        <v>0</v>
      </c>
      <c r="B280" s="14" t="s">
        <v>518</v>
      </c>
      <c r="C280" s="14">
        <v>606</v>
      </c>
      <c r="D280" s="14" t="s">
        <v>519</v>
      </c>
      <c r="E280" s="19">
        <v>0</v>
      </c>
      <c r="F280" s="19"/>
      <c r="G280" s="19"/>
      <c r="H280" s="19"/>
      <c r="I280" s="16" t="s">
        <v>482</v>
      </c>
    </row>
    <row r="281" spans="1:15" hidden="1" x14ac:dyDescent="0.3">
      <c r="A281" s="19">
        <v>0</v>
      </c>
      <c r="B281" s="14" t="s">
        <v>518</v>
      </c>
      <c r="C281" s="14">
        <v>607</v>
      </c>
      <c r="D281" s="14" t="s">
        <v>703</v>
      </c>
      <c r="E281" s="19">
        <v>0</v>
      </c>
      <c r="F281" s="19"/>
      <c r="G281" s="19"/>
      <c r="H281" s="15"/>
      <c r="I281" s="16">
        <v>430</v>
      </c>
    </row>
    <row r="282" spans="1:15" hidden="1" x14ac:dyDescent="0.3">
      <c r="A282" s="19">
        <v>0</v>
      </c>
      <c r="B282" s="14" t="s">
        <v>518</v>
      </c>
      <c r="C282" s="14">
        <v>608</v>
      </c>
      <c r="D282" s="14" t="s">
        <v>520</v>
      </c>
      <c r="E282" s="19">
        <f>1.05*5-4-1-0.25</f>
        <v>0</v>
      </c>
      <c r="F282" s="19"/>
      <c r="G282" s="19"/>
      <c r="H282" s="15" t="s">
        <v>729</v>
      </c>
      <c r="I282" s="16"/>
    </row>
    <row r="283" spans="1:15" hidden="1" x14ac:dyDescent="0.3">
      <c r="A283" s="14">
        <v>0</v>
      </c>
      <c r="B283" s="14" t="s">
        <v>518</v>
      </c>
      <c r="C283" s="14">
        <v>609</v>
      </c>
      <c r="D283" s="14" t="s">
        <v>521</v>
      </c>
      <c r="E283" s="19">
        <f>19-7.6-9.9-1.5</f>
        <v>0</v>
      </c>
      <c r="F283" s="19"/>
      <c r="G283" s="19"/>
      <c r="H283" s="19"/>
      <c r="I283" s="16" t="s">
        <v>482</v>
      </c>
    </row>
    <row r="284" spans="1:15" hidden="1" x14ac:dyDescent="0.3">
      <c r="A284" s="19">
        <v>0</v>
      </c>
      <c r="B284" s="14" t="s">
        <v>518</v>
      </c>
      <c r="C284" s="14">
        <v>610</v>
      </c>
      <c r="D284" s="14" t="s">
        <v>522</v>
      </c>
      <c r="E284" s="19">
        <v>0</v>
      </c>
      <c r="F284" s="19"/>
      <c r="G284" s="19"/>
      <c r="H284" s="15" t="s">
        <v>205</v>
      </c>
      <c r="I284" s="16" t="s">
        <v>523</v>
      </c>
    </row>
    <row r="285" spans="1:15" ht="43.2" hidden="1" x14ac:dyDescent="0.3">
      <c r="A285" s="14">
        <v>1</v>
      </c>
      <c r="B285" s="14" t="s">
        <v>518</v>
      </c>
      <c r="C285" s="15">
        <v>611</v>
      </c>
      <c r="D285" s="14" t="s">
        <v>524</v>
      </c>
      <c r="E285" s="15">
        <v>0</v>
      </c>
      <c r="F285" s="15"/>
      <c r="G285" s="15" t="s">
        <v>813</v>
      </c>
      <c r="H285" s="15" t="s">
        <v>966</v>
      </c>
      <c r="I285" s="78" t="s">
        <v>1088</v>
      </c>
      <c r="J285" t="s">
        <v>525</v>
      </c>
      <c r="O285" t="s">
        <v>1183</v>
      </c>
    </row>
    <row r="286" spans="1:15" hidden="1" x14ac:dyDescent="0.3">
      <c r="A286" s="14">
        <v>0</v>
      </c>
      <c r="B286" s="14" t="s">
        <v>526</v>
      </c>
      <c r="C286" s="14">
        <v>613</v>
      </c>
      <c r="D286" s="14" t="s">
        <v>527</v>
      </c>
      <c r="E286" s="20"/>
      <c r="F286" s="20"/>
      <c r="G286" s="15" t="s">
        <v>843</v>
      </c>
      <c r="H286" s="15"/>
      <c r="I286" s="16"/>
    </row>
    <row r="287" spans="1:15" hidden="1" x14ac:dyDescent="0.3">
      <c r="A287" s="14">
        <v>1</v>
      </c>
      <c r="B287" s="14" t="s">
        <v>528</v>
      </c>
      <c r="C287" s="14">
        <v>615</v>
      </c>
      <c r="D287" s="14" t="s">
        <v>732</v>
      </c>
      <c r="E287" s="15">
        <f>4*1.27-4-1.08</f>
        <v>0</v>
      </c>
      <c r="F287" s="15"/>
      <c r="G287" s="15" t="s">
        <v>853</v>
      </c>
      <c r="H287" s="15" t="s">
        <v>67</v>
      </c>
      <c r="I287" s="16" t="s">
        <v>530</v>
      </c>
    </row>
    <row r="288" spans="1:15" hidden="1" x14ac:dyDescent="0.3">
      <c r="A288" s="19">
        <v>0</v>
      </c>
      <c r="B288" s="14" t="s">
        <v>528</v>
      </c>
      <c r="C288" s="14">
        <v>616</v>
      </c>
      <c r="D288" s="14" t="s">
        <v>531</v>
      </c>
      <c r="E288" s="19">
        <f>19-6-13</f>
        <v>0</v>
      </c>
      <c r="F288" s="19"/>
      <c r="G288" s="19"/>
      <c r="H288" s="15" t="s">
        <v>177</v>
      </c>
      <c r="I288" s="16" t="s">
        <v>482</v>
      </c>
    </row>
    <row r="289" spans="1:9" x14ac:dyDescent="0.3">
      <c r="A289" s="14">
        <v>1</v>
      </c>
      <c r="B289" s="14" t="s">
        <v>528</v>
      </c>
      <c r="C289" s="20">
        <v>617</v>
      </c>
      <c r="D289" s="14" t="s">
        <v>532</v>
      </c>
      <c r="E289" s="15">
        <f>5.85-0.5-2-1</f>
        <v>2.3499999999999996</v>
      </c>
      <c r="F289" s="15" t="s">
        <v>985</v>
      </c>
      <c r="G289" s="15" t="s">
        <v>826</v>
      </c>
      <c r="H289" s="15" t="s">
        <v>917</v>
      </c>
      <c r="I289" s="16" t="s">
        <v>533</v>
      </c>
    </row>
    <row r="290" spans="1:9" hidden="1" x14ac:dyDescent="0.3">
      <c r="A290" s="19">
        <v>0</v>
      </c>
      <c r="B290" s="14" t="s">
        <v>534</v>
      </c>
      <c r="C290" s="14">
        <v>618</v>
      </c>
      <c r="D290" s="14" t="s">
        <v>535</v>
      </c>
      <c r="E290" s="19">
        <f>3.5-1.75-1.75</f>
        <v>0</v>
      </c>
      <c r="F290" s="19"/>
      <c r="G290" s="19"/>
      <c r="H290" s="19"/>
      <c r="I290" s="16" t="s">
        <v>536</v>
      </c>
    </row>
    <row r="291" spans="1:9" hidden="1" x14ac:dyDescent="0.3">
      <c r="A291" s="19">
        <v>0</v>
      </c>
      <c r="B291" s="14" t="s">
        <v>537</v>
      </c>
      <c r="C291" s="14">
        <v>622</v>
      </c>
      <c r="D291" s="14" t="s">
        <v>538</v>
      </c>
      <c r="E291" s="19">
        <v>0</v>
      </c>
      <c r="F291" s="19"/>
      <c r="G291" s="19"/>
      <c r="H291" s="15"/>
      <c r="I291" s="16" t="s">
        <v>482</v>
      </c>
    </row>
    <row r="292" spans="1:9" hidden="1" x14ac:dyDescent="0.3">
      <c r="A292" s="14">
        <v>0</v>
      </c>
      <c r="B292" s="14" t="s">
        <v>539</v>
      </c>
      <c r="C292" s="14">
        <v>623</v>
      </c>
      <c r="D292" s="14" t="s">
        <v>540</v>
      </c>
      <c r="E292" s="19">
        <f>14-5-8.4-0.6</f>
        <v>0</v>
      </c>
      <c r="F292" s="19"/>
      <c r="G292" s="19"/>
      <c r="H292" s="19"/>
      <c r="I292" s="16" t="s">
        <v>541</v>
      </c>
    </row>
    <row r="293" spans="1:9" hidden="1" x14ac:dyDescent="0.3">
      <c r="A293" s="19">
        <v>0</v>
      </c>
      <c r="B293" s="14" t="s">
        <v>539</v>
      </c>
      <c r="C293" s="14">
        <v>624</v>
      </c>
      <c r="D293" s="14" t="s">
        <v>542</v>
      </c>
      <c r="E293" s="19">
        <v>0</v>
      </c>
      <c r="F293" s="19"/>
      <c r="G293" s="19"/>
      <c r="H293" s="15" t="s">
        <v>722</v>
      </c>
      <c r="I293" s="16" t="s">
        <v>543</v>
      </c>
    </row>
    <row r="294" spans="1:9" hidden="1" x14ac:dyDescent="0.3">
      <c r="A294" s="19">
        <v>0</v>
      </c>
      <c r="B294" s="14" t="s">
        <v>539</v>
      </c>
      <c r="C294" s="14">
        <v>625</v>
      </c>
      <c r="D294" s="14" t="s">
        <v>544</v>
      </c>
      <c r="E294" s="19">
        <f>18-5-4.1-8.9</f>
        <v>0</v>
      </c>
      <c r="F294" s="19"/>
      <c r="G294" s="19"/>
      <c r="H294" s="15" t="s">
        <v>545</v>
      </c>
      <c r="I294" s="16" t="s">
        <v>482</v>
      </c>
    </row>
    <row r="295" spans="1:9" hidden="1" x14ac:dyDescent="0.3">
      <c r="A295" s="19">
        <v>0</v>
      </c>
      <c r="B295" s="14" t="s">
        <v>546</v>
      </c>
      <c r="C295" s="14">
        <v>626</v>
      </c>
      <c r="D295" s="14" t="s">
        <v>547</v>
      </c>
      <c r="E295" s="19">
        <v>0</v>
      </c>
      <c r="F295" s="19"/>
      <c r="G295" s="19"/>
      <c r="H295" s="15" t="s">
        <v>383</v>
      </c>
      <c r="I295" s="16" t="s">
        <v>548</v>
      </c>
    </row>
    <row r="296" spans="1:9" hidden="1" x14ac:dyDescent="0.3">
      <c r="A296" s="14">
        <v>1</v>
      </c>
      <c r="B296" s="14" t="s">
        <v>546</v>
      </c>
      <c r="C296" s="14">
        <v>627</v>
      </c>
      <c r="D296" s="14" t="s">
        <v>549</v>
      </c>
      <c r="E296" s="19">
        <v>0</v>
      </c>
      <c r="F296" s="19"/>
      <c r="G296" s="19"/>
      <c r="H296" s="19"/>
      <c r="I296" s="16" t="s">
        <v>550</v>
      </c>
    </row>
    <row r="297" spans="1:9" x14ac:dyDescent="0.3">
      <c r="A297" s="14">
        <v>1</v>
      </c>
      <c r="B297" s="14" t="s">
        <v>551</v>
      </c>
      <c r="C297" s="14">
        <v>628</v>
      </c>
      <c r="D297" s="14" t="s">
        <v>552</v>
      </c>
      <c r="E297" s="15">
        <f>1.2-0.5</f>
        <v>0.7</v>
      </c>
      <c r="F297" s="15"/>
      <c r="G297" s="15" t="s">
        <v>799</v>
      </c>
      <c r="H297" s="15" t="s">
        <v>67</v>
      </c>
      <c r="I297" s="16" t="s">
        <v>151</v>
      </c>
    </row>
    <row r="298" spans="1:9" hidden="1" x14ac:dyDescent="0.3">
      <c r="A298" s="19">
        <v>0</v>
      </c>
      <c r="B298" s="14" t="s">
        <v>553</v>
      </c>
      <c r="C298" s="14">
        <v>630</v>
      </c>
      <c r="D298" s="14" t="s">
        <v>554</v>
      </c>
      <c r="E298" s="19">
        <v>0</v>
      </c>
      <c r="F298" s="19"/>
      <c r="G298" s="19"/>
      <c r="H298" s="19"/>
      <c r="I298" s="16" t="s">
        <v>533</v>
      </c>
    </row>
    <row r="299" spans="1:9" hidden="1" x14ac:dyDescent="0.3">
      <c r="A299" s="19">
        <v>0</v>
      </c>
      <c r="B299" s="14" t="s">
        <v>553</v>
      </c>
      <c r="C299" s="14">
        <v>631</v>
      </c>
      <c r="D299" s="14" t="s">
        <v>555</v>
      </c>
      <c r="E299" s="19">
        <f>1.6-1-0.6</f>
        <v>0</v>
      </c>
      <c r="F299" s="19"/>
      <c r="G299" s="19"/>
      <c r="H299" s="15" t="s">
        <v>205</v>
      </c>
      <c r="I299" s="16" t="s">
        <v>556</v>
      </c>
    </row>
    <row r="300" spans="1:9" hidden="1" x14ac:dyDescent="0.3">
      <c r="A300" s="14" t="s">
        <v>789</v>
      </c>
      <c r="B300" s="14" t="s">
        <v>557</v>
      </c>
      <c r="C300" s="14">
        <v>632</v>
      </c>
      <c r="D300" s="32" t="s">
        <v>558</v>
      </c>
      <c r="E300" s="19">
        <f>31-5-10.5-4.5-5-2.9-3.1</f>
        <v>0</v>
      </c>
      <c r="F300" s="19"/>
      <c r="G300" s="15" t="s">
        <v>854</v>
      </c>
      <c r="H300" s="15" t="s">
        <v>751</v>
      </c>
      <c r="I300" s="16" t="s">
        <v>559</v>
      </c>
    </row>
    <row r="301" spans="1:9" hidden="1" x14ac:dyDescent="0.3">
      <c r="A301" s="14">
        <v>1</v>
      </c>
      <c r="B301" s="14" t="s">
        <v>557</v>
      </c>
      <c r="C301" s="20">
        <v>633</v>
      </c>
      <c r="D301" s="14" t="s">
        <v>560</v>
      </c>
      <c r="E301" s="15">
        <f>5-2-0.5-0.5-0.5-0.5-0.5-0.5</f>
        <v>0</v>
      </c>
      <c r="F301" s="15"/>
      <c r="G301" s="15" t="s">
        <v>838</v>
      </c>
      <c r="H301" s="39" t="s">
        <v>880</v>
      </c>
      <c r="I301" s="16" t="s">
        <v>561</v>
      </c>
    </row>
    <row r="302" spans="1:9" hidden="1" x14ac:dyDescent="0.3">
      <c r="A302" s="19">
        <v>0</v>
      </c>
      <c r="B302" s="14" t="s">
        <v>562</v>
      </c>
      <c r="C302" s="14">
        <v>634</v>
      </c>
      <c r="D302" s="14" t="s">
        <v>563</v>
      </c>
      <c r="E302" s="19">
        <v>0</v>
      </c>
      <c r="F302" s="19"/>
      <c r="G302" s="19"/>
      <c r="H302" s="19"/>
      <c r="I302" s="16" t="s">
        <v>564</v>
      </c>
    </row>
    <row r="303" spans="1:9" hidden="1" x14ac:dyDescent="0.3">
      <c r="A303" s="14">
        <v>1</v>
      </c>
      <c r="B303" s="14" t="s">
        <v>565</v>
      </c>
      <c r="C303" s="14">
        <v>636</v>
      </c>
      <c r="D303" s="14" t="s">
        <v>566</v>
      </c>
      <c r="E303" s="15">
        <f>14.5-4.5-2-2-2-1-1-1.47-0.53</f>
        <v>0</v>
      </c>
      <c r="F303" s="15"/>
      <c r="G303" s="15" t="s">
        <v>803</v>
      </c>
      <c r="H303" s="15" t="s">
        <v>750</v>
      </c>
      <c r="I303" s="16" t="s">
        <v>548</v>
      </c>
    </row>
    <row r="304" spans="1:9" x14ac:dyDescent="0.3">
      <c r="A304" s="14">
        <v>1</v>
      </c>
      <c r="B304" s="14" t="s">
        <v>565</v>
      </c>
      <c r="C304" s="14">
        <v>637</v>
      </c>
      <c r="D304" s="14" t="s">
        <v>567</v>
      </c>
      <c r="E304" s="15">
        <f>5.5*1.27</f>
        <v>6.9850000000000003</v>
      </c>
      <c r="F304" s="15" t="s">
        <v>985</v>
      </c>
      <c r="G304" s="15" t="s">
        <v>855</v>
      </c>
      <c r="H304" s="15"/>
      <c r="I304" s="16" t="s">
        <v>568</v>
      </c>
    </row>
    <row r="305" spans="1:9" x14ac:dyDescent="0.3">
      <c r="A305" s="14">
        <v>0</v>
      </c>
      <c r="B305" s="14" t="s">
        <v>569</v>
      </c>
      <c r="C305" s="14">
        <v>639</v>
      </c>
      <c r="D305" s="14" t="s">
        <v>570</v>
      </c>
      <c r="E305" s="15">
        <v>5.2</v>
      </c>
      <c r="F305" s="15"/>
      <c r="G305" s="15"/>
      <c r="H305" s="15"/>
      <c r="I305" s="16"/>
    </row>
    <row r="306" spans="1:9" hidden="1" x14ac:dyDescent="0.3">
      <c r="A306" s="25">
        <v>0</v>
      </c>
      <c r="B306" s="14" t="s">
        <v>569</v>
      </c>
      <c r="C306" s="14">
        <v>641</v>
      </c>
      <c r="D306" s="14" t="s">
        <v>571</v>
      </c>
      <c r="E306" s="25">
        <f>13.5-10-2.5-1</f>
        <v>0</v>
      </c>
      <c r="F306" s="25"/>
      <c r="G306" s="25"/>
      <c r="H306" s="15" t="s">
        <v>572</v>
      </c>
      <c r="I306" s="16" t="s">
        <v>548</v>
      </c>
    </row>
    <row r="307" spans="1:9" hidden="1" x14ac:dyDescent="0.3">
      <c r="A307" s="14">
        <v>1</v>
      </c>
      <c r="B307" s="14" t="s">
        <v>569</v>
      </c>
      <c r="C307" s="14">
        <v>642</v>
      </c>
      <c r="D307" s="14" t="s">
        <v>573</v>
      </c>
      <c r="E307" s="19">
        <v>0</v>
      </c>
      <c r="F307" s="19"/>
      <c r="G307" s="19"/>
      <c r="H307" s="15" t="s">
        <v>67</v>
      </c>
      <c r="I307" s="16" t="s">
        <v>491</v>
      </c>
    </row>
    <row r="308" spans="1:9" hidden="1" x14ac:dyDescent="0.3">
      <c r="A308" s="14">
        <v>0</v>
      </c>
      <c r="B308" s="14" t="s">
        <v>574</v>
      </c>
      <c r="C308" s="14">
        <v>644</v>
      </c>
      <c r="D308" s="14" t="s">
        <v>575</v>
      </c>
      <c r="E308" s="19">
        <f>13-8-5</f>
        <v>0</v>
      </c>
      <c r="F308" s="19"/>
      <c r="G308" s="19"/>
      <c r="H308" s="19"/>
      <c r="I308" s="16" t="s">
        <v>548</v>
      </c>
    </row>
    <row r="309" spans="1:9" x14ac:dyDescent="0.3">
      <c r="A309" s="14">
        <v>0</v>
      </c>
      <c r="B309" s="14" t="s">
        <v>574</v>
      </c>
      <c r="C309" s="20">
        <v>645</v>
      </c>
      <c r="D309" s="14" t="s">
        <v>866</v>
      </c>
      <c r="E309" s="15">
        <v>16</v>
      </c>
      <c r="F309" s="15"/>
      <c r="G309" s="15" t="s">
        <v>823</v>
      </c>
      <c r="H309" s="15" t="s">
        <v>361</v>
      </c>
      <c r="I309" s="16" t="s">
        <v>548</v>
      </c>
    </row>
    <row r="310" spans="1:9" x14ac:dyDescent="0.3">
      <c r="A310" s="14">
        <v>1</v>
      </c>
      <c r="B310" s="14" t="s">
        <v>574</v>
      </c>
      <c r="C310" s="20">
        <v>650</v>
      </c>
      <c r="D310" s="14" t="s">
        <v>577</v>
      </c>
      <c r="E310" s="15">
        <v>1.27</v>
      </c>
      <c r="F310" s="15"/>
      <c r="G310" s="15" t="s">
        <v>823</v>
      </c>
      <c r="H310" s="15" t="s">
        <v>773</v>
      </c>
      <c r="I310" s="16"/>
    </row>
    <row r="311" spans="1:9" hidden="1" x14ac:dyDescent="0.3">
      <c r="A311" s="14">
        <v>0</v>
      </c>
      <c r="B311" s="14" t="s">
        <v>578</v>
      </c>
      <c r="C311" s="14">
        <v>651</v>
      </c>
      <c r="D311" s="14" t="s">
        <v>579</v>
      </c>
      <c r="E311" s="19">
        <v>0</v>
      </c>
      <c r="F311" s="19"/>
      <c r="G311" s="19"/>
      <c r="H311" s="15"/>
      <c r="I311" s="16" t="s">
        <v>491</v>
      </c>
    </row>
    <row r="312" spans="1:9" ht="72" x14ac:dyDescent="0.3">
      <c r="A312" s="14">
        <v>1</v>
      </c>
      <c r="B312" s="14" t="s">
        <v>578</v>
      </c>
      <c r="C312" s="20">
        <v>652</v>
      </c>
      <c r="D312" s="14" t="s">
        <v>874</v>
      </c>
      <c r="E312" s="15">
        <f>13*1.27-1*1.27-1*1.282-1*1.29-1-1.3-1.3-1.05-1-1-1-1-1</f>
        <v>3.0180000000000007</v>
      </c>
      <c r="F312" s="15" t="s">
        <v>985</v>
      </c>
      <c r="G312" s="15" t="s">
        <v>844</v>
      </c>
      <c r="H312" s="15" t="s">
        <v>750</v>
      </c>
      <c r="I312" s="136" t="s">
        <v>1246</v>
      </c>
    </row>
    <row r="313" spans="1:9" x14ac:dyDescent="0.3">
      <c r="A313" s="14">
        <v>1</v>
      </c>
      <c r="B313" s="14" t="s">
        <v>578</v>
      </c>
      <c r="C313" s="14">
        <v>653</v>
      </c>
      <c r="D313" s="14" t="s">
        <v>1184</v>
      </c>
      <c r="E313" s="15">
        <f>10+2.5-2.5+10-5+65-25+3-3+3-37-7.36-0.64-1+1+0.86</f>
        <v>13.86</v>
      </c>
      <c r="F313" s="15" t="s">
        <v>985</v>
      </c>
      <c r="G313" s="15" t="s">
        <v>809</v>
      </c>
      <c r="H313" s="15"/>
      <c r="I313" s="131" t="s">
        <v>1236</v>
      </c>
    </row>
    <row r="314" spans="1:9" hidden="1" x14ac:dyDescent="0.3">
      <c r="A314" s="14">
        <v>0</v>
      </c>
      <c r="B314" s="14" t="s">
        <v>582</v>
      </c>
      <c r="C314" s="14">
        <v>654</v>
      </c>
      <c r="D314" s="14" t="s">
        <v>583</v>
      </c>
      <c r="E314" s="15">
        <f>18-15-3</f>
        <v>0</v>
      </c>
      <c r="F314" s="15"/>
      <c r="G314" s="15">
        <v>0</v>
      </c>
      <c r="H314" s="15"/>
      <c r="I314" s="16" t="s">
        <v>386</v>
      </c>
    </row>
    <row r="315" spans="1:9" x14ac:dyDescent="0.3">
      <c r="A315" s="14">
        <v>1</v>
      </c>
      <c r="B315" s="14" t="s">
        <v>584</v>
      </c>
      <c r="C315" s="14">
        <v>655</v>
      </c>
      <c r="D315" s="14" t="s">
        <v>585</v>
      </c>
      <c r="E315" s="15">
        <f>14.5-1.27-1.27-1-1.295</f>
        <v>9.6650000000000009</v>
      </c>
      <c r="F315" s="15" t="s">
        <v>985</v>
      </c>
      <c r="G315" s="15" t="s">
        <v>845</v>
      </c>
      <c r="H315" s="15" t="s">
        <v>750</v>
      </c>
      <c r="I315" s="16" t="s">
        <v>548</v>
      </c>
    </row>
    <row r="316" spans="1:9" hidden="1" x14ac:dyDescent="0.3">
      <c r="A316" s="14">
        <v>1</v>
      </c>
      <c r="B316" s="14" t="s">
        <v>584</v>
      </c>
      <c r="C316" s="20">
        <v>656</v>
      </c>
      <c r="D316" s="14" t="s">
        <v>586</v>
      </c>
      <c r="E316" s="19">
        <f>1.9-1.27-0.23-0.3-0.1</f>
        <v>0</v>
      </c>
      <c r="F316" s="19"/>
      <c r="G316" s="15" t="s">
        <v>801</v>
      </c>
      <c r="H316" s="15" t="s">
        <v>761</v>
      </c>
      <c r="I316" s="16" t="s">
        <v>587</v>
      </c>
    </row>
    <row r="317" spans="1:9" hidden="1" x14ac:dyDescent="0.3">
      <c r="A317" s="19">
        <v>0</v>
      </c>
      <c r="B317" s="14" t="s">
        <v>588</v>
      </c>
      <c r="C317" s="14">
        <v>658</v>
      </c>
      <c r="D317" s="14" t="s">
        <v>754</v>
      </c>
      <c r="E317" s="19">
        <v>0</v>
      </c>
      <c r="F317" s="19"/>
      <c r="G317" s="19"/>
      <c r="H317" s="15" t="s">
        <v>590</v>
      </c>
      <c r="I317" s="16" t="s">
        <v>482</v>
      </c>
    </row>
    <row r="318" spans="1:9" x14ac:dyDescent="0.3">
      <c r="A318" s="14">
        <v>0</v>
      </c>
      <c r="B318" s="14" t="s">
        <v>588</v>
      </c>
      <c r="C318" s="14">
        <v>659</v>
      </c>
      <c r="D318" s="14" t="s">
        <v>591</v>
      </c>
      <c r="E318" s="15">
        <f>-34.15-41.6-20-20.5-41.2-18-25.8-9+16*2-16-8</f>
        <v>-202.25</v>
      </c>
      <c r="F318" s="15"/>
      <c r="G318" s="15"/>
      <c r="H318" s="15"/>
      <c r="I318" s="16"/>
    </row>
    <row r="319" spans="1:9" hidden="1" x14ac:dyDescent="0.3">
      <c r="A319" s="14">
        <v>1</v>
      </c>
      <c r="B319" s="14" t="s">
        <v>592</v>
      </c>
      <c r="C319" s="14">
        <v>660</v>
      </c>
      <c r="D319" s="14" t="s">
        <v>776</v>
      </c>
      <c r="E319" s="19">
        <f>13-4-3-2-1.8-2.2</f>
        <v>0</v>
      </c>
      <c r="F319" s="19"/>
      <c r="G319" s="15" t="s">
        <v>845</v>
      </c>
      <c r="H319" s="15" t="s">
        <v>775</v>
      </c>
      <c r="I319" s="16">
        <v>1220</v>
      </c>
    </row>
    <row r="320" spans="1:9" hidden="1" x14ac:dyDescent="0.3">
      <c r="A320" s="14">
        <v>1</v>
      </c>
      <c r="B320" s="14" t="s">
        <v>594</v>
      </c>
      <c r="C320" s="20">
        <v>661</v>
      </c>
      <c r="D320" s="14" t="s">
        <v>884</v>
      </c>
      <c r="E320" s="15">
        <f>28-5-10-7-1.8-4.2</f>
        <v>0</v>
      </c>
      <c r="F320" s="15"/>
      <c r="G320" s="15" t="s">
        <v>821</v>
      </c>
      <c r="H320" s="15" t="s">
        <v>914</v>
      </c>
      <c r="I320" s="16" t="s">
        <v>596</v>
      </c>
    </row>
    <row r="321" spans="1:9" hidden="1" x14ac:dyDescent="0.3">
      <c r="A321" s="14">
        <v>0</v>
      </c>
      <c r="B321" s="14" t="s">
        <v>594</v>
      </c>
      <c r="C321" s="14">
        <v>662</v>
      </c>
      <c r="D321" s="14" t="s">
        <v>597</v>
      </c>
      <c r="E321" s="19">
        <f>3*1.275-3.825</f>
        <v>0</v>
      </c>
      <c r="F321" s="19"/>
      <c r="G321" s="19"/>
      <c r="H321" s="15"/>
      <c r="I321" s="16" t="s">
        <v>598</v>
      </c>
    </row>
    <row r="322" spans="1:9" x14ac:dyDescent="0.3">
      <c r="A322" s="14">
        <v>1</v>
      </c>
      <c r="B322" s="14" t="s">
        <v>594</v>
      </c>
      <c r="C322" s="20">
        <v>663</v>
      </c>
      <c r="D322" s="33" t="s">
        <v>755</v>
      </c>
      <c r="E322" s="15">
        <f>4-2.5</f>
        <v>1.5</v>
      </c>
      <c r="F322" s="15" t="s">
        <v>985</v>
      </c>
      <c r="G322" s="15" t="s">
        <v>805</v>
      </c>
      <c r="H322" s="15" t="s">
        <v>919</v>
      </c>
      <c r="I322" s="16" t="s">
        <v>600</v>
      </c>
    </row>
    <row r="323" spans="1:9" x14ac:dyDescent="0.3">
      <c r="A323" s="14">
        <v>0</v>
      </c>
      <c r="B323" s="14" t="s">
        <v>594</v>
      </c>
      <c r="C323" s="14">
        <v>664</v>
      </c>
      <c r="D323" s="14" t="s">
        <v>601</v>
      </c>
      <c r="E323" s="15">
        <f>22*1.27</f>
        <v>27.94</v>
      </c>
      <c r="F323" s="15"/>
      <c r="G323" s="15" t="s">
        <v>856</v>
      </c>
      <c r="H323" s="15"/>
      <c r="I323" s="16" t="s">
        <v>602</v>
      </c>
    </row>
    <row r="324" spans="1:9" hidden="1" x14ac:dyDescent="0.3">
      <c r="A324" s="14">
        <v>1</v>
      </c>
      <c r="B324" s="14" t="s">
        <v>603</v>
      </c>
      <c r="C324" s="14">
        <v>665</v>
      </c>
      <c r="D324" s="14" t="s">
        <v>604</v>
      </c>
      <c r="E324" s="19">
        <f>10-1-3-6</f>
        <v>0</v>
      </c>
      <c r="F324" s="19"/>
      <c r="G324" s="15" t="s">
        <v>835</v>
      </c>
      <c r="H324" s="15" t="s">
        <v>892</v>
      </c>
      <c r="I324" s="16" t="s">
        <v>605</v>
      </c>
    </row>
    <row r="325" spans="1:9" hidden="1" x14ac:dyDescent="0.3">
      <c r="A325" s="14">
        <v>0</v>
      </c>
      <c r="B325" s="14" t="s">
        <v>606</v>
      </c>
      <c r="C325" s="14">
        <v>666</v>
      </c>
      <c r="D325" s="14" t="s">
        <v>607</v>
      </c>
      <c r="E325" s="19">
        <v>0</v>
      </c>
      <c r="F325" s="19"/>
      <c r="G325" s="19"/>
      <c r="H325" s="15" t="s">
        <v>177</v>
      </c>
      <c r="I325" s="16" t="s">
        <v>482</v>
      </c>
    </row>
    <row r="326" spans="1:9" hidden="1" x14ac:dyDescent="0.3">
      <c r="A326" s="19">
        <v>0</v>
      </c>
      <c r="B326" s="14" t="s">
        <v>606</v>
      </c>
      <c r="C326" s="14">
        <v>667</v>
      </c>
      <c r="D326" s="14" t="s">
        <v>608</v>
      </c>
      <c r="E326" s="19">
        <v>0</v>
      </c>
      <c r="F326" s="19"/>
      <c r="G326" s="19"/>
      <c r="H326" s="19"/>
      <c r="I326" s="16" t="s">
        <v>609</v>
      </c>
    </row>
    <row r="327" spans="1:9" hidden="1" x14ac:dyDescent="0.3">
      <c r="A327" s="14">
        <v>0</v>
      </c>
      <c r="B327" s="14" t="s">
        <v>606</v>
      </c>
      <c r="C327" s="14">
        <v>668</v>
      </c>
      <c r="D327" s="14" t="s">
        <v>610</v>
      </c>
      <c r="E327" s="19">
        <v>0</v>
      </c>
      <c r="F327" s="19"/>
      <c r="G327" s="19"/>
      <c r="H327" s="15" t="s">
        <v>722</v>
      </c>
      <c r="I327" s="16" t="s">
        <v>482</v>
      </c>
    </row>
    <row r="328" spans="1:9" hidden="1" x14ac:dyDescent="0.3">
      <c r="A328" s="14">
        <v>1</v>
      </c>
      <c r="B328" s="14" t="s">
        <v>611</v>
      </c>
      <c r="C328" s="14">
        <v>669</v>
      </c>
      <c r="D328" s="14" t="s">
        <v>612</v>
      </c>
      <c r="E328" s="25">
        <f>16-9-6-1</f>
        <v>0</v>
      </c>
      <c r="F328" s="25"/>
      <c r="G328" s="25" t="s">
        <v>844</v>
      </c>
      <c r="H328" s="15" t="s">
        <v>858</v>
      </c>
      <c r="I328" s="16" t="s">
        <v>613</v>
      </c>
    </row>
    <row r="329" spans="1:9" hidden="1" x14ac:dyDescent="0.3">
      <c r="A329" s="14">
        <v>1</v>
      </c>
      <c r="B329" s="14" t="s">
        <v>611</v>
      </c>
      <c r="C329" s="14">
        <v>670</v>
      </c>
      <c r="D329" s="14" t="s">
        <v>614</v>
      </c>
      <c r="E329" s="20">
        <v>0</v>
      </c>
      <c r="F329" s="20"/>
      <c r="G329" s="20" t="s">
        <v>821</v>
      </c>
      <c r="H329" s="15"/>
      <c r="I329" s="16" t="s">
        <v>466</v>
      </c>
    </row>
    <row r="330" spans="1:9" hidden="1" x14ac:dyDescent="0.3">
      <c r="A330" s="14">
        <v>1</v>
      </c>
      <c r="B330" s="14" t="s">
        <v>611</v>
      </c>
      <c r="C330" s="14">
        <v>671</v>
      </c>
      <c r="D330" s="14" t="s">
        <v>615</v>
      </c>
      <c r="E330" s="20">
        <v>0</v>
      </c>
      <c r="F330" s="20"/>
      <c r="G330" s="20" t="s">
        <v>836</v>
      </c>
      <c r="H330" s="15" t="s">
        <v>219</v>
      </c>
      <c r="I330" s="16" t="s">
        <v>482</v>
      </c>
    </row>
    <row r="331" spans="1:9" hidden="1" x14ac:dyDescent="0.3">
      <c r="A331" s="14">
        <v>0</v>
      </c>
      <c r="B331" s="14" t="s">
        <v>616</v>
      </c>
      <c r="C331" s="14">
        <v>672</v>
      </c>
      <c r="D331" s="14" t="s">
        <v>617</v>
      </c>
      <c r="E331" s="19">
        <f>4.5-1.5-1.5-1.5</f>
        <v>0</v>
      </c>
      <c r="F331" s="19"/>
      <c r="G331" s="15" t="s">
        <v>811</v>
      </c>
      <c r="H331" s="15" t="s">
        <v>321</v>
      </c>
      <c r="I331" s="16"/>
    </row>
    <row r="332" spans="1:9" hidden="1" x14ac:dyDescent="0.3">
      <c r="A332" s="14">
        <v>0</v>
      </c>
      <c r="B332" s="14" t="s">
        <v>618</v>
      </c>
      <c r="C332" s="14">
        <v>673</v>
      </c>
      <c r="D332" s="14" t="s">
        <v>619</v>
      </c>
      <c r="E332" s="19">
        <f>4.2-1-3.2</f>
        <v>0</v>
      </c>
      <c r="F332" s="19"/>
      <c r="G332" s="19"/>
      <c r="H332" s="15" t="s">
        <v>219</v>
      </c>
      <c r="I332" s="16" t="s">
        <v>620</v>
      </c>
    </row>
    <row r="333" spans="1:9" hidden="1" x14ac:dyDescent="0.3">
      <c r="A333" s="14">
        <v>0</v>
      </c>
      <c r="B333" s="14" t="s">
        <v>621</v>
      </c>
      <c r="C333" s="14">
        <v>674</v>
      </c>
      <c r="D333" s="14" t="s">
        <v>622</v>
      </c>
      <c r="E333" s="19">
        <f>3.6-1.5-2.1+2-2</f>
        <v>0</v>
      </c>
      <c r="F333" s="19"/>
      <c r="G333" s="19"/>
      <c r="H333" s="15" t="s">
        <v>67</v>
      </c>
      <c r="I333" s="16"/>
    </row>
    <row r="334" spans="1:9" hidden="1" x14ac:dyDescent="0.3">
      <c r="A334" s="19">
        <v>0</v>
      </c>
      <c r="B334" s="14" t="s">
        <v>623</v>
      </c>
      <c r="C334" s="14">
        <v>675</v>
      </c>
      <c r="D334" s="14" t="s">
        <v>624</v>
      </c>
      <c r="E334" s="19">
        <v>0</v>
      </c>
      <c r="F334" s="19"/>
      <c r="G334" s="19"/>
      <c r="H334" s="15"/>
      <c r="I334" s="16"/>
    </row>
    <row r="335" spans="1:9" hidden="1" x14ac:dyDescent="0.3">
      <c r="A335" s="19">
        <v>0</v>
      </c>
      <c r="B335" s="14" t="s">
        <v>623</v>
      </c>
      <c r="C335" s="14">
        <v>676</v>
      </c>
      <c r="D335" s="14" t="s">
        <v>625</v>
      </c>
      <c r="E335" s="19">
        <v>0</v>
      </c>
      <c r="F335" s="19"/>
      <c r="G335" s="19"/>
      <c r="H335" s="15"/>
      <c r="I335" s="16" t="s">
        <v>626</v>
      </c>
    </row>
    <row r="336" spans="1:9" hidden="1" x14ac:dyDescent="0.3">
      <c r="A336" s="14">
        <v>1</v>
      </c>
      <c r="B336" s="14" t="s">
        <v>623</v>
      </c>
      <c r="C336" s="14">
        <v>677</v>
      </c>
      <c r="D336" s="14" t="s">
        <v>627</v>
      </c>
      <c r="E336" s="49">
        <f>6.6-4.6-0.8-0.8-0.4</f>
        <v>0</v>
      </c>
      <c r="F336" s="49"/>
      <c r="G336" s="15" t="s">
        <v>845</v>
      </c>
      <c r="H336" s="15" t="s">
        <v>916</v>
      </c>
      <c r="I336" s="16" t="s">
        <v>628</v>
      </c>
    </row>
    <row r="337" spans="1:10" hidden="1" x14ac:dyDescent="0.3">
      <c r="A337" s="14">
        <v>1</v>
      </c>
      <c r="B337" s="14" t="s">
        <v>629</v>
      </c>
      <c r="C337" s="14">
        <v>678</v>
      </c>
      <c r="D337" s="14" t="s">
        <v>630</v>
      </c>
      <c r="E337" s="15">
        <v>0</v>
      </c>
      <c r="F337" s="15"/>
      <c r="G337" s="15" t="s">
        <v>823</v>
      </c>
      <c r="H337" s="15" t="s">
        <v>750</v>
      </c>
      <c r="I337" s="16" t="s">
        <v>422</v>
      </c>
    </row>
    <row r="338" spans="1:10" hidden="1" x14ac:dyDescent="0.3">
      <c r="A338" s="14">
        <v>0</v>
      </c>
      <c r="B338" s="14" t="s">
        <v>629</v>
      </c>
      <c r="C338" s="14">
        <v>679</v>
      </c>
      <c r="D338" s="14" t="s">
        <v>631</v>
      </c>
      <c r="E338" s="20"/>
      <c r="F338" s="20"/>
      <c r="G338" s="15"/>
      <c r="H338" s="15"/>
      <c r="I338" s="16"/>
    </row>
    <row r="339" spans="1:10" hidden="1" x14ac:dyDescent="0.3">
      <c r="A339" s="14">
        <v>0</v>
      </c>
      <c r="B339" s="14" t="s">
        <v>632</v>
      </c>
      <c r="C339" s="14">
        <v>680</v>
      </c>
      <c r="D339" s="14" t="s">
        <v>633</v>
      </c>
      <c r="E339" s="19">
        <v>0</v>
      </c>
      <c r="F339" s="19"/>
      <c r="G339" s="19"/>
      <c r="H339" s="19"/>
      <c r="I339" s="16" t="s">
        <v>634</v>
      </c>
    </row>
    <row r="340" spans="1:10" hidden="1" x14ac:dyDescent="0.3">
      <c r="A340" s="14">
        <v>1</v>
      </c>
      <c r="B340" s="14" t="s">
        <v>632</v>
      </c>
      <c r="C340" s="14">
        <v>681</v>
      </c>
      <c r="D340" s="14" t="s">
        <v>756</v>
      </c>
      <c r="E340" s="19">
        <f>16-6.5-2.5-1-0.5-1-2-2.5</f>
        <v>0</v>
      </c>
      <c r="F340" s="19"/>
      <c r="G340" s="15" t="s">
        <v>836</v>
      </c>
      <c r="H340" s="15" t="s">
        <v>790</v>
      </c>
      <c r="I340" s="16" t="s">
        <v>613</v>
      </c>
    </row>
    <row r="341" spans="1:10" x14ac:dyDescent="0.3">
      <c r="A341" s="15">
        <v>7</v>
      </c>
      <c r="B341" s="15" t="s">
        <v>353</v>
      </c>
      <c r="C341" s="15">
        <v>683</v>
      </c>
      <c r="D341" s="15" t="s">
        <v>635</v>
      </c>
      <c r="E341" s="15">
        <f>34-10-9-5*1.2</f>
        <v>9</v>
      </c>
      <c r="F341" s="15" t="s">
        <v>985</v>
      </c>
      <c r="G341" s="15" t="s">
        <v>814</v>
      </c>
      <c r="H341" s="15" t="s">
        <v>917</v>
      </c>
      <c r="I341" s="16" t="s">
        <v>636</v>
      </c>
    </row>
    <row r="342" spans="1:10" hidden="1" x14ac:dyDescent="0.3">
      <c r="A342" s="15">
        <v>1</v>
      </c>
      <c r="B342" s="15" t="s">
        <v>353</v>
      </c>
      <c r="C342" s="15">
        <v>684</v>
      </c>
      <c r="D342" s="15" t="s">
        <v>637</v>
      </c>
      <c r="E342" s="19">
        <f>15-5-8-2</f>
        <v>0</v>
      </c>
      <c r="F342" s="19"/>
      <c r="G342" s="19"/>
      <c r="H342" s="15" t="s">
        <v>731</v>
      </c>
      <c r="I342" s="16" t="s">
        <v>466</v>
      </c>
    </row>
    <row r="343" spans="1:10" hidden="1" x14ac:dyDescent="0.3">
      <c r="A343" s="15">
        <v>1</v>
      </c>
      <c r="B343" s="15" t="s">
        <v>638</v>
      </c>
      <c r="C343" s="15">
        <v>685</v>
      </c>
      <c r="D343" s="15" t="s">
        <v>639</v>
      </c>
      <c r="E343" s="25">
        <f>15.5-6-6-3-0.5</f>
        <v>0</v>
      </c>
      <c r="F343" s="25"/>
      <c r="G343" s="15" t="s">
        <v>814</v>
      </c>
      <c r="H343" s="15" t="s">
        <v>858</v>
      </c>
      <c r="I343" s="16" t="s">
        <v>613</v>
      </c>
    </row>
    <row r="344" spans="1:10" hidden="1" x14ac:dyDescent="0.3">
      <c r="A344" s="19">
        <v>0</v>
      </c>
      <c r="B344" s="15" t="s">
        <v>640</v>
      </c>
      <c r="C344" s="15">
        <v>686</v>
      </c>
      <c r="D344" s="15" t="s">
        <v>641</v>
      </c>
      <c r="E344" s="19">
        <f>33-5-24.6-3.4</f>
        <v>0</v>
      </c>
      <c r="F344" s="19"/>
      <c r="G344" s="19"/>
      <c r="H344" s="15"/>
      <c r="I344" s="16" t="s">
        <v>636</v>
      </c>
    </row>
    <row r="345" spans="1:10" hidden="1" x14ac:dyDescent="0.3">
      <c r="A345" s="15">
        <v>0</v>
      </c>
      <c r="B345" s="15" t="s">
        <v>642</v>
      </c>
      <c r="C345" s="15">
        <v>687</v>
      </c>
      <c r="D345" s="15" t="s">
        <v>643</v>
      </c>
      <c r="E345" s="19">
        <v>0</v>
      </c>
      <c r="F345" s="19"/>
      <c r="G345" s="19"/>
      <c r="H345" s="15"/>
      <c r="I345" s="16" t="s">
        <v>644</v>
      </c>
    </row>
    <row r="346" spans="1:10" hidden="1" x14ac:dyDescent="0.3">
      <c r="A346" s="15">
        <v>1</v>
      </c>
      <c r="B346" s="15" t="s">
        <v>645</v>
      </c>
      <c r="C346" s="15">
        <v>688</v>
      </c>
      <c r="D346" s="15" t="s">
        <v>646</v>
      </c>
      <c r="E346" s="19">
        <f>4.3-3.3-1</f>
        <v>0</v>
      </c>
      <c r="F346" s="19"/>
      <c r="G346" s="19"/>
      <c r="H346" s="15"/>
      <c r="I346" s="16" t="s">
        <v>647</v>
      </c>
    </row>
    <row r="347" spans="1:10" hidden="1" x14ac:dyDescent="0.3">
      <c r="A347" s="19">
        <v>0</v>
      </c>
      <c r="B347" s="15" t="s">
        <v>645</v>
      </c>
      <c r="C347" s="15">
        <v>689</v>
      </c>
      <c r="D347" s="15" t="s">
        <v>648</v>
      </c>
      <c r="E347" s="19">
        <v>0</v>
      </c>
      <c r="F347" s="19"/>
      <c r="G347" s="19"/>
      <c r="H347" s="15"/>
      <c r="I347" s="16" t="s">
        <v>649</v>
      </c>
    </row>
    <row r="348" spans="1:10" hidden="1" x14ac:dyDescent="0.3">
      <c r="A348" s="15">
        <v>0</v>
      </c>
      <c r="B348" s="15" t="s">
        <v>645</v>
      </c>
      <c r="C348" s="15">
        <v>690</v>
      </c>
      <c r="D348" s="15" t="s">
        <v>650</v>
      </c>
      <c r="E348" s="25">
        <f>10.5-6.5-2.5-1.5</f>
        <v>0</v>
      </c>
      <c r="F348" s="25"/>
      <c r="G348" s="25"/>
      <c r="H348" s="15" t="s">
        <v>361</v>
      </c>
      <c r="I348" s="16" t="s">
        <v>651</v>
      </c>
    </row>
    <row r="349" spans="1:10" hidden="1" x14ac:dyDescent="0.3">
      <c r="A349" s="15">
        <v>7</v>
      </c>
      <c r="B349" s="15" t="s">
        <v>652</v>
      </c>
      <c r="C349" s="20">
        <v>692</v>
      </c>
      <c r="D349" s="15" t="s">
        <v>774</v>
      </c>
      <c r="E349" s="15">
        <f>18.5-5-3.5-1-3*1.285-0.5-2-1-1-0.645</f>
        <v>0</v>
      </c>
      <c r="F349" s="15" t="s">
        <v>985</v>
      </c>
      <c r="G349" s="15" t="s">
        <v>846</v>
      </c>
      <c r="H349" s="15" t="s">
        <v>945</v>
      </c>
      <c r="I349" s="16" t="s">
        <v>613</v>
      </c>
      <c r="J349" s="141" t="s">
        <v>1253</v>
      </c>
    </row>
    <row r="350" spans="1:10" hidden="1" x14ac:dyDescent="0.3">
      <c r="A350" s="14">
        <v>1</v>
      </c>
      <c r="B350" s="14" t="s">
        <v>659</v>
      </c>
      <c r="C350" s="20">
        <v>692</v>
      </c>
      <c r="D350" s="14" t="s">
        <v>660</v>
      </c>
      <c r="E350" s="19">
        <v>0</v>
      </c>
      <c r="F350" s="19"/>
      <c r="G350" s="15" t="s">
        <v>857</v>
      </c>
      <c r="H350" s="15" t="s">
        <v>877</v>
      </c>
      <c r="I350" s="15" t="s">
        <v>661</v>
      </c>
    </row>
    <row r="351" spans="1:10" x14ac:dyDescent="0.3">
      <c r="A351" s="15" t="s">
        <v>789</v>
      </c>
      <c r="B351" s="15" t="s">
        <v>652</v>
      </c>
      <c r="C351" s="20">
        <v>693</v>
      </c>
      <c r="D351" s="132" t="s">
        <v>1237</v>
      </c>
      <c r="E351" s="15">
        <f>30.5-3-16.5</f>
        <v>11</v>
      </c>
      <c r="F351" s="15" t="s">
        <v>985</v>
      </c>
      <c r="G351" s="15" t="s">
        <v>831</v>
      </c>
      <c r="H351" s="15" t="s">
        <v>750</v>
      </c>
      <c r="I351" s="16" t="s">
        <v>626</v>
      </c>
    </row>
    <row r="352" spans="1:10" hidden="1" x14ac:dyDescent="0.3">
      <c r="A352" s="14">
        <v>1</v>
      </c>
      <c r="B352" s="14" t="s">
        <v>67</v>
      </c>
      <c r="C352" s="14">
        <v>693</v>
      </c>
      <c r="D352" s="14" t="s">
        <v>662</v>
      </c>
      <c r="E352" s="19">
        <f>0.8-1.11+0.31</f>
        <v>0</v>
      </c>
      <c r="F352" s="19"/>
      <c r="G352" s="15" t="s">
        <v>801</v>
      </c>
      <c r="H352" s="15"/>
      <c r="I352" s="16"/>
    </row>
    <row r="353" spans="1:10" hidden="1" x14ac:dyDescent="0.3">
      <c r="A353" s="96">
        <v>0</v>
      </c>
      <c r="B353" s="96" t="s">
        <v>412</v>
      </c>
      <c r="C353" s="96">
        <v>694</v>
      </c>
      <c r="D353" s="96" t="s">
        <v>705</v>
      </c>
      <c r="E353" s="29">
        <v>0</v>
      </c>
      <c r="F353" s="29"/>
      <c r="G353" s="15"/>
      <c r="H353" s="15" t="s">
        <v>706</v>
      </c>
      <c r="I353" s="98"/>
    </row>
    <row r="354" spans="1:10" hidden="1" x14ac:dyDescent="0.3">
      <c r="A354" s="96">
        <v>0</v>
      </c>
      <c r="B354" s="96" t="s">
        <v>412</v>
      </c>
      <c r="C354" s="96">
        <v>695</v>
      </c>
      <c r="D354" s="96" t="s">
        <v>707</v>
      </c>
      <c r="E354" s="125">
        <v>0</v>
      </c>
      <c r="F354" s="125"/>
      <c r="G354" s="125"/>
      <c r="H354" s="29"/>
      <c r="I354" s="98"/>
    </row>
    <row r="355" spans="1:10" hidden="1" x14ac:dyDescent="0.3">
      <c r="A355" s="28">
        <v>1</v>
      </c>
      <c r="B355" s="28" t="s">
        <v>653</v>
      </c>
      <c r="C355" s="126">
        <v>696</v>
      </c>
      <c r="D355" s="28" t="s">
        <v>654</v>
      </c>
      <c r="E355" s="29">
        <v>0</v>
      </c>
      <c r="F355" s="29" t="s">
        <v>985</v>
      </c>
      <c r="G355" s="29" t="s">
        <v>847</v>
      </c>
      <c r="H355" s="29" t="s">
        <v>361</v>
      </c>
      <c r="I355" s="98"/>
    </row>
    <row r="356" spans="1:10" x14ac:dyDescent="0.3">
      <c r="A356" s="96">
        <v>1</v>
      </c>
      <c r="B356" s="96" t="s">
        <v>412</v>
      </c>
      <c r="C356" s="96">
        <v>697</v>
      </c>
      <c r="D356" s="96" t="s">
        <v>708</v>
      </c>
      <c r="E356" s="29">
        <v>0.75</v>
      </c>
      <c r="F356" s="29"/>
      <c r="G356" s="29" t="s">
        <v>841</v>
      </c>
      <c r="H356" s="29" t="s">
        <v>878</v>
      </c>
      <c r="I356" s="98"/>
    </row>
    <row r="357" spans="1:10" hidden="1" x14ac:dyDescent="0.3">
      <c r="A357" s="28">
        <v>1</v>
      </c>
      <c r="B357" s="28" t="s">
        <v>655</v>
      </c>
      <c r="C357" s="96">
        <v>698</v>
      </c>
      <c r="D357" s="28" t="s">
        <v>656</v>
      </c>
      <c r="E357" s="29">
        <f>19+6-1.5-8.5-15</f>
        <v>0</v>
      </c>
      <c r="F357" s="29" t="s">
        <v>986</v>
      </c>
      <c r="G357" s="29" t="s">
        <v>802</v>
      </c>
      <c r="H357" s="29" t="s">
        <v>891</v>
      </c>
      <c r="I357" s="98" t="s">
        <v>482</v>
      </c>
    </row>
    <row r="358" spans="1:10" hidden="1" x14ac:dyDescent="0.3">
      <c r="A358" s="28">
        <v>0</v>
      </c>
      <c r="B358" s="28" t="s">
        <v>205</v>
      </c>
      <c r="C358" s="96">
        <v>699</v>
      </c>
      <c r="D358" s="28" t="s">
        <v>657</v>
      </c>
      <c r="E358" s="125">
        <v>0</v>
      </c>
      <c r="F358" s="125"/>
      <c r="G358" s="125"/>
      <c r="H358" s="29" t="s">
        <v>658</v>
      </c>
      <c r="I358" s="98"/>
    </row>
    <row r="359" spans="1:10" hidden="1" x14ac:dyDescent="0.3">
      <c r="A359" s="96">
        <v>1</v>
      </c>
      <c r="B359" s="96" t="s">
        <v>709</v>
      </c>
      <c r="C359" s="97">
        <v>699</v>
      </c>
      <c r="D359" s="96" t="s">
        <v>710</v>
      </c>
      <c r="E359" s="29">
        <v>0</v>
      </c>
      <c r="F359" s="29"/>
      <c r="G359" s="29"/>
      <c r="H359" s="29"/>
    </row>
    <row r="360" spans="1:10" x14ac:dyDescent="0.3">
      <c r="A360" s="96">
        <v>7</v>
      </c>
      <c r="B360" s="96" t="s">
        <v>352</v>
      </c>
      <c r="C360" s="97">
        <v>700</v>
      </c>
      <c r="D360" s="96" t="s">
        <v>711</v>
      </c>
      <c r="E360" s="29">
        <f>14.5-8-2-1+1-1</f>
        <v>3.5</v>
      </c>
      <c r="F360" s="29"/>
      <c r="G360" s="29" t="s">
        <v>848</v>
      </c>
      <c r="H360" s="29">
        <v>1400</v>
      </c>
      <c r="I360" s="98" t="s">
        <v>880</v>
      </c>
    </row>
    <row r="361" spans="1:10" hidden="1" x14ac:dyDescent="0.3">
      <c r="A361" s="30">
        <v>0</v>
      </c>
      <c r="B361" s="96" t="s">
        <v>352</v>
      </c>
      <c r="C361" s="97">
        <v>701</v>
      </c>
      <c r="D361" s="96" t="s">
        <v>712</v>
      </c>
      <c r="E361" s="6">
        <v>0</v>
      </c>
      <c r="F361" s="6"/>
      <c r="G361" s="6"/>
      <c r="H361" s="3">
        <v>1350</v>
      </c>
    </row>
    <row r="362" spans="1:10" hidden="1" x14ac:dyDescent="0.3">
      <c r="A362" s="96">
        <v>1</v>
      </c>
      <c r="B362" s="96" t="s">
        <v>383</v>
      </c>
      <c r="C362" s="97">
        <v>702</v>
      </c>
      <c r="D362" s="96" t="s">
        <v>713</v>
      </c>
      <c r="E362" s="6">
        <v>0</v>
      </c>
      <c r="F362" s="6"/>
      <c r="G362" s="29" t="s">
        <v>841</v>
      </c>
      <c r="H362" s="3" t="s">
        <v>658</v>
      </c>
      <c r="I362" s="1" t="s">
        <v>877</v>
      </c>
      <c r="J362" s="3" t="s">
        <v>879</v>
      </c>
    </row>
    <row r="363" spans="1:10" hidden="1" x14ac:dyDescent="0.3">
      <c r="A363" s="96">
        <v>1</v>
      </c>
      <c r="B363" s="96" t="s">
        <v>704</v>
      </c>
      <c r="C363" s="97">
        <v>703</v>
      </c>
      <c r="D363" s="96" t="s">
        <v>714</v>
      </c>
      <c r="E363" s="6">
        <v>0</v>
      </c>
      <c r="F363" s="6"/>
      <c r="G363" s="6"/>
      <c r="H363" s="3" t="s">
        <v>715</v>
      </c>
    </row>
    <row r="364" spans="1:10" hidden="1" x14ac:dyDescent="0.3">
      <c r="A364" s="97">
        <v>1</v>
      </c>
      <c r="B364" s="97" t="s">
        <v>717</v>
      </c>
      <c r="C364" s="97">
        <v>705</v>
      </c>
      <c r="D364" s="97" t="s">
        <v>718</v>
      </c>
      <c r="E364" s="6">
        <v>0</v>
      </c>
      <c r="F364" s="6"/>
      <c r="G364" s="6"/>
    </row>
    <row r="365" spans="1:10" hidden="1" x14ac:dyDescent="0.3">
      <c r="A365" s="125">
        <v>0</v>
      </c>
      <c r="B365" s="97" t="s">
        <v>720</v>
      </c>
      <c r="C365">
        <v>706</v>
      </c>
      <c r="D365" s="97" t="s">
        <v>721</v>
      </c>
      <c r="E365" s="6">
        <f>15.5-6-9-0.5</f>
        <v>0</v>
      </c>
      <c r="F365" s="6"/>
      <c r="G365" s="6"/>
      <c r="H365" s="3" t="s">
        <v>658</v>
      </c>
      <c r="I365" s="1" t="s">
        <v>722</v>
      </c>
    </row>
    <row r="366" spans="1:10" hidden="1" x14ac:dyDescent="0.3">
      <c r="A366" s="97">
        <v>1</v>
      </c>
      <c r="B366" s="97" t="s">
        <v>720</v>
      </c>
      <c r="C366">
        <v>707</v>
      </c>
      <c r="D366" s="97" t="s">
        <v>723</v>
      </c>
      <c r="E366" s="6">
        <v>0</v>
      </c>
      <c r="F366" s="6"/>
      <c r="G366" s="6"/>
      <c r="H366" s="3" t="s">
        <v>724</v>
      </c>
      <c r="I366" s="1" t="s">
        <v>725</v>
      </c>
    </row>
    <row r="367" spans="1:10" hidden="1" x14ac:dyDescent="0.3">
      <c r="A367" s="97">
        <v>0</v>
      </c>
      <c r="B367" s="97" t="s">
        <v>219</v>
      </c>
      <c r="C367">
        <v>708</v>
      </c>
      <c r="D367" s="97" t="s">
        <v>726</v>
      </c>
      <c r="E367" s="6">
        <v>0</v>
      </c>
      <c r="F367" s="6"/>
      <c r="G367" s="6"/>
      <c r="H367" s="3" t="s">
        <v>727</v>
      </c>
      <c r="I367" s="1" t="s">
        <v>722</v>
      </c>
    </row>
    <row r="368" spans="1:10" hidden="1" x14ac:dyDescent="0.3">
      <c r="A368" s="97">
        <v>1</v>
      </c>
      <c r="B368" s="97" t="s">
        <v>728</v>
      </c>
      <c r="C368">
        <v>709</v>
      </c>
      <c r="D368" s="97" t="s">
        <v>730</v>
      </c>
      <c r="E368" s="6">
        <v>0</v>
      </c>
      <c r="F368" s="6"/>
      <c r="G368" s="6"/>
      <c r="H368" s="3" t="s">
        <v>482</v>
      </c>
      <c r="I368" s="1" t="s">
        <v>731</v>
      </c>
    </row>
    <row r="369" spans="1:25" hidden="1" x14ac:dyDescent="0.3">
      <c r="A369" s="97">
        <v>1</v>
      </c>
      <c r="B369" s="97" t="s">
        <v>734</v>
      </c>
      <c r="C369">
        <v>710</v>
      </c>
      <c r="D369" s="97" t="s">
        <v>733</v>
      </c>
      <c r="E369" s="6">
        <f>2.9-2-0.9</f>
        <v>0</v>
      </c>
      <c r="F369" s="6"/>
    </row>
    <row r="370" spans="1:25" hidden="1" x14ac:dyDescent="0.3">
      <c r="A370">
        <v>7</v>
      </c>
      <c r="B370" t="s">
        <v>739</v>
      </c>
      <c r="C370">
        <v>712</v>
      </c>
      <c r="D370" t="s">
        <v>743</v>
      </c>
      <c r="E370" s="3">
        <f>35+15-15-5-10-10-10</f>
        <v>0</v>
      </c>
      <c r="G370" s="29" t="s">
        <v>809</v>
      </c>
      <c r="H370" s="3" t="s">
        <v>744</v>
      </c>
      <c r="I370" s="1" t="s">
        <v>773</v>
      </c>
    </row>
    <row r="371" spans="1:25" x14ac:dyDescent="0.3">
      <c r="A371" s="97">
        <v>1</v>
      </c>
      <c r="B371" s="97" t="s">
        <v>739</v>
      </c>
      <c r="C371" s="97">
        <v>713</v>
      </c>
      <c r="D371" s="105" t="s">
        <v>1216</v>
      </c>
      <c r="E371" s="29">
        <f>1.2*5+1-1.3+0.8-1.34+1.1-1.1</f>
        <v>5.16</v>
      </c>
      <c r="F371" s="29" t="s">
        <v>985</v>
      </c>
      <c r="G371" s="29" t="s">
        <v>847</v>
      </c>
      <c r="H371" s="29"/>
      <c r="I371" s="98" t="s">
        <v>1059</v>
      </c>
      <c r="J371" s="60" t="s">
        <v>1215</v>
      </c>
    </row>
    <row r="372" spans="1:25" hidden="1" x14ac:dyDescent="0.3">
      <c r="A372">
        <v>1</v>
      </c>
      <c r="B372" t="s">
        <v>740</v>
      </c>
      <c r="C372">
        <v>714</v>
      </c>
      <c r="D372" t="s">
        <v>749</v>
      </c>
      <c r="E372" s="3">
        <f>18-7-7*1.28-2.04</f>
        <v>0</v>
      </c>
      <c r="G372" s="29" t="s">
        <v>839</v>
      </c>
      <c r="H372" s="3" t="s">
        <v>482</v>
      </c>
      <c r="I372" s="1" t="s">
        <v>876</v>
      </c>
    </row>
    <row r="373" spans="1:25" hidden="1" x14ac:dyDescent="0.3">
      <c r="A373">
        <v>0</v>
      </c>
      <c r="B373" t="s">
        <v>759</v>
      </c>
      <c r="C373">
        <v>715</v>
      </c>
      <c r="D373" t="s">
        <v>757</v>
      </c>
      <c r="E373" s="3">
        <v>0</v>
      </c>
      <c r="H373" s="3" t="s">
        <v>758</v>
      </c>
    </row>
    <row r="374" spans="1:25" x14ac:dyDescent="0.3">
      <c r="A374" s="97">
        <v>1</v>
      </c>
      <c r="B374" s="97" t="s">
        <v>759</v>
      </c>
      <c r="C374" s="99">
        <v>716</v>
      </c>
      <c r="D374" s="97" t="s">
        <v>899</v>
      </c>
      <c r="E374" s="29">
        <f>9-3-2-1-2*1.292</f>
        <v>0.41599999999999993</v>
      </c>
      <c r="F374" s="29" t="s">
        <v>985</v>
      </c>
      <c r="G374" s="29" t="s">
        <v>803</v>
      </c>
      <c r="H374" s="29" t="s">
        <v>760</v>
      </c>
      <c r="I374" s="98" t="s">
        <v>773</v>
      </c>
    </row>
    <row r="375" spans="1:25" hidden="1" x14ac:dyDescent="0.3">
      <c r="A375">
        <v>1</v>
      </c>
      <c r="B375" t="s">
        <v>765</v>
      </c>
      <c r="C375">
        <v>719</v>
      </c>
      <c r="D375" t="s">
        <v>764</v>
      </c>
      <c r="E375" s="3">
        <f>13-7-1-1.45-1.5-2.05</f>
        <v>0</v>
      </c>
      <c r="F375" s="3" t="s">
        <v>985</v>
      </c>
      <c r="G375" s="29" t="s">
        <v>803</v>
      </c>
      <c r="H375" s="3" t="s">
        <v>466</v>
      </c>
      <c r="I375" s="1" t="s">
        <v>775</v>
      </c>
    </row>
    <row r="376" spans="1:25" hidden="1" x14ac:dyDescent="0.3">
      <c r="A376">
        <v>1</v>
      </c>
      <c r="B376" t="s">
        <v>765</v>
      </c>
      <c r="C376">
        <v>720</v>
      </c>
      <c r="D376" t="s">
        <v>766</v>
      </c>
      <c r="E376" s="6">
        <f>0.65-0.65</f>
        <v>0</v>
      </c>
      <c r="F376" s="6"/>
      <c r="G376" s="29" t="s">
        <v>799</v>
      </c>
      <c r="H376" s="3" t="s">
        <v>876</v>
      </c>
    </row>
    <row r="377" spans="1:25" hidden="1" x14ac:dyDescent="0.3">
      <c r="A377">
        <v>1</v>
      </c>
      <c r="B377" t="s">
        <v>769</v>
      </c>
      <c r="C377">
        <v>721</v>
      </c>
      <c r="D377" t="s">
        <v>768</v>
      </c>
      <c r="E377" s="3">
        <v>0</v>
      </c>
      <c r="G377" s="29" t="s">
        <v>827</v>
      </c>
    </row>
    <row r="378" spans="1:25" hidden="1" x14ac:dyDescent="0.3">
      <c r="A378">
        <v>0</v>
      </c>
      <c r="B378" t="s">
        <v>770</v>
      </c>
      <c r="C378">
        <v>722</v>
      </c>
      <c r="D378" t="s">
        <v>771</v>
      </c>
      <c r="E378" s="3">
        <f>50-5-10-5-2-8-3-17</f>
        <v>0</v>
      </c>
      <c r="G378" s="29">
        <v>0</v>
      </c>
      <c r="H378" s="3" t="s">
        <v>775</v>
      </c>
    </row>
    <row r="379" spans="1:25" hidden="1" x14ac:dyDescent="0.3">
      <c r="A379" t="s">
        <v>767</v>
      </c>
      <c r="B379" t="s">
        <v>770</v>
      </c>
      <c r="C379">
        <v>723</v>
      </c>
      <c r="D379" s="34" t="s">
        <v>772</v>
      </c>
      <c r="E379" s="3">
        <f>29-13.8-5-5-5.2</f>
        <v>0</v>
      </c>
      <c r="G379" s="29" t="s">
        <v>829</v>
      </c>
      <c r="H379" s="3" t="s">
        <v>773</v>
      </c>
    </row>
    <row r="380" spans="1:25" hidden="1" x14ac:dyDescent="0.3">
      <c r="A380">
        <v>1</v>
      </c>
      <c r="B380" t="s">
        <v>778</v>
      </c>
      <c r="C380">
        <v>725</v>
      </c>
      <c r="D380" t="s">
        <v>780</v>
      </c>
      <c r="E380" s="3">
        <v>0</v>
      </c>
      <c r="G380" s="29" t="s">
        <v>793</v>
      </c>
      <c r="H380" s="3" t="s">
        <v>775</v>
      </c>
    </row>
    <row r="381" spans="1:25" x14ac:dyDescent="0.3">
      <c r="A381" s="97">
        <v>0</v>
      </c>
      <c r="B381" s="97" t="s">
        <v>778</v>
      </c>
      <c r="C381" s="97">
        <v>729</v>
      </c>
      <c r="D381" s="118" t="s">
        <v>883</v>
      </c>
      <c r="E381" s="29">
        <f>7-70+6.35-90+6.6+10+5+6.6+6.6+6.6+5+1.6+6.6+6.6+5.45</f>
        <v>-80.000000000000043</v>
      </c>
      <c r="F381" s="29"/>
      <c r="G381" s="29" t="s">
        <v>803</v>
      </c>
      <c r="H381" s="29"/>
      <c r="I381" s="98"/>
    </row>
    <row r="382" spans="1:25" x14ac:dyDescent="0.3">
      <c r="A382" s="97">
        <v>0</v>
      </c>
      <c r="B382" s="97" t="s">
        <v>763</v>
      </c>
      <c r="C382" s="97">
        <v>732</v>
      </c>
      <c r="D382" s="97" t="s">
        <v>784</v>
      </c>
      <c r="E382" s="29">
        <f>1.28*12+1+0.5-10</f>
        <v>6.8599999999999994</v>
      </c>
      <c r="F382" s="29"/>
      <c r="G382" s="29" t="s">
        <v>799</v>
      </c>
      <c r="H382" s="29" t="s">
        <v>785</v>
      </c>
      <c r="I382" s="98" t="s">
        <v>422</v>
      </c>
      <c r="J382" s="3" t="s">
        <v>950</v>
      </c>
    </row>
    <row r="383" spans="1:25" hidden="1" x14ac:dyDescent="0.3">
      <c r="A383" s="9">
        <v>0</v>
      </c>
      <c r="B383" s="9" t="s">
        <v>763</v>
      </c>
      <c r="C383" s="9">
        <v>733</v>
      </c>
      <c r="D383" s="9" t="s">
        <v>786</v>
      </c>
      <c r="E383" s="9">
        <v>0</v>
      </c>
      <c r="F383" s="9"/>
      <c r="G383" s="84" t="s">
        <v>799</v>
      </c>
      <c r="H383" s="9" t="s">
        <v>787</v>
      </c>
      <c r="I383" s="85" t="s">
        <v>422</v>
      </c>
      <c r="J383" s="9" t="s">
        <v>951</v>
      </c>
      <c r="K383" s="9">
        <f>1450*12400</f>
        <v>17980000</v>
      </c>
      <c r="L383" s="9" t="s">
        <v>1118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x14ac:dyDescent="0.3">
      <c r="A384" s="97">
        <v>0</v>
      </c>
      <c r="B384" s="97" t="s">
        <v>859</v>
      </c>
      <c r="C384" s="97">
        <v>734</v>
      </c>
      <c r="D384" s="97" t="s">
        <v>860</v>
      </c>
      <c r="E384" s="29">
        <v>4.8</v>
      </c>
      <c r="F384" s="29"/>
      <c r="G384" s="29" t="s">
        <v>815</v>
      </c>
      <c r="H384" s="29" t="s">
        <v>861</v>
      </c>
      <c r="I384" s="98"/>
    </row>
    <row r="385" spans="1:25" hidden="1" x14ac:dyDescent="0.3">
      <c r="A385" s="97">
        <v>0</v>
      </c>
      <c r="B385" s="97" t="s">
        <v>892</v>
      </c>
      <c r="C385" s="97">
        <v>738</v>
      </c>
      <c r="D385" s="97" t="s">
        <v>896</v>
      </c>
      <c r="E385" s="29">
        <f>3.1-3.1</f>
        <v>0</v>
      </c>
      <c r="F385" s="29"/>
      <c r="G385" s="29" t="s">
        <v>1192</v>
      </c>
      <c r="H385" s="29"/>
      <c r="I385" s="98"/>
    </row>
    <row r="386" spans="1:25" x14ac:dyDescent="0.3">
      <c r="A386" s="97">
        <v>1</v>
      </c>
      <c r="B386" s="97" t="s">
        <v>892</v>
      </c>
      <c r="C386" s="97">
        <v>739</v>
      </c>
      <c r="D386" s="97" t="s">
        <v>897</v>
      </c>
      <c r="E386" s="29">
        <f>5*1-1.5-1.2</f>
        <v>2.2999999999999998</v>
      </c>
      <c r="F386" s="29" t="s">
        <v>985</v>
      </c>
      <c r="G386" s="29" t="s">
        <v>799</v>
      </c>
      <c r="H386" s="29" t="s">
        <v>898</v>
      </c>
      <c r="I386" s="129" t="s">
        <v>1235</v>
      </c>
    </row>
    <row r="387" spans="1:25" x14ac:dyDescent="0.3">
      <c r="A387" s="97">
        <v>7</v>
      </c>
      <c r="B387" s="97" t="s">
        <v>901</v>
      </c>
      <c r="C387" s="97">
        <v>740</v>
      </c>
      <c r="D387" s="130" t="s">
        <v>1234</v>
      </c>
      <c r="E387" s="29">
        <f>29-4+5-2*1.29-4.312</f>
        <v>23.108000000000001</v>
      </c>
      <c r="F387" s="29" t="s">
        <v>985</v>
      </c>
      <c r="G387" s="29" t="s">
        <v>847</v>
      </c>
      <c r="H387" s="29" t="s">
        <v>991</v>
      </c>
      <c r="I387" s="29" t="s">
        <v>910</v>
      </c>
    </row>
    <row r="388" spans="1:25" x14ac:dyDescent="0.3">
      <c r="A388">
        <v>0</v>
      </c>
      <c r="B388" s="40" t="s">
        <v>902</v>
      </c>
      <c r="C388">
        <v>742</v>
      </c>
      <c r="D388" s="40" t="s">
        <v>904</v>
      </c>
      <c r="E388" s="3">
        <f>-40*1.29+27*1.29+10*1.3-40*1.3-33*1.295-10*1.3-10*1.29</f>
        <v>-124.405</v>
      </c>
      <c r="H388" s="3" t="s">
        <v>903</v>
      </c>
    </row>
    <row r="389" spans="1:25" hidden="1" x14ac:dyDescent="0.3">
      <c r="A389">
        <v>1</v>
      </c>
      <c r="B389" s="41" t="s">
        <v>905</v>
      </c>
      <c r="C389">
        <v>743</v>
      </c>
      <c r="D389" s="41" t="s">
        <v>907</v>
      </c>
      <c r="E389" s="3">
        <f>1.1-0.5-0.25-0.35</f>
        <v>0</v>
      </c>
      <c r="H389" s="3" t="s">
        <v>908</v>
      </c>
    </row>
    <row r="390" spans="1:25" hidden="1" x14ac:dyDescent="0.3">
      <c r="A390">
        <v>1</v>
      </c>
      <c r="B390" s="43" t="s">
        <v>912</v>
      </c>
      <c r="C390">
        <v>744</v>
      </c>
      <c r="D390" s="43" t="s">
        <v>332</v>
      </c>
      <c r="E390" s="3">
        <v>0</v>
      </c>
      <c r="G390" s="3" t="s">
        <v>809</v>
      </c>
    </row>
    <row r="391" spans="1:25" x14ac:dyDescent="0.3">
      <c r="A391">
        <v>1</v>
      </c>
      <c r="B391" s="43" t="s">
        <v>912</v>
      </c>
      <c r="C391">
        <v>745</v>
      </c>
      <c r="D391" s="43" t="s">
        <v>911</v>
      </c>
      <c r="E391" s="3">
        <f>17-10-3.5-2.5</f>
        <v>1</v>
      </c>
      <c r="G391" s="3" t="s">
        <v>821</v>
      </c>
      <c r="H391" s="3" t="s">
        <v>913</v>
      </c>
    </row>
    <row r="392" spans="1:25" hidden="1" x14ac:dyDescent="0.3">
      <c r="A392">
        <v>1</v>
      </c>
      <c r="B392" s="45" t="s">
        <v>922</v>
      </c>
      <c r="C392">
        <v>746</v>
      </c>
      <c r="D392" s="45" t="s">
        <v>923</v>
      </c>
      <c r="E392" s="3">
        <f>15*1.3-2*1.3-3*1.29-13.03</f>
        <v>0</v>
      </c>
      <c r="G392" s="3" t="s">
        <v>799</v>
      </c>
      <c r="H392" s="73" t="s">
        <v>1053</v>
      </c>
    </row>
    <row r="393" spans="1:25" s="9" customFormat="1" x14ac:dyDescent="0.3">
      <c r="A393" s="97">
        <v>1</v>
      </c>
      <c r="B393" s="100" t="s">
        <v>925</v>
      </c>
      <c r="C393" s="97">
        <v>748</v>
      </c>
      <c r="D393" s="100" t="s">
        <v>924</v>
      </c>
      <c r="E393" s="29">
        <f>1-0.75</f>
        <v>0.25</v>
      </c>
      <c r="F393" s="29"/>
      <c r="G393" s="29" t="s">
        <v>826</v>
      </c>
      <c r="H393" s="29"/>
      <c r="I393" s="98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 x14ac:dyDescent="0.3">
      <c r="A394" s="97">
        <v>1</v>
      </c>
      <c r="B394" s="100" t="s">
        <v>745</v>
      </c>
      <c r="C394" s="97">
        <v>751</v>
      </c>
      <c r="D394" s="100" t="s">
        <v>227</v>
      </c>
      <c r="E394" s="29">
        <f>1.21+0.94+0.4+0.5</f>
        <v>3.05</v>
      </c>
      <c r="F394" s="29"/>
      <c r="G394" s="29" t="s">
        <v>803</v>
      </c>
      <c r="H394" s="29"/>
      <c r="I394" s="98"/>
    </row>
    <row r="395" spans="1:25" hidden="1" x14ac:dyDescent="0.3">
      <c r="A395">
        <v>1</v>
      </c>
      <c r="B395" s="45" t="s">
        <v>745</v>
      </c>
      <c r="C395">
        <v>752</v>
      </c>
      <c r="D395" s="45" t="s">
        <v>928</v>
      </c>
      <c r="E395" s="3">
        <f>17-8-3.5-4*1.27-0.42</f>
        <v>0</v>
      </c>
      <c r="H395" s="3" t="s">
        <v>929</v>
      </c>
      <c r="I395" s="1" t="s">
        <v>482</v>
      </c>
    </row>
    <row r="396" spans="1:25" hidden="1" x14ac:dyDescent="0.3">
      <c r="A396">
        <v>1</v>
      </c>
      <c r="B396" s="45" t="s">
        <v>745</v>
      </c>
      <c r="C396">
        <v>753</v>
      </c>
      <c r="D396" s="45" t="s">
        <v>937</v>
      </c>
      <c r="E396" s="3">
        <v>0</v>
      </c>
      <c r="H396" s="3" t="s">
        <v>929</v>
      </c>
      <c r="I396" s="1" t="s">
        <v>938</v>
      </c>
    </row>
    <row r="397" spans="1:25" hidden="1" x14ac:dyDescent="0.3">
      <c r="A397">
        <v>1</v>
      </c>
      <c r="B397" s="45" t="s">
        <v>745</v>
      </c>
      <c r="C397">
        <v>754</v>
      </c>
      <c r="D397" s="45" t="s">
        <v>931</v>
      </c>
      <c r="E397" s="3">
        <v>0</v>
      </c>
      <c r="H397" s="3" t="s">
        <v>932</v>
      </c>
      <c r="I397" s="1" t="s">
        <v>930</v>
      </c>
    </row>
    <row r="398" spans="1:25" hidden="1" x14ac:dyDescent="0.3">
      <c r="A398">
        <v>1</v>
      </c>
      <c r="B398" s="45" t="s">
        <v>940</v>
      </c>
      <c r="C398">
        <v>755</v>
      </c>
      <c r="D398" s="45" t="s">
        <v>939</v>
      </c>
      <c r="E398" s="3">
        <f>16.5-10-6.5</f>
        <v>0</v>
      </c>
      <c r="H398" s="3" t="s">
        <v>941</v>
      </c>
      <c r="I398" s="1" t="s">
        <v>942</v>
      </c>
    </row>
    <row r="399" spans="1:25" x14ac:dyDescent="0.3">
      <c r="A399">
        <v>1</v>
      </c>
      <c r="B399" s="45" t="s">
        <v>926</v>
      </c>
      <c r="C399">
        <v>757</v>
      </c>
      <c r="D399" s="95" t="s">
        <v>1222</v>
      </c>
      <c r="E399" s="3">
        <f>17-5-11.5</f>
        <v>0.5</v>
      </c>
      <c r="G399" s="3" t="s">
        <v>1193</v>
      </c>
      <c r="H399" s="3" t="s">
        <v>946</v>
      </c>
      <c r="I399" s="1" t="s">
        <v>930</v>
      </c>
    </row>
    <row r="400" spans="1:25" hidden="1" x14ac:dyDescent="0.3">
      <c r="A400">
        <v>1</v>
      </c>
      <c r="B400" s="48" t="s">
        <v>949</v>
      </c>
      <c r="C400">
        <v>758</v>
      </c>
      <c r="D400" s="48" t="s">
        <v>954</v>
      </c>
      <c r="E400" s="3">
        <v>0</v>
      </c>
    </row>
    <row r="401" spans="1:19" hidden="1" x14ac:dyDescent="0.3">
      <c r="A401">
        <v>1</v>
      </c>
      <c r="B401" s="48" t="s">
        <v>949</v>
      </c>
      <c r="C401">
        <v>759</v>
      </c>
      <c r="D401" s="48" t="s">
        <v>952</v>
      </c>
      <c r="E401" s="3">
        <f>18-3.5-7.7-6.8</f>
        <v>0</v>
      </c>
      <c r="H401" s="3" t="s">
        <v>953</v>
      </c>
      <c r="I401" s="3" t="s">
        <v>930</v>
      </c>
    </row>
    <row r="402" spans="1:19" hidden="1" x14ac:dyDescent="0.3">
      <c r="B402" s="48" t="s">
        <v>919</v>
      </c>
      <c r="C402">
        <v>759</v>
      </c>
      <c r="D402" s="48" t="s">
        <v>955</v>
      </c>
      <c r="E402" s="3">
        <f>-4.4*1.3+5.72</f>
        <v>0</v>
      </c>
    </row>
    <row r="403" spans="1:19" hidden="1" x14ac:dyDescent="0.3">
      <c r="A403">
        <v>0</v>
      </c>
      <c r="B403" s="48" t="s">
        <v>919</v>
      </c>
      <c r="C403">
        <v>760</v>
      </c>
      <c r="D403" s="48" t="s">
        <v>956</v>
      </c>
      <c r="E403" s="3">
        <v>0</v>
      </c>
    </row>
    <row r="404" spans="1:19" hidden="1" x14ac:dyDescent="0.3">
      <c r="B404" s="48" t="s">
        <v>919</v>
      </c>
      <c r="C404">
        <v>761</v>
      </c>
      <c r="D404" s="48" t="s">
        <v>957</v>
      </c>
      <c r="E404" s="3">
        <f>14.5-9-5.5</f>
        <v>0</v>
      </c>
      <c r="H404" s="50" t="s">
        <v>958</v>
      </c>
    </row>
    <row r="405" spans="1:19" hidden="1" x14ac:dyDescent="0.3">
      <c r="A405">
        <v>1</v>
      </c>
      <c r="B405" s="51" t="s">
        <v>963</v>
      </c>
      <c r="C405">
        <v>764</v>
      </c>
      <c r="D405" s="51" t="s">
        <v>959</v>
      </c>
      <c r="E405" s="3">
        <f>16.5-6.5-1-1-2-1-1-1.2-1.2-1.6</f>
        <v>0</v>
      </c>
      <c r="G405" s="3" t="s">
        <v>1194</v>
      </c>
      <c r="H405" s="3" t="s">
        <v>960</v>
      </c>
    </row>
    <row r="406" spans="1:19" x14ac:dyDescent="0.3">
      <c r="A406">
        <v>1</v>
      </c>
      <c r="B406" s="51" t="s">
        <v>963</v>
      </c>
      <c r="C406">
        <v>765</v>
      </c>
      <c r="D406" s="51" t="s">
        <v>961</v>
      </c>
      <c r="E406" s="3">
        <f>15.5-10</f>
        <v>5.5</v>
      </c>
      <c r="G406" s="3" t="s">
        <v>809</v>
      </c>
      <c r="H406" s="3" t="s">
        <v>962</v>
      </c>
    </row>
    <row r="407" spans="1:19" hidden="1" x14ac:dyDescent="0.3">
      <c r="A407">
        <v>1</v>
      </c>
      <c r="B407" s="51" t="s">
        <v>963</v>
      </c>
      <c r="C407">
        <v>766</v>
      </c>
      <c r="D407" s="51" t="s">
        <v>256</v>
      </c>
      <c r="E407" s="3">
        <f>0.5-0.5</f>
        <v>0</v>
      </c>
    </row>
    <row r="408" spans="1:19" hidden="1" x14ac:dyDescent="0.3">
      <c r="A408">
        <v>1</v>
      </c>
      <c r="B408" s="52" t="s">
        <v>944</v>
      </c>
      <c r="C408">
        <v>767</v>
      </c>
      <c r="D408" s="51" t="s">
        <v>964</v>
      </c>
      <c r="E408" s="3">
        <f>1-1</f>
        <v>0</v>
      </c>
    </row>
    <row r="409" spans="1:19" hidden="1" x14ac:dyDescent="0.3">
      <c r="A409">
        <v>1</v>
      </c>
      <c r="B409" s="52" t="s">
        <v>944</v>
      </c>
      <c r="C409">
        <v>768</v>
      </c>
      <c r="D409" s="51" t="s">
        <v>965</v>
      </c>
      <c r="E409" s="3">
        <f>1.5+0.5-1+2-2+1-1+0.7-1+3-1.7-1.32-0.68</f>
        <v>0</v>
      </c>
      <c r="H409" s="3" t="s">
        <v>1003</v>
      </c>
    </row>
    <row r="410" spans="1:19" hidden="1" x14ac:dyDescent="0.3">
      <c r="A410">
        <v>1</v>
      </c>
      <c r="B410" s="52" t="s">
        <v>944</v>
      </c>
      <c r="C410">
        <v>770</v>
      </c>
      <c r="D410" s="52" t="s">
        <v>967</v>
      </c>
      <c r="E410" s="3">
        <f>16.5-1.5-2-3-3-5-1.3-0.7</f>
        <v>0</v>
      </c>
    </row>
    <row r="411" spans="1:19" x14ac:dyDescent="0.3">
      <c r="A411">
        <v>1</v>
      </c>
      <c r="B411" s="52" t="s">
        <v>944</v>
      </c>
      <c r="C411">
        <v>771</v>
      </c>
      <c r="D411" s="52" t="s">
        <v>968</v>
      </c>
      <c r="E411" s="3">
        <f>-4.7*1.295+2+13.3*1.295-8*1.295+6.2-2-1+0.5-0.364-1+4.5+7-3*1.26+2*7*1.26-0.7+23</f>
        <v>52.772999999999996</v>
      </c>
      <c r="G411" s="3" t="s">
        <v>1195</v>
      </c>
      <c r="H411" s="3" t="s">
        <v>1074</v>
      </c>
    </row>
    <row r="412" spans="1:19" x14ac:dyDescent="0.3">
      <c r="A412">
        <v>1</v>
      </c>
      <c r="B412" s="52" t="s">
        <v>944</v>
      </c>
      <c r="C412">
        <v>772</v>
      </c>
      <c r="D412" s="95" t="s">
        <v>1231</v>
      </c>
      <c r="E412" s="3">
        <f>1.1</f>
        <v>1.1000000000000001</v>
      </c>
      <c r="G412" s="3" t="s">
        <v>805</v>
      </c>
      <c r="H412" s="3" t="s">
        <v>969</v>
      </c>
    </row>
    <row r="413" spans="1:19" hidden="1" x14ac:dyDescent="0.3">
      <c r="A413" s="97">
        <v>0</v>
      </c>
      <c r="B413" s="97">
        <v>0</v>
      </c>
      <c r="C413" s="97">
        <v>777</v>
      </c>
      <c r="D413" s="97" t="s">
        <v>89</v>
      </c>
      <c r="E413" s="29">
        <v>0</v>
      </c>
      <c r="F413" s="29"/>
      <c r="G413" s="29" t="s">
        <v>819</v>
      </c>
      <c r="H413" s="29"/>
      <c r="I413" s="97"/>
      <c r="Q413" s="6" t="s">
        <v>90</v>
      </c>
      <c r="R413" s="6">
        <v>47048239</v>
      </c>
      <c r="S413" s="6"/>
    </row>
    <row r="414" spans="1:19" x14ac:dyDescent="0.3">
      <c r="A414" s="97">
        <v>7</v>
      </c>
      <c r="B414" s="97"/>
      <c r="C414" s="97">
        <v>779</v>
      </c>
      <c r="D414" s="101" t="s">
        <v>971</v>
      </c>
      <c r="E414" s="29">
        <f>4.5*1.3</f>
        <v>5.8500000000000005</v>
      </c>
      <c r="F414" s="29"/>
      <c r="G414" s="29" t="s">
        <v>808</v>
      </c>
      <c r="H414" s="29"/>
      <c r="I414" s="98"/>
    </row>
    <row r="415" spans="1:19" x14ac:dyDescent="0.3">
      <c r="A415" s="97">
        <v>1</v>
      </c>
      <c r="B415" s="97"/>
      <c r="C415" s="97">
        <v>780</v>
      </c>
      <c r="D415" s="105" t="s">
        <v>990</v>
      </c>
      <c r="E415" s="29">
        <f>6+2.9+1.95+10+10+1-9-2.5-5.4-4.35-2.5</f>
        <v>8.1000000000000014</v>
      </c>
      <c r="F415" s="29"/>
      <c r="G415" s="29" t="s">
        <v>799</v>
      </c>
      <c r="H415" s="29"/>
      <c r="I415" s="98"/>
    </row>
    <row r="416" spans="1:19" hidden="1" x14ac:dyDescent="0.3">
      <c r="A416">
        <v>1</v>
      </c>
      <c r="C416">
        <v>781</v>
      </c>
      <c r="D416" s="53" t="s">
        <v>972</v>
      </c>
      <c r="E416" s="54">
        <f>30-10-5-2-2-6-5</f>
        <v>0</v>
      </c>
      <c r="F416" s="54"/>
      <c r="H416" s="3" t="s">
        <v>973</v>
      </c>
    </row>
    <row r="417" spans="1:9" x14ac:dyDescent="0.3">
      <c r="A417" s="97">
        <v>7</v>
      </c>
      <c r="B417" s="97"/>
      <c r="C417" s="97">
        <v>782</v>
      </c>
      <c r="D417" s="130" t="s">
        <v>1239</v>
      </c>
      <c r="E417" s="29">
        <f>19-9.5-3.2</f>
        <v>6.3</v>
      </c>
      <c r="F417" s="29"/>
      <c r="G417" s="29" t="s">
        <v>1196</v>
      </c>
      <c r="H417" s="29" t="s">
        <v>974</v>
      </c>
      <c r="I417" s="129" t="s">
        <v>1240</v>
      </c>
    </row>
    <row r="418" spans="1:9" x14ac:dyDescent="0.3">
      <c r="A418" s="97">
        <v>1</v>
      </c>
      <c r="B418" s="97"/>
      <c r="C418" s="97">
        <v>783</v>
      </c>
      <c r="D418" s="105" t="s">
        <v>1199</v>
      </c>
      <c r="E418" s="29">
        <f>30-5.4-6.7-10-1.4-1-1.7</f>
        <v>3.8000000000000016</v>
      </c>
      <c r="F418" s="29"/>
      <c r="G418" s="29" t="s">
        <v>799</v>
      </c>
      <c r="H418" s="29"/>
      <c r="I418" s="98"/>
    </row>
    <row r="419" spans="1:9" hidden="1" x14ac:dyDescent="0.3">
      <c r="A419">
        <v>1</v>
      </c>
      <c r="C419">
        <v>786</v>
      </c>
      <c r="D419" s="53" t="s">
        <v>44</v>
      </c>
      <c r="E419" s="3">
        <v>0</v>
      </c>
    </row>
    <row r="420" spans="1:9" hidden="1" x14ac:dyDescent="0.3">
      <c r="A420">
        <v>1</v>
      </c>
      <c r="C420">
        <v>787</v>
      </c>
      <c r="D420" s="53" t="s">
        <v>975</v>
      </c>
      <c r="E420" s="3">
        <f>3-3</f>
        <v>0</v>
      </c>
      <c r="H420" s="55" t="s">
        <v>976</v>
      </c>
    </row>
    <row r="421" spans="1:9" hidden="1" x14ac:dyDescent="0.3">
      <c r="A421">
        <v>1</v>
      </c>
      <c r="C421">
        <v>788</v>
      </c>
      <c r="D421" s="56" t="s">
        <v>983</v>
      </c>
      <c r="E421" s="3">
        <v>0</v>
      </c>
    </row>
    <row r="422" spans="1:9" x14ac:dyDescent="0.3">
      <c r="A422" s="97">
        <v>1</v>
      </c>
      <c r="B422" s="97"/>
      <c r="C422" s="97">
        <v>789</v>
      </c>
      <c r="D422" s="106" t="s">
        <v>1229</v>
      </c>
      <c r="E422" s="29">
        <f>1.2*5-1.5-1.7</f>
        <v>2.8</v>
      </c>
      <c r="F422" s="29"/>
      <c r="G422" s="29" t="s">
        <v>826</v>
      </c>
      <c r="H422" s="122" t="s">
        <v>1214</v>
      </c>
      <c r="I422" s="135" t="s">
        <v>1245</v>
      </c>
    </row>
    <row r="423" spans="1:9" x14ac:dyDescent="0.3">
      <c r="A423" s="97">
        <v>1</v>
      </c>
      <c r="B423" s="97"/>
      <c r="C423" s="97">
        <v>791</v>
      </c>
      <c r="D423" s="110" t="s">
        <v>987</v>
      </c>
      <c r="E423" s="29">
        <f>14.5-10-1-1-1-0.85</f>
        <v>0.65</v>
      </c>
      <c r="F423" s="29"/>
      <c r="G423" s="29" t="s">
        <v>799</v>
      </c>
      <c r="H423" s="29" t="s">
        <v>930</v>
      </c>
      <c r="I423" s="98"/>
    </row>
    <row r="424" spans="1:9" hidden="1" x14ac:dyDescent="0.3">
      <c r="A424">
        <v>1</v>
      </c>
      <c r="C424">
        <v>792</v>
      </c>
      <c r="D424" s="57" t="s">
        <v>988</v>
      </c>
      <c r="E424" s="3">
        <f>1.1-1.1</f>
        <v>0</v>
      </c>
      <c r="H424" s="3" t="s">
        <v>989</v>
      </c>
    </row>
    <row r="425" spans="1:9" x14ac:dyDescent="0.3">
      <c r="A425">
        <v>1</v>
      </c>
      <c r="C425">
        <v>795</v>
      </c>
      <c r="D425" s="90" t="s">
        <v>1212</v>
      </c>
      <c r="E425" s="3">
        <f>4*1.2-2</f>
        <v>2.8</v>
      </c>
      <c r="G425" s="3" t="s">
        <v>1197</v>
      </c>
      <c r="H425" s="127" t="s">
        <v>1233</v>
      </c>
    </row>
    <row r="426" spans="1:9" hidden="1" x14ac:dyDescent="0.3">
      <c r="A426">
        <v>1</v>
      </c>
      <c r="C426">
        <v>798</v>
      </c>
      <c r="D426" s="58" t="s">
        <v>993</v>
      </c>
      <c r="E426" s="3">
        <f>18-3-10-5</f>
        <v>0</v>
      </c>
      <c r="G426" s="59" t="s">
        <v>994</v>
      </c>
    </row>
    <row r="427" spans="1:9" x14ac:dyDescent="0.3">
      <c r="A427" s="97">
        <v>1</v>
      </c>
      <c r="B427" s="97"/>
      <c r="C427" s="97">
        <v>799</v>
      </c>
      <c r="D427" s="106" t="s">
        <v>1228</v>
      </c>
      <c r="E427" s="29">
        <f>5.7-2-1.29-1</f>
        <v>1.4100000000000001</v>
      </c>
      <c r="F427" s="29"/>
      <c r="G427" s="29" t="s">
        <v>814</v>
      </c>
      <c r="H427" s="121" t="s">
        <v>995</v>
      </c>
      <c r="I427" s="98"/>
    </row>
    <row r="428" spans="1:9" hidden="1" x14ac:dyDescent="0.3">
      <c r="A428">
        <v>1</v>
      </c>
      <c r="C428">
        <v>800</v>
      </c>
      <c r="D428" s="58" t="s">
        <v>996</v>
      </c>
      <c r="E428" s="3">
        <f>18-14-4</f>
        <v>0</v>
      </c>
      <c r="G428" s="59" t="s">
        <v>422</v>
      </c>
      <c r="H428" s="59" t="s">
        <v>997</v>
      </c>
    </row>
    <row r="429" spans="1:9" hidden="1" x14ac:dyDescent="0.3">
      <c r="A429">
        <v>1</v>
      </c>
      <c r="C429">
        <v>802</v>
      </c>
      <c r="D429" s="68" t="s">
        <v>1025</v>
      </c>
      <c r="E429" s="3">
        <f>19-10-6-3</f>
        <v>0</v>
      </c>
      <c r="G429" s="59" t="s">
        <v>422</v>
      </c>
      <c r="H429" s="59" t="s">
        <v>999</v>
      </c>
    </row>
    <row r="430" spans="1:9" hidden="1" x14ac:dyDescent="0.3">
      <c r="A430">
        <v>1</v>
      </c>
      <c r="C430">
        <v>803</v>
      </c>
      <c r="D430" s="58" t="s">
        <v>998</v>
      </c>
      <c r="E430" s="3">
        <f>18-5.3-12.7</f>
        <v>0</v>
      </c>
      <c r="G430" s="60" t="s">
        <v>799</v>
      </c>
      <c r="H430" s="59" t="s">
        <v>422</v>
      </c>
      <c r="I430" s="91" t="s">
        <v>1210</v>
      </c>
    </row>
    <row r="431" spans="1:9" x14ac:dyDescent="0.3">
      <c r="A431" s="97" t="s">
        <v>1189</v>
      </c>
      <c r="B431" s="97"/>
      <c r="C431" s="97">
        <v>806</v>
      </c>
      <c r="D431" s="116" t="s">
        <v>1001</v>
      </c>
      <c r="E431" s="29">
        <f>-2.5-2.5+10-1</f>
        <v>4</v>
      </c>
      <c r="F431" s="29"/>
      <c r="G431" s="119" t="s">
        <v>854</v>
      </c>
      <c r="H431" s="29"/>
      <c r="I431" s="98"/>
    </row>
    <row r="432" spans="1:9" x14ac:dyDescent="0.3">
      <c r="A432" s="97">
        <v>1</v>
      </c>
      <c r="B432" s="97"/>
      <c r="C432" s="97">
        <v>810</v>
      </c>
      <c r="D432" s="105" t="s">
        <v>1191</v>
      </c>
      <c r="E432" s="29">
        <v>3</v>
      </c>
      <c r="F432" s="29"/>
      <c r="G432" s="119" t="s">
        <v>804</v>
      </c>
      <c r="H432" s="29"/>
      <c r="I432" s="98"/>
    </row>
    <row r="433" spans="1:9" hidden="1" x14ac:dyDescent="0.3">
      <c r="A433">
        <v>1</v>
      </c>
      <c r="C433">
        <v>812</v>
      </c>
      <c r="D433" s="62" t="s">
        <v>1002</v>
      </c>
      <c r="E433" s="3">
        <v>0</v>
      </c>
      <c r="G433" s="60" t="s">
        <v>799</v>
      </c>
    </row>
    <row r="434" spans="1:9" x14ac:dyDescent="0.3">
      <c r="A434">
        <v>1</v>
      </c>
      <c r="C434">
        <v>813</v>
      </c>
      <c r="D434" s="95" t="s">
        <v>1224</v>
      </c>
      <c r="E434" s="3">
        <v>1</v>
      </c>
      <c r="G434" s="60" t="s">
        <v>809</v>
      </c>
      <c r="H434" s="119" t="s">
        <v>1241</v>
      </c>
    </row>
    <row r="435" spans="1:9" x14ac:dyDescent="0.3">
      <c r="A435" s="97">
        <v>1</v>
      </c>
      <c r="B435" s="97"/>
      <c r="C435" s="97">
        <v>814</v>
      </c>
      <c r="D435" s="109" t="s">
        <v>1004</v>
      </c>
      <c r="E435" s="29">
        <f>29-1-4+1-7+1-3+2+2.5+1-6</f>
        <v>15.5</v>
      </c>
      <c r="F435" s="29"/>
      <c r="G435" s="119" t="s">
        <v>799</v>
      </c>
      <c r="H435" s="29" t="s">
        <v>1123</v>
      </c>
      <c r="I435" s="98"/>
    </row>
    <row r="436" spans="1:9" x14ac:dyDescent="0.3">
      <c r="A436" s="97"/>
      <c r="B436" s="97"/>
      <c r="C436" s="97">
        <v>814</v>
      </c>
      <c r="D436" s="103" t="s">
        <v>1124</v>
      </c>
      <c r="E436" s="29">
        <f>2+3+3+0.92+4+0.5+3+0.5+0.5+0.5+0.3+2</f>
        <v>20.220000000000002</v>
      </c>
      <c r="F436" s="29"/>
      <c r="G436" s="119" t="s">
        <v>799</v>
      </c>
      <c r="H436" s="120" t="s">
        <v>1125</v>
      </c>
      <c r="I436" s="98" t="s">
        <v>1304</v>
      </c>
    </row>
    <row r="437" spans="1:9" hidden="1" x14ac:dyDescent="0.3">
      <c r="A437">
        <v>1</v>
      </c>
      <c r="C437">
        <v>815</v>
      </c>
      <c r="D437" s="62" t="s">
        <v>1005</v>
      </c>
      <c r="E437" s="3">
        <f>17-10-7</f>
        <v>0</v>
      </c>
    </row>
    <row r="438" spans="1:9" hidden="1" x14ac:dyDescent="0.3">
      <c r="A438">
        <v>1</v>
      </c>
      <c r="C438">
        <v>816</v>
      </c>
      <c r="D438" s="62" t="s">
        <v>1006</v>
      </c>
      <c r="E438" s="3">
        <f>17.5-5-11-1.5</f>
        <v>0</v>
      </c>
      <c r="G438" s="63" t="s">
        <v>491</v>
      </c>
      <c r="H438" s="63" t="s">
        <v>1007</v>
      </c>
    </row>
    <row r="439" spans="1:9" hidden="1" x14ac:dyDescent="0.3">
      <c r="A439">
        <v>1</v>
      </c>
      <c r="C439">
        <v>821</v>
      </c>
      <c r="D439" s="64" t="s">
        <v>1008</v>
      </c>
      <c r="E439" s="3">
        <f>16-15+0.9+16.5+6.6-21*0.96-1.25-1.56-1-1.03</f>
        <v>0</v>
      </c>
      <c r="G439" s="60" t="s">
        <v>1198</v>
      </c>
    </row>
    <row r="440" spans="1:9" x14ac:dyDescent="0.3">
      <c r="A440" s="97">
        <v>1</v>
      </c>
      <c r="B440" s="97"/>
      <c r="C440" s="97">
        <v>822</v>
      </c>
      <c r="D440" s="115" t="s">
        <v>1009</v>
      </c>
      <c r="E440" s="29">
        <f>16.5-5-3-2.8-0.8</f>
        <v>4.9000000000000004</v>
      </c>
      <c r="F440" s="29"/>
      <c r="G440" s="29" t="s">
        <v>822</v>
      </c>
      <c r="H440" s="29" t="s">
        <v>658</v>
      </c>
      <c r="I440" s="29" t="s">
        <v>1010</v>
      </c>
    </row>
    <row r="441" spans="1:9" x14ac:dyDescent="0.3">
      <c r="A441">
        <v>7</v>
      </c>
      <c r="C441">
        <v>823</v>
      </c>
      <c r="D441" s="95" t="s">
        <v>1227</v>
      </c>
      <c r="E441" s="3">
        <f>13.84*1.3-1*1.3</f>
        <v>16.692</v>
      </c>
      <c r="G441" s="3" t="s">
        <v>805</v>
      </c>
      <c r="H441" s="3" t="s">
        <v>1012</v>
      </c>
      <c r="I441" s="3"/>
    </row>
    <row r="442" spans="1:9" hidden="1" x14ac:dyDescent="0.3">
      <c r="A442">
        <v>1</v>
      </c>
      <c r="C442">
        <v>824</v>
      </c>
      <c r="D442" s="64" t="s">
        <v>4</v>
      </c>
      <c r="E442" s="3">
        <f>5-5</f>
        <v>0</v>
      </c>
    </row>
    <row r="443" spans="1:9" hidden="1" x14ac:dyDescent="0.3">
      <c r="A443">
        <v>1</v>
      </c>
      <c r="C443">
        <v>825</v>
      </c>
      <c r="D443" s="65" t="s">
        <v>1013</v>
      </c>
      <c r="E443" s="3">
        <f>17-10-7</f>
        <v>0</v>
      </c>
      <c r="G443" s="3" t="s">
        <v>1014</v>
      </c>
    </row>
    <row r="444" spans="1:9" hidden="1" x14ac:dyDescent="0.3">
      <c r="A444">
        <v>1</v>
      </c>
      <c r="C444">
        <v>827</v>
      </c>
      <c r="D444" s="65" t="s">
        <v>1015</v>
      </c>
      <c r="E444" s="3">
        <f>17-9-8</f>
        <v>0</v>
      </c>
      <c r="G444" s="60" t="s">
        <v>1016</v>
      </c>
    </row>
    <row r="445" spans="1:9" x14ac:dyDescent="0.3">
      <c r="A445" s="97">
        <v>7</v>
      </c>
      <c r="B445" s="97"/>
      <c r="C445" s="97">
        <v>828</v>
      </c>
      <c r="D445" s="104" t="s">
        <v>1017</v>
      </c>
      <c r="E445" s="29">
        <f>17-12</f>
        <v>5</v>
      </c>
      <c r="F445" s="29"/>
      <c r="G445" s="119" t="s">
        <v>793</v>
      </c>
      <c r="H445" s="119" t="s">
        <v>1018</v>
      </c>
      <c r="I445" s="98"/>
    </row>
    <row r="446" spans="1:9" x14ac:dyDescent="0.3">
      <c r="A446">
        <v>1</v>
      </c>
      <c r="C446">
        <v>829</v>
      </c>
      <c r="D446" s="65" t="s">
        <v>1019</v>
      </c>
      <c r="E446" s="3">
        <f>15-8</f>
        <v>7</v>
      </c>
      <c r="G446" s="60" t="s">
        <v>820</v>
      </c>
      <c r="H446" s="138" t="s">
        <v>1251</v>
      </c>
    </row>
    <row r="447" spans="1:9" hidden="1" x14ac:dyDescent="0.3">
      <c r="A447">
        <v>1</v>
      </c>
      <c r="C447">
        <v>830</v>
      </c>
      <c r="D447" s="66" t="s">
        <v>1020</v>
      </c>
      <c r="E447" s="3">
        <f>17-10-5.3-1.7</f>
        <v>0</v>
      </c>
      <c r="G447" s="60" t="s">
        <v>1021</v>
      </c>
      <c r="H447" s="3" t="s">
        <v>422</v>
      </c>
    </row>
    <row r="448" spans="1:9" hidden="1" x14ac:dyDescent="0.3">
      <c r="A448" s="97">
        <v>1</v>
      </c>
      <c r="B448" s="97"/>
      <c r="C448" s="97">
        <v>832</v>
      </c>
      <c r="D448" s="114" t="s">
        <v>1024</v>
      </c>
      <c r="E448" s="29">
        <v>0</v>
      </c>
      <c r="F448" s="29"/>
      <c r="G448" s="119" t="s">
        <v>799</v>
      </c>
      <c r="H448" s="119" t="s">
        <v>422</v>
      </c>
      <c r="I448" s="98"/>
    </row>
    <row r="449" spans="1:9" hidden="1" x14ac:dyDescent="0.3">
      <c r="A449">
        <v>1</v>
      </c>
      <c r="C449">
        <v>835</v>
      </c>
      <c r="D449" s="69" t="s">
        <v>1026</v>
      </c>
      <c r="E449" s="3">
        <f>35-17-5-4-3-6</f>
        <v>0</v>
      </c>
      <c r="G449" s="3" t="s">
        <v>1027</v>
      </c>
      <c r="H449" s="3" t="s">
        <v>1028</v>
      </c>
    </row>
    <row r="450" spans="1:9" x14ac:dyDescent="0.3">
      <c r="A450">
        <v>1</v>
      </c>
      <c r="C450">
        <v>836</v>
      </c>
      <c r="D450" s="69" t="s">
        <v>1029</v>
      </c>
      <c r="E450" s="3">
        <v>1.3</v>
      </c>
      <c r="G450" s="60" t="s">
        <v>795</v>
      </c>
    </row>
    <row r="451" spans="1:9" x14ac:dyDescent="0.3">
      <c r="A451" s="97">
        <v>1</v>
      </c>
      <c r="B451" s="97"/>
      <c r="C451" s="97">
        <v>838</v>
      </c>
      <c r="D451" s="117" t="s">
        <v>1030</v>
      </c>
      <c r="E451" s="29">
        <f>24-10-5</f>
        <v>9</v>
      </c>
      <c r="F451" s="29"/>
      <c r="G451" s="29" t="s">
        <v>1192</v>
      </c>
      <c r="H451" s="29" t="s">
        <v>1031</v>
      </c>
      <c r="I451" s="98"/>
    </row>
    <row r="452" spans="1:9" hidden="1" x14ac:dyDescent="0.3">
      <c r="A452">
        <v>1</v>
      </c>
      <c r="C452">
        <v>839</v>
      </c>
      <c r="D452" s="69" t="s">
        <v>1032</v>
      </c>
      <c r="E452" s="3">
        <f>16-14.2-1.8</f>
        <v>0</v>
      </c>
      <c r="G452" s="3" t="s">
        <v>1016</v>
      </c>
    </row>
    <row r="453" spans="1:9" hidden="1" x14ac:dyDescent="0.3">
      <c r="A453">
        <v>1</v>
      </c>
      <c r="C453">
        <v>840</v>
      </c>
      <c r="D453" s="69" t="s">
        <v>1033</v>
      </c>
      <c r="E453" s="3">
        <f>16-8-7-1</f>
        <v>0</v>
      </c>
      <c r="G453" s="3" t="s">
        <v>1016</v>
      </c>
    </row>
    <row r="454" spans="1:9" x14ac:dyDescent="0.3">
      <c r="A454" s="97">
        <v>1</v>
      </c>
      <c r="B454" s="97"/>
      <c r="C454">
        <v>841</v>
      </c>
      <c r="D454" s="158" t="s">
        <v>1280</v>
      </c>
      <c r="E454" s="3">
        <f>18-2-10-2.45-2.498</f>
        <v>1.0519999999999996</v>
      </c>
      <c r="G454" s="60" t="s">
        <v>1200</v>
      </c>
      <c r="H454" s="60" t="s">
        <v>422</v>
      </c>
      <c r="I454" s="91" t="s">
        <v>1188</v>
      </c>
    </row>
    <row r="455" spans="1:9" hidden="1" x14ac:dyDescent="0.3">
      <c r="A455" s="97">
        <v>1</v>
      </c>
      <c r="B455" s="97"/>
      <c r="C455" s="97">
        <v>842</v>
      </c>
      <c r="D455" s="108" t="s">
        <v>1035</v>
      </c>
      <c r="E455" s="29">
        <f>18-2-2-2-4-2.4-3-2.6</f>
        <v>0</v>
      </c>
      <c r="F455" s="29"/>
      <c r="G455" s="119" t="s">
        <v>804</v>
      </c>
      <c r="H455" s="119" t="s">
        <v>422</v>
      </c>
      <c r="I455" s="124" t="s">
        <v>1034</v>
      </c>
    </row>
    <row r="456" spans="1:9" x14ac:dyDescent="0.3">
      <c r="A456" s="97">
        <v>7</v>
      </c>
      <c r="B456" s="97"/>
      <c r="C456" s="97">
        <v>844</v>
      </c>
      <c r="D456" s="106" t="s">
        <v>1232</v>
      </c>
      <c r="E456" s="29">
        <f>17-14</f>
        <v>3</v>
      </c>
      <c r="F456" s="29"/>
      <c r="G456" s="119" t="s">
        <v>808</v>
      </c>
      <c r="H456" s="119" t="s">
        <v>422</v>
      </c>
      <c r="I456" s="124" t="s">
        <v>997</v>
      </c>
    </row>
    <row r="457" spans="1:9" x14ac:dyDescent="0.3">
      <c r="A457">
        <v>1</v>
      </c>
      <c r="C457">
        <v>846</v>
      </c>
      <c r="D457" s="70" t="s">
        <v>1037</v>
      </c>
      <c r="E457" s="3">
        <f>36+5.84+36-10-26-79+22+1+2+2.16</f>
        <v>-9.9999999999999964</v>
      </c>
      <c r="G457" s="60" t="s">
        <v>800</v>
      </c>
      <c r="H457" s="60" t="s">
        <v>1036</v>
      </c>
      <c r="I457" s="71" t="s">
        <v>1034</v>
      </c>
    </row>
    <row r="458" spans="1:9" x14ac:dyDescent="0.3">
      <c r="A458" s="97" t="s">
        <v>1189</v>
      </c>
      <c r="B458" s="97"/>
      <c r="C458" s="97">
        <v>847</v>
      </c>
      <c r="D458" s="108" t="s">
        <v>1038</v>
      </c>
      <c r="E458" s="99">
        <f>16.8-12-3</f>
        <v>1.8000000000000007</v>
      </c>
      <c r="F458" s="29"/>
      <c r="G458" s="119" t="s">
        <v>854</v>
      </c>
      <c r="H458" s="119" t="s">
        <v>422</v>
      </c>
      <c r="I458" s="124" t="s">
        <v>1018</v>
      </c>
    </row>
    <row r="459" spans="1:9" hidden="1" x14ac:dyDescent="0.3">
      <c r="A459">
        <v>1</v>
      </c>
      <c r="C459">
        <v>848</v>
      </c>
      <c r="D459" s="70" t="s">
        <v>1039</v>
      </c>
      <c r="E459" s="3">
        <f>16.8-5.15-11.65</f>
        <v>0</v>
      </c>
      <c r="G459" s="60" t="s">
        <v>422</v>
      </c>
      <c r="H459" s="71" t="s">
        <v>1018</v>
      </c>
    </row>
    <row r="460" spans="1:9" hidden="1" x14ac:dyDescent="0.3">
      <c r="A460">
        <v>1</v>
      </c>
      <c r="C460">
        <v>849</v>
      </c>
      <c r="D460" s="70" t="s">
        <v>1040</v>
      </c>
      <c r="E460" s="3">
        <f>17-8-3-1.5-4-0.5</f>
        <v>0</v>
      </c>
      <c r="G460" s="60" t="s">
        <v>820</v>
      </c>
      <c r="H460" s="60" t="s">
        <v>422</v>
      </c>
      <c r="I460" s="71" t="s">
        <v>1041</v>
      </c>
    </row>
    <row r="461" spans="1:9" hidden="1" x14ac:dyDescent="0.3">
      <c r="A461">
        <v>1</v>
      </c>
      <c r="C461">
        <v>850</v>
      </c>
      <c r="D461" s="70" t="s">
        <v>1042</v>
      </c>
      <c r="E461" s="3">
        <f>17-2-5.8-1.1-4.1-4</f>
        <v>0</v>
      </c>
      <c r="G461" s="60" t="s">
        <v>422</v>
      </c>
      <c r="H461" s="71" t="s">
        <v>1043</v>
      </c>
    </row>
    <row r="462" spans="1:9" hidden="1" x14ac:dyDescent="0.3">
      <c r="A462">
        <v>1</v>
      </c>
      <c r="C462">
        <v>851</v>
      </c>
      <c r="D462" s="70" t="s">
        <v>1044</v>
      </c>
      <c r="E462" s="3">
        <f>13-6.3-6.7</f>
        <v>0</v>
      </c>
      <c r="G462" s="60" t="s">
        <v>457</v>
      </c>
      <c r="H462" s="71" t="s">
        <v>997</v>
      </c>
    </row>
    <row r="463" spans="1:9" hidden="1" x14ac:dyDescent="0.3">
      <c r="A463">
        <v>1</v>
      </c>
      <c r="C463">
        <v>853</v>
      </c>
      <c r="D463" s="70" t="s">
        <v>1045</v>
      </c>
      <c r="E463" s="3">
        <v>0</v>
      </c>
      <c r="G463" s="60" t="s">
        <v>800</v>
      </c>
      <c r="H463" s="60" t="s">
        <v>1036</v>
      </c>
      <c r="I463" s="3"/>
    </row>
    <row r="464" spans="1:9" hidden="1" x14ac:dyDescent="0.3">
      <c r="A464" s="97">
        <v>1</v>
      </c>
      <c r="B464" s="97"/>
      <c r="C464" s="97">
        <v>854</v>
      </c>
      <c r="D464" s="108" t="s">
        <v>1046</v>
      </c>
      <c r="E464" s="29">
        <f>17-2.55-14.45</f>
        <v>0</v>
      </c>
      <c r="F464" s="29"/>
      <c r="G464" s="119" t="s">
        <v>804</v>
      </c>
      <c r="H464" s="119" t="s">
        <v>422</v>
      </c>
      <c r="I464" s="124" t="s">
        <v>1041</v>
      </c>
    </row>
    <row r="465" spans="1:9" hidden="1" x14ac:dyDescent="0.3">
      <c r="A465">
        <v>1</v>
      </c>
      <c r="C465">
        <v>855</v>
      </c>
      <c r="D465" s="70" t="s">
        <v>1047</v>
      </c>
      <c r="E465" s="3">
        <f>17-17</f>
        <v>0</v>
      </c>
      <c r="G465" s="60" t="s">
        <v>422</v>
      </c>
      <c r="H465" s="71" t="s">
        <v>997</v>
      </c>
    </row>
    <row r="466" spans="1:9" hidden="1" x14ac:dyDescent="0.3">
      <c r="A466">
        <v>1</v>
      </c>
      <c r="C466">
        <v>856</v>
      </c>
      <c r="D466" s="21" t="s">
        <v>1101</v>
      </c>
      <c r="E466" s="3">
        <f>-2+2-2.8+2.8</f>
        <v>0</v>
      </c>
      <c r="G466" s="60" t="s">
        <v>1102</v>
      </c>
    </row>
    <row r="467" spans="1:9" x14ac:dyDescent="0.3">
      <c r="A467">
        <v>1</v>
      </c>
      <c r="C467">
        <v>857</v>
      </c>
      <c r="D467" s="70" t="s">
        <v>1048</v>
      </c>
      <c r="E467" s="3">
        <f>35-20</f>
        <v>15</v>
      </c>
      <c r="G467" s="60" t="s">
        <v>820</v>
      </c>
    </row>
    <row r="468" spans="1:9" hidden="1" x14ac:dyDescent="0.3">
      <c r="A468" s="97">
        <v>1</v>
      </c>
      <c r="B468" s="97"/>
      <c r="C468" s="97">
        <v>858</v>
      </c>
      <c r="D468" s="130" t="s">
        <v>1243</v>
      </c>
      <c r="E468" s="29">
        <f>14-2.45-11.55</f>
        <v>0</v>
      </c>
      <c r="F468" s="29"/>
      <c r="G468" s="119" t="s">
        <v>804</v>
      </c>
      <c r="H468" s="119" t="s">
        <v>457</v>
      </c>
      <c r="I468" s="123" t="s">
        <v>1217</v>
      </c>
    </row>
    <row r="469" spans="1:9" hidden="1" x14ac:dyDescent="0.3">
      <c r="A469" s="97">
        <v>1</v>
      </c>
      <c r="B469" s="97"/>
      <c r="C469" s="97">
        <v>859</v>
      </c>
      <c r="D469" s="108" t="s">
        <v>1049</v>
      </c>
      <c r="E469" s="29">
        <f>4.8-2-0.8-0.5-0.5-0.5-0.5</f>
        <v>0</v>
      </c>
      <c r="F469" s="29"/>
      <c r="G469" s="119" t="s">
        <v>822</v>
      </c>
      <c r="H469" s="29"/>
      <c r="I469" s="98"/>
    </row>
    <row r="470" spans="1:9" hidden="1" x14ac:dyDescent="0.3">
      <c r="A470">
        <v>1</v>
      </c>
      <c r="C470">
        <v>860</v>
      </c>
      <c r="D470" s="72" t="s">
        <v>1050</v>
      </c>
      <c r="E470" s="3">
        <f>17-9-5-3</f>
        <v>0</v>
      </c>
      <c r="G470" s="60" t="s">
        <v>820</v>
      </c>
    </row>
    <row r="471" spans="1:9" hidden="1" x14ac:dyDescent="0.3">
      <c r="A471">
        <v>1</v>
      </c>
      <c r="C471">
        <v>861</v>
      </c>
      <c r="D471" s="72" t="s">
        <v>1051</v>
      </c>
      <c r="E471" s="3">
        <f>25-12.75-11.5-0.75</f>
        <v>0</v>
      </c>
      <c r="G471" s="3" t="s">
        <v>1052</v>
      </c>
    </row>
    <row r="472" spans="1:9" hidden="1" x14ac:dyDescent="0.3">
      <c r="A472">
        <v>1</v>
      </c>
      <c r="C472">
        <v>863</v>
      </c>
      <c r="D472" s="74" t="s">
        <v>1054</v>
      </c>
      <c r="E472" s="3">
        <f>37-4-33</f>
        <v>0</v>
      </c>
      <c r="G472" s="3" t="s">
        <v>1055</v>
      </c>
    </row>
    <row r="473" spans="1:9" hidden="1" x14ac:dyDescent="0.3">
      <c r="A473">
        <v>1</v>
      </c>
      <c r="C473">
        <v>864</v>
      </c>
      <c r="D473" s="74" t="s">
        <v>1056</v>
      </c>
      <c r="E473" s="3">
        <v>0</v>
      </c>
      <c r="G473" s="60" t="s">
        <v>821</v>
      </c>
      <c r="H473" s="3" t="s">
        <v>1028</v>
      </c>
      <c r="I473" s="93" t="s">
        <v>1209</v>
      </c>
    </row>
    <row r="474" spans="1:9" hidden="1" x14ac:dyDescent="0.3">
      <c r="A474">
        <v>1</v>
      </c>
      <c r="C474">
        <v>865</v>
      </c>
      <c r="D474" s="74" t="s">
        <v>1057</v>
      </c>
      <c r="E474" s="3">
        <f>-19.3+5+14.3</f>
        <v>0</v>
      </c>
    </row>
    <row r="475" spans="1:9" hidden="1" x14ac:dyDescent="0.3">
      <c r="A475">
        <v>1</v>
      </c>
      <c r="C475">
        <v>865</v>
      </c>
      <c r="D475" s="74" t="s">
        <v>1058</v>
      </c>
      <c r="E475" s="3">
        <v>0</v>
      </c>
    </row>
    <row r="476" spans="1:9" x14ac:dyDescent="0.3">
      <c r="A476">
        <v>1</v>
      </c>
      <c r="C476">
        <v>866</v>
      </c>
      <c r="D476" s="90" t="s">
        <v>1218</v>
      </c>
      <c r="E476" s="3">
        <f>9*1.3-4.5*1.3</f>
        <v>5.8500000000000005</v>
      </c>
      <c r="G476" s="60" t="s">
        <v>809</v>
      </c>
    </row>
    <row r="477" spans="1:9" hidden="1" x14ac:dyDescent="0.3">
      <c r="A477">
        <v>1</v>
      </c>
      <c r="C477">
        <v>868</v>
      </c>
      <c r="D477" s="74" t="s">
        <v>1060</v>
      </c>
      <c r="E477" s="3">
        <f>16.5-13.9-2.6</f>
        <v>0</v>
      </c>
      <c r="H477" s="3" t="s">
        <v>1018</v>
      </c>
    </row>
    <row r="478" spans="1:9" x14ac:dyDescent="0.3">
      <c r="A478" s="97">
        <v>1</v>
      </c>
      <c r="B478" s="97"/>
      <c r="C478" s="97">
        <v>869</v>
      </c>
      <c r="D478" s="107" t="s">
        <v>1061</v>
      </c>
      <c r="E478" s="29">
        <f>1.05*13-2-1-1-1-3</f>
        <v>5.65</v>
      </c>
      <c r="F478" s="29"/>
      <c r="G478" s="119" t="s">
        <v>822</v>
      </c>
      <c r="H478" s="29" t="s">
        <v>1062</v>
      </c>
      <c r="I478" s="98"/>
    </row>
    <row r="479" spans="1:9" hidden="1" x14ac:dyDescent="0.3">
      <c r="A479">
        <v>1</v>
      </c>
      <c r="C479">
        <v>870</v>
      </c>
      <c r="D479" s="74" t="s">
        <v>1063</v>
      </c>
      <c r="E479" s="3">
        <f>17-10-7</f>
        <v>0</v>
      </c>
    </row>
    <row r="480" spans="1:9" x14ac:dyDescent="0.3">
      <c r="A480" s="97">
        <v>7</v>
      </c>
      <c r="B480" s="97"/>
      <c r="C480" s="97">
        <v>871</v>
      </c>
      <c r="D480" s="107" t="s">
        <v>1064</v>
      </c>
      <c r="E480" s="153">
        <f>16-9*1.25-1-1.5-0.7-1.2</f>
        <v>0.35000000000000009</v>
      </c>
      <c r="F480" s="29"/>
      <c r="G480" s="119" t="s">
        <v>799</v>
      </c>
      <c r="H480" s="139" t="s">
        <v>1241</v>
      </c>
      <c r="I480" s="98"/>
    </row>
    <row r="481" spans="1:9" hidden="1" x14ac:dyDescent="0.3">
      <c r="A481">
        <v>1</v>
      </c>
      <c r="C481">
        <v>872</v>
      </c>
      <c r="D481" s="74" t="s">
        <v>1065</v>
      </c>
      <c r="E481" s="3">
        <f>16.8-15-1.8</f>
        <v>0</v>
      </c>
    </row>
    <row r="482" spans="1:9" hidden="1" x14ac:dyDescent="0.3">
      <c r="A482" s="97">
        <v>1</v>
      </c>
      <c r="B482" s="97"/>
      <c r="C482" s="97">
        <v>873</v>
      </c>
      <c r="D482" s="105" t="s">
        <v>1203</v>
      </c>
      <c r="E482" s="29">
        <f>17.5-5-1.2*8-0.5-2.4</f>
        <v>0</v>
      </c>
      <c r="F482" s="29"/>
      <c r="G482" s="119" t="s">
        <v>799</v>
      </c>
      <c r="H482" s="29"/>
      <c r="I482" s="98"/>
    </row>
    <row r="483" spans="1:9" hidden="1" x14ac:dyDescent="0.3">
      <c r="A483" s="97">
        <v>1</v>
      </c>
      <c r="B483" s="97"/>
      <c r="C483" s="97">
        <v>876</v>
      </c>
      <c r="D483" s="107" t="s">
        <v>1066</v>
      </c>
      <c r="E483" s="29">
        <f>17-4-12-1</f>
        <v>0</v>
      </c>
      <c r="F483" s="29"/>
      <c r="G483" s="119" t="s">
        <v>799</v>
      </c>
      <c r="H483" s="29" t="s">
        <v>1067</v>
      </c>
      <c r="I483" s="123" t="s">
        <v>1211</v>
      </c>
    </row>
    <row r="484" spans="1:9" hidden="1" x14ac:dyDescent="0.3">
      <c r="A484">
        <v>1</v>
      </c>
      <c r="C484">
        <v>877</v>
      </c>
      <c r="D484" s="74" t="s">
        <v>1068</v>
      </c>
      <c r="E484" s="3">
        <f>13-10.1-2.9</f>
        <v>0</v>
      </c>
      <c r="H484" s="3" t="s">
        <v>1069</v>
      </c>
    </row>
    <row r="485" spans="1:9" hidden="1" x14ac:dyDescent="0.3">
      <c r="A485">
        <v>1</v>
      </c>
      <c r="C485">
        <v>878</v>
      </c>
      <c r="D485" s="74" t="s">
        <v>1070</v>
      </c>
      <c r="E485" s="3">
        <f>16.8-2*1.272-3*1.27-3*1.26-3*1.235-2.4-0.561</f>
        <v>0</v>
      </c>
      <c r="H485" s="3" t="s">
        <v>1069</v>
      </c>
    </row>
    <row r="486" spans="1:9" x14ac:dyDescent="0.3">
      <c r="A486" s="97">
        <v>1</v>
      </c>
      <c r="B486" s="97"/>
      <c r="C486" s="97">
        <v>879</v>
      </c>
      <c r="D486" s="107" t="s">
        <v>1071</v>
      </c>
      <c r="E486" s="29">
        <f>1.2-0.6</f>
        <v>0.6</v>
      </c>
      <c r="F486" s="29"/>
      <c r="G486" s="119" t="s">
        <v>826</v>
      </c>
      <c r="H486" s="29"/>
      <c r="I486" s="98"/>
    </row>
    <row r="487" spans="1:9" x14ac:dyDescent="0.3">
      <c r="A487">
        <v>1</v>
      </c>
      <c r="C487">
        <v>880</v>
      </c>
      <c r="D487" s="137" t="s">
        <v>1249</v>
      </c>
      <c r="E487" s="3">
        <f>8-4</f>
        <v>4</v>
      </c>
      <c r="G487" s="60" t="s">
        <v>821</v>
      </c>
      <c r="H487" s="29" t="s">
        <v>1244</v>
      </c>
    </row>
    <row r="488" spans="1:9" hidden="1" x14ac:dyDescent="0.3">
      <c r="A488">
        <v>1</v>
      </c>
      <c r="C488">
        <v>881</v>
      </c>
      <c r="D488" s="75" t="s">
        <v>1072</v>
      </c>
      <c r="E488" s="3">
        <v>0</v>
      </c>
      <c r="G488" s="60" t="s">
        <v>839</v>
      </c>
      <c r="H488" s="3" t="s">
        <v>1073</v>
      </c>
    </row>
    <row r="489" spans="1:9" hidden="1" x14ac:dyDescent="0.3">
      <c r="A489">
        <v>1</v>
      </c>
      <c r="C489">
        <v>882</v>
      </c>
      <c r="D489" s="75" t="s">
        <v>1075</v>
      </c>
      <c r="E489" s="3">
        <f>17-5-9.35-2.65</f>
        <v>0</v>
      </c>
      <c r="H489" s="3" t="s">
        <v>1076</v>
      </c>
    </row>
    <row r="490" spans="1:9" hidden="1" x14ac:dyDescent="0.3">
      <c r="A490">
        <v>1</v>
      </c>
      <c r="C490">
        <v>883</v>
      </c>
      <c r="D490" s="76" t="s">
        <v>1077</v>
      </c>
      <c r="E490" s="3">
        <f>17.5-12-5.5</f>
        <v>0</v>
      </c>
    </row>
    <row r="491" spans="1:9" hidden="1" x14ac:dyDescent="0.3">
      <c r="A491">
        <v>1</v>
      </c>
      <c r="C491">
        <v>884</v>
      </c>
      <c r="D491" s="76" t="s">
        <v>1078</v>
      </c>
      <c r="E491" s="3">
        <f>37-5-7-6-5-7-5-1.5-0.5</f>
        <v>0</v>
      </c>
      <c r="G491" s="60" t="s">
        <v>805</v>
      </c>
    </row>
    <row r="492" spans="1:9" hidden="1" x14ac:dyDescent="0.3">
      <c r="A492">
        <v>1</v>
      </c>
      <c r="C492">
        <v>885</v>
      </c>
      <c r="D492" s="76" t="s">
        <v>1079</v>
      </c>
      <c r="E492" s="3">
        <f>17.5-4-13.5</f>
        <v>0</v>
      </c>
      <c r="G492" s="60" t="s">
        <v>799</v>
      </c>
    </row>
    <row r="493" spans="1:9" x14ac:dyDescent="0.3">
      <c r="A493" s="97">
        <v>1</v>
      </c>
      <c r="B493" s="97"/>
      <c r="C493" s="97">
        <v>886</v>
      </c>
      <c r="D493" s="112" t="s">
        <v>1107</v>
      </c>
      <c r="E493" s="29">
        <f>14-1.5-4</f>
        <v>8.5</v>
      </c>
      <c r="F493" s="29"/>
      <c r="G493" s="119" t="s">
        <v>799</v>
      </c>
      <c r="H493" s="139" t="s">
        <v>1251</v>
      </c>
      <c r="I493" s="98"/>
    </row>
    <row r="494" spans="1:9" hidden="1" x14ac:dyDescent="0.3">
      <c r="A494">
        <v>1</v>
      </c>
      <c r="C494">
        <v>887</v>
      </c>
      <c r="D494" s="76" t="s">
        <v>1080</v>
      </c>
      <c r="E494" s="3">
        <f>17-11.5-5.5</f>
        <v>0</v>
      </c>
    </row>
    <row r="495" spans="1:9" hidden="1" x14ac:dyDescent="0.3">
      <c r="A495">
        <v>1</v>
      </c>
      <c r="C495">
        <v>888</v>
      </c>
      <c r="D495" s="77" t="s">
        <v>1081</v>
      </c>
      <c r="E495" s="3">
        <f>18-9.5-3-3-2.5</f>
        <v>0</v>
      </c>
      <c r="H495" s="3" t="s">
        <v>1082</v>
      </c>
    </row>
    <row r="496" spans="1:9" hidden="1" x14ac:dyDescent="0.3">
      <c r="A496" s="97">
        <v>1</v>
      </c>
      <c r="B496" s="97"/>
      <c r="C496" s="97">
        <v>889</v>
      </c>
      <c r="D496" s="103" t="s">
        <v>1182</v>
      </c>
      <c r="E496" s="29">
        <f>17-9.3-3-3-1.7</f>
        <v>0</v>
      </c>
      <c r="F496" s="29"/>
      <c r="G496" s="119" t="s">
        <v>799</v>
      </c>
      <c r="H496" s="139" t="s">
        <v>1251</v>
      </c>
      <c r="I496" s="98"/>
    </row>
    <row r="497" spans="1:10" hidden="1" x14ac:dyDescent="0.3">
      <c r="A497">
        <v>1</v>
      </c>
      <c r="C497">
        <v>890</v>
      </c>
      <c r="D497" s="90" t="s">
        <v>1213</v>
      </c>
      <c r="E497" s="3">
        <f>6.5-1.5-5</f>
        <v>0</v>
      </c>
      <c r="G497" s="60" t="s">
        <v>821</v>
      </c>
    </row>
    <row r="498" spans="1:10" x14ac:dyDescent="0.3">
      <c r="A498" t="s">
        <v>767</v>
      </c>
      <c r="C498">
        <v>891</v>
      </c>
      <c r="D498" s="77" t="s">
        <v>1083</v>
      </c>
      <c r="E498" s="3">
        <v>5</v>
      </c>
      <c r="G498" s="60" t="s">
        <v>805</v>
      </c>
    </row>
    <row r="499" spans="1:10" x14ac:dyDescent="0.3">
      <c r="A499" s="97"/>
      <c r="B499" s="97"/>
      <c r="C499" s="97">
        <v>892</v>
      </c>
      <c r="D499" s="113" t="s">
        <v>1084</v>
      </c>
      <c r="E499" s="29">
        <f>1.1-1</f>
        <v>0.10000000000000009</v>
      </c>
      <c r="F499" s="29"/>
      <c r="G499" s="119" t="s">
        <v>1201</v>
      </c>
      <c r="H499" s="29"/>
      <c r="I499" s="98"/>
    </row>
    <row r="500" spans="1:10" hidden="1" x14ac:dyDescent="0.3">
      <c r="C500">
        <v>893</v>
      </c>
      <c r="D500" s="77" t="s">
        <v>1085</v>
      </c>
      <c r="E500" s="3">
        <f>16.5-13-3.5</f>
        <v>0</v>
      </c>
      <c r="H500" s="3" t="s">
        <v>1086</v>
      </c>
    </row>
    <row r="501" spans="1:10" hidden="1" x14ac:dyDescent="0.3">
      <c r="C501">
        <v>894</v>
      </c>
      <c r="D501" s="90" t="s">
        <v>1204</v>
      </c>
      <c r="E501" s="3">
        <f>17.5-10-7-0.5</f>
        <v>0</v>
      </c>
      <c r="G501" s="60" t="s">
        <v>799</v>
      </c>
    </row>
    <row r="502" spans="1:10" hidden="1" x14ac:dyDescent="0.3">
      <c r="A502" s="97"/>
      <c r="B502" s="97"/>
      <c r="C502" s="97">
        <v>895</v>
      </c>
      <c r="D502" s="113" t="s">
        <v>1087</v>
      </c>
      <c r="E502" s="29">
        <f>18-7-1-1-1-2-1-1-1-3</f>
        <v>0</v>
      </c>
      <c r="F502" s="29"/>
      <c r="G502" s="119" t="s">
        <v>799</v>
      </c>
      <c r="H502" s="29" t="s">
        <v>422</v>
      </c>
      <c r="I502" s="98"/>
    </row>
    <row r="503" spans="1:10" hidden="1" x14ac:dyDescent="0.3">
      <c r="C503">
        <v>896</v>
      </c>
      <c r="D503" s="137" t="s">
        <v>1250</v>
      </c>
      <c r="E503" s="3">
        <f>1.2-1.2</f>
        <v>0</v>
      </c>
      <c r="G503" s="60" t="s">
        <v>1202</v>
      </c>
      <c r="H503" s="3" t="s">
        <v>1086</v>
      </c>
    </row>
    <row r="504" spans="1:10" hidden="1" x14ac:dyDescent="0.3">
      <c r="C504">
        <v>897</v>
      </c>
      <c r="D504" s="79" t="s">
        <v>1089</v>
      </c>
      <c r="E504" s="3">
        <f>1.38-1.2-0.18</f>
        <v>0</v>
      </c>
    </row>
    <row r="505" spans="1:10" hidden="1" x14ac:dyDescent="0.3">
      <c r="C505">
        <v>898</v>
      </c>
      <c r="D505" s="79" t="s">
        <v>1090</v>
      </c>
      <c r="E505" s="3">
        <f>32-10-22</f>
        <v>0</v>
      </c>
      <c r="H505" s="3" t="s">
        <v>1091</v>
      </c>
    </row>
    <row r="506" spans="1:10" x14ac:dyDescent="0.3">
      <c r="A506" s="97"/>
      <c r="B506" s="97"/>
      <c r="C506" s="97">
        <v>899</v>
      </c>
      <c r="D506" s="111" t="s">
        <v>1092</v>
      </c>
      <c r="E506" s="99">
        <f>6.3-3</f>
        <v>3.3</v>
      </c>
      <c r="F506" s="29"/>
      <c r="G506" s="119" t="s">
        <v>812</v>
      </c>
      <c r="H506" s="29" t="s">
        <v>1093</v>
      </c>
      <c r="I506" s="98"/>
    </row>
    <row r="507" spans="1:10" hidden="1" x14ac:dyDescent="0.3">
      <c r="C507">
        <v>900</v>
      </c>
      <c r="D507" s="79" t="s">
        <v>1094</v>
      </c>
      <c r="E507" s="3">
        <f>4.5-1.27-3.23</f>
        <v>0</v>
      </c>
    </row>
    <row r="508" spans="1:10" hidden="1" x14ac:dyDescent="0.3">
      <c r="A508" s="97"/>
      <c r="B508" s="97"/>
      <c r="C508" s="97">
        <v>901</v>
      </c>
      <c r="D508" s="111" t="s">
        <v>381</v>
      </c>
      <c r="E508" s="29">
        <v>0</v>
      </c>
      <c r="F508" s="29"/>
      <c r="G508" s="119" t="s">
        <v>826</v>
      </c>
      <c r="H508" s="29"/>
      <c r="I508" s="98"/>
    </row>
    <row r="509" spans="1:10" hidden="1" x14ac:dyDescent="0.3">
      <c r="A509" s="97"/>
      <c r="B509" s="97"/>
      <c r="C509" s="97">
        <v>902</v>
      </c>
      <c r="D509" s="111" t="s">
        <v>248</v>
      </c>
      <c r="E509" s="97">
        <v>0</v>
      </c>
      <c r="F509" s="29"/>
      <c r="G509" s="119" t="s">
        <v>806</v>
      </c>
      <c r="H509" s="29"/>
      <c r="I509" s="98"/>
    </row>
    <row r="510" spans="1:10" x14ac:dyDescent="0.3">
      <c r="A510" s="97"/>
      <c r="B510" s="97"/>
      <c r="C510" s="97">
        <v>903</v>
      </c>
      <c r="D510" s="102" t="s">
        <v>1095</v>
      </c>
      <c r="E510" s="97">
        <f>18-9-2.5-5.25</f>
        <v>1.25</v>
      </c>
      <c r="F510" s="29"/>
      <c r="G510" s="119" t="s">
        <v>799</v>
      </c>
      <c r="H510" s="29" t="s">
        <v>1096</v>
      </c>
      <c r="I510" s="129" t="s">
        <v>1223</v>
      </c>
      <c r="J510" s="97"/>
    </row>
    <row r="511" spans="1:10" hidden="1" x14ac:dyDescent="0.3">
      <c r="C511">
        <v>904</v>
      </c>
      <c r="D511" s="80" t="s">
        <v>1097</v>
      </c>
      <c r="E511">
        <f>36-9-24.5-0.5-2</f>
        <v>0</v>
      </c>
    </row>
    <row r="512" spans="1:10" hidden="1" x14ac:dyDescent="0.3">
      <c r="A512" s="97"/>
      <c r="B512" s="97"/>
      <c r="C512" s="97">
        <v>905</v>
      </c>
      <c r="D512" s="102" t="s">
        <v>1098</v>
      </c>
      <c r="E512" s="97">
        <f>17.5-5.17-1.1-1-2-2-2-2-2.23</f>
        <v>0</v>
      </c>
      <c r="F512" s="29"/>
      <c r="G512" s="119" t="s">
        <v>799</v>
      </c>
      <c r="H512" s="29"/>
      <c r="I512" s="98"/>
    </row>
    <row r="513" spans="1:17" hidden="1" x14ac:dyDescent="0.3">
      <c r="C513">
        <v>906</v>
      </c>
      <c r="D513" s="89" t="s">
        <v>1186</v>
      </c>
      <c r="E513">
        <f>16-5-6-5</f>
        <v>0</v>
      </c>
    </row>
    <row r="514" spans="1:17" hidden="1" x14ac:dyDescent="0.3">
      <c r="C514">
        <v>907</v>
      </c>
      <c r="D514" s="80" t="s">
        <v>1099</v>
      </c>
      <c r="E514">
        <f>0.8*6-2-1.4-1.4</f>
        <v>0</v>
      </c>
    </row>
    <row r="515" spans="1:17" hidden="1" x14ac:dyDescent="0.3">
      <c r="C515">
        <v>908</v>
      </c>
      <c r="D515" s="80" t="s">
        <v>1100</v>
      </c>
      <c r="E515">
        <f>0.85-0.85</f>
        <v>0</v>
      </c>
    </row>
    <row r="516" spans="1:17" hidden="1" x14ac:dyDescent="0.3">
      <c r="A516" s="97"/>
      <c r="B516" s="97"/>
      <c r="C516" s="97">
        <v>909</v>
      </c>
      <c r="D516" s="102" t="s">
        <v>1103</v>
      </c>
      <c r="E516" s="97">
        <f>1.8-1.8</f>
        <v>0</v>
      </c>
      <c r="F516" s="29"/>
      <c r="G516" s="119" t="s">
        <v>799</v>
      </c>
      <c r="H516" s="29"/>
      <c r="I516" s="98"/>
    </row>
    <row r="517" spans="1:17" x14ac:dyDescent="0.3">
      <c r="A517" s="97"/>
      <c r="B517" s="97"/>
      <c r="C517" s="97">
        <v>910</v>
      </c>
      <c r="D517" s="102" t="s">
        <v>1104</v>
      </c>
      <c r="E517" s="97">
        <f>17-3</f>
        <v>14</v>
      </c>
      <c r="F517" s="29"/>
      <c r="G517" s="119" t="s">
        <v>799</v>
      </c>
      <c r="H517" s="29" t="s">
        <v>1105</v>
      </c>
      <c r="I517" s="98"/>
    </row>
    <row r="518" spans="1:17" x14ac:dyDescent="0.3">
      <c r="C518">
        <v>911</v>
      </c>
      <c r="D518" s="172" t="s">
        <v>1303</v>
      </c>
      <c r="E518">
        <v>17.5</v>
      </c>
      <c r="G518" s="60" t="s">
        <v>820</v>
      </c>
    </row>
    <row r="519" spans="1:17" hidden="1" x14ac:dyDescent="0.3">
      <c r="C519">
        <v>914</v>
      </c>
      <c r="D519" s="81" t="s">
        <v>1106</v>
      </c>
      <c r="E519">
        <f>16-10-5-1</f>
        <v>0</v>
      </c>
      <c r="G519" s="3">
        <v>0</v>
      </c>
    </row>
    <row r="520" spans="1:17" x14ac:dyDescent="0.3">
      <c r="C520">
        <v>915</v>
      </c>
      <c r="D520" s="81" t="s">
        <v>1108</v>
      </c>
      <c r="E520">
        <f>17-7-2.5-5</f>
        <v>2.5</v>
      </c>
      <c r="G520" s="3" t="s">
        <v>1202</v>
      </c>
      <c r="H520" s="82" t="s">
        <v>1109</v>
      </c>
    </row>
    <row r="521" spans="1:17" x14ac:dyDescent="0.3">
      <c r="C521">
        <v>916</v>
      </c>
      <c r="D521" s="90" t="s">
        <v>1219</v>
      </c>
      <c r="E521">
        <f>17-15</f>
        <v>2</v>
      </c>
      <c r="G521" s="3" t="s">
        <v>809</v>
      </c>
      <c r="H521" s="128" t="s">
        <v>1225</v>
      </c>
    </row>
    <row r="522" spans="1:17" x14ac:dyDescent="0.3">
      <c r="C522">
        <v>917</v>
      </c>
      <c r="D522" s="83" t="s">
        <v>1110</v>
      </c>
      <c r="E522">
        <f>17-7-2-2</f>
        <v>6</v>
      </c>
      <c r="G522" s="60" t="s">
        <v>820</v>
      </c>
    </row>
    <row r="523" spans="1:17" x14ac:dyDescent="0.3">
      <c r="C523">
        <v>918</v>
      </c>
      <c r="D523" s="83" t="s">
        <v>1122</v>
      </c>
      <c r="E523">
        <f>3+2</f>
        <v>5</v>
      </c>
      <c r="G523" s="60" t="s">
        <v>803</v>
      </c>
    </row>
    <row r="524" spans="1:17" hidden="1" x14ac:dyDescent="0.3">
      <c r="C524">
        <v>919</v>
      </c>
      <c r="D524" s="90" t="s">
        <v>1205</v>
      </c>
      <c r="E524">
        <f>17-8-2.5-6.5</f>
        <v>0</v>
      </c>
      <c r="H524" s="3" t="s">
        <v>1206</v>
      </c>
    </row>
    <row r="525" spans="1:17" x14ac:dyDescent="0.3">
      <c r="C525">
        <v>920</v>
      </c>
      <c r="D525" s="95" t="s">
        <v>1226</v>
      </c>
      <c r="E525" s="3">
        <f>23.7-16.5-1.2-0.7+0.5-3</f>
        <v>2.7999999999999989</v>
      </c>
      <c r="G525" s="60" t="s">
        <v>815</v>
      </c>
    </row>
    <row r="526" spans="1:17" hidden="1" x14ac:dyDescent="0.3">
      <c r="A526" s="84">
        <v>0</v>
      </c>
      <c r="B526" s="84">
        <v>0</v>
      </c>
      <c r="C526" s="97"/>
      <c r="D526" s="97" t="s">
        <v>41</v>
      </c>
      <c r="E526" s="84">
        <v>0</v>
      </c>
      <c r="F526" s="84"/>
      <c r="G526" s="29"/>
      <c r="H526" s="29"/>
      <c r="I526" s="97">
        <f>2200*2+1400+1250+1400*2+1400*2+1380*2</f>
        <v>15410</v>
      </c>
    </row>
    <row r="527" spans="1:17" hidden="1" x14ac:dyDescent="0.3">
      <c r="A527" s="97">
        <v>0</v>
      </c>
      <c r="B527" s="97">
        <v>0</v>
      </c>
      <c r="C527" s="97"/>
      <c r="D527" s="97"/>
      <c r="E527" s="29">
        <v>0</v>
      </c>
      <c r="F527" s="29"/>
      <c r="G527" s="29"/>
      <c r="H527" s="29"/>
      <c r="I527" s="97"/>
    </row>
    <row r="528" spans="1:17" hidden="1" x14ac:dyDescent="0.3">
      <c r="A528" s="97">
        <v>0</v>
      </c>
      <c r="B528" s="97">
        <v>0</v>
      </c>
      <c r="C528" s="97"/>
      <c r="D528" s="97"/>
      <c r="E528" s="29">
        <v>0</v>
      </c>
      <c r="F528" s="29"/>
      <c r="G528" s="29"/>
      <c r="H528" s="29"/>
      <c r="I528" s="97"/>
      <c r="Q528" t="s">
        <v>86</v>
      </c>
    </row>
    <row r="529" spans="1:25" hidden="1" x14ac:dyDescent="0.3">
      <c r="A529" s="97">
        <v>0</v>
      </c>
      <c r="B529" s="97"/>
      <c r="C529" s="97"/>
      <c r="D529" s="97"/>
      <c r="E529" s="29">
        <v>0</v>
      </c>
      <c r="F529" s="29"/>
      <c r="G529" s="29"/>
      <c r="H529" s="29"/>
      <c r="I529" s="98"/>
      <c r="Q529" t="s">
        <v>108</v>
      </c>
      <c r="R529">
        <v>39204116</v>
      </c>
      <c r="S529">
        <v>0</v>
      </c>
      <c r="T529">
        <v>31.3</v>
      </c>
    </row>
    <row r="530" spans="1:25" hidden="1" x14ac:dyDescent="0.3">
      <c r="A530" s="97">
        <v>0</v>
      </c>
      <c r="B530" s="97"/>
      <c r="C530" s="97"/>
      <c r="D530" s="97"/>
      <c r="E530" s="29">
        <v>0</v>
      </c>
      <c r="F530" s="29"/>
      <c r="G530" s="29"/>
      <c r="H530" s="29"/>
      <c r="I530" s="98"/>
      <c r="Y530">
        <v>1.55</v>
      </c>
    </row>
    <row r="531" spans="1:25" hidden="1" x14ac:dyDescent="0.3">
      <c r="A531" s="97">
        <v>0</v>
      </c>
      <c r="B531" s="97"/>
      <c r="C531" s="97"/>
      <c r="D531" s="97"/>
      <c r="E531" s="29">
        <v>0</v>
      </c>
      <c r="F531" s="29"/>
      <c r="G531" s="29"/>
      <c r="H531" s="29"/>
      <c r="I531" s="98" t="s">
        <v>13</v>
      </c>
      <c r="Q531" t="s">
        <v>111</v>
      </c>
      <c r="Y531">
        <v>0.87</v>
      </c>
    </row>
    <row r="532" spans="1:25" hidden="1" x14ac:dyDescent="0.3">
      <c r="A532" s="97">
        <v>0</v>
      </c>
      <c r="B532" s="97"/>
      <c r="C532" s="97"/>
      <c r="D532" s="97"/>
      <c r="E532" s="29">
        <v>0</v>
      </c>
      <c r="F532" s="29"/>
      <c r="G532" s="29"/>
      <c r="H532" s="29"/>
      <c r="I532" s="98"/>
      <c r="Q532" t="s">
        <v>103</v>
      </c>
      <c r="R532">
        <v>62410972</v>
      </c>
      <c r="S532">
        <v>0</v>
      </c>
      <c r="Y532">
        <v>1.3</v>
      </c>
    </row>
    <row r="533" spans="1:25" hidden="1" x14ac:dyDescent="0.3">
      <c r="A533" s="97">
        <v>0</v>
      </c>
      <c r="B533" s="97"/>
      <c r="C533" s="97"/>
      <c r="D533" s="97"/>
      <c r="E533" s="29"/>
      <c r="F533" s="29"/>
      <c r="G533" s="29"/>
      <c r="H533" s="29"/>
      <c r="I533" s="98"/>
    </row>
    <row r="534" spans="1:25" hidden="1" x14ac:dyDescent="0.3">
      <c r="A534" s="97">
        <v>0</v>
      </c>
      <c r="B534" s="97"/>
      <c r="C534" s="97"/>
      <c r="D534" s="97"/>
      <c r="E534" s="29">
        <v>0</v>
      </c>
      <c r="F534" s="29"/>
      <c r="G534" s="29"/>
      <c r="H534" s="29"/>
      <c r="I534" s="98"/>
    </row>
    <row r="535" spans="1:25" hidden="1" x14ac:dyDescent="0.3">
      <c r="C535">
        <v>921</v>
      </c>
      <c r="D535" s="137" t="s">
        <v>1247</v>
      </c>
      <c r="E535" s="3">
        <f>0.4-0.4</f>
        <v>0</v>
      </c>
    </row>
    <row r="536" spans="1:25" x14ac:dyDescent="0.3">
      <c r="C536">
        <v>922</v>
      </c>
      <c r="D536" s="137" t="s">
        <v>1248</v>
      </c>
      <c r="E536" s="3">
        <v>0.56499999999999995</v>
      </c>
      <c r="G536" s="60" t="s">
        <v>812</v>
      </c>
    </row>
    <row r="537" spans="1:25" hidden="1" x14ac:dyDescent="0.3">
      <c r="C537">
        <v>923</v>
      </c>
      <c r="D537" s="142" t="s">
        <v>1254</v>
      </c>
      <c r="E537" s="3">
        <f>1.1+3-4.1</f>
        <v>0</v>
      </c>
    </row>
    <row r="538" spans="1:25" hidden="1" x14ac:dyDescent="0.3">
      <c r="C538">
        <v>925</v>
      </c>
      <c r="D538" s="150" t="s">
        <v>1255</v>
      </c>
      <c r="E538" s="3">
        <f>1-1</f>
        <v>0</v>
      </c>
    </row>
    <row r="539" spans="1:25" x14ac:dyDescent="0.3">
      <c r="C539">
        <v>926</v>
      </c>
      <c r="D539" s="142" t="s">
        <v>1256</v>
      </c>
      <c r="E539" s="3">
        <v>0.8</v>
      </c>
    </row>
    <row r="540" spans="1:25" x14ac:dyDescent="0.3">
      <c r="C540">
        <v>927</v>
      </c>
      <c r="D540" s="143" t="s">
        <v>1257</v>
      </c>
      <c r="E540" s="3">
        <f>60+40+50+20</f>
        <v>170</v>
      </c>
    </row>
    <row r="541" spans="1:25" hidden="1" x14ac:dyDescent="0.3">
      <c r="C541" s="143">
        <v>928</v>
      </c>
      <c r="D541" s="150" t="s">
        <v>1258</v>
      </c>
      <c r="E541" s="3">
        <f>0.84-0.84</f>
        <v>0</v>
      </c>
    </row>
    <row r="542" spans="1:25" hidden="1" x14ac:dyDescent="0.3">
      <c r="C542" s="143">
        <v>930</v>
      </c>
      <c r="D542" s="165" t="s">
        <v>1259</v>
      </c>
      <c r="E542" s="3">
        <f>0.9-0.9</f>
        <v>0</v>
      </c>
    </row>
    <row r="543" spans="1:25" hidden="1" x14ac:dyDescent="0.3">
      <c r="C543" s="143">
        <v>931</v>
      </c>
      <c r="D543" s="143" t="s">
        <v>1260</v>
      </c>
      <c r="E543" s="3">
        <f>0.707-0.707</f>
        <v>0</v>
      </c>
    </row>
    <row r="544" spans="1:25" hidden="1" x14ac:dyDescent="0.3">
      <c r="C544" s="143">
        <v>932</v>
      </c>
      <c r="D544" s="143" t="s">
        <v>1261</v>
      </c>
      <c r="E544" s="3">
        <f>1.3-1.3</f>
        <v>0</v>
      </c>
    </row>
    <row r="545" spans="3:9" hidden="1" x14ac:dyDescent="0.3">
      <c r="C545" s="144">
        <v>933</v>
      </c>
      <c r="D545" s="144" t="s">
        <v>1262</v>
      </c>
      <c r="E545" s="3">
        <f>0.6-0.6</f>
        <v>0</v>
      </c>
    </row>
    <row r="546" spans="3:9" x14ac:dyDescent="0.3">
      <c r="C546" s="144">
        <v>935</v>
      </c>
      <c r="D546" s="144" t="s">
        <v>1263</v>
      </c>
      <c r="E546" s="3">
        <v>24</v>
      </c>
      <c r="H546" s="148" t="s">
        <v>1268</v>
      </c>
    </row>
    <row r="547" spans="3:9" hidden="1" x14ac:dyDescent="0.3">
      <c r="C547" s="144">
        <v>936</v>
      </c>
      <c r="D547" s="146" t="s">
        <v>1264</v>
      </c>
      <c r="E547" s="3">
        <f>15-4-6-3-2</f>
        <v>0</v>
      </c>
    </row>
    <row r="548" spans="3:9" x14ac:dyDescent="0.3">
      <c r="C548" s="146">
        <v>937</v>
      </c>
      <c r="D548" s="146" t="s">
        <v>1265</v>
      </c>
      <c r="E548" s="3">
        <f>15*1.23</f>
        <v>18.45</v>
      </c>
      <c r="H548" s="3" t="s">
        <v>1266</v>
      </c>
    </row>
    <row r="549" spans="3:9" hidden="1" x14ac:dyDescent="0.3">
      <c r="C549" s="147">
        <v>938</v>
      </c>
      <c r="D549" s="147" t="s">
        <v>1267</v>
      </c>
      <c r="E549" s="3">
        <f>0.8-0.8</f>
        <v>0</v>
      </c>
    </row>
    <row r="550" spans="3:9" x14ac:dyDescent="0.3">
      <c r="C550" s="149">
        <v>939</v>
      </c>
      <c r="D550" s="149" t="s">
        <v>1269</v>
      </c>
      <c r="E550" s="3">
        <f>8.87*1.3</f>
        <v>11.530999999999999</v>
      </c>
      <c r="H550" s="148" t="s">
        <v>1270</v>
      </c>
    </row>
    <row r="551" spans="3:9" x14ac:dyDescent="0.3">
      <c r="C551" s="150">
        <v>940</v>
      </c>
      <c r="D551" s="150" t="s">
        <v>1271</v>
      </c>
      <c r="E551" s="3">
        <f>3.25*1.3</f>
        <v>4.2250000000000005</v>
      </c>
      <c r="H551" s="151" t="s">
        <v>1272</v>
      </c>
    </row>
    <row r="552" spans="3:9" x14ac:dyDescent="0.3">
      <c r="C552" s="152">
        <v>941</v>
      </c>
      <c r="D552" s="152" t="s">
        <v>1273</v>
      </c>
      <c r="E552" s="3">
        <f>13*1.23-2*1.23-2*1.21</f>
        <v>11.110000000000001</v>
      </c>
      <c r="H552" s="170" t="s">
        <v>1301</v>
      </c>
    </row>
    <row r="553" spans="3:9" x14ac:dyDescent="0.3">
      <c r="C553" s="154">
        <v>942</v>
      </c>
      <c r="D553" s="154" t="s">
        <v>1274</v>
      </c>
      <c r="E553" s="3">
        <f>11-2-2.3-2.2-2.25</f>
        <v>2.25</v>
      </c>
      <c r="H553" s="155" t="s">
        <v>1275</v>
      </c>
      <c r="I553" s="1" t="s">
        <v>1276</v>
      </c>
    </row>
    <row r="554" spans="3:9" x14ac:dyDescent="0.3">
      <c r="C554" s="156">
        <v>943</v>
      </c>
      <c r="D554" s="156" t="s">
        <v>1277</v>
      </c>
      <c r="E554" s="3">
        <f>12.5*1.22-3</f>
        <v>12.25</v>
      </c>
      <c r="H554" s="157" t="s">
        <v>1278</v>
      </c>
    </row>
    <row r="555" spans="3:9" x14ac:dyDescent="0.3">
      <c r="C555" s="156">
        <v>944</v>
      </c>
      <c r="D555" s="156" t="s">
        <v>1279</v>
      </c>
      <c r="E555" s="3">
        <f>13*1.24</f>
        <v>16.12</v>
      </c>
      <c r="H555" s="157" t="s">
        <v>1281</v>
      </c>
    </row>
    <row r="556" spans="3:9" x14ac:dyDescent="0.3">
      <c r="C556" s="159">
        <v>945</v>
      </c>
      <c r="D556" s="159" t="s">
        <v>1282</v>
      </c>
      <c r="E556" s="3">
        <f>13.3*1.22-1*1.22-2*1.21</f>
        <v>12.585999999999999</v>
      </c>
    </row>
    <row r="557" spans="3:9" x14ac:dyDescent="0.3">
      <c r="C557" s="160">
        <v>946</v>
      </c>
      <c r="D557" s="160" t="s">
        <v>1283</v>
      </c>
      <c r="E557" s="3">
        <f>44.7-44.7</f>
        <v>0</v>
      </c>
    </row>
    <row r="558" spans="3:9" x14ac:dyDescent="0.3">
      <c r="C558" s="161">
        <v>947</v>
      </c>
      <c r="D558" s="161" t="s">
        <v>1284</v>
      </c>
      <c r="E558" s="3">
        <f>17*9-45.9-107.1</f>
        <v>0</v>
      </c>
    </row>
    <row r="559" spans="3:9" x14ac:dyDescent="0.3">
      <c r="C559" s="161">
        <v>948</v>
      </c>
      <c r="D559" s="161" t="s">
        <v>1285</v>
      </c>
      <c r="E559" s="3">
        <f>15+2.6</f>
        <v>17.600000000000001</v>
      </c>
    </row>
    <row r="560" spans="3:9" x14ac:dyDescent="0.3">
      <c r="C560" s="161">
        <v>949</v>
      </c>
      <c r="D560" s="161" t="s">
        <v>1286</v>
      </c>
      <c r="E560" s="3">
        <v>15</v>
      </c>
    </row>
    <row r="561" spans="2:10" x14ac:dyDescent="0.3">
      <c r="C561" s="161">
        <v>951</v>
      </c>
      <c r="D561" s="161" t="s">
        <v>1287</v>
      </c>
      <c r="E561" s="3">
        <f>4-4</f>
        <v>0</v>
      </c>
    </row>
    <row r="562" spans="2:10" x14ac:dyDescent="0.3">
      <c r="C562" s="161">
        <v>952</v>
      </c>
      <c r="D562" s="161" t="s">
        <v>1288</v>
      </c>
      <c r="E562" s="3">
        <f>8-6-2+2</f>
        <v>2</v>
      </c>
    </row>
    <row r="563" spans="2:10" x14ac:dyDescent="0.3">
      <c r="C563" s="162">
        <v>953</v>
      </c>
      <c r="D563" s="162" t="s">
        <v>1289</v>
      </c>
      <c r="E563" s="3">
        <f>27-20</f>
        <v>7</v>
      </c>
      <c r="H563" s="163" t="s">
        <v>1290</v>
      </c>
    </row>
    <row r="564" spans="2:10" x14ac:dyDescent="0.3">
      <c r="C564" s="164">
        <v>954</v>
      </c>
      <c r="D564" s="164" t="s">
        <v>1291</v>
      </c>
      <c r="E564" s="3">
        <f>15-5</f>
        <v>10</v>
      </c>
      <c r="H564" s="3" t="s">
        <v>1292</v>
      </c>
    </row>
    <row r="565" spans="2:10" x14ac:dyDescent="0.3">
      <c r="C565" s="165">
        <v>955</v>
      </c>
      <c r="D565" s="165" t="s">
        <v>1293</v>
      </c>
      <c r="E565" s="3">
        <f>7-7</f>
        <v>0</v>
      </c>
    </row>
    <row r="566" spans="2:10" x14ac:dyDescent="0.3">
      <c r="B566" t="s">
        <v>1296</v>
      </c>
      <c r="C566" s="166">
        <v>956</v>
      </c>
      <c r="D566" s="166" t="s">
        <v>1294</v>
      </c>
      <c r="E566" s="3">
        <v>24</v>
      </c>
      <c r="H566" s="3" t="s">
        <v>1295</v>
      </c>
      <c r="I566" s="1" t="s">
        <v>1297</v>
      </c>
    </row>
    <row r="567" spans="2:10" x14ac:dyDescent="0.3">
      <c r="C567" s="167">
        <v>957</v>
      </c>
      <c r="D567" s="167" t="s">
        <v>1298</v>
      </c>
      <c r="E567" s="3">
        <f>10+20</f>
        <v>30</v>
      </c>
    </row>
    <row r="568" spans="2:10" x14ac:dyDescent="0.3">
      <c r="C568" s="167">
        <v>958</v>
      </c>
      <c r="D568" s="167" t="s">
        <v>1299</v>
      </c>
      <c r="E568" s="3">
        <f>4.5-1</f>
        <v>3.5</v>
      </c>
    </row>
    <row r="569" spans="2:10" x14ac:dyDescent="0.3">
      <c r="C569" s="168">
        <v>959</v>
      </c>
      <c r="D569" s="171" t="s">
        <v>1302</v>
      </c>
      <c r="E569" s="3">
        <v>5</v>
      </c>
    </row>
    <row r="572" spans="2:10" x14ac:dyDescent="0.3">
      <c r="G572" s="3">
        <v>715</v>
      </c>
      <c r="H572" s="3">
        <v>33</v>
      </c>
      <c r="I572" s="1">
        <v>8</v>
      </c>
      <c r="J572">
        <f>+G572*H572*I572</f>
        <v>188760</v>
      </c>
    </row>
    <row r="573" spans="2:10" x14ac:dyDescent="0.3">
      <c r="G573" s="3">
        <v>725</v>
      </c>
      <c r="H573" s="3">
        <v>33</v>
      </c>
      <c r="I573" s="1">
        <v>13</v>
      </c>
      <c r="J573">
        <f>+G573*H573*I573</f>
        <v>311025</v>
      </c>
    </row>
    <row r="575" spans="2:10" x14ac:dyDescent="0.3">
      <c r="J575" s="10">
        <f>SUBTOTAL(9,J572:J574)</f>
        <v>499785</v>
      </c>
    </row>
    <row r="578" spans="5:10" x14ac:dyDescent="0.3">
      <c r="J578">
        <f>+J575*0.147</f>
        <v>73468.39499999999</v>
      </c>
    </row>
    <row r="579" spans="5:10" x14ac:dyDescent="0.3">
      <c r="J579">
        <v>12240</v>
      </c>
    </row>
    <row r="580" spans="5:10" x14ac:dyDescent="0.3">
      <c r="J580" s="10">
        <f>+J578*J579</f>
        <v>899253154.79999983</v>
      </c>
    </row>
    <row r="582" spans="5:10" x14ac:dyDescent="0.3">
      <c r="E582" s="3">
        <v>40</v>
      </c>
    </row>
    <row r="583" spans="5:10" x14ac:dyDescent="0.3">
      <c r="E583" s="3">
        <v>20</v>
      </c>
    </row>
    <row r="584" spans="5:10" x14ac:dyDescent="0.3">
      <c r="E584" s="3">
        <v>10</v>
      </c>
    </row>
    <row r="585" spans="5:10" x14ac:dyDescent="0.3">
      <c r="E585" s="3">
        <v>40</v>
      </c>
    </row>
    <row r="586" spans="5:10" x14ac:dyDescent="0.3">
      <c r="E586" s="3">
        <v>33</v>
      </c>
    </row>
    <row r="587" spans="5:10" x14ac:dyDescent="0.3">
      <c r="E587" s="3">
        <v>20</v>
      </c>
    </row>
    <row r="588" spans="5:10" x14ac:dyDescent="0.3">
      <c r="E588" s="3">
        <v>50</v>
      </c>
    </row>
    <row r="589" spans="5:10" x14ac:dyDescent="0.3">
      <c r="E589" s="3">
        <v>30</v>
      </c>
    </row>
    <row r="590" spans="5:10" x14ac:dyDescent="0.3">
      <c r="E590" s="3">
        <v>50</v>
      </c>
    </row>
    <row r="591" spans="5:10" x14ac:dyDescent="0.3">
      <c r="E591" s="3">
        <v>50</v>
      </c>
    </row>
    <row r="592" spans="5:10" x14ac:dyDescent="0.3">
      <c r="E592" s="3">
        <v>48</v>
      </c>
    </row>
    <row r="594" spans="5:5" x14ac:dyDescent="0.3">
      <c r="E594" s="3">
        <v>32</v>
      </c>
    </row>
    <row r="595" spans="5:5" x14ac:dyDescent="0.3">
      <c r="E595" s="3">
        <v>30</v>
      </c>
    </row>
    <row r="596" spans="5:5" x14ac:dyDescent="0.3">
      <c r="E596" s="3">
        <v>50</v>
      </c>
    </row>
    <row r="597" spans="5:5" x14ac:dyDescent="0.3">
      <c r="E597" s="3">
        <v>30</v>
      </c>
    </row>
    <row r="598" spans="5:5" x14ac:dyDescent="0.3">
      <c r="E598" s="3">
        <v>33</v>
      </c>
    </row>
    <row r="599" spans="5:5" x14ac:dyDescent="0.3">
      <c r="E599" s="3">
        <v>40</v>
      </c>
    </row>
    <row r="600" spans="5:5" x14ac:dyDescent="0.3">
      <c r="E600" s="3">
        <v>50</v>
      </c>
    </row>
    <row r="601" spans="5:5" x14ac:dyDescent="0.3">
      <c r="E601" s="3">
        <v>50</v>
      </c>
    </row>
    <row r="602" spans="5:5" x14ac:dyDescent="0.3">
      <c r="E602" s="3">
        <v>20</v>
      </c>
    </row>
    <row r="603" spans="5:5" x14ac:dyDescent="0.3">
      <c r="E603" s="3">
        <v>15</v>
      </c>
    </row>
    <row r="604" spans="5:5" x14ac:dyDescent="0.3">
      <c r="E604" s="3">
        <v>40</v>
      </c>
    </row>
    <row r="605" spans="5:5" x14ac:dyDescent="0.3">
      <c r="E605" s="3">
        <v>40</v>
      </c>
    </row>
    <row r="606" spans="5:5" x14ac:dyDescent="0.3">
      <c r="E606" s="3">
        <v>40</v>
      </c>
    </row>
    <row r="607" spans="5:5" x14ac:dyDescent="0.3">
      <c r="E607" s="3">
        <v>20</v>
      </c>
    </row>
    <row r="608" spans="5:5" x14ac:dyDescent="0.3">
      <c r="E608" s="3">
        <v>50</v>
      </c>
    </row>
    <row r="609" spans="5:5" x14ac:dyDescent="0.3">
      <c r="E609" s="3">
        <v>33</v>
      </c>
    </row>
    <row r="610" spans="5:5" x14ac:dyDescent="0.3">
      <c r="E610" s="3">
        <v>40</v>
      </c>
    </row>
    <row r="611" spans="5:5" x14ac:dyDescent="0.3">
      <c r="E611" s="3">
        <v>50</v>
      </c>
    </row>
    <row r="612" spans="5:5" x14ac:dyDescent="0.3">
      <c r="E612" s="3">
        <v>30</v>
      </c>
    </row>
    <row r="613" spans="5:5" x14ac:dyDescent="0.3">
      <c r="E613" s="3">
        <v>26</v>
      </c>
    </row>
    <row r="614" spans="5:5" x14ac:dyDescent="0.3">
      <c r="E614" s="3">
        <v>50</v>
      </c>
    </row>
    <row r="615" spans="5:5" x14ac:dyDescent="0.3">
      <c r="E615" s="3">
        <v>44</v>
      </c>
    </row>
    <row r="616" spans="5:5" x14ac:dyDescent="0.3">
      <c r="E616" s="3">
        <v>33</v>
      </c>
    </row>
    <row r="617" spans="5:5" x14ac:dyDescent="0.3">
      <c r="E617" s="3">
        <v>50</v>
      </c>
    </row>
    <row r="619" spans="5:5" x14ac:dyDescent="0.3">
      <c r="E619" s="3">
        <v>30</v>
      </c>
    </row>
    <row r="620" spans="5:5" x14ac:dyDescent="0.3">
      <c r="E620" s="3">
        <v>40</v>
      </c>
    </row>
  </sheetData>
  <autoFilter ref="A2:Y556">
    <filterColumn colId="4">
      <filters>
        <filter val="0,1"/>
        <filter val="0,2"/>
        <filter val="0,25"/>
        <filter val="0,350"/>
        <filter val="0,416"/>
        <filter val="0,5"/>
        <filter val="0,565"/>
        <filter val="0,6"/>
        <filter val="0,65"/>
        <filter val="0,7"/>
        <filter val="0,716"/>
        <filter val="0,74"/>
        <filter val="0,75"/>
        <filter val="0,8"/>
        <filter val="0,849"/>
        <filter val="0,9"/>
        <filter val="-0,9"/>
        <filter val="1"/>
        <filter val="1,052"/>
        <filter val="1,1"/>
        <filter val="1,25"/>
        <filter val="1,27"/>
        <filter val="1,3"/>
        <filter val="1,38"/>
        <filter val="1,41"/>
        <filter val="1,45"/>
        <filter val="1,5"/>
        <filter val="1,655"/>
        <filter val="1,8"/>
        <filter val="10"/>
        <filter val="-10"/>
        <filter val="105,5"/>
        <filter val="11"/>
        <filter val="11,11"/>
        <filter val="11,31"/>
        <filter val="11,531"/>
        <filter val="11,635"/>
        <filter val="12,08"/>
        <filter val="12,25"/>
        <filter val="12,586"/>
        <filter val="-124,405"/>
        <filter val="129,6"/>
        <filter val="13"/>
        <filter val="13,86"/>
        <filter val="133,36"/>
        <filter val="14"/>
        <filter val="14,5"/>
        <filter val="15"/>
        <filter val="15,5"/>
        <filter val="15,6"/>
        <filter val="16"/>
        <filter val="16,12"/>
        <filter val="16,4"/>
        <filter val="16,692"/>
        <filter val="17,5"/>
        <filter val="170"/>
        <filter val="18,22"/>
        <filter val="18,45"/>
        <filter val="18,77"/>
        <filter val="2"/>
        <filter val="2,2"/>
        <filter val="2,3"/>
        <filter val="2,35"/>
        <filter val="2,485"/>
        <filter val="2,5"/>
        <filter val="2,8"/>
        <filter val="202,154"/>
        <filter val="-202,25"/>
        <filter val="21,274"/>
        <filter val="23,108"/>
        <filter val="23,75"/>
        <filter val="24"/>
        <filter val="25,7"/>
        <filter val="27"/>
        <filter val="27,94"/>
        <filter val="29"/>
        <filter val="3"/>
        <filter val="3,018"/>
        <filter val="3,05"/>
        <filter val="3,07"/>
        <filter val="3,1"/>
        <filter val="3,12"/>
        <filter val="3,23"/>
        <filter val="3,3"/>
        <filter val="3,5"/>
        <filter val="3,6"/>
        <filter val="3,76"/>
        <filter val="3,8"/>
        <filter val="3,9"/>
        <filter val="32,965"/>
        <filter val="38,32"/>
        <filter val="4"/>
        <filter val="4,225"/>
        <filter val="4,5"/>
        <filter val="4,54"/>
        <filter val="4,68"/>
        <filter val="4,7"/>
        <filter val="4,8"/>
        <filter val="4,9"/>
        <filter val="46,57"/>
        <filter val="5"/>
        <filter val="5,1"/>
        <filter val="5,16"/>
        <filter val="5,2"/>
        <filter val="5,27"/>
        <filter val="5,42"/>
        <filter val="5,5"/>
        <filter val="5,65"/>
        <filter val="5,7"/>
        <filter val="5,85"/>
        <filter val="52,773"/>
        <filter val="53,965"/>
        <filter val="6"/>
        <filter val="6,3"/>
        <filter val="6,5"/>
        <filter val="6,86"/>
        <filter val="6,985"/>
        <filter val="61,1"/>
        <filter val="62,64"/>
        <filter val="7"/>
        <filter val="70"/>
        <filter val="71,596"/>
        <filter val="8,1"/>
        <filter val="8,5"/>
        <filter val="-80"/>
        <filter val="9"/>
        <filter val="9,3"/>
        <filter val="9,355"/>
        <filter val="9,5"/>
        <filter val="9,665"/>
      </filters>
    </filterColumn>
  </autoFilter>
  <pageMargins left="0.70866141732283472" right="0.70866141732283472" top="0.74803149606299213" bottom="0.74803149606299213" header="0.31496062992125984" footer="0.31496062992125984"/>
  <pageSetup paperSize="9" scale="34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373"/>
  <sheetViews>
    <sheetView topLeftCell="A46" workbookViewId="0">
      <selection activeCell="F60" sqref="F60"/>
    </sheetView>
  </sheetViews>
  <sheetFormatPr defaultColWidth="9" defaultRowHeight="14.4" x14ac:dyDescent="0.3"/>
  <cols>
    <col min="1" max="1" width="10.88671875" customWidth="1"/>
    <col min="3" max="3" width="51.33203125" customWidth="1"/>
    <col min="4" max="4" width="12.6640625" style="3" customWidth="1"/>
    <col min="6" max="6" width="10" customWidth="1"/>
    <col min="9" max="9" width="17.6640625" customWidth="1"/>
    <col min="13" max="13" width="23.109375" customWidth="1"/>
    <col min="14" max="14" width="16" customWidth="1"/>
  </cols>
  <sheetData>
    <row r="2" spans="2:9" x14ac:dyDescent="0.3">
      <c r="D2" s="3" t="s">
        <v>0</v>
      </c>
      <c r="E2" t="s">
        <v>1</v>
      </c>
    </row>
    <row r="3" spans="2:9" x14ac:dyDescent="0.3">
      <c r="B3">
        <v>1</v>
      </c>
      <c r="C3" t="s">
        <v>2</v>
      </c>
      <c r="D3" s="3">
        <f>5.5+1.8+0.2+7.1+1</f>
        <v>15.6</v>
      </c>
      <c r="E3">
        <v>0</v>
      </c>
    </row>
    <row r="4" spans="2:9" x14ac:dyDescent="0.3">
      <c r="B4">
        <v>2</v>
      </c>
      <c r="C4" t="s">
        <v>3</v>
      </c>
      <c r="D4" s="3">
        <f>0.2+0.4+0.5+1+2+1+0.1+1.2+0.55+0.2+0.1+0.105+2</f>
        <v>9.3550000000000004</v>
      </c>
      <c r="E4">
        <v>0</v>
      </c>
    </row>
    <row r="5" spans="2:9" x14ac:dyDescent="0.3">
      <c r="B5">
        <v>4</v>
      </c>
      <c r="C5" t="s">
        <v>4</v>
      </c>
      <c r="D5" s="3">
        <f>4.5+10+0.5+1.25+1.9+0.2+10+1.23-10+7.9+6+0.6+1.5+4+13-1.265+1.2+5+1.2+1.6-13-1.2-1.6+4.5+3</f>
        <v>52.015000000000001</v>
      </c>
      <c r="E5">
        <v>0</v>
      </c>
    </row>
    <row r="6" spans="2:9" x14ac:dyDescent="0.3">
      <c r="B6">
        <v>5</v>
      </c>
      <c r="C6" t="s">
        <v>5</v>
      </c>
      <c r="D6" s="3">
        <f>62.1-1</f>
        <v>61.1</v>
      </c>
      <c r="E6">
        <v>1</v>
      </c>
    </row>
    <row r="7" spans="2:9" x14ac:dyDescent="0.3">
      <c r="B7">
        <v>6</v>
      </c>
      <c r="C7" t="s">
        <v>7</v>
      </c>
      <c r="D7" s="3">
        <f>2.2+17.5-5-5-5</f>
        <v>4.7</v>
      </c>
      <c r="E7">
        <v>1</v>
      </c>
    </row>
    <row r="8" spans="2:9" x14ac:dyDescent="0.3">
      <c r="B8">
        <v>9</v>
      </c>
      <c r="C8" t="s">
        <v>8</v>
      </c>
      <c r="D8" s="4">
        <v>4.5</v>
      </c>
      <c r="E8">
        <v>0</v>
      </c>
    </row>
    <row r="9" spans="2:9" x14ac:dyDescent="0.3">
      <c r="B9">
        <v>12</v>
      </c>
      <c r="C9" t="s">
        <v>9</v>
      </c>
      <c r="D9" s="3">
        <v>5</v>
      </c>
      <c r="E9">
        <v>1</v>
      </c>
    </row>
    <row r="10" spans="2:9" x14ac:dyDescent="0.3">
      <c r="B10">
        <v>14</v>
      </c>
      <c r="C10" t="s">
        <v>10</v>
      </c>
      <c r="D10" s="3">
        <v>4</v>
      </c>
      <c r="E10">
        <v>0</v>
      </c>
      <c r="I10">
        <f>600*12000</f>
        <v>7200000</v>
      </c>
    </row>
    <row r="11" spans="2:9" x14ac:dyDescent="0.3">
      <c r="B11">
        <v>15</v>
      </c>
      <c r="C11" t="s">
        <v>11</v>
      </c>
      <c r="D11" s="3">
        <f>3+2</f>
        <v>5</v>
      </c>
      <c r="E11">
        <v>0</v>
      </c>
    </row>
    <row r="12" spans="2:9" x14ac:dyDescent="0.3">
      <c r="B12">
        <v>17</v>
      </c>
      <c r="C12" t="s">
        <v>12</v>
      </c>
      <c r="D12" s="3">
        <f>2.2</f>
        <v>2.2000000000000002</v>
      </c>
      <c r="E12">
        <v>0</v>
      </c>
      <c r="G12" t="s">
        <v>13</v>
      </c>
    </row>
    <row r="13" spans="2:9" x14ac:dyDescent="0.3">
      <c r="B13">
        <v>18</v>
      </c>
      <c r="C13" t="s">
        <v>14</v>
      </c>
      <c r="D13" s="3">
        <f>4+0.2+4+1.8+3.5+2.5+2.5+3.5+0.35+0.3+3.6+2+0.4+0.93+2.07+3+1+1+0.4+0.15+1.37+3+1+4</f>
        <v>46.57</v>
      </c>
      <c r="E13">
        <v>0</v>
      </c>
      <c r="H13" t="s">
        <v>16</v>
      </c>
    </row>
    <row r="14" spans="2:9" x14ac:dyDescent="0.3">
      <c r="B14">
        <v>19</v>
      </c>
      <c r="C14" t="s">
        <v>17</v>
      </c>
      <c r="D14" s="5">
        <f>1.2-1+2</f>
        <v>2.2000000000000002</v>
      </c>
      <c r="E14">
        <v>0</v>
      </c>
    </row>
    <row r="15" spans="2:9" x14ac:dyDescent="0.3">
      <c r="B15">
        <v>27</v>
      </c>
      <c r="C15" t="s">
        <v>18</v>
      </c>
      <c r="D15" s="3">
        <f>10+7-4-2-2</f>
        <v>9</v>
      </c>
      <c r="E15">
        <v>1</v>
      </c>
      <c r="I15">
        <v>80</v>
      </c>
    </row>
    <row r="16" spans="2:9" x14ac:dyDescent="0.3">
      <c r="B16">
        <v>29</v>
      </c>
      <c r="C16" t="s">
        <v>19</v>
      </c>
      <c r="D16" s="3">
        <f>5.2-3+18</f>
        <v>20.2</v>
      </c>
      <c r="E16">
        <v>0</v>
      </c>
      <c r="I16">
        <v>9.6999999999999993</v>
      </c>
    </row>
    <row r="17" spans="2:9" x14ac:dyDescent="0.3">
      <c r="B17">
        <v>39</v>
      </c>
      <c r="C17" t="s">
        <v>20</v>
      </c>
      <c r="D17" s="3">
        <f>6.2+5+6.8+0.9+4+0.3-1.14+3+10-13+10+1.3+1.5+1+4+2+3+3+1.5+1+2+0.5+1.2+15+0.306+3.635+4.5+2.6+2+1+0.1+0.4-28.741-5+5.2+2+3+1+3+1+1+3+11+1+1+1+1+18-8+1+1+1+1.4+0.3+1+1+0.3</f>
        <v>101.06</v>
      </c>
      <c r="E17">
        <v>0</v>
      </c>
    </row>
    <row r="18" spans="2:9" x14ac:dyDescent="0.3">
      <c r="B18">
        <v>47</v>
      </c>
      <c r="C18" t="s">
        <v>21</v>
      </c>
      <c r="D18" s="3">
        <f>0.3+1+3.23-4-1+1+0.2+2.5</f>
        <v>3.23</v>
      </c>
      <c r="E18">
        <v>0</v>
      </c>
    </row>
    <row r="19" spans="2:9" x14ac:dyDescent="0.3">
      <c r="B19">
        <v>60</v>
      </c>
      <c r="C19" t="s">
        <v>22</v>
      </c>
      <c r="D19" s="3">
        <f>20-10</f>
        <v>10</v>
      </c>
      <c r="E19">
        <v>1</v>
      </c>
      <c r="G19" t="s">
        <v>24</v>
      </c>
    </row>
    <row r="20" spans="2:9" x14ac:dyDescent="0.3">
      <c r="B20">
        <v>61</v>
      </c>
      <c r="C20" t="s">
        <v>25</v>
      </c>
      <c r="D20" s="3">
        <f>20-12-7</f>
        <v>1</v>
      </c>
      <c r="E20">
        <v>1</v>
      </c>
      <c r="G20" t="s">
        <v>27</v>
      </c>
    </row>
    <row r="21" spans="2:9" x14ac:dyDescent="0.3">
      <c r="B21">
        <v>64</v>
      </c>
      <c r="C21" t="s">
        <v>28</v>
      </c>
      <c r="D21" s="3">
        <f>6-2</f>
        <v>4</v>
      </c>
      <c r="E21">
        <v>1</v>
      </c>
      <c r="G21" t="s">
        <v>30</v>
      </c>
    </row>
    <row r="22" spans="2:9" x14ac:dyDescent="0.3">
      <c r="B22" s="6">
        <v>66</v>
      </c>
      <c r="C22" s="6" t="s">
        <v>31</v>
      </c>
      <c r="D22" s="3">
        <f>5+0.5+3.55+1.5+0.5+0.3*2+0.55+0.276+2.5-1+1.5+3+0.5+0.5+1+0.4+0.5+0.3+0.5+0.5+1.3+1.8+1.6+0.2+0.3+2.3+0.7+26.2+1.6+0.6+1.7+1.2+0.8+1.03+40-30.36+1.5-1.92+0.7+0.7+1+29+3-32+1+1.2+40-10</f>
        <v>107.82599999999999</v>
      </c>
      <c r="E22">
        <v>0</v>
      </c>
    </row>
    <row r="23" spans="2:9" x14ac:dyDescent="0.3">
      <c r="B23">
        <v>70</v>
      </c>
      <c r="C23" t="s">
        <v>32</v>
      </c>
      <c r="D23" s="7">
        <v>0.4</v>
      </c>
      <c r="E23">
        <v>0</v>
      </c>
    </row>
    <row r="24" spans="2:9" x14ac:dyDescent="0.3">
      <c r="B24">
        <v>100</v>
      </c>
      <c r="C24" t="s">
        <v>33</v>
      </c>
      <c r="D24" s="3">
        <f>17.5-5-2-2-2-2-1.5</f>
        <v>3</v>
      </c>
      <c r="E24">
        <v>1</v>
      </c>
    </row>
    <row r="25" spans="2:9" x14ac:dyDescent="0.3">
      <c r="B25">
        <v>104</v>
      </c>
      <c r="C25" t="s">
        <v>35</v>
      </c>
      <c r="D25" s="3">
        <v>2</v>
      </c>
      <c r="E25">
        <v>1</v>
      </c>
      <c r="F25" t="s">
        <v>38</v>
      </c>
    </row>
    <row r="26" spans="2:9" x14ac:dyDescent="0.3">
      <c r="B26">
        <v>105</v>
      </c>
      <c r="C26" t="s">
        <v>39</v>
      </c>
      <c r="D26" s="3">
        <f>0.96-0.5-0.3</f>
        <v>0.16</v>
      </c>
      <c r="E26">
        <v>1</v>
      </c>
      <c r="F26" t="s">
        <v>40</v>
      </c>
    </row>
    <row r="27" spans="2:9" x14ac:dyDescent="0.3">
      <c r="B27">
        <v>110</v>
      </c>
      <c r="C27" t="s">
        <v>41</v>
      </c>
      <c r="D27" s="3">
        <f>35+17.5+29.5-20+17.5+29.5+17.5+17.5-20-24-10+17.5+17.5+59.78-30.36+18.7*2-60.72-77.19+17.35*2+10-30.7-2.91+18.2*2+10.05+18.2*2+5-76.764-26-20-10+8.5+5+21.5-25+24.3+29.8+22.7+29.5-30-36.3+28*2+2+6-8-66*0.94-20.9-10</f>
        <v>33.146000000000001</v>
      </c>
      <c r="E27">
        <v>0</v>
      </c>
    </row>
    <row r="28" spans="2:9" x14ac:dyDescent="0.3">
      <c r="C28" t="s">
        <v>41</v>
      </c>
      <c r="D28" s="3">
        <f>+E28*12400/1000000+29-28.5-4.05-0.68+24.7+24.7-5+29.3+27.5+26.11*2-129*0.94-33*0.94-50-20-10+15.2+17.3-30.8-2.4-10-30.44-10-10-10-10</f>
        <v>-164.23</v>
      </c>
      <c r="E28">
        <v>0</v>
      </c>
    </row>
    <row r="29" spans="2:9" x14ac:dyDescent="0.3">
      <c r="B29">
        <v>111</v>
      </c>
      <c r="C29" t="s">
        <v>42</v>
      </c>
      <c r="D29" s="3">
        <f>8-1</f>
        <v>7</v>
      </c>
      <c r="E29">
        <v>0</v>
      </c>
      <c r="H29" t="s">
        <v>43</v>
      </c>
    </row>
    <row r="30" spans="2:9" x14ac:dyDescent="0.3">
      <c r="B30">
        <v>120</v>
      </c>
      <c r="C30" t="s">
        <v>44</v>
      </c>
      <c r="D30" s="3">
        <f>17.2*3-40+17.4*6-85+1.3*3+18.3*2-17.08+4*16.8+18.3*6-60+18.3*4-17*2+18.3*2-18.3-17-60+18.8*2+18.8*2-50+13.2-90+4-60-18.8+18.8*2-60</f>
        <v>3.1199999999999601</v>
      </c>
      <c r="E30">
        <v>0</v>
      </c>
    </row>
    <row r="31" spans="2:9" x14ac:dyDescent="0.3">
      <c r="C31" t="s">
        <v>44</v>
      </c>
      <c r="D31" s="3">
        <f>+E31*12400/1000000-50-49.9+23.5+24.76+18.034-60-28+18*5+18*2+18*3-20+32.5</f>
        <v>70.894000000000005</v>
      </c>
      <c r="E31">
        <v>0</v>
      </c>
      <c r="I31" t="s">
        <v>45</v>
      </c>
    </row>
    <row r="32" spans="2:9" x14ac:dyDescent="0.3">
      <c r="B32">
        <v>123</v>
      </c>
      <c r="C32" t="s">
        <v>663</v>
      </c>
      <c r="D32" s="3">
        <f>1.15+0.3+0.6-0.88-0.6+0.5+1.5+0.5</f>
        <v>3.07</v>
      </c>
      <c r="E32">
        <v>0</v>
      </c>
    </row>
    <row r="33" spans="2:6" x14ac:dyDescent="0.3">
      <c r="B33">
        <v>128</v>
      </c>
      <c r="C33" t="s">
        <v>48</v>
      </c>
      <c r="D33" s="7">
        <f>17.6-8.5-1.5-2.5</f>
        <v>5.0999999999999996</v>
      </c>
      <c r="E33">
        <v>0</v>
      </c>
    </row>
    <row r="34" spans="2:6" x14ac:dyDescent="0.3">
      <c r="B34">
        <v>131</v>
      </c>
      <c r="C34" t="s">
        <v>50</v>
      </c>
      <c r="D34" s="7">
        <f>18-4.8-1-2-10.2</f>
        <v>0</v>
      </c>
      <c r="E34">
        <v>0</v>
      </c>
      <c r="F34" t="s">
        <v>51</v>
      </c>
    </row>
    <row r="35" spans="2:6" x14ac:dyDescent="0.3">
      <c r="B35" s="7">
        <v>134</v>
      </c>
      <c r="C35" t="s">
        <v>52</v>
      </c>
      <c r="D35" s="3">
        <f>3+2+15+0.5+0.2+5</f>
        <v>25.7</v>
      </c>
      <c r="E35">
        <v>0</v>
      </c>
    </row>
    <row r="36" spans="2:6" x14ac:dyDescent="0.3">
      <c r="B36" s="7">
        <v>135</v>
      </c>
      <c r="C36" t="s">
        <v>53</v>
      </c>
      <c r="D36" s="3">
        <f>18-5-10-2</f>
        <v>1</v>
      </c>
      <c r="E36">
        <v>0</v>
      </c>
      <c r="F36" t="s">
        <v>55</v>
      </c>
    </row>
    <row r="37" spans="2:6" x14ac:dyDescent="0.3">
      <c r="B37" s="7">
        <v>142</v>
      </c>
      <c r="C37" t="s">
        <v>56</v>
      </c>
      <c r="D37" s="3">
        <v>10.5</v>
      </c>
      <c r="E37">
        <v>1</v>
      </c>
      <c r="F37" t="s">
        <v>58</v>
      </c>
    </row>
    <row r="38" spans="2:6" x14ac:dyDescent="0.3">
      <c r="B38">
        <v>148</v>
      </c>
      <c r="C38" t="s">
        <v>59</v>
      </c>
      <c r="D38" s="3">
        <f>2.8+2.5</f>
        <v>5.3</v>
      </c>
      <c r="E38">
        <v>0</v>
      </c>
      <c r="F38" t="s">
        <v>60</v>
      </c>
    </row>
    <row r="39" spans="2:6" x14ac:dyDescent="0.3">
      <c r="B39">
        <v>149</v>
      </c>
      <c r="C39" t="s">
        <v>61</v>
      </c>
      <c r="D39" s="3">
        <f>17.5-0.8</f>
        <v>16.7</v>
      </c>
      <c r="E39">
        <v>1</v>
      </c>
    </row>
    <row r="40" spans="2:6" x14ac:dyDescent="0.3">
      <c r="B40">
        <v>152</v>
      </c>
      <c r="C40" t="s">
        <v>63</v>
      </c>
      <c r="D40" s="3">
        <v>2</v>
      </c>
      <c r="E40">
        <v>0</v>
      </c>
    </row>
    <row r="41" spans="2:6" x14ac:dyDescent="0.3">
      <c r="B41">
        <v>153</v>
      </c>
      <c r="C41" t="s">
        <v>64</v>
      </c>
      <c r="D41" s="3">
        <f>17-5-7.41-1.32-1.265</f>
        <v>2.0049999999999999</v>
      </c>
      <c r="E41">
        <v>0</v>
      </c>
    </row>
    <row r="42" spans="2:6" x14ac:dyDescent="0.3">
      <c r="B42">
        <v>154</v>
      </c>
      <c r="C42" t="s">
        <v>65</v>
      </c>
      <c r="D42" s="3">
        <f>18-3.5-1-6-2-2</f>
        <v>3.5</v>
      </c>
      <c r="E42">
        <v>0</v>
      </c>
    </row>
    <row r="43" spans="2:6" x14ac:dyDescent="0.3">
      <c r="B43">
        <v>155</v>
      </c>
      <c r="C43" t="s">
        <v>66</v>
      </c>
      <c r="D43" s="3">
        <v>3</v>
      </c>
      <c r="E43">
        <v>1</v>
      </c>
    </row>
    <row r="44" spans="2:6" x14ac:dyDescent="0.3">
      <c r="B44">
        <v>159</v>
      </c>
      <c r="C44" t="s">
        <v>68</v>
      </c>
      <c r="D44" s="3">
        <f>-E44*12450/1000000</f>
        <v>0</v>
      </c>
      <c r="E44">
        <f>570-300+360-500+420+305+970-1000+340+360-800+500+350+360-1200-200-400-135</f>
        <v>0</v>
      </c>
    </row>
    <row r="45" spans="2:6" x14ac:dyDescent="0.3">
      <c r="B45">
        <v>162</v>
      </c>
      <c r="C45" t="s">
        <v>69</v>
      </c>
      <c r="D45" s="3">
        <v>0.45</v>
      </c>
      <c r="E45">
        <v>1</v>
      </c>
    </row>
    <row r="46" spans="2:6" x14ac:dyDescent="0.3">
      <c r="B46">
        <v>166</v>
      </c>
      <c r="C46" t="s">
        <v>71</v>
      </c>
      <c r="D46" s="3">
        <f>19.5-5-1.5-5-3</f>
        <v>5</v>
      </c>
      <c r="E46">
        <v>1</v>
      </c>
    </row>
    <row r="47" spans="2:6" x14ac:dyDescent="0.3">
      <c r="B47">
        <v>171</v>
      </c>
      <c r="C47" t="s">
        <v>664</v>
      </c>
      <c r="D47" s="3">
        <f>19-5-2-2-5.5-2-1.2</f>
        <v>1.3</v>
      </c>
      <c r="E47">
        <v>1</v>
      </c>
    </row>
    <row r="48" spans="2:6" x14ac:dyDescent="0.3">
      <c r="B48">
        <v>177</v>
      </c>
      <c r="C48" t="s">
        <v>75</v>
      </c>
      <c r="D48" s="3">
        <v>1</v>
      </c>
      <c r="E48">
        <v>0</v>
      </c>
    </row>
    <row r="49" spans="2:16" x14ac:dyDescent="0.3">
      <c r="B49" s="7">
        <v>180</v>
      </c>
      <c r="C49" t="s">
        <v>76</v>
      </c>
      <c r="D49" s="3">
        <f>0.5+1.043</f>
        <v>1.5429999999999999</v>
      </c>
      <c r="E49">
        <v>1</v>
      </c>
      <c r="F49" t="s">
        <v>77</v>
      </c>
    </row>
    <row r="50" spans="2:16" x14ac:dyDescent="0.3">
      <c r="B50">
        <v>184</v>
      </c>
      <c r="C50" t="s">
        <v>78</v>
      </c>
      <c r="D50" s="3">
        <f>-30+17.5*5+19*3+22.5+3.5+2-32*0.95-22.5-17.5*3-19-19</f>
        <v>-0.90000000000000602</v>
      </c>
      <c r="E50">
        <v>0</v>
      </c>
    </row>
    <row r="51" spans="2:16" x14ac:dyDescent="0.3">
      <c r="B51">
        <v>187</v>
      </c>
      <c r="C51" t="s">
        <v>79</v>
      </c>
      <c r="D51" s="7">
        <v>19.3</v>
      </c>
      <c r="E51">
        <v>0</v>
      </c>
    </row>
    <row r="52" spans="2:16" x14ac:dyDescent="0.3">
      <c r="B52">
        <v>188</v>
      </c>
      <c r="C52" s="3" t="s">
        <v>81</v>
      </c>
      <c r="D52" s="3">
        <f>19.5-10-4-2-3</f>
        <v>0.5</v>
      </c>
      <c r="E52">
        <v>1</v>
      </c>
    </row>
    <row r="53" spans="2:16" x14ac:dyDescent="0.3">
      <c r="B53">
        <v>190</v>
      </c>
      <c r="C53" t="s">
        <v>665</v>
      </c>
      <c r="D53" s="3">
        <f>1+1-0.5+0.2+0.32+0.5+0.5+0.2+1-0.25+0.5</f>
        <v>4.47</v>
      </c>
      <c r="E53">
        <v>0</v>
      </c>
    </row>
    <row r="54" spans="2:16" x14ac:dyDescent="0.3">
      <c r="B54">
        <v>192</v>
      </c>
      <c r="C54" t="s">
        <v>84</v>
      </c>
      <c r="D54" s="3">
        <f>30+17.5-29.5-14.9</f>
        <v>3.1</v>
      </c>
      <c r="E54">
        <v>0</v>
      </c>
    </row>
    <row r="55" spans="2:16" x14ac:dyDescent="0.3">
      <c r="D55" s="3">
        <f>+E55*12500/1000000-17+20+26.67-25+19+18.5*3-5+18.5+18.5+19.5-10+18.5+18.5+27.83+28+1+28.5+18.5*2-6.08-25-22.8-33+18.5-25-56+20+29.5+18.5+2*18.5+2*0.3+29.5-67-46+18.5+0.3-18.5+1.1-18.5+18.5+0.28+0.28+18.5+0.28+18.5+0.28-87+27*2</f>
        <v>159.24000000000004</v>
      </c>
      <c r="E55">
        <v>0</v>
      </c>
    </row>
    <row r="56" spans="2:16" x14ac:dyDescent="0.3">
      <c r="B56">
        <v>196</v>
      </c>
      <c r="C56" t="s">
        <v>85</v>
      </c>
      <c r="D56" s="3">
        <v>6.5</v>
      </c>
      <c r="E56">
        <v>0</v>
      </c>
    </row>
    <row r="58" spans="2:16" x14ac:dyDescent="0.3">
      <c r="M58" t="s">
        <v>86</v>
      </c>
    </row>
    <row r="59" spans="2:16" x14ac:dyDescent="0.3">
      <c r="B59">
        <v>205</v>
      </c>
      <c r="C59" t="s">
        <v>87</v>
      </c>
      <c r="D59" s="3">
        <f>1+5</f>
        <v>6</v>
      </c>
      <c r="E59">
        <v>0</v>
      </c>
      <c r="M59" s="6" t="s">
        <v>88</v>
      </c>
      <c r="N59" s="6">
        <v>98626136</v>
      </c>
      <c r="O59" s="6"/>
    </row>
    <row r="60" spans="2:16" x14ac:dyDescent="0.3">
      <c r="B60">
        <v>777</v>
      </c>
      <c r="C60" t="s">
        <v>89</v>
      </c>
      <c r="D60" s="3">
        <f>22.7-12+16.7+22.7+16.7+16.7+16.7+22.2-22.2-16.7*3-18.5*2+3.71-10+0.5</f>
        <v>7.3100000000000103</v>
      </c>
      <c r="E60">
        <v>0</v>
      </c>
      <c r="M60" s="6" t="s">
        <v>90</v>
      </c>
      <c r="N60" s="6">
        <v>47048239</v>
      </c>
      <c r="O60" s="6"/>
    </row>
    <row r="61" spans="2:16" x14ac:dyDescent="0.3">
      <c r="C61" t="s">
        <v>89</v>
      </c>
      <c r="D61" s="3">
        <f>+E61*1.24/100-15-25-20-32+7-40-4.5-20-20+17.4+15+17.4-27+13.5+18+13.5-32</f>
        <v>-133.69999999999999</v>
      </c>
      <c r="E61">
        <v>0</v>
      </c>
      <c r="G61" t="s">
        <v>91</v>
      </c>
      <c r="M61" s="6" t="s">
        <v>92</v>
      </c>
      <c r="N61" s="6">
        <v>57111036</v>
      </c>
      <c r="O61" s="6"/>
    </row>
    <row r="62" spans="2:16" x14ac:dyDescent="0.3">
      <c r="B62">
        <v>208</v>
      </c>
      <c r="C62" t="s">
        <v>93</v>
      </c>
      <c r="D62" s="3">
        <v>28</v>
      </c>
      <c r="E62">
        <v>0</v>
      </c>
      <c r="M62" s="6" t="s">
        <v>94</v>
      </c>
      <c r="N62" s="6">
        <v>96367894</v>
      </c>
      <c r="O62" s="6"/>
    </row>
    <row r="63" spans="2:16" x14ac:dyDescent="0.3">
      <c r="B63">
        <v>209</v>
      </c>
      <c r="C63" t="s">
        <v>666</v>
      </c>
      <c r="D63" s="3">
        <f>17.5-2-2.3-1.24</f>
        <v>11.96</v>
      </c>
      <c r="E63">
        <v>1</v>
      </c>
      <c r="M63" s="6" t="s">
        <v>96</v>
      </c>
      <c r="N63" s="6">
        <v>76309243</v>
      </c>
      <c r="O63" s="6"/>
    </row>
    <row r="64" spans="2:16" x14ac:dyDescent="0.3">
      <c r="B64">
        <v>212</v>
      </c>
      <c r="C64" t="s">
        <v>97</v>
      </c>
      <c r="D64" s="7">
        <f>1+1</f>
        <v>2</v>
      </c>
      <c r="E64">
        <v>0</v>
      </c>
      <c r="M64" t="s">
        <v>98</v>
      </c>
      <c r="N64" s="8">
        <v>29079072</v>
      </c>
      <c r="O64">
        <v>0</v>
      </c>
      <c r="P64">
        <v>13.2</v>
      </c>
    </row>
    <row r="65" spans="2:21" x14ac:dyDescent="0.3">
      <c r="B65">
        <v>41</v>
      </c>
      <c r="C65" t="s">
        <v>99</v>
      </c>
      <c r="D65" s="3">
        <f>5+55-14.5-10+1</f>
        <v>36.5</v>
      </c>
      <c r="E65">
        <v>0</v>
      </c>
      <c r="F65" t="s">
        <v>100</v>
      </c>
      <c r="M65" t="s">
        <v>101</v>
      </c>
      <c r="N65" s="8">
        <v>21983131</v>
      </c>
      <c r="O65">
        <v>0</v>
      </c>
      <c r="P65">
        <v>15.4</v>
      </c>
    </row>
    <row r="66" spans="2:21" x14ac:dyDescent="0.3">
      <c r="B66">
        <v>214</v>
      </c>
      <c r="C66" t="s">
        <v>102</v>
      </c>
      <c r="D66" s="7">
        <v>1</v>
      </c>
      <c r="E66">
        <v>0</v>
      </c>
      <c r="M66" t="s">
        <v>103</v>
      </c>
      <c r="N66">
        <v>93038579</v>
      </c>
      <c r="O66">
        <v>0</v>
      </c>
      <c r="P66">
        <v>193</v>
      </c>
    </row>
    <row r="67" spans="2:21" x14ac:dyDescent="0.3">
      <c r="B67">
        <v>216</v>
      </c>
      <c r="C67" t="s">
        <v>104</v>
      </c>
      <c r="D67" s="3">
        <f>18.4-17-1</f>
        <v>0.39999999999999902</v>
      </c>
      <c r="E67">
        <v>1</v>
      </c>
      <c r="M67" t="s">
        <v>105</v>
      </c>
      <c r="N67">
        <v>90078953</v>
      </c>
      <c r="O67">
        <v>0</v>
      </c>
      <c r="P67">
        <v>8.8000000000000007</v>
      </c>
    </row>
    <row r="68" spans="2:21" x14ac:dyDescent="0.3">
      <c r="B68">
        <v>219</v>
      </c>
      <c r="C68" t="s">
        <v>106</v>
      </c>
      <c r="D68" s="3">
        <f>4.5+2+3</f>
        <v>9.5</v>
      </c>
      <c r="E68">
        <v>0</v>
      </c>
      <c r="M68" t="s">
        <v>107</v>
      </c>
      <c r="N68" s="8">
        <v>94021622</v>
      </c>
      <c r="O68">
        <v>0</v>
      </c>
      <c r="P68">
        <v>9.8000000000000007</v>
      </c>
    </row>
    <row r="69" spans="2:21" x14ac:dyDescent="0.3">
      <c r="E69">
        <v>0</v>
      </c>
      <c r="M69" t="s">
        <v>108</v>
      </c>
      <c r="N69">
        <v>39204116</v>
      </c>
      <c r="O69">
        <v>0</v>
      </c>
      <c r="P69">
        <v>31.3</v>
      </c>
    </row>
    <row r="70" spans="2:21" x14ac:dyDescent="0.3">
      <c r="B70">
        <v>223</v>
      </c>
      <c r="C70" t="s">
        <v>109</v>
      </c>
      <c r="D70" s="3">
        <f>6.5+3.5-4.5-4.5</f>
        <v>1</v>
      </c>
      <c r="E70">
        <v>0</v>
      </c>
      <c r="M70" t="s">
        <v>110</v>
      </c>
      <c r="N70">
        <v>28078695</v>
      </c>
      <c r="O70">
        <v>0</v>
      </c>
      <c r="P70">
        <v>9.8000000000000007</v>
      </c>
      <c r="U70">
        <v>1.25</v>
      </c>
    </row>
    <row r="71" spans="2:21" x14ac:dyDescent="0.3">
      <c r="U71">
        <v>1.55</v>
      </c>
    </row>
    <row r="72" spans="2:21" x14ac:dyDescent="0.3">
      <c r="E72" t="s">
        <v>13</v>
      </c>
      <c r="M72" t="s">
        <v>111</v>
      </c>
      <c r="U72">
        <v>0.87</v>
      </c>
    </row>
    <row r="73" spans="2:21" x14ac:dyDescent="0.3">
      <c r="M73" t="s">
        <v>103</v>
      </c>
      <c r="N73">
        <v>62410972</v>
      </c>
      <c r="O73">
        <v>0</v>
      </c>
      <c r="P73">
        <v>13.5</v>
      </c>
      <c r="U73">
        <v>1.3</v>
      </c>
    </row>
    <row r="74" spans="2:21" x14ac:dyDescent="0.3">
      <c r="B74">
        <v>231</v>
      </c>
      <c r="C74" t="s">
        <v>112</v>
      </c>
      <c r="D74" s="3">
        <v>0.7</v>
      </c>
      <c r="E74">
        <v>0</v>
      </c>
      <c r="M74" t="s">
        <v>113</v>
      </c>
      <c r="N74">
        <v>79472254</v>
      </c>
      <c r="O74">
        <v>0</v>
      </c>
      <c r="P74">
        <v>213.9</v>
      </c>
      <c r="U74">
        <v>0.15</v>
      </c>
    </row>
    <row r="75" spans="2:21" x14ac:dyDescent="0.3">
      <c r="B75">
        <v>232</v>
      </c>
      <c r="C75" t="s">
        <v>114</v>
      </c>
      <c r="D75" s="3">
        <f>1-0.5</f>
        <v>0.5</v>
      </c>
      <c r="E75">
        <v>1</v>
      </c>
      <c r="M75" t="s">
        <v>115</v>
      </c>
      <c r="N75">
        <v>942712</v>
      </c>
      <c r="O75">
        <v>0</v>
      </c>
      <c r="P75">
        <v>77.900000000000006</v>
      </c>
    </row>
    <row r="76" spans="2:21" x14ac:dyDescent="0.3">
      <c r="B76">
        <v>234</v>
      </c>
      <c r="C76" t="s">
        <v>667</v>
      </c>
      <c r="D76" s="3">
        <f>17.5-15</f>
        <v>2.5</v>
      </c>
      <c r="E76">
        <v>1</v>
      </c>
      <c r="M76" t="s">
        <v>117</v>
      </c>
      <c r="N76">
        <v>14998628</v>
      </c>
      <c r="O76">
        <v>0</v>
      </c>
      <c r="P76">
        <v>186</v>
      </c>
    </row>
    <row r="77" spans="2:21" x14ac:dyDescent="0.3">
      <c r="B77" s="7">
        <v>235</v>
      </c>
      <c r="C77" t="s">
        <v>118</v>
      </c>
      <c r="D77" s="3">
        <v>0.8</v>
      </c>
      <c r="E77">
        <v>1</v>
      </c>
    </row>
    <row r="78" spans="2:21" x14ac:dyDescent="0.3">
      <c r="B78">
        <v>236</v>
      </c>
      <c r="C78" t="s">
        <v>119</v>
      </c>
      <c r="D78" s="3">
        <f>9.725-1.645-6.425</f>
        <v>1.655</v>
      </c>
      <c r="E78">
        <v>0</v>
      </c>
    </row>
    <row r="79" spans="2:21" x14ac:dyDescent="0.3">
      <c r="B79">
        <v>237</v>
      </c>
      <c r="C79" t="s">
        <v>120</v>
      </c>
      <c r="D79" s="3">
        <v>5</v>
      </c>
      <c r="E79">
        <v>0</v>
      </c>
    </row>
    <row r="80" spans="2:21" x14ac:dyDescent="0.3">
      <c r="B80">
        <v>239</v>
      </c>
      <c r="C80" t="s">
        <v>121</v>
      </c>
      <c r="D80" s="3">
        <v>0.8</v>
      </c>
      <c r="E80">
        <v>0</v>
      </c>
    </row>
    <row r="81" spans="1:5" x14ac:dyDescent="0.3">
      <c r="B81">
        <v>245</v>
      </c>
      <c r="C81" t="s">
        <v>122</v>
      </c>
      <c r="D81" s="3">
        <f>12-10</f>
        <v>2</v>
      </c>
      <c r="E81">
        <v>1</v>
      </c>
    </row>
    <row r="82" spans="1:5" x14ac:dyDescent="0.3">
      <c r="B82">
        <v>246</v>
      </c>
      <c r="C82" t="s">
        <v>668</v>
      </c>
      <c r="D82" s="3">
        <v>18.600000000000001</v>
      </c>
      <c r="E82">
        <v>1</v>
      </c>
    </row>
    <row r="83" spans="1:5" x14ac:dyDescent="0.3">
      <c r="A83" t="s">
        <v>123</v>
      </c>
      <c r="B83">
        <v>248</v>
      </c>
      <c r="C83" t="s">
        <v>669</v>
      </c>
      <c r="D83" s="3">
        <f>485*12400/1000000</f>
        <v>6.0140000000000002</v>
      </c>
      <c r="E83">
        <v>1</v>
      </c>
    </row>
    <row r="84" spans="1:5" x14ac:dyDescent="0.3">
      <c r="A84" t="s">
        <v>126</v>
      </c>
      <c r="B84">
        <v>249</v>
      </c>
      <c r="C84" t="s">
        <v>127</v>
      </c>
      <c r="D84" s="3">
        <f>+E84*12400/1000000</f>
        <v>1.24E-2</v>
      </c>
      <c r="E84">
        <v>1</v>
      </c>
    </row>
    <row r="85" spans="1:5" x14ac:dyDescent="0.3">
      <c r="A85" t="s">
        <v>128</v>
      </c>
      <c r="B85">
        <v>250</v>
      </c>
      <c r="C85" t="s">
        <v>129</v>
      </c>
      <c r="D85" s="3">
        <v>2</v>
      </c>
      <c r="E85">
        <v>0</v>
      </c>
    </row>
    <row r="86" spans="1:5" ht="15" customHeight="1" x14ac:dyDescent="0.3">
      <c r="A86" t="s">
        <v>130</v>
      </c>
      <c r="B86">
        <v>251</v>
      </c>
      <c r="C86" t="s">
        <v>131</v>
      </c>
      <c r="D86" s="3">
        <v>1.1000000000000001</v>
      </c>
      <c r="E86">
        <v>1</v>
      </c>
    </row>
    <row r="87" spans="1:5" x14ac:dyDescent="0.3">
      <c r="A87" t="s">
        <v>132</v>
      </c>
      <c r="B87">
        <v>253</v>
      </c>
      <c r="C87" t="s">
        <v>133</v>
      </c>
      <c r="D87" s="3">
        <v>8.75</v>
      </c>
      <c r="E87">
        <v>1</v>
      </c>
    </row>
    <row r="88" spans="1:5" x14ac:dyDescent="0.3">
      <c r="A88" t="s">
        <v>134</v>
      </c>
      <c r="B88">
        <v>263</v>
      </c>
      <c r="C88" t="s">
        <v>135</v>
      </c>
      <c r="D88" s="3">
        <f>2+7+8+1.27</f>
        <v>18.27</v>
      </c>
      <c r="E88">
        <v>0</v>
      </c>
    </row>
    <row r="89" spans="1:5" x14ac:dyDescent="0.3">
      <c r="A89" t="s">
        <v>136</v>
      </c>
      <c r="B89">
        <v>265</v>
      </c>
      <c r="C89" t="s">
        <v>137</v>
      </c>
      <c r="D89" s="3">
        <f>+E89*12500/1000000</f>
        <v>0</v>
      </c>
      <c r="E89">
        <v>0</v>
      </c>
    </row>
    <row r="90" spans="1:5" x14ac:dyDescent="0.3">
      <c r="A90" t="s">
        <v>138</v>
      </c>
      <c r="B90">
        <v>267</v>
      </c>
      <c r="C90" t="s">
        <v>139</v>
      </c>
      <c r="D90" s="3">
        <f>1+1-1.36+0.36</f>
        <v>1</v>
      </c>
      <c r="E90">
        <v>0</v>
      </c>
    </row>
    <row r="91" spans="1:5" x14ac:dyDescent="0.3">
      <c r="A91" t="s">
        <v>138</v>
      </c>
      <c r="B91">
        <v>269</v>
      </c>
      <c r="C91" t="s">
        <v>140</v>
      </c>
      <c r="D91" s="3">
        <f>+E91*12500/1000000+2</f>
        <v>2</v>
      </c>
      <c r="E91">
        <v>0</v>
      </c>
    </row>
    <row r="92" spans="1:5" x14ac:dyDescent="0.3">
      <c r="A92" t="s">
        <v>141</v>
      </c>
      <c r="B92">
        <v>272</v>
      </c>
      <c r="C92" t="s">
        <v>142</v>
      </c>
      <c r="D92" s="3">
        <f>17.5-6-6</f>
        <v>5.5</v>
      </c>
      <c r="E92">
        <v>1</v>
      </c>
    </row>
    <row r="93" spans="1:5" x14ac:dyDescent="0.3">
      <c r="A93" t="s">
        <v>141</v>
      </c>
      <c r="B93">
        <v>273</v>
      </c>
      <c r="C93" t="s">
        <v>143</v>
      </c>
      <c r="D93" s="3">
        <v>0.3</v>
      </c>
      <c r="E93">
        <v>1</v>
      </c>
    </row>
    <row r="94" spans="1:5" x14ac:dyDescent="0.3">
      <c r="A94" t="s">
        <v>141</v>
      </c>
      <c r="B94">
        <v>274</v>
      </c>
      <c r="C94" t="s">
        <v>144</v>
      </c>
      <c r="D94" s="3">
        <f>+E94*12500/1000000-35-25-15+18.5*2+18*2-12.6-45-17+5*3+18.5-40+17.7-17.7+2*20+4*18.5+2*20+2*18.5-2*20-90+18.5+13*2+18*2-24.2-40</f>
        <v>-5.8</v>
      </c>
      <c r="E94">
        <v>0</v>
      </c>
    </row>
    <row r="95" spans="1:5" x14ac:dyDescent="0.3">
      <c r="A95" t="s">
        <v>145</v>
      </c>
      <c r="B95">
        <v>275</v>
      </c>
      <c r="C95" t="s">
        <v>146</v>
      </c>
      <c r="D95" s="3">
        <f>+E95*12500/1000000</f>
        <v>0</v>
      </c>
      <c r="E95">
        <v>0</v>
      </c>
    </row>
    <row r="96" spans="1:5" x14ac:dyDescent="0.3">
      <c r="C96" t="s">
        <v>146</v>
      </c>
      <c r="D96" s="3">
        <f>60+10</f>
        <v>70</v>
      </c>
      <c r="E96">
        <v>0</v>
      </c>
    </row>
    <row r="97" spans="1:7" x14ac:dyDescent="0.3">
      <c r="C97" t="s">
        <v>147</v>
      </c>
      <c r="D97" s="3">
        <f>4*1.27+57-20+2.5+2.5+6.2+1.26*20+2.5</f>
        <v>80.98</v>
      </c>
      <c r="E97">
        <v>0</v>
      </c>
    </row>
    <row r="99" spans="1:7" x14ac:dyDescent="0.3">
      <c r="A99" t="s">
        <v>149</v>
      </c>
      <c r="B99">
        <v>279</v>
      </c>
      <c r="C99" t="s">
        <v>150</v>
      </c>
      <c r="D99" s="3">
        <f>95*2*12500/1000000+2.5+3+5.78+1.43+2.8+2.5+1.15+4.93+1</f>
        <v>27.465</v>
      </c>
      <c r="E99">
        <v>0</v>
      </c>
      <c r="G99" t="s">
        <v>152</v>
      </c>
    </row>
    <row r="100" spans="1:7" x14ac:dyDescent="0.3">
      <c r="A100" t="s">
        <v>153</v>
      </c>
      <c r="B100">
        <v>282</v>
      </c>
      <c r="C100" t="s">
        <v>154</v>
      </c>
      <c r="D100" s="3">
        <f>80*5*12500/1000000</f>
        <v>5</v>
      </c>
      <c r="E100">
        <v>0</v>
      </c>
    </row>
    <row r="101" spans="1:7" x14ac:dyDescent="0.3">
      <c r="A101" t="s">
        <v>153</v>
      </c>
      <c r="B101">
        <v>283</v>
      </c>
      <c r="C101" t="s">
        <v>155</v>
      </c>
      <c r="D101" s="3">
        <f>900*12500/1000000+1.4</f>
        <v>12.65</v>
      </c>
      <c r="E101">
        <v>1</v>
      </c>
    </row>
    <row r="102" spans="1:7" x14ac:dyDescent="0.3">
      <c r="A102" t="s">
        <v>156</v>
      </c>
      <c r="B102">
        <v>284</v>
      </c>
      <c r="C102" t="s">
        <v>670</v>
      </c>
      <c r="D102" s="3">
        <v>20</v>
      </c>
      <c r="E102">
        <v>0</v>
      </c>
      <c r="F102" t="s">
        <v>158</v>
      </c>
    </row>
    <row r="103" spans="1:7" x14ac:dyDescent="0.3">
      <c r="A103" t="s">
        <v>156</v>
      </c>
      <c r="B103">
        <v>285</v>
      </c>
      <c r="C103" t="s">
        <v>159</v>
      </c>
      <c r="D103" s="3">
        <f>1200*12500/1000000-2.2-0.8</f>
        <v>12</v>
      </c>
      <c r="E103">
        <v>1</v>
      </c>
    </row>
    <row r="104" spans="1:7" x14ac:dyDescent="0.3">
      <c r="A104" t="s">
        <v>161</v>
      </c>
      <c r="B104">
        <v>287</v>
      </c>
      <c r="C104" t="s">
        <v>162</v>
      </c>
      <c r="D104" s="3">
        <f>18-9.5</f>
        <v>8.5</v>
      </c>
      <c r="E104">
        <v>1</v>
      </c>
    </row>
    <row r="105" spans="1:7" x14ac:dyDescent="0.3">
      <c r="A105" t="s">
        <v>164</v>
      </c>
      <c r="B105">
        <v>288</v>
      </c>
      <c r="C105" t="s">
        <v>165</v>
      </c>
      <c r="D105" s="3">
        <f>18-8-9</f>
        <v>1</v>
      </c>
      <c r="E105">
        <v>1</v>
      </c>
    </row>
    <row r="106" spans="1:7" x14ac:dyDescent="0.3">
      <c r="A106" t="s">
        <v>167</v>
      </c>
      <c r="B106">
        <v>294</v>
      </c>
      <c r="C106" t="s">
        <v>168</v>
      </c>
      <c r="D106" s="3">
        <f>22-7.56-3-7-2.2+5-1.5-1.3</f>
        <v>4.4400000000000004</v>
      </c>
      <c r="E106">
        <v>1</v>
      </c>
    </row>
    <row r="107" spans="1:7" x14ac:dyDescent="0.3">
      <c r="A107" t="s">
        <v>171</v>
      </c>
      <c r="B107">
        <v>296</v>
      </c>
      <c r="C107" t="s">
        <v>172</v>
      </c>
      <c r="D107" s="3">
        <f>23-2.5-0.5</f>
        <v>20</v>
      </c>
      <c r="E107">
        <v>1</v>
      </c>
    </row>
    <row r="108" spans="1:7" x14ac:dyDescent="0.3">
      <c r="A108" t="s">
        <v>171</v>
      </c>
      <c r="B108">
        <v>297</v>
      </c>
      <c r="C108" t="s">
        <v>173</v>
      </c>
      <c r="D108" s="3">
        <f>20.4-20+18+25.4+25.4-50.8+18-18.4+17.5-35.5+18+18+18-23*0.9</f>
        <v>33.299999999999997</v>
      </c>
      <c r="E108">
        <v>1</v>
      </c>
    </row>
    <row r="109" spans="1:7" x14ac:dyDescent="0.3">
      <c r="A109" t="s">
        <v>175</v>
      </c>
      <c r="B109">
        <v>300</v>
      </c>
      <c r="C109" t="s">
        <v>176</v>
      </c>
      <c r="D109" s="3">
        <f>4-1.7</f>
        <v>2.2999999999999998</v>
      </c>
      <c r="E109">
        <v>1</v>
      </c>
    </row>
    <row r="110" spans="1:7" x14ac:dyDescent="0.3">
      <c r="A110" t="s">
        <v>179</v>
      </c>
      <c r="B110">
        <v>302</v>
      </c>
      <c r="C110" t="s">
        <v>180</v>
      </c>
      <c r="D110" s="3">
        <f>2+1.6</f>
        <v>3.6</v>
      </c>
      <c r="E110">
        <v>1</v>
      </c>
      <c r="F110" t="s">
        <v>181</v>
      </c>
    </row>
    <row r="111" spans="1:7" x14ac:dyDescent="0.3">
      <c r="A111" t="s">
        <v>179</v>
      </c>
      <c r="B111">
        <v>229</v>
      </c>
      <c r="C111" t="s">
        <v>671</v>
      </c>
      <c r="D111" s="3">
        <v>2</v>
      </c>
      <c r="E111">
        <v>1</v>
      </c>
    </row>
    <row r="112" spans="1:7" x14ac:dyDescent="0.3">
      <c r="A112" t="s">
        <v>183</v>
      </c>
      <c r="B112">
        <v>303</v>
      </c>
      <c r="C112" t="s">
        <v>184</v>
      </c>
      <c r="D112" s="3">
        <v>7.2</v>
      </c>
      <c r="E112">
        <v>1</v>
      </c>
    </row>
    <row r="113" spans="1:14" x14ac:dyDescent="0.3">
      <c r="A113" t="s">
        <v>185</v>
      </c>
      <c r="B113">
        <v>304</v>
      </c>
      <c r="C113" t="s">
        <v>186</v>
      </c>
      <c r="D113" s="3">
        <f>19-8-10</f>
        <v>1</v>
      </c>
      <c r="E113">
        <v>1</v>
      </c>
    </row>
    <row r="114" spans="1:14" x14ac:dyDescent="0.3">
      <c r="A114" t="s">
        <v>188</v>
      </c>
      <c r="B114">
        <v>306</v>
      </c>
      <c r="C114" t="s">
        <v>189</v>
      </c>
      <c r="D114" s="3">
        <f>18.3-5-3</f>
        <v>10.3</v>
      </c>
      <c r="E114">
        <v>1</v>
      </c>
    </row>
    <row r="115" spans="1:14" x14ac:dyDescent="0.3">
      <c r="A115" t="s">
        <v>188</v>
      </c>
      <c r="B115">
        <v>308</v>
      </c>
      <c r="C115" t="s">
        <v>190</v>
      </c>
      <c r="D115" s="3">
        <f>500*12700/1000000-1.3</f>
        <v>5.05</v>
      </c>
      <c r="E115">
        <v>1</v>
      </c>
    </row>
    <row r="116" spans="1:14" x14ac:dyDescent="0.3">
      <c r="A116" t="s">
        <v>192</v>
      </c>
      <c r="B116">
        <v>309</v>
      </c>
      <c r="C116" t="s">
        <v>672</v>
      </c>
      <c r="D116" s="3">
        <v>0.28000000000000003</v>
      </c>
      <c r="E116">
        <v>1</v>
      </c>
    </row>
    <row r="117" spans="1:14" x14ac:dyDescent="0.3">
      <c r="A117" t="s">
        <v>194</v>
      </c>
      <c r="B117">
        <v>313</v>
      </c>
      <c r="C117" t="s">
        <v>673</v>
      </c>
      <c r="D117" s="3">
        <f>870*12700/1000000</f>
        <v>11.048999999999999</v>
      </c>
      <c r="E117">
        <v>1</v>
      </c>
    </row>
    <row r="118" spans="1:14" x14ac:dyDescent="0.3">
      <c r="A118" t="s">
        <v>194</v>
      </c>
      <c r="B118">
        <v>314</v>
      </c>
      <c r="C118" t="s">
        <v>674</v>
      </c>
      <c r="D118" s="3">
        <f>18-8</f>
        <v>10</v>
      </c>
      <c r="E118">
        <v>1</v>
      </c>
      <c r="M118" s="10"/>
      <c r="N118" s="10"/>
    </row>
    <row r="119" spans="1:14" x14ac:dyDescent="0.3">
      <c r="A119" t="s">
        <v>198</v>
      </c>
      <c r="B119">
        <v>315</v>
      </c>
      <c r="C119" t="s">
        <v>675</v>
      </c>
      <c r="D119" s="3">
        <f>2+19.5</f>
        <v>21.5</v>
      </c>
      <c r="E119">
        <v>0</v>
      </c>
      <c r="M119" s="10"/>
      <c r="N119" s="10"/>
    </row>
    <row r="120" spans="1:14" x14ac:dyDescent="0.3">
      <c r="A120" t="s">
        <v>198</v>
      </c>
      <c r="B120">
        <v>317</v>
      </c>
      <c r="C120" t="s">
        <v>201</v>
      </c>
      <c r="D120" s="3">
        <f>0.635+11</f>
        <v>11.635</v>
      </c>
      <c r="E120">
        <v>0</v>
      </c>
      <c r="F120" t="s">
        <v>202</v>
      </c>
      <c r="M120" s="10"/>
      <c r="N120" s="10"/>
    </row>
    <row r="121" spans="1:14" x14ac:dyDescent="0.3">
      <c r="A121" t="s">
        <v>203</v>
      </c>
      <c r="B121">
        <v>318</v>
      </c>
      <c r="C121" t="s">
        <v>204</v>
      </c>
      <c r="D121" s="3">
        <f>6-3</f>
        <v>3</v>
      </c>
      <c r="E121">
        <v>1</v>
      </c>
      <c r="M121" s="10">
        <v>100000000</v>
      </c>
      <c r="N121" s="10"/>
    </row>
    <row r="122" spans="1:14" x14ac:dyDescent="0.3">
      <c r="A122" t="s">
        <v>206</v>
      </c>
      <c r="B122">
        <v>321</v>
      </c>
      <c r="C122" t="s">
        <v>207</v>
      </c>
      <c r="D122" s="3">
        <f>1+1</f>
        <v>2</v>
      </c>
      <c r="E122">
        <v>1</v>
      </c>
      <c r="M122" s="10"/>
      <c r="N122" s="10"/>
    </row>
    <row r="123" spans="1:14" x14ac:dyDescent="0.3">
      <c r="A123" t="s">
        <v>206</v>
      </c>
      <c r="B123">
        <v>323</v>
      </c>
      <c r="C123" t="s">
        <v>208</v>
      </c>
      <c r="D123" s="9">
        <v>0</v>
      </c>
      <c r="E123">
        <v>0</v>
      </c>
      <c r="M123" s="10"/>
      <c r="N123" s="10"/>
    </row>
    <row r="124" spans="1:14" x14ac:dyDescent="0.3">
      <c r="A124" t="s">
        <v>209</v>
      </c>
      <c r="B124">
        <v>324</v>
      </c>
      <c r="C124" t="s">
        <v>210</v>
      </c>
      <c r="D124" s="3">
        <f>19-4-4-2-2</f>
        <v>7</v>
      </c>
      <c r="E124">
        <v>1</v>
      </c>
      <c r="M124" s="10"/>
      <c r="N124" s="10"/>
    </row>
    <row r="125" spans="1:14" x14ac:dyDescent="0.3">
      <c r="A125" t="s">
        <v>209</v>
      </c>
      <c r="B125">
        <v>325</v>
      </c>
      <c r="C125" t="s">
        <v>211</v>
      </c>
      <c r="D125" s="3">
        <f>16.5-5.5-1</f>
        <v>10</v>
      </c>
      <c r="E125">
        <v>1</v>
      </c>
      <c r="M125" s="10">
        <v>95345000</v>
      </c>
      <c r="N125" s="10"/>
    </row>
    <row r="126" spans="1:14" x14ac:dyDescent="0.3">
      <c r="A126" t="s">
        <v>212</v>
      </c>
      <c r="C126" t="s">
        <v>213</v>
      </c>
      <c r="D126" s="3">
        <v>0.6</v>
      </c>
      <c r="M126" s="10"/>
      <c r="N126" s="10">
        <v>-6000000</v>
      </c>
    </row>
    <row r="127" spans="1:14" x14ac:dyDescent="0.3">
      <c r="A127" t="s">
        <v>214</v>
      </c>
      <c r="B127">
        <v>329</v>
      </c>
      <c r="C127" t="s">
        <v>215</v>
      </c>
      <c r="D127" s="3">
        <f>17.5-10</f>
        <v>7.5</v>
      </c>
      <c r="E127">
        <v>1</v>
      </c>
      <c r="F127" t="s">
        <v>216</v>
      </c>
      <c r="M127" s="10"/>
      <c r="N127" s="10">
        <v>-31525000</v>
      </c>
    </row>
    <row r="128" spans="1:14" x14ac:dyDescent="0.3">
      <c r="A128" t="s">
        <v>217</v>
      </c>
      <c r="B128">
        <v>334</v>
      </c>
      <c r="C128" t="s">
        <v>218</v>
      </c>
      <c r="D128" s="3">
        <f>18-10+1.2</f>
        <v>9.1999999999999993</v>
      </c>
      <c r="E128">
        <v>1</v>
      </c>
      <c r="M128" s="10"/>
      <c r="N128" s="10">
        <v>-1300000</v>
      </c>
    </row>
    <row r="129" spans="1:14" x14ac:dyDescent="0.3">
      <c r="A129" t="s">
        <v>217</v>
      </c>
      <c r="B129">
        <v>336</v>
      </c>
      <c r="C129" t="s">
        <v>220</v>
      </c>
      <c r="D129" s="3">
        <f>400*12700/1000000-1+0.6</f>
        <v>4.68</v>
      </c>
      <c r="E129">
        <v>0</v>
      </c>
      <c r="F129" t="s">
        <v>221</v>
      </c>
      <c r="N129" s="10">
        <v>-800000</v>
      </c>
    </row>
    <row r="130" spans="1:14" x14ac:dyDescent="0.3">
      <c r="A130" t="s">
        <v>222</v>
      </c>
      <c r="B130">
        <v>339</v>
      </c>
      <c r="C130" s="11" t="s">
        <v>223</v>
      </c>
      <c r="D130" s="3">
        <f>18.5-2-10-3.5</f>
        <v>3</v>
      </c>
      <c r="E130">
        <v>1</v>
      </c>
      <c r="N130" s="10">
        <v>-4500000</v>
      </c>
    </row>
    <row r="131" spans="1:14" x14ac:dyDescent="0.3">
      <c r="A131" t="s">
        <v>224</v>
      </c>
      <c r="B131">
        <v>345</v>
      </c>
      <c r="C131" t="s">
        <v>225</v>
      </c>
      <c r="D131" s="3">
        <f>18.8-13-4</f>
        <v>1.8</v>
      </c>
      <c r="E131">
        <v>1</v>
      </c>
    </row>
    <row r="132" spans="1:14" x14ac:dyDescent="0.3">
      <c r="A132" t="s">
        <v>226</v>
      </c>
      <c r="B132">
        <v>346</v>
      </c>
      <c r="C132" t="s">
        <v>227</v>
      </c>
      <c r="D132" s="3">
        <f>12+12</f>
        <v>24</v>
      </c>
      <c r="E132">
        <v>1</v>
      </c>
    </row>
    <row r="133" spans="1:14" x14ac:dyDescent="0.3">
      <c r="A133" t="s">
        <v>226</v>
      </c>
      <c r="B133">
        <v>347</v>
      </c>
      <c r="C133" t="s">
        <v>228</v>
      </c>
      <c r="D133" s="3">
        <f>17.8-11-6.2-0.3</f>
        <v>0.30000000000000099</v>
      </c>
      <c r="E133">
        <v>0</v>
      </c>
    </row>
    <row r="134" spans="1:14" x14ac:dyDescent="0.3">
      <c r="A134" t="s">
        <v>229</v>
      </c>
      <c r="B134">
        <v>348</v>
      </c>
      <c r="C134" t="s">
        <v>230</v>
      </c>
      <c r="D134" s="3">
        <f>18.5-6.5</f>
        <v>12</v>
      </c>
      <c r="E134">
        <v>1</v>
      </c>
    </row>
    <row r="135" spans="1:14" x14ac:dyDescent="0.3">
      <c r="A135" t="s">
        <v>232</v>
      </c>
      <c r="B135">
        <v>355</v>
      </c>
      <c r="C135" t="s">
        <v>233</v>
      </c>
      <c r="D135" s="3">
        <f>2+1.5+2+1.6</f>
        <v>7.1</v>
      </c>
      <c r="E135">
        <v>0</v>
      </c>
    </row>
    <row r="136" spans="1:14" x14ac:dyDescent="0.3">
      <c r="A136" t="s">
        <v>234</v>
      </c>
      <c r="B136">
        <v>359</v>
      </c>
      <c r="C136" t="s">
        <v>676</v>
      </c>
      <c r="D136" s="3">
        <f>9*1.27</f>
        <v>11.43</v>
      </c>
      <c r="E136">
        <v>1</v>
      </c>
    </row>
    <row r="137" spans="1:14" x14ac:dyDescent="0.3">
      <c r="A137" t="s">
        <v>236</v>
      </c>
      <c r="B137">
        <v>363</v>
      </c>
      <c r="C137" t="s">
        <v>237</v>
      </c>
      <c r="D137" s="3">
        <f>1.27*11-2-2.7-2.27</f>
        <v>7</v>
      </c>
      <c r="E137">
        <v>1</v>
      </c>
    </row>
    <row r="138" spans="1:14" x14ac:dyDescent="0.3">
      <c r="A138" t="s">
        <v>239</v>
      </c>
      <c r="B138">
        <v>366</v>
      </c>
      <c r="C138" t="s">
        <v>240</v>
      </c>
      <c r="D138" s="3">
        <f>17.7-16.02</f>
        <v>1.68</v>
      </c>
      <c r="E138">
        <v>1</v>
      </c>
    </row>
    <row r="139" spans="1:14" x14ac:dyDescent="0.3">
      <c r="A139" t="s">
        <v>239</v>
      </c>
      <c r="B139">
        <v>368</v>
      </c>
      <c r="C139" t="s">
        <v>241</v>
      </c>
      <c r="D139" s="3">
        <f>-15+6.2+1.3+2+1.5+4</f>
        <v>0</v>
      </c>
      <c r="E139">
        <v>0</v>
      </c>
    </row>
    <row r="140" spans="1:14" x14ac:dyDescent="0.3">
      <c r="A140" t="s">
        <v>242</v>
      </c>
      <c r="B140">
        <v>369</v>
      </c>
      <c r="C140" t="s">
        <v>243</v>
      </c>
      <c r="D140" s="12">
        <f>1.27*12.03</f>
        <v>15.2781</v>
      </c>
      <c r="E140">
        <v>1</v>
      </c>
    </row>
    <row r="141" spans="1:14" x14ac:dyDescent="0.3">
      <c r="A141" t="s">
        <v>245</v>
      </c>
      <c r="B141">
        <v>371</v>
      </c>
      <c r="C141" t="s">
        <v>246</v>
      </c>
      <c r="D141" s="3">
        <f>19-10-2.5</f>
        <v>6.5</v>
      </c>
      <c r="E141">
        <v>1</v>
      </c>
    </row>
    <row r="142" spans="1:14" x14ac:dyDescent="0.3">
      <c r="A142" s="8" t="s">
        <v>245</v>
      </c>
      <c r="B142">
        <v>373</v>
      </c>
      <c r="C142" t="s">
        <v>248</v>
      </c>
      <c r="D142" s="3">
        <f>18+4.3+11.6-4.3+4.4-4.4+4.4-11.6-4.4+5.5</f>
        <v>23.5</v>
      </c>
      <c r="E142">
        <v>1</v>
      </c>
    </row>
    <row r="143" spans="1:14" x14ac:dyDescent="0.3">
      <c r="A143" t="s">
        <v>249</v>
      </c>
      <c r="B143">
        <v>377</v>
      </c>
      <c r="C143" t="s">
        <v>250</v>
      </c>
      <c r="D143" s="3">
        <f>22.2*1.274</f>
        <v>28.282800000000002</v>
      </c>
      <c r="E143">
        <v>1</v>
      </c>
    </row>
    <row r="144" spans="1:14" x14ac:dyDescent="0.3">
      <c r="A144" t="s">
        <v>251</v>
      </c>
      <c r="B144">
        <v>380</v>
      </c>
      <c r="C144" t="s">
        <v>677</v>
      </c>
      <c r="D144" s="3">
        <f>10.7*1.274</f>
        <v>13.6318</v>
      </c>
      <c r="E144" t="s">
        <v>253</v>
      </c>
    </row>
    <row r="145" spans="1:5" x14ac:dyDescent="0.3">
      <c r="A145" t="s">
        <v>254</v>
      </c>
      <c r="B145">
        <v>382</v>
      </c>
      <c r="C145" t="s">
        <v>255</v>
      </c>
      <c r="D145" s="3">
        <f>18-10</f>
        <v>8</v>
      </c>
      <c r="E145">
        <v>1</v>
      </c>
    </row>
    <row r="146" spans="1:5" x14ac:dyDescent="0.3">
      <c r="A146" t="s">
        <v>254</v>
      </c>
      <c r="B146">
        <v>384</v>
      </c>
      <c r="C146" t="s">
        <v>256</v>
      </c>
      <c r="D146" s="3">
        <f>25.5-10</f>
        <v>15.5</v>
      </c>
      <c r="E146">
        <v>0</v>
      </c>
    </row>
    <row r="147" spans="1:5" x14ac:dyDescent="0.3">
      <c r="A147" t="s">
        <v>257</v>
      </c>
      <c r="B147">
        <v>386</v>
      </c>
      <c r="C147" t="s">
        <v>258</v>
      </c>
      <c r="D147" s="3">
        <f>18.5-7.62</f>
        <v>10.88</v>
      </c>
      <c r="E147">
        <v>1</v>
      </c>
    </row>
    <row r="148" spans="1:5" x14ac:dyDescent="0.3">
      <c r="A148" t="s">
        <v>257</v>
      </c>
      <c r="B148">
        <v>387</v>
      </c>
      <c r="C148" t="s">
        <v>259</v>
      </c>
      <c r="D148" s="3">
        <f>12*1.27</f>
        <v>15.24</v>
      </c>
      <c r="E148">
        <v>1</v>
      </c>
    </row>
    <row r="149" spans="1:5" x14ac:dyDescent="0.3">
      <c r="A149" t="s">
        <v>262</v>
      </c>
      <c r="B149">
        <v>392</v>
      </c>
      <c r="C149" t="s">
        <v>263</v>
      </c>
      <c r="D149" s="3">
        <f>18.5-15.5</f>
        <v>3</v>
      </c>
      <c r="E149">
        <v>1</v>
      </c>
    </row>
    <row r="150" spans="1:5" x14ac:dyDescent="0.3">
      <c r="A150" t="s">
        <v>264</v>
      </c>
      <c r="B150">
        <v>394</v>
      </c>
      <c r="C150" t="s">
        <v>265</v>
      </c>
      <c r="D150" s="3">
        <f>10-4.15</f>
        <v>5.85</v>
      </c>
      <c r="E150">
        <v>0</v>
      </c>
    </row>
    <row r="151" spans="1:5" x14ac:dyDescent="0.3">
      <c r="A151" t="s">
        <v>266</v>
      </c>
      <c r="B151">
        <v>396</v>
      </c>
      <c r="C151" t="s">
        <v>267</v>
      </c>
      <c r="D151" s="3">
        <f>15-2-1-2</f>
        <v>10</v>
      </c>
      <c r="E151">
        <v>1</v>
      </c>
    </row>
    <row r="152" spans="1:5" x14ac:dyDescent="0.3">
      <c r="A152" t="s">
        <v>268</v>
      </c>
      <c r="B152">
        <v>397</v>
      </c>
      <c r="C152" t="s">
        <v>269</v>
      </c>
      <c r="D152" s="3">
        <f>18.8-5-5-4.4-4.4</f>
        <v>0</v>
      </c>
      <c r="E152">
        <v>0</v>
      </c>
    </row>
    <row r="153" spans="1:5" x14ac:dyDescent="0.3">
      <c r="A153" t="s">
        <v>270</v>
      </c>
      <c r="B153">
        <v>399</v>
      </c>
      <c r="C153" t="s">
        <v>269</v>
      </c>
      <c r="D153" s="3">
        <f>18.3-5</f>
        <v>13.3</v>
      </c>
      <c r="E153">
        <v>0</v>
      </c>
    </row>
    <row r="154" spans="1:5" x14ac:dyDescent="0.3">
      <c r="A154" t="s">
        <v>270</v>
      </c>
      <c r="B154">
        <v>400</v>
      </c>
      <c r="C154" t="s">
        <v>272</v>
      </c>
      <c r="D154" s="3">
        <f>18.3-5</f>
        <v>13.3</v>
      </c>
      <c r="E154">
        <v>1</v>
      </c>
    </row>
    <row r="155" spans="1:5" x14ac:dyDescent="0.3">
      <c r="A155" t="s">
        <v>273</v>
      </c>
      <c r="B155">
        <v>401</v>
      </c>
      <c r="C155" t="s">
        <v>274</v>
      </c>
      <c r="D155" s="3">
        <f>15.5-14.26</f>
        <v>1.24</v>
      </c>
      <c r="E155">
        <v>1</v>
      </c>
    </row>
    <row r="156" spans="1:5" x14ac:dyDescent="0.3">
      <c r="A156" t="s">
        <v>275</v>
      </c>
      <c r="B156">
        <v>404</v>
      </c>
      <c r="C156" t="s">
        <v>276</v>
      </c>
      <c r="D156" s="3">
        <v>5</v>
      </c>
      <c r="E156">
        <v>0</v>
      </c>
    </row>
    <row r="157" spans="1:5" x14ac:dyDescent="0.3">
      <c r="A157" t="s">
        <v>275</v>
      </c>
      <c r="B157" s="9">
        <v>407</v>
      </c>
      <c r="C157" t="s">
        <v>277</v>
      </c>
      <c r="D157" s="3">
        <v>0</v>
      </c>
      <c r="E157">
        <v>0</v>
      </c>
    </row>
    <row r="158" spans="1:5" x14ac:dyDescent="0.3">
      <c r="A158" t="s">
        <v>278</v>
      </c>
      <c r="B158">
        <v>408</v>
      </c>
      <c r="C158" t="s">
        <v>279</v>
      </c>
      <c r="D158" s="3">
        <v>0.3</v>
      </c>
      <c r="E158">
        <v>1</v>
      </c>
    </row>
    <row r="159" spans="1:5" x14ac:dyDescent="0.3">
      <c r="A159" t="s">
        <v>280</v>
      </c>
      <c r="B159">
        <v>409</v>
      </c>
      <c r="C159" t="s">
        <v>281</v>
      </c>
      <c r="D159" s="3">
        <f>19.5-3*1.265-10</f>
        <v>5.7050000000000001</v>
      </c>
      <c r="E159">
        <v>1</v>
      </c>
    </row>
    <row r="160" spans="1:5" x14ac:dyDescent="0.3">
      <c r="A160" s="9" t="s">
        <v>280</v>
      </c>
      <c r="B160">
        <v>410</v>
      </c>
      <c r="C160" t="s">
        <v>282</v>
      </c>
      <c r="D160" s="3">
        <f>16.5-5-9-2</f>
        <v>0.5</v>
      </c>
      <c r="E160">
        <v>0</v>
      </c>
    </row>
    <row r="161" spans="1:5" x14ac:dyDescent="0.3">
      <c r="A161" t="s">
        <v>280</v>
      </c>
      <c r="B161">
        <v>411</v>
      </c>
      <c r="C161" t="s">
        <v>283</v>
      </c>
      <c r="D161" s="3">
        <f>18.5-9-3-2.3</f>
        <v>4.2</v>
      </c>
      <c r="E161">
        <v>1</v>
      </c>
    </row>
    <row r="162" spans="1:5" x14ac:dyDescent="0.3">
      <c r="A162" t="s">
        <v>284</v>
      </c>
      <c r="B162">
        <v>412</v>
      </c>
      <c r="C162" t="s">
        <v>285</v>
      </c>
      <c r="D162" s="3">
        <f>19-9.8-9.2</f>
        <v>0</v>
      </c>
      <c r="E162">
        <v>0</v>
      </c>
    </row>
    <row r="163" spans="1:5" x14ac:dyDescent="0.3">
      <c r="A163" t="s">
        <v>286</v>
      </c>
      <c r="B163">
        <v>413</v>
      </c>
      <c r="C163" t="s">
        <v>287</v>
      </c>
      <c r="D163" s="3">
        <f>19-4*1.27-4</f>
        <v>9.92</v>
      </c>
      <c r="E163">
        <v>1</v>
      </c>
    </row>
    <row r="164" spans="1:5" x14ac:dyDescent="0.3">
      <c r="A164" t="s">
        <v>288</v>
      </c>
      <c r="B164">
        <v>415</v>
      </c>
      <c r="C164" t="s">
        <v>289</v>
      </c>
      <c r="D164" s="3">
        <f>19-8</f>
        <v>11</v>
      </c>
      <c r="E164">
        <v>1</v>
      </c>
    </row>
    <row r="165" spans="1:5" x14ac:dyDescent="0.3">
      <c r="A165" t="s">
        <v>288</v>
      </c>
      <c r="B165">
        <v>417</v>
      </c>
      <c r="C165" t="s">
        <v>290</v>
      </c>
      <c r="D165" s="3">
        <f>19.5-5-2.5-5-1-1-1-1-1-1.3-0.7</f>
        <v>0</v>
      </c>
      <c r="E165">
        <v>0</v>
      </c>
    </row>
    <row r="166" spans="1:5" x14ac:dyDescent="0.3">
      <c r="A166" t="s">
        <v>291</v>
      </c>
      <c r="B166">
        <v>418</v>
      </c>
      <c r="C166" t="s">
        <v>292</v>
      </c>
      <c r="D166" s="3">
        <f>19.5-6-3-3</f>
        <v>7.5</v>
      </c>
      <c r="E166">
        <v>1</v>
      </c>
    </row>
    <row r="167" spans="1:5" x14ac:dyDescent="0.3">
      <c r="A167" t="s">
        <v>291</v>
      </c>
      <c r="B167">
        <v>419</v>
      </c>
      <c r="C167" t="s">
        <v>293</v>
      </c>
      <c r="D167" s="3">
        <f>30-5</f>
        <v>25</v>
      </c>
      <c r="E167">
        <v>1</v>
      </c>
    </row>
    <row r="168" spans="1:5" x14ac:dyDescent="0.3">
      <c r="A168" t="s">
        <v>291</v>
      </c>
      <c r="B168">
        <v>421</v>
      </c>
      <c r="C168" t="s">
        <v>294</v>
      </c>
      <c r="D168" s="3">
        <f>6*1.27</f>
        <v>7.62</v>
      </c>
      <c r="E168">
        <v>1</v>
      </c>
    </row>
    <row r="169" spans="1:5" x14ac:dyDescent="0.3">
      <c r="A169" t="s">
        <v>295</v>
      </c>
      <c r="B169">
        <v>424</v>
      </c>
      <c r="C169" t="s">
        <v>296</v>
      </c>
      <c r="D169" s="3">
        <v>10</v>
      </c>
      <c r="E169">
        <v>1</v>
      </c>
    </row>
    <row r="170" spans="1:5" x14ac:dyDescent="0.3">
      <c r="A170" t="s">
        <v>297</v>
      </c>
      <c r="B170">
        <v>425</v>
      </c>
      <c r="C170" t="s">
        <v>298</v>
      </c>
      <c r="D170" s="3">
        <f>18-10-2-2-2</f>
        <v>2</v>
      </c>
      <c r="E170">
        <v>1</v>
      </c>
    </row>
    <row r="172" spans="1:5" x14ac:dyDescent="0.3">
      <c r="A172" t="s">
        <v>297</v>
      </c>
      <c r="B172">
        <v>427</v>
      </c>
      <c r="C172" t="s">
        <v>299</v>
      </c>
      <c r="D172" s="3">
        <f>16.24-6.24-2-2-2-2-1</f>
        <v>0.999999999999998</v>
      </c>
      <c r="E172">
        <v>1</v>
      </c>
    </row>
    <row r="173" spans="1:5" x14ac:dyDescent="0.3">
      <c r="A173" t="s">
        <v>301</v>
      </c>
      <c r="B173">
        <v>429</v>
      </c>
      <c r="C173" t="s">
        <v>302</v>
      </c>
      <c r="D173" s="3">
        <f>18-3-2.7*1.258-2.5-3.175</f>
        <v>5.9283999999999999</v>
      </c>
      <c r="E173">
        <v>1</v>
      </c>
    </row>
    <row r="174" spans="1:5" x14ac:dyDescent="0.3">
      <c r="A174" t="s">
        <v>303</v>
      </c>
      <c r="B174">
        <v>434</v>
      </c>
      <c r="C174" t="s">
        <v>678</v>
      </c>
      <c r="D174" s="3">
        <v>18.600000000000001</v>
      </c>
      <c r="E174">
        <v>1</v>
      </c>
    </row>
    <row r="175" spans="1:5" x14ac:dyDescent="0.3">
      <c r="A175" t="s">
        <v>303</v>
      </c>
      <c r="B175">
        <v>435</v>
      </c>
      <c r="C175" t="s">
        <v>305</v>
      </c>
      <c r="D175" s="3">
        <f>18.5-10-6</f>
        <v>2.5</v>
      </c>
      <c r="E175">
        <v>1</v>
      </c>
    </row>
    <row r="176" spans="1:5" x14ac:dyDescent="0.3">
      <c r="A176" t="s">
        <v>303</v>
      </c>
      <c r="B176">
        <v>438</v>
      </c>
      <c r="C176" t="s">
        <v>306</v>
      </c>
      <c r="D176" s="3">
        <f>18.5-6.3</f>
        <v>12.2</v>
      </c>
      <c r="E176">
        <v>1</v>
      </c>
    </row>
    <row r="177" spans="1:8" x14ac:dyDescent="0.3">
      <c r="A177" t="s">
        <v>307</v>
      </c>
      <c r="B177">
        <v>442</v>
      </c>
      <c r="C177" t="s">
        <v>308</v>
      </c>
      <c r="D177" s="3">
        <f>19.5-5-3-2.8-2.9</f>
        <v>5.8</v>
      </c>
      <c r="E177">
        <v>1</v>
      </c>
    </row>
    <row r="178" spans="1:8" x14ac:dyDescent="0.3">
      <c r="A178" t="s">
        <v>307</v>
      </c>
      <c r="B178">
        <v>443</v>
      </c>
      <c r="C178" t="s">
        <v>309</v>
      </c>
      <c r="D178" s="3">
        <f>19.5-5</f>
        <v>14.5</v>
      </c>
      <c r="E178">
        <v>1</v>
      </c>
    </row>
    <row r="179" spans="1:8" x14ac:dyDescent="0.3">
      <c r="A179" t="s">
        <v>310</v>
      </c>
      <c r="B179">
        <v>444</v>
      </c>
      <c r="C179" t="s">
        <v>311</v>
      </c>
      <c r="D179" s="3">
        <f>13-7</f>
        <v>6</v>
      </c>
      <c r="E179">
        <v>1</v>
      </c>
    </row>
    <row r="180" spans="1:8" x14ac:dyDescent="0.3">
      <c r="A180" t="s">
        <v>310</v>
      </c>
      <c r="B180">
        <v>445</v>
      </c>
      <c r="C180" t="s">
        <v>312</v>
      </c>
      <c r="D180" s="3">
        <f>18.5-3</f>
        <v>15.5</v>
      </c>
      <c r="E180">
        <v>1</v>
      </c>
    </row>
    <row r="181" spans="1:8" x14ac:dyDescent="0.3">
      <c r="A181" t="s">
        <v>314</v>
      </c>
      <c r="B181">
        <v>448</v>
      </c>
      <c r="C181" t="s">
        <v>315</v>
      </c>
      <c r="D181" s="3">
        <f>4.5-1.5-1</f>
        <v>2</v>
      </c>
      <c r="E181">
        <v>1</v>
      </c>
    </row>
    <row r="182" spans="1:8" x14ac:dyDescent="0.3">
      <c r="A182" t="s">
        <v>314</v>
      </c>
      <c r="B182">
        <v>450</v>
      </c>
      <c r="C182" t="s">
        <v>316</v>
      </c>
      <c r="D182" s="3">
        <f>4.5+8.5-8.5+8-8</f>
        <v>4.5</v>
      </c>
      <c r="E182">
        <v>1</v>
      </c>
    </row>
    <row r="183" spans="1:8" x14ac:dyDescent="0.3">
      <c r="A183" t="s">
        <v>317</v>
      </c>
      <c r="B183">
        <v>451</v>
      </c>
      <c r="C183" t="s">
        <v>318</v>
      </c>
      <c r="D183" s="3">
        <f>1.02*5+0.35</f>
        <v>5.45</v>
      </c>
      <c r="E183">
        <v>1</v>
      </c>
    </row>
    <row r="184" spans="1:8" x14ac:dyDescent="0.3">
      <c r="A184" t="s">
        <v>317</v>
      </c>
      <c r="B184">
        <v>452</v>
      </c>
      <c r="C184" t="s">
        <v>319</v>
      </c>
      <c r="D184" s="3">
        <f>13*1.265</f>
        <v>16.445</v>
      </c>
      <c r="E184">
        <v>1</v>
      </c>
    </row>
    <row r="185" spans="1:8" x14ac:dyDescent="0.3">
      <c r="A185" t="s">
        <v>317</v>
      </c>
      <c r="B185">
        <v>453</v>
      </c>
      <c r="C185" t="s">
        <v>320</v>
      </c>
      <c r="D185" s="3">
        <f>7*1.265</f>
        <v>8.8550000000000004</v>
      </c>
      <c r="E185">
        <v>1</v>
      </c>
      <c r="F185" t="s">
        <v>322</v>
      </c>
    </row>
    <row r="186" spans="1:8" x14ac:dyDescent="0.3">
      <c r="A186" t="s">
        <v>317</v>
      </c>
      <c r="B186">
        <v>454</v>
      </c>
      <c r="C186" t="s">
        <v>323</v>
      </c>
      <c r="D186" s="3">
        <f>2-1.75</f>
        <v>0.25</v>
      </c>
      <c r="E186">
        <v>1</v>
      </c>
    </row>
    <row r="187" spans="1:8" x14ac:dyDescent="0.3">
      <c r="A187" t="s">
        <v>324</v>
      </c>
      <c r="B187">
        <v>456</v>
      </c>
      <c r="C187" t="s">
        <v>325</v>
      </c>
      <c r="D187" s="3">
        <f>4.5+4.5+4.5*2+8+15.5+18</f>
        <v>59.5</v>
      </c>
      <c r="E187">
        <v>1</v>
      </c>
      <c r="F187" t="s">
        <v>326</v>
      </c>
      <c r="H187" t="s">
        <v>327</v>
      </c>
    </row>
    <row r="188" spans="1:8" x14ac:dyDescent="0.3">
      <c r="A188" t="s">
        <v>324</v>
      </c>
      <c r="B188">
        <v>457</v>
      </c>
      <c r="C188" t="s">
        <v>328</v>
      </c>
      <c r="D188" s="3">
        <f>18-10</f>
        <v>8</v>
      </c>
      <c r="E188">
        <v>1</v>
      </c>
    </row>
    <row r="189" spans="1:8" x14ac:dyDescent="0.3">
      <c r="A189" t="s">
        <v>324</v>
      </c>
      <c r="B189">
        <v>458</v>
      </c>
      <c r="C189" t="s">
        <v>679</v>
      </c>
      <c r="D189" s="3">
        <f>5-3*1.26</f>
        <v>1.22</v>
      </c>
      <c r="E189">
        <v>1</v>
      </c>
    </row>
    <row r="190" spans="1:8" x14ac:dyDescent="0.3">
      <c r="A190" t="s">
        <v>330</v>
      </c>
      <c r="B190">
        <v>459</v>
      </c>
      <c r="C190" t="s">
        <v>331</v>
      </c>
      <c r="D190" s="3">
        <f>18.5-3.8-5-6.315</f>
        <v>3.3849999999999998</v>
      </c>
      <c r="E190">
        <v>1</v>
      </c>
    </row>
    <row r="191" spans="1:8" x14ac:dyDescent="0.3">
      <c r="A191" t="s">
        <v>330</v>
      </c>
      <c r="B191">
        <v>460</v>
      </c>
      <c r="C191" t="s">
        <v>680</v>
      </c>
      <c r="D191" s="3">
        <f>14-10</f>
        <v>4</v>
      </c>
      <c r="E191">
        <v>1</v>
      </c>
    </row>
    <row r="192" spans="1:8" x14ac:dyDescent="0.3">
      <c r="A192" t="s">
        <v>333</v>
      </c>
      <c r="B192">
        <v>462</v>
      </c>
      <c r="C192" t="s">
        <v>334</v>
      </c>
      <c r="D192" s="3">
        <f>4.5-2</f>
        <v>2.5</v>
      </c>
      <c r="E192">
        <v>1</v>
      </c>
    </row>
    <row r="193" spans="1:6" x14ac:dyDescent="0.3">
      <c r="A193" s="7" t="s">
        <v>335</v>
      </c>
      <c r="B193" s="7">
        <v>463</v>
      </c>
      <c r="C193" s="7" t="s">
        <v>681</v>
      </c>
      <c r="D193" s="7">
        <v>10</v>
      </c>
      <c r="E193">
        <v>0</v>
      </c>
      <c r="F193" t="s">
        <v>337</v>
      </c>
    </row>
    <row r="194" spans="1:6" x14ac:dyDescent="0.3">
      <c r="A194" t="s">
        <v>335</v>
      </c>
      <c r="B194">
        <v>465</v>
      </c>
      <c r="C194" t="s">
        <v>338</v>
      </c>
      <c r="D194" s="3">
        <f>19.5-10</f>
        <v>9.5</v>
      </c>
      <c r="E194">
        <v>1</v>
      </c>
      <c r="F194" t="s">
        <v>339</v>
      </c>
    </row>
    <row r="195" spans="1:6" x14ac:dyDescent="0.3">
      <c r="A195" t="s">
        <v>340</v>
      </c>
      <c r="B195">
        <v>470</v>
      </c>
      <c r="C195" t="s">
        <v>341</v>
      </c>
      <c r="D195" s="3">
        <f>18.5-5-2.55-3.3</f>
        <v>7.65</v>
      </c>
      <c r="E195">
        <v>1</v>
      </c>
    </row>
    <row r="196" spans="1:6" x14ac:dyDescent="0.3">
      <c r="A196" t="s">
        <v>342</v>
      </c>
      <c r="B196">
        <v>472</v>
      </c>
      <c r="C196" t="s">
        <v>343</v>
      </c>
      <c r="D196" s="3">
        <f>5.2-1.735-1.73</f>
        <v>1.7350000000000001</v>
      </c>
      <c r="E196">
        <v>1</v>
      </c>
    </row>
    <row r="197" spans="1:6" x14ac:dyDescent="0.3">
      <c r="A197" t="s">
        <v>342</v>
      </c>
      <c r="B197">
        <v>472</v>
      </c>
      <c r="C197" t="s">
        <v>344</v>
      </c>
      <c r="D197" s="3">
        <f>5.2-5.2</f>
        <v>0</v>
      </c>
      <c r="E197">
        <v>1</v>
      </c>
    </row>
    <row r="198" spans="1:6" x14ac:dyDescent="0.3">
      <c r="A198" t="s">
        <v>345</v>
      </c>
      <c r="B198">
        <v>474</v>
      </c>
      <c r="C198" t="s">
        <v>346</v>
      </c>
      <c r="D198" s="3">
        <f>12*1.27-2.53</f>
        <v>12.71</v>
      </c>
      <c r="E198">
        <v>0</v>
      </c>
      <c r="F198" t="s">
        <v>347</v>
      </c>
    </row>
    <row r="199" spans="1:6" x14ac:dyDescent="0.3">
      <c r="A199" t="s">
        <v>345</v>
      </c>
      <c r="B199">
        <v>475</v>
      </c>
      <c r="C199" t="s">
        <v>348</v>
      </c>
      <c r="D199" s="3">
        <f>15-13.84-1</f>
        <v>0.16</v>
      </c>
      <c r="E199">
        <v>1</v>
      </c>
    </row>
    <row r="200" spans="1:6" x14ac:dyDescent="0.3">
      <c r="A200" t="s">
        <v>345</v>
      </c>
      <c r="B200">
        <v>476</v>
      </c>
      <c r="C200" t="s">
        <v>349</v>
      </c>
      <c r="D200" s="3">
        <f>9.7*1.27-4*1.27</f>
        <v>7.2389999999999999</v>
      </c>
      <c r="E200">
        <v>0</v>
      </c>
    </row>
    <row r="201" spans="1:6" x14ac:dyDescent="0.3">
      <c r="A201" t="s">
        <v>350</v>
      </c>
      <c r="B201">
        <v>478</v>
      </c>
      <c r="C201" t="s">
        <v>351</v>
      </c>
      <c r="D201" s="3">
        <f>19-5</f>
        <v>14</v>
      </c>
      <c r="E201">
        <v>1</v>
      </c>
      <c r="F201" t="s">
        <v>353</v>
      </c>
    </row>
    <row r="202" spans="1:6" x14ac:dyDescent="0.3">
      <c r="A202" t="s">
        <v>354</v>
      </c>
      <c r="B202">
        <v>479</v>
      </c>
      <c r="C202" t="s">
        <v>355</v>
      </c>
      <c r="D202" s="3">
        <f>14*1.27</f>
        <v>17.78</v>
      </c>
      <c r="E202">
        <v>1</v>
      </c>
    </row>
    <row r="203" spans="1:6" x14ac:dyDescent="0.3">
      <c r="A203" t="s">
        <v>354</v>
      </c>
      <c r="B203">
        <v>481</v>
      </c>
      <c r="C203" t="s">
        <v>356</v>
      </c>
      <c r="D203" s="3">
        <f>20-5</f>
        <v>15</v>
      </c>
      <c r="E203">
        <v>1</v>
      </c>
      <c r="F203" t="s">
        <v>357</v>
      </c>
    </row>
    <row r="204" spans="1:6" x14ac:dyDescent="0.3">
      <c r="A204" t="s">
        <v>354</v>
      </c>
      <c r="B204">
        <v>482</v>
      </c>
      <c r="C204" t="s">
        <v>358</v>
      </c>
      <c r="D204" s="3">
        <v>5</v>
      </c>
      <c r="E204">
        <v>1</v>
      </c>
    </row>
    <row r="205" spans="1:6" x14ac:dyDescent="0.3">
      <c r="A205" t="s">
        <v>359</v>
      </c>
      <c r="B205">
        <v>488</v>
      </c>
      <c r="C205" t="s">
        <v>682</v>
      </c>
      <c r="D205" s="3">
        <v>8</v>
      </c>
      <c r="E205">
        <v>1</v>
      </c>
    </row>
    <row r="206" spans="1:6" x14ac:dyDescent="0.3">
      <c r="A206" t="s">
        <v>362</v>
      </c>
      <c r="B206">
        <v>490</v>
      </c>
      <c r="C206" t="s">
        <v>363</v>
      </c>
      <c r="D206" s="3">
        <f>14-1</f>
        <v>13</v>
      </c>
      <c r="E206">
        <v>1</v>
      </c>
    </row>
    <row r="207" spans="1:6" x14ac:dyDescent="0.3">
      <c r="A207" t="s">
        <v>362</v>
      </c>
      <c r="B207">
        <v>491</v>
      </c>
      <c r="C207" t="s">
        <v>364</v>
      </c>
      <c r="D207" s="3">
        <v>0.3</v>
      </c>
      <c r="E207">
        <v>1</v>
      </c>
    </row>
    <row r="208" spans="1:6" x14ac:dyDescent="0.3">
      <c r="A208" t="s">
        <v>27</v>
      </c>
      <c r="B208">
        <v>492</v>
      </c>
      <c r="C208" t="s">
        <v>365</v>
      </c>
      <c r="D208" s="3">
        <f>19-6-9</f>
        <v>4</v>
      </c>
      <c r="E208">
        <v>1</v>
      </c>
    </row>
    <row r="209" spans="1:6" x14ac:dyDescent="0.3">
      <c r="A209" t="s">
        <v>27</v>
      </c>
      <c r="B209">
        <v>493</v>
      </c>
      <c r="C209" t="s">
        <v>366</v>
      </c>
      <c r="D209" s="3">
        <f>1.35-1.1</f>
        <v>0.25</v>
      </c>
      <c r="E209">
        <v>1</v>
      </c>
    </row>
    <row r="210" spans="1:6" x14ac:dyDescent="0.3">
      <c r="A210" s="8" t="s">
        <v>367</v>
      </c>
      <c r="B210">
        <v>495</v>
      </c>
      <c r="C210" t="s">
        <v>368</v>
      </c>
      <c r="D210" s="3">
        <f>4.3*3+17.3+16.3+10.2-16.3-4.2+4.3+4.3-10.2-4.2*4-0.5+6.3+4.4+4.4+4.2+5.8+5.8+5.8+12.5-12.6-16.3-4.4*2-5.8+4-4</f>
        <v>23</v>
      </c>
      <c r="E210" s="3">
        <v>0</v>
      </c>
    </row>
    <row r="211" spans="1:6" x14ac:dyDescent="0.3">
      <c r="A211" t="s">
        <v>369</v>
      </c>
      <c r="B211">
        <v>499</v>
      </c>
      <c r="C211" t="s">
        <v>370</v>
      </c>
      <c r="D211" s="3">
        <f>23*1.27</f>
        <v>29.21</v>
      </c>
      <c r="E211" s="3">
        <v>1</v>
      </c>
      <c r="F211" t="s">
        <v>371</v>
      </c>
    </row>
    <row r="212" spans="1:6" x14ac:dyDescent="0.3">
      <c r="A212" t="s">
        <v>372</v>
      </c>
      <c r="B212">
        <v>501</v>
      </c>
      <c r="C212" t="s">
        <v>373</v>
      </c>
      <c r="D212" s="3">
        <f>14-11-2.82-0.18</f>
        <v>0</v>
      </c>
      <c r="E212" s="3">
        <v>1</v>
      </c>
    </row>
    <row r="213" spans="1:6" x14ac:dyDescent="0.3">
      <c r="A213" t="s">
        <v>374</v>
      </c>
      <c r="B213">
        <v>502</v>
      </c>
      <c r="C213" t="s">
        <v>375</v>
      </c>
      <c r="D213" s="3">
        <v>23</v>
      </c>
      <c r="E213" s="3">
        <v>1</v>
      </c>
    </row>
    <row r="214" spans="1:6" x14ac:dyDescent="0.3">
      <c r="A214" t="s">
        <v>376</v>
      </c>
      <c r="B214">
        <v>503</v>
      </c>
      <c r="C214" t="s">
        <v>377</v>
      </c>
      <c r="D214" s="3">
        <f>7.5*1.27</f>
        <v>9.5250000000000004</v>
      </c>
      <c r="E214" s="3">
        <v>1</v>
      </c>
      <c r="F214" t="s">
        <v>378</v>
      </c>
    </row>
    <row r="215" spans="1:6" x14ac:dyDescent="0.3">
      <c r="A215" t="s">
        <v>376</v>
      </c>
      <c r="B215">
        <v>504</v>
      </c>
      <c r="C215" t="s">
        <v>379</v>
      </c>
      <c r="D215" s="3">
        <f>-20*1.265+0.525-22*1.265</f>
        <v>-52.604999999999997</v>
      </c>
      <c r="E215" s="3">
        <v>0</v>
      </c>
      <c r="F215" t="s">
        <v>380</v>
      </c>
    </row>
    <row r="216" spans="1:6" x14ac:dyDescent="0.3">
      <c r="A216" t="s">
        <v>376</v>
      </c>
      <c r="B216">
        <v>505</v>
      </c>
      <c r="C216" t="s">
        <v>381</v>
      </c>
      <c r="D216" s="3">
        <f>4.8-2-1-0.9</f>
        <v>0.9</v>
      </c>
      <c r="E216" s="3">
        <v>1</v>
      </c>
    </row>
    <row r="217" spans="1:6" x14ac:dyDescent="0.3">
      <c r="A217" t="s">
        <v>376</v>
      </c>
      <c r="B217">
        <v>506</v>
      </c>
      <c r="C217" t="s">
        <v>382</v>
      </c>
      <c r="D217" s="3">
        <f>38-7</f>
        <v>31</v>
      </c>
      <c r="E217" s="3">
        <v>1</v>
      </c>
      <c r="F217" t="s">
        <v>384</v>
      </c>
    </row>
    <row r="218" spans="1:6" x14ac:dyDescent="0.3">
      <c r="A218" t="s">
        <v>376</v>
      </c>
      <c r="B218">
        <v>508</v>
      </c>
      <c r="C218" t="s">
        <v>385</v>
      </c>
      <c r="D218" s="3">
        <f>22-1</f>
        <v>21</v>
      </c>
      <c r="E218" s="3">
        <v>1</v>
      </c>
      <c r="F218" t="s">
        <v>386</v>
      </c>
    </row>
    <row r="219" spans="1:6" x14ac:dyDescent="0.3">
      <c r="A219" t="s">
        <v>376</v>
      </c>
      <c r="B219">
        <v>509</v>
      </c>
      <c r="C219" t="s">
        <v>387</v>
      </c>
      <c r="D219" s="3">
        <v>19.5</v>
      </c>
      <c r="E219" s="3">
        <v>1</v>
      </c>
      <c r="F219" t="s">
        <v>388</v>
      </c>
    </row>
    <row r="220" spans="1:6" x14ac:dyDescent="0.3">
      <c r="A220" t="s">
        <v>389</v>
      </c>
      <c r="B220">
        <v>511</v>
      </c>
      <c r="C220" t="s">
        <v>390</v>
      </c>
      <c r="D220" s="3">
        <f>19.5-5-2.4-2.54</f>
        <v>9.56</v>
      </c>
      <c r="E220" s="3">
        <v>1</v>
      </c>
    </row>
    <row r="221" spans="1:6" x14ac:dyDescent="0.3">
      <c r="A221" t="s">
        <v>389</v>
      </c>
      <c r="B221">
        <v>512</v>
      </c>
      <c r="C221" t="s">
        <v>391</v>
      </c>
      <c r="D221" s="3">
        <f>19-5-5</f>
        <v>9</v>
      </c>
      <c r="E221" s="3">
        <v>1</v>
      </c>
    </row>
    <row r="222" spans="1:6" x14ac:dyDescent="0.3">
      <c r="A222" t="s">
        <v>389</v>
      </c>
      <c r="B222">
        <v>513</v>
      </c>
      <c r="C222" t="s">
        <v>392</v>
      </c>
      <c r="D222" s="3">
        <f>18.5-6-4.17</f>
        <v>8.33</v>
      </c>
      <c r="E222" s="3">
        <v>1</v>
      </c>
    </row>
    <row r="223" spans="1:6" x14ac:dyDescent="0.3">
      <c r="A223" t="s">
        <v>389</v>
      </c>
      <c r="B223">
        <v>514</v>
      </c>
      <c r="C223" t="s">
        <v>393</v>
      </c>
      <c r="D223" s="3">
        <f>18.5-9</f>
        <v>9.5</v>
      </c>
      <c r="E223" s="3">
        <v>1</v>
      </c>
    </row>
    <row r="224" spans="1:6" x14ac:dyDescent="0.3">
      <c r="A224" t="s">
        <v>394</v>
      </c>
      <c r="B224">
        <v>515</v>
      </c>
      <c r="C224" t="s">
        <v>395</v>
      </c>
      <c r="D224" s="3">
        <f>16.3-8.8+0.65-5.064-2.536</f>
        <v>0.55000000000000004</v>
      </c>
      <c r="E224" s="3">
        <v>1</v>
      </c>
    </row>
    <row r="225" spans="1:6" x14ac:dyDescent="0.3">
      <c r="A225" t="s">
        <v>394</v>
      </c>
      <c r="B225">
        <v>516</v>
      </c>
      <c r="C225" t="s">
        <v>396</v>
      </c>
      <c r="D225" s="3">
        <f>30-3</f>
        <v>27</v>
      </c>
      <c r="E225" s="3">
        <v>1</v>
      </c>
      <c r="F225" t="s">
        <v>397</v>
      </c>
    </row>
    <row r="226" spans="1:6" x14ac:dyDescent="0.3">
      <c r="A226" t="s">
        <v>398</v>
      </c>
      <c r="B226">
        <v>519</v>
      </c>
      <c r="C226" t="s">
        <v>399</v>
      </c>
      <c r="D226" s="3">
        <f>14-10-2</f>
        <v>2</v>
      </c>
      <c r="E226" s="3">
        <v>1</v>
      </c>
      <c r="F226">
        <v>1400</v>
      </c>
    </row>
    <row r="227" spans="1:6" x14ac:dyDescent="0.3">
      <c r="A227" t="s">
        <v>400</v>
      </c>
      <c r="B227">
        <v>523</v>
      </c>
      <c r="C227" t="s">
        <v>401</v>
      </c>
      <c r="D227" s="3">
        <f>10*1.27</f>
        <v>12.7</v>
      </c>
      <c r="E227" s="3">
        <v>1</v>
      </c>
      <c r="F227" t="s">
        <v>402</v>
      </c>
    </row>
    <row r="228" spans="1:6" x14ac:dyDescent="0.3">
      <c r="A228" t="s">
        <v>400</v>
      </c>
      <c r="B228">
        <v>524</v>
      </c>
      <c r="C228" t="s">
        <v>403</v>
      </c>
      <c r="D228" s="3">
        <f>14.5*1.27</f>
        <v>18.414999999999999</v>
      </c>
      <c r="E228" s="3">
        <v>0</v>
      </c>
      <c r="F228">
        <v>1400</v>
      </c>
    </row>
    <row r="229" spans="1:6" x14ac:dyDescent="0.3">
      <c r="A229" t="s">
        <v>404</v>
      </c>
      <c r="B229">
        <v>526</v>
      </c>
      <c r="C229" t="s">
        <v>683</v>
      </c>
      <c r="D229" s="3">
        <v>1.05</v>
      </c>
      <c r="E229" s="3">
        <v>1</v>
      </c>
    </row>
    <row r="230" spans="1:6" x14ac:dyDescent="0.3">
      <c r="A230" t="s">
        <v>404</v>
      </c>
      <c r="B230">
        <v>527</v>
      </c>
      <c r="C230" t="s">
        <v>406</v>
      </c>
      <c r="D230" s="3">
        <f>23-3</f>
        <v>20</v>
      </c>
      <c r="E230" s="3">
        <v>1</v>
      </c>
      <c r="F230" t="s">
        <v>386</v>
      </c>
    </row>
    <row r="231" spans="1:6" x14ac:dyDescent="0.3">
      <c r="A231" t="s">
        <v>404</v>
      </c>
      <c r="B231">
        <v>528</v>
      </c>
      <c r="C231" t="s">
        <v>407</v>
      </c>
      <c r="D231" s="3">
        <v>4.8</v>
      </c>
      <c r="E231" s="3">
        <v>1</v>
      </c>
      <c r="F231" t="s">
        <v>408</v>
      </c>
    </row>
    <row r="232" spans="1:6" x14ac:dyDescent="0.3">
      <c r="A232" t="s">
        <v>404</v>
      </c>
      <c r="B232">
        <v>529</v>
      </c>
      <c r="C232" t="s">
        <v>684</v>
      </c>
      <c r="D232" s="3">
        <v>4</v>
      </c>
      <c r="E232" t="s">
        <v>409</v>
      </c>
    </row>
    <row r="233" spans="1:6" x14ac:dyDescent="0.3">
      <c r="A233" t="s">
        <v>410</v>
      </c>
      <c r="B233">
        <v>531</v>
      </c>
      <c r="C233" t="s">
        <v>411</v>
      </c>
      <c r="D233" s="3">
        <f>19-9</f>
        <v>10</v>
      </c>
      <c r="E233">
        <v>1</v>
      </c>
    </row>
    <row r="234" spans="1:6" x14ac:dyDescent="0.3">
      <c r="A234" t="s">
        <v>413</v>
      </c>
      <c r="B234">
        <v>536</v>
      </c>
      <c r="C234" t="s">
        <v>414</v>
      </c>
      <c r="D234" s="13">
        <f>19-10-8.4-0.6</f>
        <v>0</v>
      </c>
      <c r="E234">
        <v>0</v>
      </c>
      <c r="F234" t="s">
        <v>415</v>
      </c>
    </row>
    <row r="235" spans="1:6" x14ac:dyDescent="0.3">
      <c r="A235" t="s">
        <v>416</v>
      </c>
      <c r="B235">
        <v>539</v>
      </c>
      <c r="C235" t="s">
        <v>417</v>
      </c>
      <c r="D235" s="13">
        <f>19.5-10-9-0.5</f>
        <v>0</v>
      </c>
      <c r="E235">
        <v>0</v>
      </c>
    </row>
    <row r="236" spans="1:6" x14ac:dyDescent="0.3">
      <c r="A236" t="s">
        <v>418</v>
      </c>
      <c r="B236">
        <v>540</v>
      </c>
      <c r="C236" t="s">
        <v>419</v>
      </c>
      <c r="D236" s="3">
        <f>28-5-5-5</f>
        <v>13</v>
      </c>
      <c r="E236">
        <v>1</v>
      </c>
    </row>
    <row r="237" spans="1:6" x14ac:dyDescent="0.3">
      <c r="A237" t="s">
        <v>418</v>
      </c>
      <c r="B237">
        <v>541</v>
      </c>
      <c r="C237" t="s">
        <v>421</v>
      </c>
      <c r="D237" s="3">
        <f>18.5-10-8.5</f>
        <v>0</v>
      </c>
      <c r="E237">
        <v>0</v>
      </c>
    </row>
    <row r="238" spans="1:6" x14ac:dyDescent="0.3">
      <c r="A238" t="s">
        <v>418</v>
      </c>
      <c r="B238">
        <v>542</v>
      </c>
      <c r="C238" t="s">
        <v>685</v>
      </c>
      <c r="D238" s="3">
        <v>18.5</v>
      </c>
      <c r="E238">
        <v>1</v>
      </c>
    </row>
    <row r="239" spans="1:6" x14ac:dyDescent="0.3">
      <c r="A239" t="s">
        <v>424</v>
      </c>
      <c r="B239">
        <v>543</v>
      </c>
      <c r="C239" t="s">
        <v>425</v>
      </c>
      <c r="D239" s="3">
        <f>28-10</f>
        <v>18</v>
      </c>
      <c r="E239">
        <v>1</v>
      </c>
    </row>
    <row r="240" spans="1:6" x14ac:dyDescent="0.3">
      <c r="A240" t="s">
        <v>426</v>
      </c>
      <c r="B240">
        <v>544</v>
      </c>
      <c r="C240" t="s">
        <v>427</v>
      </c>
      <c r="D240" s="3">
        <f>5-2</f>
        <v>3</v>
      </c>
      <c r="E240">
        <v>1</v>
      </c>
    </row>
    <row r="241" spans="1:5" x14ac:dyDescent="0.3">
      <c r="A241" t="s">
        <v>426</v>
      </c>
      <c r="B241">
        <v>545</v>
      </c>
      <c r="C241" t="s">
        <v>429</v>
      </c>
      <c r="D241" s="3">
        <f>20-9</f>
        <v>11</v>
      </c>
      <c r="E241">
        <v>1</v>
      </c>
    </row>
    <row r="242" spans="1:5" x14ac:dyDescent="0.3">
      <c r="A242" t="s">
        <v>426</v>
      </c>
      <c r="B242">
        <v>546</v>
      </c>
      <c r="C242" t="s">
        <v>430</v>
      </c>
      <c r="D242" s="3">
        <f>18-5</f>
        <v>13</v>
      </c>
      <c r="E242">
        <v>1</v>
      </c>
    </row>
    <row r="243" spans="1:5" x14ac:dyDescent="0.3">
      <c r="A243" t="s">
        <v>426</v>
      </c>
      <c r="B243">
        <v>547</v>
      </c>
      <c r="C243" t="s">
        <v>432</v>
      </c>
      <c r="D243" s="3">
        <v>0.1</v>
      </c>
      <c r="E243">
        <v>1</v>
      </c>
    </row>
    <row r="244" spans="1:5" x14ac:dyDescent="0.3">
      <c r="A244" t="s">
        <v>426</v>
      </c>
      <c r="B244">
        <v>548</v>
      </c>
      <c r="C244" t="s">
        <v>433</v>
      </c>
      <c r="D244" s="3">
        <v>5</v>
      </c>
      <c r="E244">
        <v>0</v>
      </c>
    </row>
    <row r="245" spans="1:5" x14ac:dyDescent="0.3">
      <c r="A245" t="s">
        <v>434</v>
      </c>
      <c r="B245">
        <v>550</v>
      </c>
      <c r="C245" t="s">
        <v>435</v>
      </c>
      <c r="D245" s="3">
        <v>0.7</v>
      </c>
      <c r="E245">
        <v>1</v>
      </c>
    </row>
    <row r="246" spans="1:5" x14ac:dyDescent="0.3">
      <c r="A246" t="s">
        <v>436</v>
      </c>
      <c r="B246">
        <v>551</v>
      </c>
      <c r="C246" t="s">
        <v>437</v>
      </c>
      <c r="D246" s="3">
        <f>18.7-16.8</f>
        <v>1.9</v>
      </c>
      <c r="E246">
        <v>1</v>
      </c>
    </row>
    <row r="247" spans="1:5" x14ac:dyDescent="0.3">
      <c r="A247" t="s">
        <v>436</v>
      </c>
      <c r="B247">
        <v>552</v>
      </c>
      <c r="C247" t="s">
        <v>438</v>
      </c>
      <c r="D247" s="3">
        <f>17-12.55-4</f>
        <v>0.44999999999999901</v>
      </c>
      <c r="E247">
        <v>1</v>
      </c>
    </row>
    <row r="248" spans="1:5" x14ac:dyDescent="0.3">
      <c r="A248" t="s">
        <v>436</v>
      </c>
      <c r="B248">
        <v>553</v>
      </c>
      <c r="C248" t="s">
        <v>439</v>
      </c>
      <c r="D248" s="3">
        <f>5-2-1</f>
        <v>2</v>
      </c>
      <c r="E248">
        <v>1</v>
      </c>
    </row>
    <row r="249" spans="1:5" x14ac:dyDescent="0.3">
      <c r="A249" t="s">
        <v>440</v>
      </c>
      <c r="B249">
        <v>555</v>
      </c>
      <c r="C249" t="s">
        <v>441</v>
      </c>
      <c r="D249" s="3">
        <f>5-2-1</f>
        <v>2</v>
      </c>
      <c r="E249">
        <v>1</v>
      </c>
    </row>
    <row r="250" spans="1:5" x14ac:dyDescent="0.3">
      <c r="A250" t="s">
        <v>440</v>
      </c>
      <c r="B250">
        <v>556</v>
      </c>
      <c r="C250" t="s">
        <v>443</v>
      </c>
      <c r="D250" s="3">
        <f>18-10</f>
        <v>8</v>
      </c>
      <c r="E250">
        <v>1</v>
      </c>
    </row>
    <row r="251" spans="1:5" x14ac:dyDescent="0.3">
      <c r="A251" t="s">
        <v>440</v>
      </c>
      <c r="B251">
        <v>557</v>
      </c>
      <c r="C251" t="s">
        <v>444</v>
      </c>
      <c r="D251" s="3">
        <f>20-5-3</f>
        <v>12</v>
      </c>
      <c r="E251">
        <v>1</v>
      </c>
    </row>
    <row r="252" spans="1:5" x14ac:dyDescent="0.3">
      <c r="A252" t="s">
        <v>440</v>
      </c>
      <c r="B252">
        <v>558</v>
      </c>
      <c r="C252" t="s">
        <v>445</v>
      </c>
      <c r="D252" s="3">
        <v>29</v>
      </c>
      <c r="E252">
        <v>1</v>
      </c>
    </row>
    <row r="253" spans="1:5" x14ac:dyDescent="0.3">
      <c r="A253" t="s">
        <v>447</v>
      </c>
      <c r="B253">
        <v>559</v>
      </c>
      <c r="C253" t="s">
        <v>448</v>
      </c>
      <c r="D253" s="13">
        <f>21-10-4.9-5-1.1</f>
        <v>0</v>
      </c>
      <c r="E253">
        <v>0</v>
      </c>
    </row>
    <row r="254" spans="1:5" x14ac:dyDescent="0.3">
      <c r="A254" t="s">
        <v>447</v>
      </c>
      <c r="B254">
        <v>560</v>
      </c>
      <c r="C254" t="s">
        <v>449</v>
      </c>
      <c r="D254" s="3">
        <f>18.5-16.797</f>
        <v>1.7030000000000001</v>
      </c>
      <c r="E254">
        <v>1</v>
      </c>
    </row>
    <row r="255" spans="1:5" x14ac:dyDescent="0.3">
      <c r="A255" t="s">
        <v>447</v>
      </c>
      <c r="B255">
        <v>561</v>
      </c>
      <c r="C255" t="s">
        <v>451</v>
      </c>
      <c r="D255" s="3">
        <f>20-2.5-6*1.27</f>
        <v>9.8800000000000008</v>
      </c>
      <c r="E255">
        <v>1</v>
      </c>
    </row>
    <row r="256" spans="1:5" x14ac:dyDescent="0.3">
      <c r="A256" t="s">
        <v>447</v>
      </c>
      <c r="B256">
        <v>562</v>
      </c>
      <c r="C256" t="s">
        <v>452</v>
      </c>
      <c r="D256" s="3">
        <v>20</v>
      </c>
      <c r="E256">
        <v>1</v>
      </c>
    </row>
    <row r="257" spans="1:6" x14ac:dyDescent="0.3">
      <c r="A257" t="s">
        <v>453</v>
      </c>
      <c r="B257">
        <v>563</v>
      </c>
      <c r="C257" t="s">
        <v>454</v>
      </c>
      <c r="D257" s="3">
        <f>20-6-9-4-1</f>
        <v>0</v>
      </c>
      <c r="E257">
        <v>0</v>
      </c>
    </row>
    <row r="258" spans="1:6" x14ac:dyDescent="0.3">
      <c r="A258" t="s">
        <v>455</v>
      </c>
      <c r="B258">
        <v>564</v>
      </c>
      <c r="C258" t="s">
        <v>456</v>
      </c>
      <c r="D258" s="3">
        <f>20.5-12</f>
        <v>8.5</v>
      </c>
      <c r="E258">
        <v>1</v>
      </c>
    </row>
    <row r="259" spans="1:6" x14ac:dyDescent="0.3">
      <c r="A259" t="s">
        <v>458</v>
      </c>
      <c r="B259">
        <v>561</v>
      </c>
      <c r="C259" t="s">
        <v>459</v>
      </c>
      <c r="D259" s="3">
        <f>6.2*1.27</f>
        <v>7.8739999999999997</v>
      </c>
      <c r="E259">
        <v>1</v>
      </c>
    </row>
    <row r="260" spans="1:6" x14ac:dyDescent="0.3">
      <c r="A260" t="s">
        <v>458</v>
      </c>
      <c r="B260">
        <v>562</v>
      </c>
      <c r="C260" t="s">
        <v>460</v>
      </c>
      <c r="D260" s="3">
        <f>1.15*5-3+0.35</f>
        <v>3.1</v>
      </c>
      <c r="E260">
        <v>1</v>
      </c>
    </row>
    <row r="261" spans="1:6" x14ac:dyDescent="0.3">
      <c r="A261" t="s">
        <v>461</v>
      </c>
      <c r="B261">
        <v>563</v>
      </c>
      <c r="C261" t="s">
        <v>462</v>
      </c>
      <c r="D261" s="3">
        <v>22</v>
      </c>
      <c r="E261">
        <v>1</v>
      </c>
    </row>
    <row r="262" spans="1:6" x14ac:dyDescent="0.3">
      <c r="A262" t="s">
        <v>461</v>
      </c>
      <c r="B262">
        <v>564</v>
      </c>
      <c r="C262" t="s">
        <v>463</v>
      </c>
      <c r="D262" s="13">
        <f>18-14-3.5-0.5</f>
        <v>0</v>
      </c>
      <c r="E262">
        <v>1</v>
      </c>
    </row>
    <row r="263" spans="1:6" x14ac:dyDescent="0.3">
      <c r="A263" t="s">
        <v>464</v>
      </c>
      <c r="B263">
        <v>567</v>
      </c>
      <c r="C263" t="s">
        <v>465</v>
      </c>
      <c r="D263" s="3">
        <v>17</v>
      </c>
      <c r="E263">
        <v>1</v>
      </c>
    </row>
    <row r="264" spans="1:6" ht="13.8" customHeight="1" x14ac:dyDescent="0.3">
      <c r="A264" t="s">
        <v>467</v>
      </c>
      <c r="B264">
        <v>569</v>
      </c>
      <c r="C264" t="s">
        <v>468</v>
      </c>
      <c r="D264" s="3">
        <f>20-7</f>
        <v>13</v>
      </c>
      <c r="E264">
        <v>1</v>
      </c>
      <c r="F264" t="s">
        <v>470</v>
      </c>
    </row>
    <row r="265" spans="1:6" x14ac:dyDescent="0.3">
      <c r="A265" t="s">
        <v>471</v>
      </c>
      <c r="B265">
        <v>572</v>
      </c>
      <c r="C265" t="s">
        <v>472</v>
      </c>
      <c r="D265" s="3">
        <f>18-17.65</f>
        <v>0.35000000000000098</v>
      </c>
      <c r="E265">
        <v>1</v>
      </c>
    </row>
    <row r="266" spans="1:6" x14ac:dyDescent="0.3">
      <c r="A266" t="s">
        <v>473</v>
      </c>
      <c r="B266">
        <v>574</v>
      </c>
      <c r="C266" t="s">
        <v>474</v>
      </c>
      <c r="D266" s="3">
        <f>21.5-5</f>
        <v>16.5</v>
      </c>
      <c r="E266">
        <v>1</v>
      </c>
    </row>
    <row r="267" spans="1:6" x14ac:dyDescent="0.3">
      <c r="A267" t="s">
        <v>473</v>
      </c>
      <c r="B267">
        <v>575</v>
      </c>
      <c r="C267" t="s">
        <v>475</v>
      </c>
      <c r="D267" s="3">
        <f>28.5-18.9-8.86</f>
        <v>0.74000000000000199</v>
      </c>
      <c r="E267">
        <v>1</v>
      </c>
    </row>
    <row r="268" spans="1:6" x14ac:dyDescent="0.3">
      <c r="A268" t="s">
        <v>477</v>
      </c>
      <c r="B268">
        <v>578</v>
      </c>
      <c r="C268" t="s">
        <v>478</v>
      </c>
      <c r="D268" s="3">
        <f>26.5-16.5-6</f>
        <v>4</v>
      </c>
      <c r="E268">
        <v>1</v>
      </c>
    </row>
    <row r="269" spans="1:6" x14ac:dyDescent="0.3">
      <c r="A269" t="s">
        <v>477</v>
      </c>
      <c r="B269">
        <v>580</v>
      </c>
      <c r="C269" t="s">
        <v>480</v>
      </c>
      <c r="D269" s="3">
        <f>21-5</f>
        <v>16</v>
      </c>
      <c r="E269">
        <v>1</v>
      </c>
    </row>
    <row r="270" spans="1:6" x14ac:dyDescent="0.3">
      <c r="A270" t="s">
        <v>477</v>
      </c>
      <c r="B270">
        <v>581</v>
      </c>
      <c r="C270" t="s">
        <v>481</v>
      </c>
      <c r="D270" s="3">
        <f>18-15</f>
        <v>3</v>
      </c>
      <c r="E270">
        <v>1</v>
      </c>
    </row>
    <row r="271" spans="1:6" x14ac:dyDescent="0.3">
      <c r="A271" t="s">
        <v>477</v>
      </c>
      <c r="B271">
        <v>582</v>
      </c>
      <c r="C271" t="s">
        <v>483</v>
      </c>
      <c r="D271" s="3">
        <f>8.5*1.27</f>
        <v>10.795</v>
      </c>
      <c r="E271">
        <v>0</v>
      </c>
    </row>
    <row r="272" spans="1:6" x14ac:dyDescent="0.3">
      <c r="A272" t="s">
        <v>484</v>
      </c>
      <c r="B272">
        <v>584</v>
      </c>
      <c r="C272" t="s">
        <v>485</v>
      </c>
      <c r="D272" s="3">
        <f>5-1</f>
        <v>4</v>
      </c>
      <c r="E272">
        <v>1</v>
      </c>
    </row>
    <row r="273" spans="1:5" x14ac:dyDescent="0.3">
      <c r="A273" t="s">
        <v>484</v>
      </c>
      <c r="B273">
        <v>584</v>
      </c>
      <c r="C273" t="s">
        <v>486</v>
      </c>
      <c r="D273" s="3">
        <v>4.8</v>
      </c>
      <c r="E273">
        <v>1</v>
      </c>
    </row>
    <row r="274" spans="1:5" x14ac:dyDescent="0.3">
      <c r="A274" t="s">
        <v>484</v>
      </c>
      <c r="B274">
        <v>585</v>
      </c>
      <c r="C274" t="s">
        <v>487</v>
      </c>
      <c r="D274" s="3">
        <f>20-5.5-4.5-3.5</f>
        <v>6.5</v>
      </c>
      <c r="E274">
        <v>1</v>
      </c>
    </row>
    <row r="275" spans="1:5" x14ac:dyDescent="0.3">
      <c r="A275" t="s">
        <v>489</v>
      </c>
      <c r="B275">
        <v>586</v>
      </c>
      <c r="C275" t="s">
        <v>490</v>
      </c>
      <c r="D275" s="3">
        <f>17-6.3</f>
        <v>10.7</v>
      </c>
      <c r="E275">
        <v>1</v>
      </c>
    </row>
    <row r="276" spans="1:5" x14ac:dyDescent="0.3">
      <c r="A276" t="s">
        <v>489</v>
      </c>
      <c r="B276">
        <v>587</v>
      </c>
      <c r="C276" t="s">
        <v>492</v>
      </c>
      <c r="D276" s="13">
        <f>18-11-7</f>
        <v>0</v>
      </c>
      <c r="E276">
        <v>1</v>
      </c>
    </row>
    <row r="277" spans="1:5" x14ac:dyDescent="0.3">
      <c r="A277" t="s">
        <v>489</v>
      </c>
      <c r="B277">
        <v>588</v>
      </c>
      <c r="C277" t="s">
        <v>493</v>
      </c>
      <c r="D277" s="3">
        <v>0.8</v>
      </c>
      <c r="E277">
        <v>1</v>
      </c>
    </row>
    <row r="278" spans="1:5" x14ac:dyDescent="0.3">
      <c r="A278" t="s">
        <v>494</v>
      </c>
      <c r="B278">
        <v>589</v>
      </c>
      <c r="C278" t="s">
        <v>495</v>
      </c>
      <c r="D278" s="3">
        <v>18.5</v>
      </c>
      <c r="E278">
        <v>1</v>
      </c>
    </row>
    <row r="279" spans="1:5" x14ac:dyDescent="0.3">
      <c r="A279" t="s">
        <v>494</v>
      </c>
      <c r="B279">
        <v>590</v>
      </c>
      <c r="C279" t="s">
        <v>496</v>
      </c>
      <c r="D279" s="3">
        <f>14.5-5-8</f>
        <v>1.5</v>
      </c>
      <c r="E279">
        <v>1</v>
      </c>
    </row>
    <row r="280" spans="1:5" x14ac:dyDescent="0.3">
      <c r="A280" t="s">
        <v>497</v>
      </c>
      <c r="B280">
        <v>591</v>
      </c>
      <c r="C280" t="s">
        <v>498</v>
      </c>
      <c r="D280" s="3">
        <f>17-7*1.265</f>
        <v>8.1449999999999996</v>
      </c>
      <c r="E280">
        <v>1</v>
      </c>
    </row>
    <row r="281" spans="1:5" x14ac:dyDescent="0.3">
      <c r="A281" t="s">
        <v>499</v>
      </c>
      <c r="B281">
        <v>592</v>
      </c>
      <c r="C281" t="s">
        <v>500</v>
      </c>
      <c r="D281" s="3">
        <f>9-5</f>
        <v>4</v>
      </c>
      <c r="E281">
        <v>1</v>
      </c>
    </row>
    <row r="282" spans="1:5" x14ac:dyDescent="0.3">
      <c r="A282" t="s">
        <v>499</v>
      </c>
      <c r="B282">
        <v>593</v>
      </c>
      <c r="C282" t="s">
        <v>501</v>
      </c>
      <c r="D282" s="3">
        <f>30-2</f>
        <v>28</v>
      </c>
      <c r="E282">
        <v>1</v>
      </c>
    </row>
    <row r="283" spans="1:5" x14ac:dyDescent="0.3">
      <c r="A283" t="s">
        <v>503</v>
      </c>
      <c r="B283">
        <v>595</v>
      </c>
      <c r="C283" t="s">
        <v>504</v>
      </c>
      <c r="D283" s="3">
        <f>20-2.5-5.48</f>
        <v>12.02</v>
      </c>
      <c r="E283">
        <v>1</v>
      </c>
    </row>
    <row r="284" spans="1:5" x14ac:dyDescent="0.3">
      <c r="A284" t="s">
        <v>503</v>
      </c>
      <c r="B284">
        <v>596</v>
      </c>
      <c r="C284" t="s">
        <v>506</v>
      </c>
      <c r="D284" s="3">
        <f>32-2</f>
        <v>30</v>
      </c>
      <c r="E284">
        <v>1</v>
      </c>
    </row>
    <row r="285" spans="1:5" x14ac:dyDescent="0.3">
      <c r="A285" t="s">
        <v>508</v>
      </c>
      <c r="B285">
        <v>597</v>
      </c>
      <c r="C285" t="s">
        <v>509</v>
      </c>
      <c r="D285" s="3">
        <f>17.2-1-9.9</f>
        <v>6.3</v>
      </c>
      <c r="E285">
        <v>1</v>
      </c>
    </row>
    <row r="286" spans="1:5" x14ac:dyDescent="0.3">
      <c r="A286" t="s">
        <v>510</v>
      </c>
      <c r="B286">
        <v>600</v>
      </c>
      <c r="C286" t="s">
        <v>511</v>
      </c>
      <c r="D286" s="3">
        <f>18-2</f>
        <v>16</v>
      </c>
      <c r="E286">
        <v>1</v>
      </c>
    </row>
    <row r="287" spans="1:5" x14ac:dyDescent="0.3">
      <c r="A287" t="s">
        <v>510</v>
      </c>
      <c r="B287">
        <v>602</v>
      </c>
      <c r="C287" t="s">
        <v>512</v>
      </c>
      <c r="D287" s="3">
        <f>1.1-0.93</f>
        <v>0.17</v>
      </c>
      <c r="E287">
        <v>1</v>
      </c>
    </row>
    <row r="288" spans="1:5" x14ac:dyDescent="0.3">
      <c r="A288" t="s">
        <v>513</v>
      </c>
      <c r="B288">
        <v>603</v>
      </c>
      <c r="C288" t="s">
        <v>514</v>
      </c>
      <c r="D288" s="3">
        <v>8</v>
      </c>
      <c r="E288">
        <v>1</v>
      </c>
    </row>
    <row r="289" spans="1:6" x14ac:dyDescent="0.3">
      <c r="A289" t="s">
        <v>513</v>
      </c>
      <c r="B289">
        <v>604</v>
      </c>
      <c r="C289" t="s">
        <v>515</v>
      </c>
      <c r="D289" s="3">
        <f>30-5-5.1</f>
        <v>19.899999999999999</v>
      </c>
      <c r="E289">
        <v>1</v>
      </c>
    </row>
    <row r="290" spans="1:6" x14ac:dyDescent="0.3">
      <c r="A290" t="s">
        <v>513</v>
      </c>
      <c r="B290">
        <v>605</v>
      </c>
      <c r="C290" t="s">
        <v>517</v>
      </c>
      <c r="D290" s="3">
        <f>18.5-8.855</f>
        <v>9.6449999999999996</v>
      </c>
      <c r="E290">
        <v>1</v>
      </c>
    </row>
    <row r="291" spans="1:6" x14ac:dyDescent="0.3">
      <c r="A291" t="s">
        <v>518</v>
      </c>
      <c r="B291">
        <v>606</v>
      </c>
      <c r="C291" t="s">
        <v>519</v>
      </c>
      <c r="D291" s="3">
        <f>18-2</f>
        <v>16</v>
      </c>
      <c r="E291">
        <v>1</v>
      </c>
    </row>
    <row r="292" spans="1:6" x14ac:dyDescent="0.3">
      <c r="A292" t="s">
        <v>518</v>
      </c>
      <c r="B292">
        <v>607</v>
      </c>
      <c r="C292" t="s">
        <v>686</v>
      </c>
      <c r="D292" s="3">
        <v>5.6</v>
      </c>
      <c r="E292">
        <v>1</v>
      </c>
    </row>
    <row r="293" spans="1:6" x14ac:dyDescent="0.3">
      <c r="A293" t="s">
        <v>518</v>
      </c>
      <c r="B293">
        <v>608</v>
      </c>
      <c r="C293" t="s">
        <v>520</v>
      </c>
      <c r="D293" s="3">
        <f>1.05*5</f>
        <v>5.25</v>
      </c>
      <c r="E293">
        <v>1</v>
      </c>
    </row>
    <row r="294" spans="1:6" x14ac:dyDescent="0.3">
      <c r="A294" t="s">
        <v>518</v>
      </c>
      <c r="B294">
        <v>609</v>
      </c>
      <c r="C294" t="s">
        <v>521</v>
      </c>
      <c r="D294" s="3">
        <f>19-7.6-9.9-1.5</f>
        <v>0</v>
      </c>
      <c r="E294">
        <v>1</v>
      </c>
    </row>
    <row r="295" spans="1:6" x14ac:dyDescent="0.3">
      <c r="A295" t="s">
        <v>518</v>
      </c>
      <c r="B295">
        <v>610</v>
      </c>
      <c r="C295" t="s">
        <v>522</v>
      </c>
      <c r="D295" s="3">
        <f>5.8-3</f>
        <v>2.8</v>
      </c>
      <c r="E295">
        <v>1</v>
      </c>
    </row>
    <row r="296" spans="1:6" x14ac:dyDescent="0.3">
      <c r="A296" t="s">
        <v>518</v>
      </c>
      <c r="B296">
        <v>611</v>
      </c>
      <c r="C296" t="s">
        <v>524</v>
      </c>
      <c r="D296" s="3">
        <f>15*1.27</f>
        <v>19.05</v>
      </c>
      <c r="E296">
        <v>1</v>
      </c>
      <c r="F296" t="s">
        <v>525</v>
      </c>
    </row>
    <row r="297" spans="1:6" x14ac:dyDescent="0.3">
      <c r="A297" t="s">
        <v>526</v>
      </c>
      <c r="B297">
        <v>613</v>
      </c>
      <c r="C297" t="s">
        <v>527</v>
      </c>
      <c r="D297" s="3">
        <f>7-1.3-0.8-0.9</f>
        <v>4</v>
      </c>
      <c r="E297">
        <v>1</v>
      </c>
    </row>
    <row r="298" spans="1:6" x14ac:dyDescent="0.3">
      <c r="A298" t="s">
        <v>528</v>
      </c>
      <c r="B298">
        <v>615</v>
      </c>
      <c r="C298" t="s">
        <v>529</v>
      </c>
      <c r="D298" s="3">
        <f>4*1.27</f>
        <v>5.08</v>
      </c>
      <c r="E298">
        <v>1</v>
      </c>
    </row>
    <row r="299" spans="1:6" x14ac:dyDescent="0.3">
      <c r="A299" t="s">
        <v>528</v>
      </c>
      <c r="B299">
        <v>616</v>
      </c>
      <c r="C299" t="s">
        <v>531</v>
      </c>
      <c r="D299" s="3">
        <f>19-6</f>
        <v>13</v>
      </c>
      <c r="E299">
        <v>1</v>
      </c>
    </row>
    <row r="300" spans="1:6" x14ac:dyDescent="0.3">
      <c r="A300" t="s">
        <v>528</v>
      </c>
      <c r="B300">
        <v>617</v>
      </c>
      <c r="C300" t="s">
        <v>532</v>
      </c>
      <c r="D300" s="3">
        <f>5.85-0.5</f>
        <v>5.35</v>
      </c>
      <c r="E300">
        <v>1</v>
      </c>
    </row>
    <row r="301" spans="1:6" x14ac:dyDescent="0.3">
      <c r="A301" t="s">
        <v>534</v>
      </c>
      <c r="B301">
        <v>618</v>
      </c>
      <c r="C301" t="s">
        <v>535</v>
      </c>
      <c r="D301" s="3">
        <f>3.5-1.75</f>
        <v>1.75</v>
      </c>
      <c r="E301">
        <v>1</v>
      </c>
    </row>
    <row r="302" spans="1:6" x14ac:dyDescent="0.3">
      <c r="A302" t="s">
        <v>537</v>
      </c>
      <c r="B302">
        <v>622</v>
      </c>
      <c r="C302" t="s">
        <v>538</v>
      </c>
      <c r="D302" s="3">
        <f>18.2-17.8</f>
        <v>0.39999999999999902</v>
      </c>
      <c r="E302">
        <v>1</v>
      </c>
    </row>
    <row r="303" spans="1:6" x14ac:dyDescent="0.3">
      <c r="A303" t="s">
        <v>539</v>
      </c>
      <c r="B303">
        <v>623</v>
      </c>
      <c r="C303" t="s">
        <v>540</v>
      </c>
      <c r="D303" s="3">
        <f>14-5</f>
        <v>9</v>
      </c>
      <c r="E303" t="s">
        <v>541</v>
      </c>
    </row>
    <row r="304" spans="1:6" x14ac:dyDescent="0.3">
      <c r="A304" t="s">
        <v>539</v>
      </c>
      <c r="B304">
        <v>624</v>
      </c>
      <c r="C304" t="s">
        <v>542</v>
      </c>
      <c r="D304" s="3">
        <f>18.5-9</f>
        <v>9.5</v>
      </c>
      <c r="E304" t="s">
        <v>543</v>
      </c>
    </row>
    <row r="305" spans="1:5" x14ac:dyDescent="0.3">
      <c r="A305" t="s">
        <v>539</v>
      </c>
      <c r="B305">
        <v>625</v>
      </c>
      <c r="C305" t="s">
        <v>687</v>
      </c>
      <c r="D305" s="3">
        <f>18-5</f>
        <v>13</v>
      </c>
      <c r="E305" t="s">
        <v>482</v>
      </c>
    </row>
    <row r="306" spans="1:5" x14ac:dyDescent="0.3">
      <c r="A306" t="s">
        <v>546</v>
      </c>
      <c r="B306">
        <v>626</v>
      </c>
      <c r="C306" t="s">
        <v>547</v>
      </c>
      <c r="D306" s="3">
        <f>13.3-11.26</f>
        <v>2.04</v>
      </c>
      <c r="E306" t="s">
        <v>548</v>
      </c>
    </row>
    <row r="307" spans="1:5" x14ac:dyDescent="0.3">
      <c r="A307" t="s">
        <v>546</v>
      </c>
      <c r="B307">
        <v>627</v>
      </c>
      <c r="C307" t="s">
        <v>549</v>
      </c>
      <c r="D307" s="3">
        <f>14.5-7</f>
        <v>7.5</v>
      </c>
      <c r="E307" t="s">
        <v>550</v>
      </c>
    </row>
    <row r="308" spans="1:5" x14ac:dyDescent="0.3">
      <c r="A308" t="s">
        <v>551</v>
      </c>
      <c r="B308">
        <v>628</v>
      </c>
      <c r="C308" t="s">
        <v>552</v>
      </c>
      <c r="D308" s="3">
        <v>1.2</v>
      </c>
      <c r="E308" t="s">
        <v>151</v>
      </c>
    </row>
    <row r="309" spans="1:5" x14ac:dyDescent="0.3">
      <c r="A309" t="s">
        <v>553</v>
      </c>
      <c r="B309">
        <v>630</v>
      </c>
      <c r="C309" t="s">
        <v>554</v>
      </c>
      <c r="D309" s="3">
        <f>5*1.05-3</f>
        <v>2.25</v>
      </c>
      <c r="E309" t="s">
        <v>533</v>
      </c>
    </row>
    <row r="310" spans="1:5" x14ac:dyDescent="0.3">
      <c r="A310" t="s">
        <v>553</v>
      </c>
      <c r="B310">
        <v>631</v>
      </c>
      <c r="C310" t="s">
        <v>555</v>
      </c>
      <c r="D310" s="3">
        <f>1.6-1</f>
        <v>0.6</v>
      </c>
      <c r="E310" t="s">
        <v>556</v>
      </c>
    </row>
    <row r="311" spans="1:5" x14ac:dyDescent="0.3">
      <c r="A311" t="s">
        <v>557</v>
      </c>
      <c r="B311">
        <v>632</v>
      </c>
      <c r="C311" t="s">
        <v>558</v>
      </c>
      <c r="D311" s="3">
        <f>31-5</f>
        <v>26</v>
      </c>
      <c r="E311" t="s">
        <v>559</v>
      </c>
    </row>
    <row r="312" spans="1:5" x14ac:dyDescent="0.3">
      <c r="A312" t="s">
        <v>557</v>
      </c>
      <c r="B312">
        <v>633</v>
      </c>
      <c r="C312" t="s">
        <v>560</v>
      </c>
      <c r="D312" s="3">
        <f>5-2-0.5</f>
        <v>2.5</v>
      </c>
      <c r="E312" t="s">
        <v>561</v>
      </c>
    </row>
    <row r="313" spans="1:5" x14ac:dyDescent="0.3">
      <c r="A313" t="s">
        <v>562</v>
      </c>
      <c r="B313">
        <v>634</v>
      </c>
      <c r="C313" t="s">
        <v>563</v>
      </c>
      <c r="D313" s="3">
        <f>29-23.65</f>
        <v>5.35</v>
      </c>
      <c r="E313" t="s">
        <v>564</v>
      </c>
    </row>
    <row r="314" spans="1:5" x14ac:dyDescent="0.3">
      <c r="A314" t="s">
        <v>565</v>
      </c>
      <c r="B314">
        <v>636</v>
      </c>
      <c r="C314" t="s">
        <v>566</v>
      </c>
      <c r="D314" s="3">
        <f>14.5-4.5</f>
        <v>10</v>
      </c>
      <c r="E314" t="s">
        <v>548</v>
      </c>
    </row>
    <row r="315" spans="1:5" x14ac:dyDescent="0.3">
      <c r="A315" t="s">
        <v>565</v>
      </c>
      <c r="B315">
        <v>637</v>
      </c>
      <c r="C315" t="s">
        <v>567</v>
      </c>
      <c r="D315" s="3">
        <f>5.5*1.27</f>
        <v>6.9850000000000003</v>
      </c>
      <c r="E315" t="s">
        <v>568</v>
      </c>
    </row>
    <row r="316" spans="1:5" x14ac:dyDescent="0.3">
      <c r="A316" t="s">
        <v>569</v>
      </c>
      <c r="B316">
        <v>639</v>
      </c>
      <c r="C316" t="s">
        <v>570</v>
      </c>
      <c r="D316" s="3">
        <v>5.2</v>
      </c>
    </row>
    <row r="317" spans="1:5" x14ac:dyDescent="0.3">
      <c r="A317" t="s">
        <v>569</v>
      </c>
      <c r="B317">
        <v>641</v>
      </c>
      <c r="C317" t="s">
        <v>571</v>
      </c>
      <c r="D317" s="3">
        <f>13.5-10</f>
        <v>3.5</v>
      </c>
      <c r="E317" t="s">
        <v>548</v>
      </c>
    </row>
    <row r="318" spans="1:5" x14ac:dyDescent="0.3">
      <c r="A318" t="s">
        <v>569</v>
      </c>
      <c r="B318">
        <v>642</v>
      </c>
      <c r="C318" t="s">
        <v>573</v>
      </c>
      <c r="D318" s="3">
        <f>16.4-13.95-1.1-1.27</f>
        <v>7.9999999999999197E-2</v>
      </c>
      <c r="E318" t="s">
        <v>491</v>
      </c>
    </row>
    <row r="319" spans="1:5" x14ac:dyDescent="0.3">
      <c r="A319" t="s">
        <v>569</v>
      </c>
      <c r="B319">
        <v>643</v>
      </c>
      <c r="C319" t="s">
        <v>688</v>
      </c>
      <c r="D319" s="3">
        <v>-2.35</v>
      </c>
    </row>
    <row r="320" spans="1:5" x14ac:dyDescent="0.3">
      <c r="A320" t="s">
        <v>574</v>
      </c>
      <c r="B320">
        <v>644</v>
      </c>
      <c r="C320" t="s">
        <v>575</v>
      </c>
      <c r="D320" s="3">
        <f>13-8</f>
        <v>5</v>
      </c>
      <c r="E320" t="s">
        <v>548</v>
      </c>
    </row>
    <row r="321" spans="1:5" x14ac:dyDescent="0.3">
      <c r="A321" t="s">
        <v>574</v>
      </c>
      <c r="B321">
        <v>645</v>
      </c>
      <c r="C321" t="s">
        <v>576</v>
      </c>
      <c r="D321" s="3">
        <v>16</v>
      </c>
      <c r="E321" t="s">
        <v>548</v>
      </c>
    </row>
    <row r="322" spans="1:5" x14ac:dyDescent="0.3">
      <c r="A322" t="s">
        <v>574</v>
      </c>
      <c r="B322">
        <v>650</v>
      </c>
      <c r="C322" t="s">
        <v>577</v>
      </c>
      <c r="D322" s="3">
        <v>1.27</v>
      </c>
    </row>
    <row r="323" spans="1:5" x14ac:dyDescent="0.3">
      <c r="A323" t="s">
        <v>578</v>
      </c>
      <c r="B323">
        <v>651</v>
      </c>
      <c r="C323" t="s">
        <v>579</v>
      </c>
      <c r="D323" s="3">
        <f>17-2.53</f>
        <v>14.47</v>
      </c>
      <c r="E323" t="s">
        <v>491</v>
      </c>
    </row>
    <row r="324" spans="1:5" x14ac:dyDescent="0.3">
      <c r="A324" t="s">
        <v>578</v>
      </c>
      <c r="B324">
        <v>652</v>
      </c>
      <c r="C324" t="s">
        <v>580</v>
      </c>
      <c r="D324" s="3">
        <f>13*1.27</f>
        <v>16.510000000000002</v>
      </c>
      <c r="E324" t="s">
        <v>548</v>
      </c>
    </row>
    <row r="325" spans="1:5" x14ac:dyDescent="0.3">
      <c r="A325" t="s">
        <v>578</v>
      </c>
      <c r="B325">
        <v>653</v>
      </c>
      <c r="C325" t="s">
        <v>581</v>
      </c>
      <c r="D325" s="3">
        <v>10</v>
      </c>
    </row>
    <row r="326" spans="1:5" x14ac:dyDescent="0.3">
      <c r="A326" t="s">
        <v>582</v>
      </c>
      <c r="B326">
        <v>654</v>
      </c>
      <c r="C326" t="s">
        <v>583</v>
      </c>
      <c r="D326" s="3">
        <v>18</v>
      </c>
      <c r="E326" t="s">
        <v>386</v>
      </c>
    </row>
    <row r="327" spans="1:5" x14ac:dyDescent="0.3">
      <c r="A327" t="s">
        <v>584</v>
      </c>
      <c r="B327">
        <v>655</v>
      </c>
      <c r="C327" t="s">
        <v>585</v>
      </c>
      <c r="D327" s="3">
        <f>14.5-1.27</f>
        <v>13.23</v>
      </c>
      <c r="E327" t="s">
        <v>548</v>
      </c>
    </row>
    <row r="328" spans="1:5" x14ac:dyDescent="0.3">
      <c r="A328" t="s">
        <v>584</v>
      </c>
      <c r="B328">
        <v>656</v>
      </c>
      <c r="C328" t="s">
        <v>586</v>
      </c>
      <c r="D328" s="3">
        <f>1.9-1.27</f>
        <v>0.63</v>
      </c>
      <c r="E328" t="s">
        <v>587</v>
      </c>
    </row>
    <row r="329" spans="1:5" x14ac:dyDescent="0.3">
      <c r="A329" t="s">
        <v>588</v>
      </c>
      <c r="B329">
        <v>658</v>
      </c>
      <c r="C329" t="s">
        <v>589</v>
      </c>
      <c r="D329" s="3">
        <f>14*1.27</f>
        <v>17.78</v>
      </c>
      <c r="E329" t="s">
        <v>482</v>
      </c>
    </row>
    <row r="330" spans="1:5" x14ac:dyDescent="0.3">
      <c r="A330" t="s">
        <v>588</v>
      </c>
      <c r="B330">
        <v>659</v>
      </c>
      <c r="C330" t="s">
        <v>591</v>
      </c>
      <c r="D330" s="3">
        <f>-34.15-41.6</f>
        <v>-75.75</v>
      </c>
    </row>
    <row r="331" spans="1:5" x14ac:dyDescent="0.3">
      <c r="A331" t="s">
        <v>592</v>
      </c>
      <c r="B331">
        <v>660</v>
      </c>
      <c r="C331" t="s">
        <v>593</v>
      </c>
      <c r="D331" s="3">
        <f>13-4</f>
        <v>9</v>
      </c>
      <c r="E331">
        <v>1220</v>
      </c>
    </row>
    <row r="332" spans="1:5" x14ac:dyDescent="0.3">
      <c r="A332" t="s">
        <v>594</v>
      </c>
      <c r="B332">
        <v>661</v>
      </c>
      <c r="C332" t="s">
        <v>595</v>
      </c>
      <c r="D332" s="3">
        <f>28-5</f>
        <v>23</v>
      </c>
      <c r="E332" t="s">
        <v>596</v>
      </c>
    </row>
    <row r="333" spans="1:5" x14ac:dyDescent="0.3">
      <c r="A333" t="s">
        <v>594</v>
      </c>
      <c r="B333">
        <v>662</v>
      </c>
      <c r="C333" t="s">
        <v>597</v>
      </c>
      <c r="D333" s="3">
        <f>3*1.275</f>
        <v>3.8250000000000002</v>
      </c>
      <c r="E333" t="s">
        <v>598</v>
      </c>
    </row>
    <row r="334" spans="1:5" x14ac:dyDescent="0.3">
      <c r="A334" t="s">
        <v>594</v>
      </c>
      <c r="B334">
        <v>663</v>
      </c>
      <c r="C334" t="s">
        <v>599</v>
      </c>
      <c r="D334" s="3">
        <v>4</v>
      </c>
      <c r="E334" t="s">
        <v>600</v>
      </c>
    </row>
    <row r="335" spans="1:5" x14ac:dyDescent="0.3">
      <c r="A335" t="s">
        <v>594</v>
      </c>
      <c r="B335">
        <v>664</v>
      </c>
      <c r="C335" t="s">
        <v>601</v>
      </c>
      <c r="D335" s="3">
        <f>22*1.27</f>
        <v>27.94</v>
      </c>
      <c r="E335" t="s">
        <v>602</v>
      </c>
    </row>
    <row r="336" spans="1:5" x14ac:dyDescent="0.3">
      <c r="A336" t="s">
        <v>603</v>
      </c>
      <c r="B336">
        <v>665</v>
      </c>
      <c r="C336" t="s">
        <v>604</v>
      </c>
      <c r="D336" s="3">
        <f>10-1</f>
        <v>9</v>
      </c>
      <c r="E336" t="s">
        <v>605</v>
      </c>
    </row>
    <row r="337" spans="1:5" x14ac:dyDescent="0.3">
      <c r="A337" t="s">
        <v>606</v>
      </c>
      <c r="B337">
        <v>666</v>
      </c>
      <c r="C337" t="s">
        <v>607</v>
      </c>
      <c r="D337" s="3">
        <f>17.3-10</f>
        <v>7.3</v>
      </c>
      <c r="E337" t="s">
        <v>482</v>
      </c>
    </row>
    <row r="338" spans="1:5" x14ac:dyDescent="0.3">
      <c r="A338" t="s">
        <v>606</v>
      </c>
      <c r="B338">
        <v>667</v>
      </c>
      <c r="C338" t="s">
        <v>608</v>
      </c>
      <c r="D338" s="3">
        <f>23-3</f>
        <v>20</v>
      </c>
      <c r="E338" t="s">
        <v>609</v>
      </c>
    </row>
    <row r="339" spans="1:5" x14ac:dyDescent="0.3">
      <c r="A339" t="s">
        <v>606</v>
      </c>
      <c r="B339">
        <v>668</v>
      </c>
      <c r="C339" t="s">
        <v>610</v>
      </c>
      <c r="D339" s="3">
        <f>17.5-10</f>
        <v>7.5</v>
      </c>
      <c r="E339" t="s">
        <v>482</v>
      </c>
    </row>
    <row r="340" spans="1:5" x14ac:dyDescent="0.3">
      <c r="A340" t="s">
        <v>611</v>
      </c>
      <c r="B340">
        <v>669</v>
      </c>
      <c r="C340" t="s">
        <v>612</v>
      </c>
      <c r="D340" s="3">
        <v>16</v>
      </c>
      <c r="E340" t="s">
        <v>613</v>
      </c>
    </row>
    <row r="341" spans="1:5" x14ac:dyDescent="0.3">
      <c r="A341" t="s">
        <v>611</v>
      </c>
      <c r="B341">
        <v>670</v>
      </c>
      <c r="C341" t="s">
        <v>614</v>
      </c>
      <c r="D341" s="3">
        <f>14-3.8</f>
        <v>10.199999999999999</v>
      </c>
      <c r="E341" t="s">
        <v>466</v>
      </c>
    </row>
    <row r="342" spans="1:5" x14ac:dyDescent="0.3">
      <c r="A342" t="s">
        <v>611</v>
      </c>
      <c r="B342">
        <v>671</v>
      </c>
      <c r="C342" t="s">
        <v>615</v>
      </c>
      <c r="D342" s="3">
        <f>18-6.33</f>
        <v>11.67</v>
      </c>
      <c r="E342" t="s">
        <v>482</v>
      </c>
    </row>
    <row r="347" spans="1:5" x14ac:dyDescent="0.3">
      <c r="C347" t="s">
        <v>1181</v>
      </c>
    </row>
    <row r="358" spans="3:4" x14ac:dyDescent="0.3">
      <c r="C358" t="s">
        <v>1111</v>
      </c>
      <c r="D358" s="3">
        <f>-3+84-40-1+10+50+10-13.3-15.95-4+10+1+12+96+93+90</f>
        <v>378.75</v>
      </c>
    </row>
    <row r="359" spans="3:4" x14ac:dyDescent="0.3">
      <c r="C359" t="s">
        <v>1112</v>
      </c>
      <c r="D359" s="3">
        <f>8.5+0.8+4+20</f>
        <v>33.299999999999997</v>
      </c>
    </row>
    <row r="360" spans="3:4" x14ac:dyDescent="0.3">
      <c r="C360" t="s">
        <v>1114</v>
      </c>
      <c r="D360" s="3">
        <v>87</v>
      </c>
    </row>
    <row r="366" spans="3:4" x14ac:dyDescent="0.3">
      <c r="C366" t="s">
        <v>1113</v>
      </c>
      <c r="D366" s="3">
        <f>3.1+0.7+0.2+0.7+4+0.2+0.3+2.6+1+0.6+0.25+1</f>
        <v>14.649999999999999</v>
      </c>
    </row>
    <row r="371" spans="3:8" x14ac:dyDescent="0.3">
      <c r="H371">
        <v>89</v>
      </c>
    </row>
    <row r="372" spans="3:8" x14ac:dyDescent="0.3">
      <c r="C372" t="s">
        <v>1115</v>
      </c>
      <c r="D372" s="3" t="s">
        <v>1116</v>
      </c>
      <c r="H372">
        <v>1500</v>
      </c>
    </row>
    <row r="373" spans="3:8" x14ac:dyDescent="0.3">
      <c r="C373" t="s">
        <v>974</v>
      </c>
      <c r="D373" s="3" t="s">
        <v>1117</v>
      </c>
      <c r="H373">
        <f>372.5*0.99</f>
        <v>368.77499999999998</v>
      </c>
    </row>
  </sheetData>
  <pageMargins left="0.70866141732283505" right="0.70866141732283505" top="0.74803149606299202" bottom="0.74803149606299202" header="0.31496062992126" footer="0.31496062992126"/>
  <pageSetup paperSize="9" scale="49" fitToHeight="1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230"/>
  <sheetViews>
    <sheetView workbookViewId="0">
      <selection activeCell="D22" sqref="D22"/>
    </sheetView>
  </sheetViews>
  <sheetFormatPr defaultColWidth="9" defaultRowHeight="14.4" x14ac:dyDescent="0.3"/>
  <cols>
    <col min="1" max="1" width="31.109375" bestFit="1" customWidth="1"/>
    <col min="2" max="2" width="9.88671875" bestFit="1" customWidth="1"/>
    <col min="3" max="4" width="12.6640625" style="10" bestFit="1" customWidth="1"/>
    <col min="5" max="5" width="10.33203125" customWidth="1"/>
    <col min="7" max="7" width="15.21875" bestFit="1" customWidth="1"/>
    <col min="12" max="12" width="10" customWidth="1"/>
  </cols>
  <sheetData>
    <row r="3" spans="2:23" ht="28.8" x14ac:dyDescent="0.3">
      <c r="B3" t="s">
        <v>689</v>
      </c>
      <c r="D3" s="87" t="s">
        <v>690</v>
      </c>
      <c r="F3" s="2" t="s">
        <v>691</v>
      </c>
      <c r="G3" s="2" t="s">
        <v>692</v>
      </c>
      <c r="H3" s="2"/>
      <c r="I3" s="2"/>
      <c r="L3" s="173" t="s">
        <v>693</v>
      </c>
      <c r="M3" s="173"/>
      <c r="O3" s="173" t="s">
        <v>694</v>
      </c>
      <c r="P3" s="173"/>
      <c r="R3" s="173" t="s">
        <v>695</v>
      </c>
      <c r="S3" s="173"/>
      <c r="U3" s="2" t="s">
        <v>696</v>
      </c>
      <c r="W3" t="s">
        <v>697</v>
      </c>
    </row>
    <row r="4" spans="2:23" x14ac:dyDescent="0.3">
      <c r="C4" s="10" t="s">
        <v>698</v>
      </c>
      <c r="D4" s="10">
        <v>1</v>
      </c>
      <c r="E4" t="s">
        <v>698</v>
      </c>
      <c r="F4">
        <v>0.2</v>
      </c>
      <c r="G4" t="s">
        <v>699</v>
      </c>
      <c r="H4">
        <v>0.1</v>
      </c>
      <c r="L4" t="s">
        <v>698</v>
      </c>
      <c r="M4">
        <v>5</v>
      </c>
      <c r="O4" t="s">
        <v>698</v>
      </c>
      <c r="P4">
        <v>0.8</v>
      </c>
      <c r="Q4" t="s">
        <v>699</v>
      </c>
      <c r="R4">
        <v>0.5</v>
      </c>
      <c r="T4" t="s">
        <v>699</v>
      </c>
      <c r="U4">
        <v>1</v>
      </c>
      <c r="V4" t="s">
        <v>700</v>
      </c>
      <c r="W4">
        <v>0.21</v>
      </c>
    </row>
    <row r="5" spans="2:23" x14ac:dyDescent="0.3">
      <c r="C5" s="10" t="s">
        <v>699</v>
      </c>
      <c r="D5" s="10">
        <f>0.046+0.2</f>
        <v>0.246</v>
      </c>
      <c r="E5" t="s">
        <v>699</v>
      </c>
      <c r="F5">
        <v>2.5</v>
      </c>
      <c r="G5" t="s">
        <v>700</v>
      </c>
      <c r="H5">
        <v>0.1</v>
      </c>
    </row>
    <row r="6" spans="2:23" x14ac:dyDescent="0.3">
      <c r="C6" s="10" t="s">
        <v>701</v>
      </c>
      <c r="D6" s="10">
        <v>0.1</v>
      </c>
    </row>
    <row r="7" spans="2:23" x14ac:dyDescent="0.3">
      <c r="C7" s="10" t="s">
        <v>702</v>
      </c>
      <c r="D7" s="10">
        <v>0.5</v>
      </c>
    </row>
    <row r="14" spans="2:23" x14ac:dyDescent="0.3">
      <c r="C14" s="86" t="s">
        <v>1111</v>
      </c>
    </row>
    <row r="15" spans="2:23" x14ac:dyDescent="0.3">
      <c r="C15" s="86" t="s">
        <v>1120</v>
      </c>
      <c r="D15" s="10">
        <f>1.5+1+20+1.6+7.4+1.5+1.328+2</f>
        <v>36.328000000000003</v>
      </c>
    </row>
    <row r="16" spans="2:23" x14ac:dyDescent="0.3">
      <c r="C16" s="86" t="s">
        <v>1121</v>
      </c>
      <c r="D16" s="10">
        <f>1+0.5+0.3+0.8</f>
        <v>2.6</v>
      </c>
    </row>
    <row r="18" spans="3:5" x14ac:dyDescent="0.3">
      <c r="C18" s="86" t="s">
        <v>1119</v>
      </c>
      <c r="D18" s="94">
        <v>9</v>
      </c>
    </row>
    <row r="21" spans="3:5" x14ac:dyDescent="0.3">
      <c r="C21" s="86" t="s">
        <v>1115</v>
      </c>
      <c r="E21" s="83"/>
    </row>
    <row r="47" spans="1:3" x14ac:dyDescent="0.3">
      <c r="C47" s="10" t="s">
        <v>1115</v>
      </c>
    </row>
    <row r="48" spans="1:3" x14ac:dyDescent="0.3">
      <c r="A48" t="s">
        <v>1129</v>
      </c>
      <c r="B48" t="s">
        <v>1126</v>
      </c>
      <c r="C48" s="10">
        <v>2000</v>
      </c>
    </row>
    <row r="49" spans="1:7" x14ac:dyDescent="0.3">
      <c r="A49" t="s">
        <v>1128</v>
      </c>
      <c r="B49" t="s">
        <v>1127</v>
      </c>
      <c r="C49" s="10">
        <f>2200*7</f>
        <v>15400</v>
      </c>
    </row>
    <row r="50" spans="1:7" x14ac:dyDescent="0.3">
      <c r="A50" t="s">
        <v>1130</v>
      </c>
      <c r="B50" t="s">
        <v>0</v>
      </c>
      <c r="C50" s="10">
        <f>16*2500</f>
        <v>40000</v>
      </c>
    </row>
    <row r="51" spans="1:7" x14ac:dyDescent="0.3">
      <c r="D51" s="10">
        <v>4963</v>
      </c>
      <c r="E51" t="s">
        <v>1131</v>
      </c>
    </row>
    <row r="52" spans="1:7" x14ac:dyDescent="0.3">
      <c r="D52" s="10">
        <v>2200</v>
      </c>
    </row>
    <row r="53" spans="1:7" x14ac:dyDescent="0.3">
      <c r="D53" s="10">
        <v>4958</v>
      </c>
      <c r="E53" t="s">
        <v>1132</v>
      </c>
    </row>
    <row r="54" spans="1:7" x14ac:dyDescent="0.3">
      <c r="D54" s="10">
        <v>4098</v>
      </c>
      <c r="E54" t="s">
        <v>49</v>
      </c>
    </row>
    <row r="55" spans="1:7" x14ac:dyDescent="0.3">
      <c r="D55" s="10">
        <v>4092</v>
      </c>
      <c r="E55" t="s">
        <v>1133</v>
      </c>
    </row>
    <row r="56" spans="1:7" x14ac:dyDescent="0.3">
      <c r="D56" s="10">
        <v>4898</v>
      </c>
      <c r="E56" t="s">
        <v>1134</v>
      </c>
    </row>
    <row r="57" spans="1:7" x14ac:dyDescent="0.3">
      <c r="D57" s="10">
        <v>5705</v>
      </c>
      <c r="E57" t="s">
        <v>1135</v>
      </c>
    </row>
    <row r="58" spans="1:7" x14ac:dyDescent="0.3">
      <c r="D58" s="10">
        <v>4642</v>
      </c>
      <c r="E58" t="s">
        <v>1136</v>
      </c>
      <c r="G58" s="88">
        <f>+C151-D151</f>
        <v>-1750</v>
      </c>
    </row>
    <row r="59" spans="1:7" x14ac:dyDescent="0.3">
      <c r="D59" s="10">
        <v>2431</v>
      </c>
      <c r="E59" t="s">
        <v>1137</v>
      </c>
    </row>
    <row r="60" spans="1:7" x14ac:dyDescent="0.3">
      <c r="D60" s="10">
        <v>2420</v>
      </c>
      <c r="E60" t="s">
        <v>1138</v>
      </c>
    </row>
    <row r="61" spans="1:7" x14ac:dyDescent="0.3">
      <c r="A61" t="s">
        <v>1139</v>
      </c>
      <c r="B61" t="s">
        <v>1144</v>
      </c>
      <c r="C61" s="10">
        <f>3*1900</f>
        <v>5700</v>
      </c>
    </row>
    <row r="62" spans="1:7" x14ac:dyDescent="0.3">
      <c r="A62" t="s">
        <v>1140</v>
      </c>
      <c r="C62" s="10">
        <f>5*2000</f>
        <v>10000</v>
      </c>
    </row>
    <row r="63" spans="1:7" x14ac:dyDescent="0.3">
      <c r="A63" t="s">
        <v>1141</v>
      </c>
      <c r="C63" s="10">
        <v>2200</v>
      </c>
    </row>
    <row r="64" spans="1:7" x14ac:dyDescent="0.3">
      <c r="A64" t="s">
        <v>1142</v>
      </c>
      <c r="C64" s="10">
        <f>2*2300</f>
        <v>4600</v>
      </c>
    </row>
    <row r="65" spans="1:7" x14ac:dyDescent="0.3">
      <c r="A65" t="s">
        <v>1143</v>
      </c>
      <c r="C65" s="10">
        <f>2*2700</f>
        <v>5400</v>
      </c>
    </row>
    <row r="66" spans="1:7" x14ac:dyDescent="0.3">
      <c r="D66" s="10">
        <v>3931</v>
      </c>
      <c r="E66" t="s">
        <v>1145</v>
      </c>
    </row>
    <row r="67" spans="1:7" x14ac:dyDescent="0.3">
      <c r="D67" s="10">
        <v>6290</v>
      </c>
      <c r="E67" t="s">
        <v>183</v>
      </c>
    </row>
    <row r="68" spans="1:7" x14ac:dyDescent="0.3">
      <c r="D68" s="10">
        <v>3928</v>
      </c>
      <c r="E68" t="s">
        <v>192</v>
      </c>
    </row>
    <row r="69" spans="1:7" x14ac:dyDescent="0.3">
      <c r="A69" t="s">
        <v>1139</v>
      </c>
      <c r="B69" t="s">
        <v>194</v>
      </c>
      <c r="C69" s="10">
        <f>4*2000</f>
        <v>8000</v>
      </c>
    </row>
    <row r="70" spans="1:7" x14ac:dyDescent="0.3">
      <c r="A70" t="s">
        <v>1142</v>
      </c>
      <c r="C70" s="10">
        <f>9*2300</f>
        <v>20700</v>
      </c>
    </row>
    <row r="71" spans="1:7" x14ac:dyDescent="0.3">
      <c r="B71" t="s">
        <v>194</v>
      </c>
    </row>
    <row r="72" spans="1:7" x14ac:dyDescent="0.3">
      <c r="A72" t="s">
        <v>1146</v>
      </c>
      <c r="C72" s="10">
        <f>4*2000</f>
        <v>8000</v>
      </c>
    </row>
    <row r="73" spans="1:7" x14ac:dyDescent="0.3">
      <c r="A73" t="s">
        <v>1142</v>
      </c>
      <c r="C73" s="10">
        <f>9*2300</f>
        <v>20700</v>
      </c>
    </row>
    <row r="74" spans="1:7" x14ac:dyDescent="0.3">
      <c r="D74" s="10">
        <v>7222</v>
      </c>
      <c r="E74" t="s">
        <v>203</v>
      </c>
    </row>
    <row r="75" spans="1:7" x14ac:dyDescent="0.3">
      <c r="D75" s="10">
        <v>3924</v>
      </c>
      <c r="E75" t="s">
        <v>206</v>
      </c>
    </row>
    <row r="76" spans="1:7" x14ac:dyDescent="0.3">
      <c r="D76" s="10">
        <v>7000</v>
      </c>
      <c r="E76" t="s">
        <v>209</v>
      </c>
    </row>
    <row r="77" spans="1:7" x14ac:dyDescent="0.3">
      <c r="D77" s="10">
        <v>3937</v>
      </c>
      <c r="E77" t="s">
        <v>1147</v>
      </c>
    </row>
    <row r="78" spans="1:7" x14ac:dyDescent="0.3">
      <c r="D78" s="10">
        <v>7856</v>
      </c>
      <c r="E78" t="s">
        <v>245</v>
      </c>
    </row>
    <row r="79" spans="1:7" x14ac:dyDescent="0.3">
      <c r="D79" s="10">
        <v>4600</v>
      </c>
      <c r="E79" t="s">
        <v>1148</v>
      </c>
      <c r="G79" t="s">
        <v>1149</v>
      </c>
    </row>
    <row r="80" spans="1:7" x14ac:dyDescent="0.3">
      <c r="D80" s="10">
        <v>1000</v>
      </c>
      <c r="E80" t="s">
        <v>1150</v>
      </c>
    </row>
    <row r="81" spans="2:7" x14ac:dyDescent="0.3">
      <c r="D81" s="10">
        <v>7937</v>
      </c>
      <c r="E81" t="s">
        <v>268</v>
      </c>
    </row>
    <row r="82" spans="2:7" x14ac:dyDescent="0.3">
      <c r="D82" s="10">
        <v>7892</v>
      </c>
      <c r="E82" t="s">
        <v>275</v>
      </c>
    </row>
    <row r="83" spans="2:7" x14ac:dyDescent="0.3">
      <c r="B83" t="s">
        <v>310</v>
      </c>
      <c r="C83" s="10">
        <v>2300</v>
      </c>
    </row>
    <row r="84" spans="2:7" x14ac:dyDescent="0.3">
      <c r="D84" s="10">
        <v>10000</v>
      </c>
      <c r="E84" t="s">
        <v>330</v>
      </c>
    </row>
    <row r="85" spans="2:7" x14ac:dyDescent="0.3">
      <c r="G85" s="88">
        <f>+C230-D230</f>
        <v>95948</v>
      </c>
    </row>
    <row r="86" spans="2:7" x14ac:dyDescent="0.3">
      <c r="B86" t="s">
        <v>333</v>
      </c>
    </row>
    <row r="87" spans="2:7" x14ac:dyDescent="0.3">
      <c r="C87" s="10">
        <f>10*1900</f>
        <v>19000</v>
      </c>
    </row>
    <row r="88" spans="2:7" x14ac:dyDescent="0.3">
      <c r="C88" s="10">
        <f>3*1960</f>
        <v>5880</v>
      </c>
    </row>
    <row r="89" spans="2:7" x14ac:dyDescent="0.3">
      <c r="C89" s="10">
        <v>2200</v>
      </c>
    </row>
    <row r="90" spans="2:7" x14ac:dyDescent="0.3">
      <c r="C90" s="10">
        <v>2300</v>
      </c>
    </row>
    <row r="91" spans="2:7" x14ac:dyDescent="0.3">
      <c r="C91" s="10">
        <v>2300</v>
      </c>
    </row>
    <row r="92" spans="2:7" x14ac:dyDescent="0.3">
      <c r="D92" s="10">
        <v>20000</v>
      </c>
      <c r="E92" t="s">
        <v>345</v>
      </c>
    </row>
    <row r="93" spans="2:7" x14ac:dyDescent="0.3">
      <c r="B93" t="s">
        <v>342</v>
      </c>
      <c r="C93" s="10">
        <f>11*1900</f>
        <v>20900</v>
      </c>
    </row>
    <row r="94" spans="2:7" x14ac:dyDescent="0.3">
      <c r="C94" s="10">
        <f>2*2200</f>
        <v>4400</v>
      </c>
    </row>
    <row r="95" spans="2:7" x14ac:dyDescent="0.3">
      <c r="C95" s="10">
        <v>1900</v>
      </c>
    </row>
    <row r="96" spans="2:7" x14ac:dyDescent="0.3">
      <c r="C96" s="10">
        <f>2*2300</f>
        <v>4600</v>
      </c>
    </row>
    <row r="97" spans="1:5" x14ac:dyDescent="0.3">
      <c r="C97" s="10">
        <f>10*1960</f>
        <v>19600</v>
      </c>
    </row>
    <row r="98" spans="1:5" x14ac:dyDescent="0.3">
      <c r="B98" t="s">
        <v>354</v>
      </c>
      <c r="C98" s="10">
        <f>9*2200</f>
        <v>19800</v>
      </c>
    </row>
    <row r="99" spans="1:5" x14ac:dyDescent="0.3">
      <c r="C99" s="10">
        <f>4*2700</f>
        <v>10800</v>
      </c>
    </row>
    <row r="100" spans="1:5" x14ac:dyDescent="0.3">
      <c r="D100" s="10">
        <v>20000</v>
      </c>
      <c r="E100" t="s">
        <v>362</v>
      </c>
    </row>
    <row r="101" spans="1:5" x14ac:dyDescent="0.3">
      <c r="D101" s="10">
        <v>10000</v>
      </c>
      <c r="E101" t="s">
        <v>394</v>
      </c>
    </row>
    <row r="102" spans="1:5" x14ac:dyDescent="0.3">
      <c r="D102" s="10">
        <v>5285</v>
      </c>
      <c r="E102" t="s">
        <v>410</v>
      </c>
    </row>
    <row r="103" spans="1:5" x14ac:dyDescent="0.3">
      <c r="A103" t="s">
        <v>1140</v>
      </c>
      <c r="C103" s="10">
        <f>8*2150</f>
        <v>17200</v>
      </c>
    </row>
    <row r="104" spans="1:5" x14ac:dyDescent="0.3">
      <c r="A104" t="s">
        <v>1151</v>
      </c>
      <c r="C104" s="10">
        <f>5*2500</f>
        <v>12500</v>
      </c>
    </row>
    <row r="105" spans="1:5" x14ac:dyDescent="0.3">
      <c r="D105" s="10">
        <v>12500</v>
      </c>
      <c r="E105" t="s">
        <v>464</v>
      </c>
    </row>
    <row r="106" spans="1:5" x14ac:dyDescent="0.3">
      <c r="D106" s="10">
        <v>10000</v>
      </c>
      <c r="E106" t="s">
        <v>1152</v>
      </c>
    </row>
    <row r="107" spans="1:5" x14ac:dyDescent="0.3">
      <c r="D107" s="10">
        <v>2750</v>
      </c>
      <c r="E107" t="s">
        <v>1082</v>
      </c>
    </row>
    <row r="108" spans="1:5" x14ac:dyDescent="0.3">
      <c r="D108" s="10">
        <f>3300+9456</f>
        <v>12756</v>
      </c>
      <c r="E108" t="s">
        <v>1153</v>
      </c>
    </row>
    <row r="109" spans="1:5" x14ac:dyDescent="0.3">
      <c r="D109" s="10">
        <v>10000</v>
      </c>
      <c r="E109" t="s">
        <v>565</v>
      </c>
    </row>
    <row r="110" spans="1:5" x14ac:dyDescent="0.3">
      <c r="C110" s="10">
        <v>2600</v>
      </c>
    </row>
    <row r="111" spans="1:5" x14ac:dyDescent="0.3">
      <c r="D111" s="10">
        <v>11200</v>
      </c>
      <c r="E111" t="s">
        <v>584</v>
      </c>
    </row>
    <row r="112" spans="1:5" x14ac:dyDescent="0.3">
      <c r="B112" t="s">
        <v>592</v>
      </c>
      <c r="C112" s="10">
        <v>1650</v>
      </c>
    </row>
    <row r="113" spans="3:7" x14ac:dyDescent="0.3">
      <c r="C113" s="10">
        <v>2600</v>
      </c>
      <c r="D113" s="10">
        <v>3000</v>
      </c>
      <c r="E113" t="s">
        <v>1154</v>
      </c>
    </row>
    <row r="114" spans="3:7" x14ac:dyDescent="0.3">
      <c r="C114" s="10">
        <f>11*2550</f>
        <v>28050</v>
      </c>
      <c r="D114" s="10">
        <v>2550</v>
      </c>
      <c r="E114" t="s">
        <v>618</v>
      </c>
      <c r="G114" s="88">
        <f>+G85</f>
        <v>95948</v>
      </c>
    </row>
    <row r="115" spans="3:7" x14ac:dyDescent="0.3">
      <c r="D115" s="10">
        <v>9000</v>
      </c>
      <c r="E115" t="s">
        <v>618</v>
      </c>
    </row>
    <row r="116" spans="3:7" x14ac:dyDescent="0.3">
      <c r="D116" s="10">
        <v>4886</v>
      </c>
      <c r="E116" t="s">
        <v>638</v>
      </c>
    </row>
    <row r="117" spans="3:7" x14ac:dyDescent="0.3">
      <c r="D117" s="10">
        <v>3000</v>
      </c>
      <c r="E117" t="s">
        <v>645</v>
      </c>
    </row>
    <row r="118" spans="3:7" x14ac:dyDescent="0.3">
      <c r="D118" s="10">
        <v>3912</v>
      </c>
      <c r="E118" t="s">
        <v>1155</v>
      </c>
    </row>
    <row r="119" spans="3:7" x14ac:dyDescent="0.3">
      <c r="D119" s="10">
        <v>1000</v>
      </c>
      <c r="E119" t="s">
        <v>653</v>
      </c>
    </row>
    <row r="120" spans="3:7" x14ac:dyDescent="0.3">
      <c r="D120" s="10">
        <v>5000</v>
      </c>
      <c r="E120" t="s">
        <v>572</v>
      </c>
    </row>
    <row r="121" spans="3:7" x14ac:dyDescent="0.3">
      <c r="D121" s="10">
        <v>2550</v>
      </c>
    </row>
    <row r="122" spans="3:7" x14ac:dyDescent="0.3">
      <c r="D122" s="10">
        <v>2000</v>
      </c>
      <c r="E122" t="s">
        <v>352</v>
      </c>
    </row>
    <row r="123" spans="3:7" x14ac:dyDescent="0.3">
      <c r="C123" s="10">
        <f>3*3100</f>
        <v>9300</v>
      </c>
      <c r="D123" s="10">
        <v>3200</v>
      </c>
      <c r="E123" t="s">
        <v>720</v>
      </c>
    </row>
    <row r="124" spans="3:7" x14ac:dyDescent="0.3">
      <c r="D124" s="10">
        <v>3000</v>
      </c>
      <c r="E124" t="s">
        <v>1156</v>
      </c>
    </row>
    <row r="125" spans="3:7" x14ac:dyDescent="0.3">
      <c r="D125" s="10">
        <v>1500</v>
      </c>
      <c r="E125" t="s">
        <v>1157</v>
      </c>
    </row>
    <row r="126" spans="3:7" x14ac:dyDescent="0.3">
      <c r="D126" s="10">
        <v>3115</v>
      </c>
      <c r="E126" t="s">
        <v>260</v>
      </c>
    </row>
    <row r="127" spans="3:7" x14ac:dyDescent="0.3">
      <c r="C127" s="10">
        <v>3860</v>
      </c>
      <c r="D127" s="10">
        <v>545</v>
      </c>
      <c r="E127" t="s">
        <v>876</v>
      </c>
    </row>
    <row r="128" spans="3:7" x14ac:dyDescent="0.3">
      <c r="D128" s="10">
        <v>2500</v>
      </c>
      <c r="E128" t="s">
        <v>1158</v>
      </c>
    </row>
    <row r="129" spans="2:12" x14ac:dyDescent="0.3">
      <c r="D129" s="10">
        <v>3000</v>
      </c>
      <c r="E129" t="s">
        <v>1159</v>
      </c>
    </row>
    <row r="130" spans="2:12" x14ac:dyDescent="0.3">
      <c r="D130" s="10">
        <v>3000</v>
      </c>
      <c r="E130" t="s">
        <v>1160</v>
      </c>
    </row>
    <row r="131" spans="2:12" x14ac:dyDescent="0.3">
      <c r="D131" s="10">
        <v>3000</v>
      </c>
      <c r="E131" t="s">
        <v>1161</v>
      </c>
    </row>
    <row r="132" spans="2:12" x14ac:dyDescent="0.3">
      <c r="B132" t="s">
        <v>1162</v>
      </c>
      <c r="C132" s="10">
        <f>5*2250</f>
        <v>11250</v>
      </c>
    </row>
    <row r="133" spans="2:12" x14ac:dyDescent="0.3">
      <c r="B133" t="s">
        <v>1163</v>
      </c>
      <c r="C133" s="10">
        <f>4*1900</f>
        <v>7600</v>
      </c>
    </row>
    <row r="134" spans="2:12" x14ac:dyDescent="0.3">
      <c r="C134" s="10">
        <f>10*2600</f>
        <v>26000</v>
      </c>
    </row>
    <row r="135" spans="2:12" x14ac:dyDescent="0.3">
      <c r="B135" t="s">
        <v>1164</v>
      </c>
      <c r="C135" s="10">
        <v>6500</v>
      </c>
      <c r="F135" t="s">
        <v>153</v>
      </c>
      <c r="G135" t="s">
        <v>1165</v>
      </c>
    </row>
    <row r="136" spans="2:12" x14ac:dyDescent="0.3">
      <c r="D136" s="10">
        <v>3500</v>
      </c>
      <c r="E136" t="s">
        <v>1166</v>
      </c>
    </row>
    <row r="137" spans="2:12" x14ac:dyDescent="0.3">
      <c r="D137" s="10">
        <v>3000</v>
      </c>
      <c r="E137" t="s">
        <v>1167</v>
      </c>
    </row>
    <row r="138" spans="2:12" x14ac:dyDescent="0.3">
      <c r="F138" t="s">
        <v>1168</v>
      </c>
      <c r="G138" t="s">
        <v>1169</v>
      </c>
    </row>
    <row r="139" spans="2:12" x14ac:dyDescent="0.3">
      <c r="C139" s="10">
        <f>11*2600</f>
        <v>28600</v>
      </c>
      <c r="D139" s="10">
        <v>2000</v>
      </c>
      <c r="E139" t="s">
        <v>1170</v>
      </c>
      <c r="F139" t="s">
        <v>13</v>
      </c>
    </row>
    <row r="140" spans="2:12" x14ac:dyDescent="0.3">
      <c r="C140" s="10">
        <f>2*2800</f>
        <v>5600</v>
      </c>
    </row>
    <row r="141" spans="2:12" x14ac:dyDescent="0.3">
      <c r="C141" s="10">
        <v>6700</v>
      </c>
      <c r="D141" s="10">
        <v>300</v>
      </c>
      <c r="G141" s="88">
        <f>+G114</f>
        <v>95948</v>
      </c>
      <c r="K141" t="s">
        <v>1171</v>
      </c>
      <c r="L141">
        <f>55.3-29.3</f>
        <v>25.999999999999996</v>
      </c>
    </row>
    <row r="142" spans="2:12" x14ac:dyDescent="0.3">
      <c r="C142" s="10">
        <v>3535</v>
      </c>
      <c r="D142" s="10">
        <v>2500</v>
      </c>
      <c r="E142" t="s">
        <v>1172</v>
      </c>
      <c r="K142" t="s">
        <v>997</v>
      </c>
      <c r="L142">
        <f>26-20</f>
        <v>6</v>
      </c>
    </row>
    <row r="143" spans="2:12" x14ac:dyDescent="0.3">
      <c r="D143" s="10">
        <v>3000</v>
      </c>
      <c r="E143" t="s">
        <v>1173</v>
      </c>
    </row>
    <row r="144" spans="2:12" x14ac:dyDescent="0.3">
      <c r="D144" s="10">
        <v>5000</v>
      </c>
      <c r="E144" t="s">
        <v>1174</v>
      </c>
    </row>
    <row r="145" spans="3:5" x14ac:dyDescent="0.3">
      <c r="D145" s="10">
        <v>3000</v>
      </c>
      <c r="E145" t="s">
        <v>1175</v>
      </c>
    </row>
    <row r="146" spans="3:5" x14ac:dyDescent="0.3">
      <c r="D146" s="10">
        <v>5512</v>
      </c>
      <c r="E146" t="s">
        <v>1176</v>
      </c>
    </row>
    <row r="147" spans="3:5" x14ac:dyDescent="0.3">
      <c r="D147" s="10">
        <v>3137</v>
      </c>
      <c r="E147" t="s">
        <v>1177</v>
      </c>
    </row>
    <row r="148" spans="3:5" x14ac:dyDescent="0.3">
      <c r="C148" s="10">
        <v>3600</v>
      </c>
    </row>
    <row r="149" spans="3:5" x14ac:dyDescent="0.3">
      <c r="C149" s="10">
        <v>-605</v>
      </c>
    </row>
    <row r="150" spans="3:5" x14ac:dyDescent="0.3">
      <c r="C150" s="10">
        <v>1300</v>
      </c>
    </row>
    <row r="151" spans="3:5" x14ac:dyDescent="0.3">
      <c r="D151" s="10">
        <v>1750</v>
      </c>
      <c r="E151" t="s">
        <v>1178</v>
      </c>
    </row>
    <row r="152" spans="3:5" x14ac:dyDescent="0.3">
      <c r="D152" s="10">
        <v>3700</v>
      </c>
      <c r="E152" t="s">
        <v>1179</v>
      </c>
    </row>
    <row r="153" spans="3:5" x14ac:dyDescent="0.3">
      <c r="D153" s="10">
        <v>4000</v>
      </c>
      <c r="E153" t="s">
        <v>1180</v>
      </c>
    </row>
    <row r="154" spans="3:5" x14ac:dyDescent="0.3">
      <c r="D154" s="10">
        <v>10000</v>
      </c>
    </row>
    <row r="230" spans="3:4" x14ac:dyDescent="0.3">
      <c r="C230" s="10">
        <f>SUM(C48:C229)</f>
        <v>436520</v>
      </c>
      <c r="D230" s="10">
        <f>SUM(D48:D229)</f>
        <v>340572</v>
      </c>
    </row>
  </sheetData>
  <mergeCells count="3">
    <mergeCell ref="L3:M3"/>
    <mergeCell ref="O3:P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qarzdorlar </vt:lpstr>
      <vt:lpstr>Bollarga O`ndirish uchun </vt:lpstr>
      <vt:lpstr>unishi qiyin qarzlar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cp:lastPrinted>2026-05-16T12:57:45Z</cp:lastPrinted>
  <dcterms:created xsi:type="dcterms:W3CDTF">2023-07-09T13:54:00Z</dcterms:created>
  <dcterms:modified xsi:type="dcterms:W3CDTF">2026-06-09T06:14:30Z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A456531E43764A7CAF9B385C8885E858_12</vt:lpwstr>
  </property>
  <property fmtid="{D5CDD505-2E9C-101B-9397-08002B2CF9AE}" pid="3" name="KSOProductBuildVer">
    <vt:lpwstr>1049-12.2.0.18607</vt:lpwstr>
  </property>
</Properties>
</file>