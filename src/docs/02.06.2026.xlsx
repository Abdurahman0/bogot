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ACS\Desktop\"/>
    </mc:Choice>
  </mc:AlternateContent>
  <bookViews>
    <workbookView xWindow="0" yWindow="0" windowWidth="15360" windowHeight="5772" firstSheet="1" activeTab="9"/>
  </bookViews>
  <sheets>
    <sheet name="Диаграмма1" sheetId="20" r:id="rId1"/>
    <sheet name="Лист3" sheetId="3" r:id="rId2"/>
    <sheet name="Qoraqalpoq " sheetId="15" r:id="rId3"/>
    <sheet name="QAraqalpoq Jonibek og`a " sheetId="16" r:id="rId4"/>
    <sheet name="Лист4" sheetId="4" r:id="rId5"/>
    <sheet name="Лист5" sheetId="5" r:id="rId6"/>
    <sheet name="36 ой " sheetId="11" r:id="rId7"/>
    <sheet name="84 ой " sheetId="14" r:id="rId8"/>
    <sheet name="сомпютер " sheetId="12" r:id="rId9"/>
    <sheet name="Лист1" sheetId="17" r:id="rId10"/>
    <sheet name="Лист2" sheetId="21" r:id="rId11"/>
    <sheet name="limit " sheetId="19" r:id="rId12"/>
  </sheets>
  <definedNames>
    <definedName name="_xlnm._FilterDatabase" localSheetId="3" hidden="1">'QAraqalpoq Jonibek og`a '!$A$3:$N$30</definedName>
    <definedName name="_xlnm._FilterDatabase" localSheetId="2" hidden="1">'Qoraqalpoq '!$A$2:$J$127</definedName>
    <definedName name="_xlnm._FilterDatabase" localSheetId="9" hidden="1">Лист1!$A$215:$AKB$240</definedName>
    <definedName name="_xlnm._FilterDatabase" localSheetId="1" hidden="1">Лист3!$A$3:$X$1698</definedName>
    <definedName name="_xlnm._FilterDatabase" localSheetId="4" hidden="1">Лист4!$A$2:$Q$61</definedName>
  </definedNames>
  <calcPr calcId="162913"/>
</workbook>
</file>

<file path=xl/calcChain.xml><?xml version="1.0" encoding="utf-8"?>
<calcChain xmlns="http://schemas.openxmlformats.org/spreadsheetml/2006/main">
  <c r="I236" i="17" l="1"/>
  <c r="I238" i="17"/>
  <c r="I242" i="17"/>
  <c r="J195" i="17"/>
  <c r="I239" i="17" l="1"/>
  <c r="I1602" i="3" l="1"/>
  <c r="I235" i="17" l="1"/>
  <c r="I226" i="17"/>
  <c r="Q232" i="17" l="1"/>
  <c r="AEI272" i="17"/>
  <c r="G270" i="17" l="1"/>
  <c r="G271" i="17"/>
  <c r="G269" i="17"/>
  <c r="AEH272" i="17" l="1"/>
  <c r="M195" i="17" l="1"/>
  <c r="J222" i="17" l="1"/>
  <c r="X221" i="17" l="1"/>
  <c r="AEG272" i="17" l="1"/>
  <c r="AEF13" i="17" l="1"/>
  <c r="AEE272" i="17" l="1"/>
  <c r="J193" i="17" l="1"/>
  <c r="I1691" i="3"/>
  <c r="I213" i="17" l="1"/>
  <c r="I209" i="17" l="1"/>
  <c r="AEC13" i="17" l="1"/>
  <c r="AEC272" i="17"/>
  <c r="I212" i="17" l="1"/>
  <c r="AEB272" i="17" l="1"/>
  <c r="AEA272" i="17" l="1"/>
  <c r="ADZ272" i="17" l="1"/>
  <c r="I1650" i="3" l="1"/>
  <c r="ADY283" i="17" l="1"/>
  <c r="I1648" i="3"/>
  <c r="I1678" i="3" l="1"/>
  <c r="AEV22" i="17" l="1"/>
  <c r="ADW272" i="17" l="1"/>
  <c r="ADW262" i="17"/>
  <c r="I618" i="3" l="1"/>
  <c r="I1643" i="3" l="1"/>
  <c r="AEZ21" i="17" l="1"/>
  <c r="R197" i="17"/>
  <c r="R198" i="17"/>
  <c r="I1641" i="3" l="1"/>
  <c r="ADR272" i="17" l="1"/>
  <c r="E357" i="17"/>
  <c r="E359" i="17" s="1"/>
  <c r="C286" i="17"/>
  <c r="I193" i="17"/>
  <c r="I182" i="17" l="1"/>
  <c r="ADP287" i="17" l="1"/>
  <c r="I1415" i="3" l="1"/>
  <c r="I1592" i="3" l="1"/>
  <c r="ADO261" i="17" l="1"/>
  <c r="ADM283" i="17" l="1"/>
  <c r="I1325" i="3" l="1"/>
  <c r="ADL283" i="17" l="1"/>
  <c r="ADK283" i="17" l="1"/>
  <c r="ADK261" i="17"/>
  <c r="I1630" i="3" l="1"/>
  <c r="I1438" i="3"/>
  <c r="ADJ283" i="17" l="1"/>
  <c r="ADJ261" i="17"/>
  <c r="AFM40" i="17" l="1"/>
  <c r="AFM39" i="17"/>
  <c r="AFM38" i="17"/>
  <c r="AFK30" i="17"/>
  <c r="I626" i="3" l="1"/>
  <c r="ADH263" i="17"/>
  <c r="I1570" i="3" l="1"/>
  <c r="L30" i="15" l="1"/>
  <c r="K26" i="15"/>
  <c r="J178" i="17"/>
  <c r="ADG283" i="17" l="1"/>
  <c r="ADG266" i="17"/>
  <c r="AFM30" i="17"/>
  <c r="I168" i="17" l="1"/>
  <c r="ADF287" i="17"/>
  <c r="ADF261" i="17"/>
  <c r="AFN30" i="17"/>
  <c r="I169" i="17"/>
  <c r="I1674" i="3"/>
  <c r="I170" i="17"/>
  <c r="I162" i="17"/>
  <c r="V177" i="17" l="1"/>
  <c r="ADE283" i="17" l="1"/>
  <c r="ADE263" i="17"/>
  <c r="AFO30" i="17"/>
  <c r="I156" i="17"/>
  <c r="AFP30" i="17" l="1"/>
  <c r="I164" i="17"/>
  <c r="I167" i="17"/>
  <c r="ADC266" i="17" l="1"/>
  <c r="ADC263" i="17"/>
  <c r="AFQ30" i="17"/>
  <c r="ADB283" i="17" l="1"/>
  <c r="AFR34" i="17"/>
  <c r="AFR30" i="17"/>
  <c r="I1647" i="3"/>
  <c r="I1633" i="3" l="1"/>
  <c r="I1606" i="3"/>
  <c r="ADA261" i="17" l="1"/>
  <c r="AFS30" i="17"/>
  <c r="I1600" i="3" l="1"/>
  <c r="ACZ263" i="17"/>
  <c r="ACZ261" i="17"/>
  <c r="AFT30" i="17"/>
  <c r="F153" i="17" l="1"/>
  <c r="F144" i="17" l="1"/>
  <c r="F145" i="17"/>
  <c r="F150" i="17"/>
  <c r="ACY266" i="17"/>
  <c r="AFU30" i="17"/>
  <c r="I1627" i="3"/>
  <c r="I1624" i="3"/>
  <c r="ACX263" i="17"/>
  <c r="ACX262" i="17"/>
  <c r="ACX261" i="17"/>
  <c r="AFV30" i="17"/>
  <c r="ACV283" i="17" l="1"/>
  <c r="ACV261" i="17"/>
  <c r="I1617" i="3"/>
  <c r="ACT283" i="17" l="1"/>
  <c r="ACT261" i="17"/>
  <c r="ACS283" i="17" l="1"/>
  <c r="ACS262" i="17"/>
  <c r="ACS261" i="17"/>
  <c r="AGA30" i="17"/>
  <c r="AGB30" i="17" l="1"/>
  <c r="I1611" i="3"/>
  <c r="ACQ263" i="17"/>
  <c r="AGD22" i="17" l="1"/>
  <c r="AGD30" i="17"/>
  <c r="ACO263" i="17" l="1"/>
  <c r="ACN261" i="17"/>
  <c r="ACM261" i="17" l="1"/>
  <c r="ACM263" i="17"/>
  <c r="ACK261" i="17"/>
  <c r="I1113" i="3"/>
  <c r="I624" i="3"/>
  <c r="ACJ270" i="17" l="1"/>
  <c r="ACJ261" i="17"/>
  <c r="AGL30" i="17"/>
  <c r="ACG261" i="17"/>
  <c r="AGM30" i="17"/>
  <c r="I1577" i="3"/>
  <c r="I1573" i="3"/>
  <c r="ACF274" i="17" l="1"/>
  <c r="AGN30" i="17"/>
  <c r="AGO30" i="17"/>
  <c r="ACD261" i="17"/>
  <c r="AGP30" i="17"/>
  <c r="ACC261" i="17" l="1"/>
  <c r="ACC274" i="17"/>
  <c r="ACB261" i="17"/>
  <c r="ACB268" i="17"/>
  <c r="ACB263" i="17"/>
  <c r="AGR30" i="17"/>
  <c r="ACA263" i="17"/>
  <c r="ACA259" i="17"/>
  <c r="AGS30" i="17"/>
  <c r="ABZ267" i="17" l="1"/>
  <c r="AGT30" i="17"/>
  <c r="ABY263" i="17" l="1"/>
  <c r="ABY261" i="17"/>
  <c r="ABY259" i="17"/>
  <c r="AGU30" i="17"/>
  <c r="AGV30" i="17"/>
  <c r="ABW261" i="17"/>
  <c r="AGW30" i="17"/>
  <c r="ABU261" i="17"/>
  <c r="AGZ30" i="17" l="1"/>
  <c r="ABS270" i="17"/>
  <c r="ABS259" i="17"/>
  <c r="AHA30" i="17"/>
  <c r="ABO261" i="17" l="1"/>
  <c r="ABJ261" i="17" l="1"/>
  <c r="ABI283" i="17"/>
  <c r="ABE261" i="17" l="1"/>
  <c r="AHO22" i="17"/>
  <c r="I1495" i="3" l="1"/>
  <c r="I1493" i="3"/>
  <c r="I1479" i="3"/>
  <c r="I1404" i="3"/>
  <c r="I1398" i="3"/>
  <c r="I1389" i="3"/>
  <c r="I1293" i="3"/>
  <c r="I1292" i="3"/>
  <c r="AHR30" i="17" l="1"/>
  <c r="AHR22" i="17"/>
  <c r="AHS30" i="17"/>
  <c r="AHT30" i="17"/>
  <c r="AAY261" i="17"/>
  <c r="I1235" i="3" l="1"/>
  <c r="AHW30" i="17"/>
  <c r="AHX30" i="17"/>
  <c r="AHY30" i="17"/>
  <c r="AHZ30" i="17"/>
  <c r="AAS23" i="17"/>
  <c r="AIA30" i="17"/>
  <c r="AIB30" i="17" l="1"/>
  <c r="AAQ270" i="17"/>
  <c r="AIC30" i="17"/>
  <c r="F139" i="17"/>
  <c r="AAP283" i="17"/>
  <c r="AAP263" i="17"/>
  <c r="AID30" i="17"/>
  <c r="AAO261" i="17"/>
  <c r="AIE30" i="17"/>
  <c r="AAN277" i="17"/>
  <c r="AIF30" i="17"/>
  <c r="AIF22" i="17"/>
  <c r="AAM283" i="17" l="1"/>
  <c r="AAM268" i="17"/>
  <c r="AAM261" i="17"/>
  <c r="AIG30" i="17"/>
  <c r="AAL263" i="17"/>
  <c r="AAL274" i="17"/>
  <c r="AIH30" i="17"/>
  <c r="AAK283" i="17"/>
  <c r="AII30" i="17"/>
  <c r="AII22" i="17"/>
  <c r="AIJ30" i="17"/>
  <c r="AIK30" i="17"/>
  <c r="AAH283" i="17"/>
  <c r="AAH261" i="17"/>
  <c r="AIL30" i="17"/>
  <c r="AIM30" i="17"/>
  <c r="AAF263" i="17" l="1"/>
  <c r="AAF262" i="17"/>
  <c r="AIN30" i="17"/>
  <c r="AAE283" i="17"/>
  <c r="AAE263" i="17"/>
  <c r="AAE261" i="17"/>
  <c r="AIO30" i="17"/>
  <c r="AAD254" i="17" l="1"/>
  <c r="AAD263" i="17"/>
  <c r="AAD262" i="17"/>
  <c r="AAC263" i="17"/>
  <c r="AAB263" i="17"/>
  <c r="I755" i="3"/>
  <c r="AAA281" i="17"/>
  <c r="ZZ263" i="17" l="1"/>
  <c r="ZZ262" i="17"/>
  <c r="ZZ261" i="17"/>
  <c r="I803" i="3"/>
  <c r="I1185" i="3"/>
  <c r="ZY257" i="17" l="1"/>
  <c r="I1034" i="3"/>
  <c r="I1039" i="3"/>
  <c r="ZX273" i="17" l="1"/>
  <c r="I1720" i="3" l="1"/>
  <c r="I1719" i="3"/>
  <c r="I1718" i="3"/>
  <c r="I1717" i="3"/>
  <c r="I1716" i="3"/>
  <c r="I1715" i="3"/>
  <c r="I1714" i="3"/>
  <c r="I1713" i="3"/>
  <c r="I1709" i="3"/>
  <c r="I1707" i="3"/>
  <c r="I1705" i="3"/>
  <c r="I631" i="3"/>
  <c r="ZW263" i="17" l="1"/>
  <c r="ZU270" i="17"/>
  <c r="ZU263" i="17"/>
  <c r="I1528" i="3"/>
  <c r="I699" i="3"/>
  <c r="ZS261" i="17"/>
  <c r="ZS263" i="17"/>
  <c r="I1009" i="3"/>
  <c r="ZR263" i="17" l="1"/>
  <c r="ZR261" i="17"/>
  <c r="ZQ275" i="17"/>
  <c r="ZP263" i="17"/>
  <c r="I1547" i="3"/>
  <c r="I1375" i="3"/>
  <c r="I537" i="3" l="1"/>
  <c r="Z230" i="17"/>
  <c r="ZI270" i="17" l="1"/>
  <c r="ZI263" i="17"/>
  <c r="ZH262" i="17" l="1"/>
  <c r="ZH263" i="17"/>
  <c r="ZG261" i="17"/>
  <c r="ZG254" i="17"/>
  <c r="ZE263" i="17" l="1"/>
  <c r="ZD270" i="17"/>
  <c r="ZC270" i="17"/>
  <c r="I1229" i="3"/>
  <c r="ZA261" i="17" l="1"/>
  <c r="YZ270" i="17"/>
  <c r="YZ261" i="17"/>
  <c r="YY270" i="17"/>
  <c r="YY261" i="17"/>
  <c r="YX270" i="17"/>
  <c r="YV270" i="17" l="1"/>
  <c r="YU261" i="17" l="1"/>
  <c r="YT270" i="17"/>
  <c r="YT261" i="17"/>
  <c r="YS262" i="17"/>
  <c r="YR270" i="17"/>
  <c r="YR263" i="17"/>
  <c r="YQ270" i="17" l="1"/>
  <c r="YP267" i="17"/>
  <c r="YP262" i="17"/>
  <c r="YP261" i="17"/>
  <c r="YO270" i="17"/>
  <c r="YN270" i="17" l="1"/>
  <c r="YM263" i="17" l="1"/>
  <c r="YM261" i="17"/>
  <c r="YK263" i="17"/>
  <c r="YK262" i="17"/>
  <c r="YJ261" i="17"/>
  <c r="YH267" i="17" l="1"/>
  <c r="YH261" i="17"/>
  <c r="YG267" i="17"/>
  <c r="YG263" i="17"/>
  <c r="YG262" i="17"/>
  <c r="YC261" i="17" l="1"/>
  <c r="XZ262" i="17" l="1"/>
  <c r="XY261" i="17" l="1"/>
  <c r="XX263" i="17"/>
  <c r="XW13" i="17"/>
  <c r="XV267" i="17"/>
  <c r="XV263" i="17"/>
  <c r="XU263" i="17" l="1"/>
  <c r="XT262" i="17"/>
  <c r="XT261" i="17"/>
  <c r="XS262" i="17"/>
  <c r="XQ261" i="17" l="1"/>
  <c r="XQ263" i="17"/>
  <c r="XQ262" i="17"/>
  <c r="XP261" i="17"/>
  <c r="XO261" i="17" l="1"/>
  <c r="L1363" i="3"/>
  <c r="XJ261" i="17" l="1"/>
  <c r="XI13" i="17"/>
  <c r="XI270" i="17"/>
  <c r="XI261" i="17"/>
  <c r="D13" i="16" l="1"/>
  <c r="D29" i="16"/>
  <c r="XH263" i="17"/>
  <c r="I1003" i="3"/>
  <c r="XG263" i="17" l="1"/>
  <c r="XF268" i="17" l="1"/>
  <c r="XF263" i="17"/>
  <c r="XF261" i="17"/>
  <c r="XE261" i="17"/>
  <c r="XB263" i="17" l="1"/>
  <c r="XB261" i="17"/>
  <c r="XA263" i="17" l="1"/>
  <c r="XA261" i="17"/>
  <c r="WZ267" i="17"/>
  <c r="WZ263" i="17"/>
  <c r="WZ261" i="17"/>
  <c r="WY261" i="17" l="1"/>
  <c r="WW275" i="17" l="1"/>
  <c r="WW263" i="17"/>
  <c r="WW261" i="17"/>
  <c r="WV271" i="17"/>
  <c r="WV270" i="17"/>
  <c r="WV263" i="17"/>
  <c r="WU261" i="17" l="1"/>
  <c r="WU271" i="17"/>
  <c r="WU263" i="17"/>
  <c r="WT263" i="17" l="1"/>
  <c r="WS261" i="17"/>
  <c r="WR279" i="17"/>
  <c r="WR261" i="17"/>
  <c r="WR263" i="17"/>
  <c r="WQ267" i="17" l="1"/>
  <c r="WP261" i="17" l="1"/>
  <c r="WP263" i="17"/>
  <c r="WO275" i="17" l="1"/>
  <c r="WM263" i="17" l="1"/>
  <c r="WM254" i="17"/>
  <c r="WK263" i="17" l="1"/>
  <c r="WK261" i="17"/>
  <c r="WF263" i="17" l="1"/>
  <c r="WE261" i="17"/>
  <c r="VZ261" i="17" l="1"/>
  <c r="VZ23" i="17"/>
  <c r="VU277" i="17" l="1"/>
  <c r="VU267" i="17"/>
  <c r="VT261" i="17"/>
  <c r="VQ262" i="17" l="1"/>
  <c r="VQ261" i="17"/>
  <c r="VP267" i="17"/>
  <c r="VP263" i="17"/>
  <c r="VP262" i="17"/>
  <c r="VO262" i="17" l="1"/>
  <c r="VF262" i="17" l="1"/>
  <c r="VE262" i="17"/>
  <c r="VD263" i="17" l="1"/>
  <c r="VB262" i="17" l="1"/>
  <c r="VA263" i="17"/>
  <c r="VA262" i="17"/>
  <c r="UZ262" i="17" l="1"/>
  <c r="UY262" i="17"/>
  <c r="I168" i="3" l="1"/>
  <c r="I1050" i="3" l="1"/>
  <c r="J1163" i="3" l="1"/>
  <c r="UI255" i="17"/>
  <c r="J1137" i="3" l="1"/>
  <c r="TY261" i="17" l="1"/>
  <c r="O65" i="17" l="1"/>
  <c r="R63" i="17" l="1"/>
  <c r="O63" i="17" s="1"/>
  <c r="R66" i="17"/>
  <c r="TO262" i="17" l="1"/>
  <c r="R61" i="17" l="1"/>
  <c r="SX255" i="17" l="1"/>
  <c r="R26" i="17" l="1"/>
  <c r="X55" i="17" l="1"/>
  <c r="Z55" i="17" l="1"/>
  <c r="AC55" i="17" l="1"/>
  <c r="AE55" i="17" l="1"/>
  <c r="AG55" i="17" l="1"/>
  <c r="AG54" i="17"/>
  <c r="RG266" i="17" l="1"/>
  <c r="AI55" i="17"/>
  <c r="AJ55" i="17" l="1"/>
  <c r="AM42" i="17" l="1"/>
  <c r="AO54" i="17" l="1"/>
  <c r="AQ52" i="17" l="1"/>
  <c r="AQ54" i="17"/>
  <c r="AS42" i="17" l="1"/>
  <c r="AS53" i="17"/>
  <c r="AS54" i="17"/>
  <c r="AU53" i="17" l="1"/>
  <c r="AY52" i="17" l="1"/>
  <c r="BA50" i="17" l="1"/>
  <c r="BA52" i="17"/>
  <c r="BA53" i="17"/>
  <c r="BC52" i="17" l="1"/>
  <c r="BC53" i="17"/>
  <c r="BE46" i="17" l="1"/>
  <c r="BE50" i="17"/>
  <c r="BE52" i="17"/>
  <c r="BG48" i="17" l="1"/>
  <c r="BG49" i="17"/>
  <c r="BG52" i="17"/>
  <c r="BG53" i="17"/>
  <c r="BI53" i="17"/>
  <c r="BK51" i="17" l="1"/>
  <c r="BK53" i="17"/>
  <c r="BL40" i="17"/>
  <c r="BM48" i="17"/>
  <c r="BM49" i="17"/>
  <c r="BM50" i="17"/>
  <c r="BM53" i="17"/>
  <c r="BO51" i="17" l="1"/>
  <c r="BO53" i="17"/>
  <c r="QS254" i="17" l="1"/>
  <c r="BQ51" i="17"/>
  <c r="BS48" i="17"/>
  <c r="BS50" i="17"/>
  <c r="BS51" i="17"/>
  <c r="BU51" i="17" l="1"/>
  <c r="QP267" i="17" l="1"/>
  <c r="BW50" i="17"/>
  <c r="BW51" i="17"/>
  <c r="BY48" i="17" l="1"/>
  <c r="BY49" i="17"/>
  <c r="BY50" i="17"/>
  <c r="CA45" i="17" l="1"/>
  <c r="CA46" i="17"/>
  <c r="CA47" i="17"/>
  <c r="CA48" i="17"/>
  <c r="CA50" i="17"/>
  <c r="CA49" i="17"/>
  <c r="CA51" i="17"/>
  <c r="CC49" i="17" l="1"/>
  <c r="N2687" i="3"/>
  <c r="N2688" i="3"/>
  <c r="N2692" i="3"/>
  <c r="N2744" i="3"/>
  <c r="M2760" i="3"/>
  <c r="M2776" i="3"/>
  <c r="M2781" i="3"/>
  <c r="I2806" i="3"/>
  <c r="M2845" i="3"/>
  <c r="M2861" i="3"/>
  <c r="N2690" i="3" l="1"/>
  <c r="CE45" i="17"/>
  <c r="CE46" i="17"/>
  <c r="CE48" i="17"/>
  <c r="CE49" i="17"/>
  <c r="QK263" i="17"/>
  <c r="QK262" i="17"/>
  <c r="CG49" i="17"/>
  <c r="CG50" i="17"/>
  <c r="CI45" i="17" l="1"/>
  <c r="CI48" i="17"/>
  <c r="CJ49" i="17" l="1"/>
  <c r="CK49" i="17"/>
  <c r="CK39" i="17"/>
  <c r="CK43" i="17"/>
  <c r="CK44" i="17"/>
  <c r="CK45" i="17"/>
  <c r="CK47" i="17"/>
  <c r="CO49" i="17" l="1"/>
  <c r="CQ45" i="17" l="1"/>
  <c r="CQ46" i="17"/>
  <c r="CQ47" i="17"/>
  <c r="CQ48" i="17"/>
  <c r="QE262" i="17" l="1"/>
  <c r="QE267" i="17"/>
  <c r="CS46" i="17"/>
  <c r="CS47" i="17" l="1"/>
  <c r="CS48" i="17"/>
  <c r="CT47" i="17" l="1"/>
  <c r="CU40" i="17" l="1"/>
  <c r="CU43" i="17"/>
  <c r="CU44" i="17"/>
  <c r="CU45" i="17"/>
  <c r="CU47" i="17" l="1"/>
  <c r="CU48" i="17"/>
  <c r="CW44" i="17" l="1"/>
  <c r="CW46" i="17"/>
  <c r="CW47" i="17"/>
  <c r="CW48" i="17"/>
  <c r="CY39" i="17" l="1"/>
  <c r="CY43" i="17"/>
  <c r="CY44" i="17"/>
  <c r="CY45" i="17"/>
  <c r="CY46" i="17"/>
  <c r="CY47" i="17"/>
  <c r="QA13" i="17"/>
  <c r="DA35" i="17"/>
  <c r="DA36" i="17"/>
  <c r="DA38" i="17"/>
  <c r="DA39" i="17"/>
  <c r="DA40" i="17"/>
  <c r="DA41" i="17"/>
  <c r="DA44" i="17"/>
  <c r="DA45" i="17"/>
  <c r="DC43" i="17"/>
  <c r="DC44" i="17"/>
  <c r="DC45" i="17"/>
  <c r="DC46" i="17"/>
  <c r="DE36" i="17" l="1"/>
  <c r="DE43" i="17"/>
  <c r="DE44" i="17"/>
  <c r="DE45" i="17"/>
  <c r="DG36" i="17" l="1"/>
  <c r="DG43" i="17"/>
  <c r="DG44" i="17"/>
  <c r="DG45" i="17"/>
  <c r="DI36" i="17" l="1"/>
  <c r="DI40" i="17"/>
  <c r="DI43" i="17"/>
  <c r="DI44" i="17"/>
  <c r="DK36" i="17" l="1"/>
  <c r="DK39" i="17"/>
  <c r="DK40" i="17"/>
  <c r="DK41" i="17"/>
  <c r="DK43" i="17"/>
  <c r="DJ44" i="17"/>
  <c r="DM36" i="17" l="1"/>
  <c r="DM40" i="17"/>
  <c r="DM41" i="17"/>
  <c r="DO36" i="17"/>
  <c r="DO40" i="17"/>
  <c r="DO41" i="17"/>
  <c r="DQ41" i="17" l="1"/>
  <c r="DS41" i="17"/>
  <c r="DU38" i="17" l="1"/>
  <c r="DU40" i="17"/>
  <c r="DU41" i="17"/>
  <c r="DW35" i="17"/>
  <c r="DW37" i="17"/>
  <c r="DW38" i="17"/>
  <c r="DW40" i="17"/>
  <c r="DY39" i="17" l="1"/>
  <c r="DY40" i="17"/>
  <c r="M170" i="3" l="1"/>
  <c r="M183" i="3"/>
  <c r="M233" i="3"/>
  <c r="M385" i="3"/>
  <c r="EA39" i="17"/>
  <c r="EA40" i="17"/>
  <c r="EB40" i="17"/>
  <c r="EC39" i="17"/>
  <c r="EE39" i="17"/>
  <c r="EG35" i="17" l="1"/>
  <c r="EG38" i="17"/>
  <c r="EG39" i="17"/>
  <c r="EG42" i="17"/>
  <c r="EI35" i="17" l="1"/>
  <c r="EI38" i="17"/>
  <c r="EI39" i="17"/>
  <c r="I661" i="3"/>
  <c r="EK35" i="17" l="1"/>
  <c r="EK38" i="17"/>
  <c r="EK39" i="17"/>
  <c r="EM38" i="17" l="1"/>
  <c r="EO35" i="17" l="1"/>
  <c r="EO38" i="17"/>
  <c r="EO37" i="17"/>
  <c r="EQ34" i="17" l="1"/>
  <c r="EQ35" i="17"/>
  <c r="EQ37" i="17"/>
  <c r="EQ38" i="17"/>
  <c r="ES35" i="17" l="1"/>
  <c r="ES38" i="17"/>
  <c r="ET31" i="17" l="1"/>
  <c r="EU34" i="17"/>
  <c r="ET35" i="17"/>
  <c r="EU37" i="17"/>
  <c r="EU38" i="17"/>
  <c r="EW37" i="17" l="1"/>
  <c r="EW38" i="17"/>
  <c r="EY37" i="17" l="1"/>
  <c r="EX38" i="17"/>
  <c r="FA37" i="17" l="1"/>
  <c r="OT264" i="17" l="1"/>
  <c r="FG34" i="17" l="1"/>
  <c r="FI31" i="17" l="1"/>
  <c r="FI34" i="17"/>
  <c r="OQ271" i="17" l="1"/>
  <c r="OQ266" i="17"/>
  <c r="OP273" i="17"/>
  <c r="FK31" i="17"/>
  <c r="FK32" i="17"/>
  <c r="FK33" i="17"/>
  <c r="FK34" i="17"/>
  <c r="FM31" i="17" l="1"/>
  <c r="FM33" i="17"/>
  <c r="FM34" i="17"/>
  <c r="ON267" i="17" l="1"/>
  <c r="FO31" i="17"/>
  <c r="FO32" i="17"/>
  <c r="FO33" i="17"/>
  <c r="FO34" i="17"/>
  <c r="FQ31" i="17" l="1"/>
  <c r="FQ32" i="17"/>
  <c r="FQ33" i="17"/>
  <c r="FQ34" i="17"/>
  <c r="FS34" i="17" l="1"/>
  <c r="OJ254" i="17" l="1"/>
  <c r="FX32" i="17" l="1"/>
  <c r="GB30" i="17" l="1"/>
  <c r="GB32" i="17"/>
  <c r="GB33" i="17"/>
  <c r="GD29" i="17" l="1"/>
  <c r="GD31" i="17"/>
  <c r="GD32" i="17"/>
  <c r="GD33" i="17"/>
  <c r="GE29" i="17" l="1"/>
  <c r="GE31" i="17"/>
  <c r="GE32" i="17"/>
  <c r="GF33" i="17"/>
  <c r="NO13" i="17" l="1"/>
  <c r="NP13" i="17"/>
  <c r="NS13" i="17"/>
  <c r="GH28" i="17"/>
  <c r="GH29" i="17"/>
  <c r="GH31" i="17"/>
  <c r="GG33" i="17"/>
  <c r="GJ28" i="17"/>
  <c r="GJ31" i="17"/>
  <c r="GJ32" i="17"/>
  <c r="GL28" i="17" l="1"/>
  <c r="GL29" i="17"/>
  <c r="GL31" i="17"/>
  <c r="GL32" i="17"/>
  <c r="GN29" i="17" l="1"/>
  <c r="GN31" i="17"/>
  <c r="GP28" i="17" l="1"/>
  <c r="GP29" i="17"/>
  <c r="GP31" i="17"/>
  <c r="GR29" i="17" l="1"/>
  <c r="GT29" i="17" l="1"/>
  <c r="GT30" i="17"/>
  <c r="GV30" i="17" l="1"/>
  <c r="GV29" i="17"/>
  <c r="GW29" i="17" l="1"/>
  <c r="GW30" i="17"/>
  <c r="GW28" i="17"/>
  <c r="HA30" i="17" l="1"/>
  <c r="HB27" i="17" l="1"/>
  <c r="HC30" i="17"/>
  <c r="HG30" i="17" l="1"/>
  <c r="HI30" i="17" l="1"/>
  <c r="HK30" i="17" l="1"/>
  <c r="HM30" i="17" l="1"/>
  <c r="I475" i="12" l="1"/>
  <c r="HO12" i="17"/>
  <c r="HO28" i="17"/>
  <c r="HO30" i="17"/>
  <c r="NF13" i="17" l="1"/>
  <c r="HQ28" i="17"/>
  <c r="HQ30" i="17"/>
  <c r="HS27" i="17" l="1"/>
  <c r="HS30" i="17"/>
  <c r="HU11" i="17" l="1"/>
  <c r="HU17" i="17"/>
  <c r="HU30" i="17"/>
  <c r="HU27" i="17"/>
  <c r="N603" i="3" l="1"/>
  <c r="NC13" i="17"/>
  <c r="HW12" i="17"/>
  <c r="HW18" i="17"/>
  <c r="HW26" i="17"/>
  <c r="HW27" i="17"/>
  <c r="HW28" i="17"/>
  <c r="HZ28" i="17" l="1"/>
  <c r="NA252" i="17" l="1"/>
  <c r="NA13" i="17"/>
  <c r="MZ13" i="17" l="1"/>
  <c r="IB12" i="17" l="1"/>
  <c r="IB26" i="17"/>
  <c r="IB27" i="17"/>
  <c r="ID26" i="17" l="1"/>
  <c r="ID27" i="17"/>
  <c r="IH18" i="17" l="1"/>
  <c r="IH26" i="17"/>
  <c r="IH27" i="17"/>
  <c r="IJ26" i="17" l="1"/>
  <c r="IL14" i="17" l="1"/>
  <c r="IL22" i="17"/>
  <c r="IL24" i="17"/>
  <c r="IL27" i="17"/>
  <c r="IL28" i="17"/>
  <c r="IN27" i="17" l="1"/>
  <c r="IZ14" i="17" l="1"/>
  <c r="IT15" i="17"/>
  <c r="IT17" i="17"/>
  <c r="IZ17" i="17"/>
  <c r="JB17" i="17"/>
  <c r="IR18" i="17"/>
  <c r="IV24" i="17"/>
  <c r="IX24" i="17"/>
  <c r="IV25" i="17"/>
  <c r="IX25" i="17"/>
  <c r="IZ25" i="17"/>
  <c r="JB25" i="17"/>
  <c r="IR26" i="17"/>
  <c r="IT26" i="17"/>
  <c r="IV26" i="17"/>
  <c r="IX26" i="17"/>
  <c r="IY26" i="17"/>
  <c r="IZ26" i="17"/>
  <c r="JA26" i="17"/>
  <c r="IO27" i="17"/>
  <c r="IP26" i="17"/>
  <c r="IQ18" i="17" l="1"/>
  <c r="IQ17" i="17"/>
  <c r="M58" i="4" l="1"/>
  <c r="JE230" i="17" l="1"/>
  <c r="N332" i="3" l="1"/>
  <c r="N333" i="3" s="1"/>
  <c r="JC17" i="17" l="1"/>
  <c r="JD25" i="17"/>
  <c r="JF17" i="17" l="1"/>
  <c r="JF25" i="17"/>
  <c r="JH25" i="17" l="1"/>
  <c r="N392" i="3" l="1"/>
  <c r="JJ17" i="17" l="1"/>
  <c r="JJ23" i="17"/>
  <c r="JJ24" i="17"/>
  <c r="JJ25" i="17"/>
  <c r="JL17" i="17" l="1"/>
  <c r="JL23" i="17"/>
  <c r="JL25" i="17"/>
  <c r="JN17" i="17" l="1"/>
  <c r="JN23" i="17"/>
  <c r="JN24" i="17"/>
  <c r="JN25" i="17"/>
  <c r="JP22" i="17" l="1"/>
  <c r="JP23" i="17"/>
  <c r="JP24" i="17"/>
  <c r="JR21" i="17" l="1"/>
  <c r="JR22" i="17"/>
  <c r="JR24" i="17"/>
  <c r="JT24" i="17" l="1"/>
  <c r="JV24" i="17" l="1"/>
  <c r="JV17" i="17"/>
  <c r="LU249" i="17" l="1"/>
  <c r="JX17" i="17"/>
  <c r="JX20" i="17"/>
  <c r="JX21" i="17"/>
  <c r="JX23" i="17"/>
  <c r="JX24" i="17"/>
  <c r="JZ23" i="17" l="1"/>
  <c r="KB21" i="17" l="1"/>
  <c r="KB22" i="17"/>
  <c r="KB23" i="17"/>
  <c r="O115" i="3"/>
  <c r="N209" i="3"/>
  <c r="N297" i="3"/>
  <c r="KD22" i="17" l="1"/>
  <c r="KD23" i="17"/>
  <c r="LS252" i="17" l="1"/>
  <c r="RX276" i="17"/>
  <c r="RX20" i="17"/>
  <c r="KF21" i="17"/>
  <c r="KF22" i="17"/>
  <c r="KF23" i="17"/>
  <c r="RW252" i="17" l="1"/>
  <c r="KH21" i="17"/>
  <c r="KH22" i="17"/>
  <c r="KH23" i="17"/>
  <c r="KJ21" i="17" l="1"/>
  <c r="KJ23" i="17"/>
  <c r="KV248" i="17" l="1"/>
  <c r="KV250" i="17" s="1"/>
  <c r="RU20" i="17"/>
  <c r="KL16" i="17"/>
  <c r="KL18" i="17"/>
  <c r="KL19" i="17"/>
  <c r="KL21" i="17"/>
  <c r="KK21" i="17" s="1"/>
  <c r="KL22" i="17"/>
  <c r="KK22" i="17" s="1"/>
  <c r="KI22" i="17" s="1"/>
  <c r="KL23" i="17"/>
  <c r="KK23" i="17" s="1"/>
  <c r="KI23" i="17" s="1"/>
  <c r="LI253" i="17" l="1"/>
  <c r="KN20" i="17" l="1"/>
  <c r="KN21" i="17"/>
  <c r="KN22" i="17"/>
  <c r="LH252" i="17" l="1"/>
  <c r="LG252" i="17" l="1"/>
  <c r="RQ265" i="17"/>
  <c r="RQ257" i="17"/>
  <c r="KR21" i="17"/>
  <c r="KQ21" i="17" s="1"/>
  <c r="LF257" i="17" l="1"/>
  <c r="KS18" i="17" l="1"/>
  <c r="KV19" i="17"/>
  <c r="KS19" i="17" s="1"/>
  <c r="KQ19" i="17" s="1"/>
  <c r="KW20" i="17"/>
  <c r="KV20" i="17"/>
  <c r="KW21" i="17"/>
  <c r="KV21" i="17"/>
  <c r="KS20" i="17" l="1"/>
  <c r="KQ20" i="17" s="1"/>
  <c r="LC13" i="17"/>
  <c r="O102" i="15" l="1"/>
  <c r="I432" i="12" l="1"/>
  <c r="I38" i="11" l="1"/>
  <c r="D6" i="16" l="1"/>
  <c r="A62" i="15" l="1"/>
  <c r="A63" i="15" s="1"/>
  <c r="A64" i="15" s="1"/>
  <c r="A65" i="15" s="1"/>
  <c r="A66" i="15" s="1"/>
  <c r="A67" i="15" s="1"/>
  <c r="A68" i="15" s="1"/>
  <c r="A69" i="15" s="1"/>
  <c r="A70" i="15" s="1"/>
  <c r="D318" i="12" l="1"/>
  <c r="K61" i="11" l="1"/>
  <c r="H65" i="11"/>
  <c r="H66" i="11" s="1"/>
  <c r="H67" i="11" s="1"/>
  <c r="H68" i="11" s="1"/>
  <c r="H64" i="11"/>
  <c r="B38" i="14"/>
  <c r="B39" i="14" s="1"/>
  <c r="B40" i="14" s="1"/>
  <c r="B41" i="14" s="1"/>
  <c r="B42" i="14" s="1"/>
  <c r="B43" i="14" s="1"/>
  <c r="B44" i="14" s="1"/>
  <c r="B45" i="14" s="1"/>
  <c r="B46" i="14" s="1"/>
  <c r="B47" i="14" s="1"/>
  <c r="B48" i="14" s="1"/>
  <c r="B49" i="14" s="1"/>
  <c r="B50" i="14" s="1"/>
  <c r="B51" i="14" s="1"/>
  <c r="B52" i="14" s="1"/>
  <c r="B53" i="14" s="1"/>
  <c r="B54" i="14" s="1"/>
  <c r="B55" i="14" s="1"/>
  <c r="B56" i="14" s="1"/>
  <c r="B57" i="14" s="1"/>
  <c r="B58" i="14" s="1"/>
  <c r="B59" i="14" s="1"/>
  <c r="B60" i="14" s="1"/>
  <c r="B61" i="14" s="1"/>
  <c r="B62" i="14" s="1"/>
  <c r="B63" i="14" s="1"/>
  <c r="B64" i="14" s="1"/>
  <c r="B65" i="14" s="1"/>
  <c r="B66" i="14" s="1"/>
  <c r="B67" i="14" s="1"/>
  <c r="A5" i="14"/>
  <c r="A6" i="14" s="1"/>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E2" i="14"/>
  <c r="E3" i="14" s="1"/>
  <c r="B8" i="11"/>
  <c r="E2" i="11"/>
  <c r="C2" i="11" s="1"/>
  <c r="B68" i="14" l="1"/>
  <c r="C2" i="14"/>
  <c r="D2" i="14" s="1"/>
  <c r="C3" i="14"/>
  <c r="D3" i="14" s="1"/>
  <c r="E4" i="14"/>
  <c r="E3" i="11"/>
  <c r="C3" i="11" s="1"/>
  <c r="B9" i="11"/>
  <c r="A5" i="1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B69" i="14" l="1"/>
  <c r="C4" i="14"/>
  <c r="D4" i="14" s="1"/>
  <c r="E5" i="14"/>
  <c r="E4" i="11"/>
  <c r="C4" i="11" s="1"/>
  <c r="B10" i="11"/>
  <c r="D2" i="11"/>
  <c r="B70" i="14" l="1"/>
  <c r="C5" i="14"/>
  <c r="E6" i="14"/>
  <c r="E5" i="11"/>
  <c r="C5" i="11" s="1"/>
  <c r="D4" i="11"/>
  <c r="B11" i="11"/>
  <c r="B12" i="11" s="1"/>
  <c r="B13" i="11" s="1"/>
  <c r="B14" i="11" s="1"/>
  <c r="B15" i="11" s="1"/>
  <c r="B16" i="11" s="1"/>
  <c r="D3" i="11"/>
  <c r="B17" i="11" l="1"/>
  <c r="B18" i="11" s="1"/>
  <c r="B19" i="11" s="1"/>
  <c r="B20" i="11" s="1"/>
  <c r="B21" i="11" s="1"/>
  <c r="B22" i="11" s="1"/>
  <c r="B23" i="11" s="1"/>
  <c r="B24" i="11" s="1"/>
  <c r="B25" i="11" s="1"/>
  <c r="B26" i="11" s="1"/>
  <c r="B27" i="11" s="1"/>
  <c r="B28" i="11" s="1"/>
  <c r="B29" i="11" s="1"/>
  <c r="B30" i="11" s="1"/>
  <c r="B31" i="11" s="1"/>
  <c r="B32" i="11" s="1"/>
  <c r="B33" i="11" s="1"/>
  <c r="B34" i="11" s="1"/>
  <c r="B35" i="11" s="1"/>
  <c r="B36" i="11" s="1"/>
  <c r="B37" i="11" s="1"/>
  <c r="B71" i="14"/>
  <c r="C6" i="14"/>
  <c r="D6" i="14" s="1"/>
  <c r="E7" i="14"/>
  <c r="E8" i="14" s="1"/>
  <c r="D5" i="14"/>
  <c r="E6" i="11"/>
  <c r="C6" i="11" s="1"/>
  <c r="B38" i="11" l="1"/>
  <c r="B72" i="14"/>
  <c r="E9" i="14"/>
  <c r="C8" i="14"/>
  <c r="D8" i="14" s="1"/>
  <c r="C7" i="14"/>
  <c r="E38" i="14"/>
  <c r="D5" i="11"/>
  <c r="D6" i="11"/>
  <c r="E7" i="11"/>
  <c r="C7" i="11" s="1"/>
  <c r="B73" i="14" l="1"/>
  <c r="E10" i="14"/>
  <c r="C9" i="14"/>
  <c r="D9" i="14" s="1"/>
  <c r="D7" i="14"/>
  <c r="E39" i="14"/>
  <c r="C38" i="14"/>
  <c r="D38" i="14" s="1"/>
  <c r="D7" i="11"/>
  <c r="E8" i="11"/>
  <c r="C8" i="11" s="1"/>
  <c r="B74" i="14" l="1"/>
  <c r="C10" i="14"/>
  <c r="D10" i="14" s="1"/>
  <c r="E11" i="14"/>
  <c r="E40" i="14"/>
  <c r="C39" i="14"/>
  <c r="D39" i="14" s="1"/>
  <c r="D8" i="11"/>
  <c r="E9" i="11"/>
  <c r="C9" i="11" s="1"/>
  <c r="B75" i="14" l="1"/>
  <c r="E12" i="14"/>
  <c r="C11" i="14"/>
  <c r="D11" i="14" s="1"/>
  <c r="E41" i="14"/>
  <c r="C40" i="14"/>
  <c r="D40" i="14" s="1"/>
  <c r="D9" i="11"/>
  <c r="E10" i="11"/>
  <c r="C10" i="11" s="1"/>
  <c r="B76" i="14" l="1"/>
  <c r="E13" i="14"/>
  <c r="C12" i="14"/>
  <c r="D12" i="14" s="1"/>
  <c r="C41" i="14"/>
  <c r="D41" i="14" s="1"/>
  <c r="E42" i="14"/>
  <c r="D10" i="11"/>
  <c r="E11" i="11"/>
  <c r="C11" i="11" s="1"/>
  <c r="B77" i="14" l="1"/>
  <c r="C13" i="14"/>
  <c r="D13" i="14" s="1"/>
  <c r="E14" i="14"/>
  <c r="E43" i="14"/>
  <c r="C42" i="14"/>
  <c r="D42" i="14" s="1"/>
  <c r="D11" i="11"/>
  <c r="E12" i="11"/>
  <c r="C12" i="11" s="1"/>
  <c r="B78" i="14" l="1"/>
  <c r="C14" i="14"/>
  <c r="D14" i="14" s="1"/>
  <c r="E15" i="14"/>
  <c r="E44" i="14"/>
  <c r="C43" i="14"/>
  <c r="D43" i="14" s="1"/>
  <c r="D12" i="11"/>
  <c r="E13" i="11"/>
  <c r="C13" i="11" s="1"/>
  <c r="B79" i="14" l="1"/>
  <c r="E16" i="14"/>
  <c r="C15" i="14"/>
  <c r="D15" i="14" s="1"/>
  <c r="E45" i="14"/>
  <c r="C44" i="14"/>
  <c r="D44" i="14" s="1"/>
  <c r="D13" i="11"/>
  <c r="E14" i="11"/>
  <c r="C14" i="11" s="1"/>
  <c r="B80" i="14" l="1"/>
  <c r="E17" i="14"/>
  <c r="C16" i="14"/>
  <c r="D16" i="14" s="1"/>
  <c r="C45" i="14"/>
  <c r="D45" i="14" s="1"/>
  <c r="E46" i="14"/>
  <c r="D14" i="11"/>
  <c r="E15" i="11"/>
  <c r="C15" i="11" s="1"/>
  <c r="B81" i="14" l="1"/>
  <c r="E18" i="14"/>
  <c r="C17" i="14"/>
  <c r="D17" i="14" s="1"/>
  <c r="E47" i="14"/>
  <c r="C46" i="14"/>
  <c r="D46" i="14" s="1"/>
  <c r="D15" i="11"/>
  <c r="E16" i="11"/>
  <c r="C16" i="11" s="1"/>
  <c r="B82" i="14" l="1"/>
  <c r="C18" i="14"/>
  <c r="D18" i="14" s="1"/>
  <c r="E19" i="14"/>
  <c r="E48" i="14"/>
  <c r="C47" i="14"/>
  <c r="D47" i="14" s="1"/>
  <c r="D16" i="11"/>
  <c r="E17" i="11"/>
  <c r="C17" i="11" s="1"/>
  <c r="E20" i="14" l="1"/>
  <c r="C19" i="14"/>
  <c r="D19" i="14" s="1"/>
  <c r="B83" i="14"/>
  <c r="E49" i="14"/>
  <c r="C48" i="14"/>
  <c r="D48" i="14" s="1"/>
  <c r="D17" i="11"/>
  <c r="E18" i="11"/>
  <c r="C18" i="11" s="1"/>
  <c r="E21" i="14" l="1"/>
  <c r="C20" i="14"/>
  <c r="D20" i="14" s="1"/>
  <c r="B84" i="14"/>
  <c r="C49" i="14"/>
  <c r="D49" i="14" s="1"/>
  <c r="E50" i="14"/>
  <c r="D18" i="11"/>
  <c r="E19" i="11"/>
  <c r="C19" i="11" s="1"/>
  <c r="C21" i="14" l="1"/>
  <c r="D21" i="14" s="1"/>
  <c r="E22" i="14"/>
  <c r="B85" i="14"/>
  <c r="E51" i="14"/>
  <c r="C50" i="14"/>
  <c r="D50" i="14" s="1"/>
  <c r="D19" i="11"/>
  <c r="E20" i="11"/>
  <c r="C20" i="11" s="1"/>
  <c r="C22" i="14" l="1"/>
  <c r="D22" i="14" s="1"/>
  <c r="E23" i="14"/>
  <c r="B86" i="14"/>
  <c r="E52" i="14"/>
  <c r="C51" i="14"/>
  <c r="D51" i="14" s="1"/>
  <c r="D20" i="11"/>
  <c r="E21" i="11"/>
  <c r="C21" i="11" s="1"/>
  <c r="C23" i="14" l="1"/>
  <c r="D23" i="14" s="1"/>
  <c r="E24" i="14"/>
  <c r="E53" i="14"/>
  <c r="C52" i="14"/>
  <c r="D52" i="14" s="1"/>
  <c r="D21" i="11"/>
  <c r="E22" i="11"/>
  <c r="C22" i="11" s="1"/>
  <c r="E25" i="14" l="1"/>
  <c r="C24" i="14"/>
  <c r="D24" i="14" s="1"/>
  <c r="C53" i="14"/>
  <c r="D53" i="14" s="1"/>
  <c r="E54" i="14"/>
  <c r="D22" i="11"/>
  <c r="E23" i="11"/>
  <c r="C23" i="11" s="1"/>
  <c r="C25" i="14" l="1"/>
  <c r="D25" i="14" s="1"/>
  <c r="E26" i="14"/>
  <c r="E55" i="14"/>
  <c r="C54" i="14"/>
  <c r="D54" i="14" s="1"/>
  <c r="D23" i="11"/>
  <c r="E24" i="11"/>
  <c r="C24" i="11" s="1"/>
  <c r="C26" i="14" l="1"/>
  <c r="D26" i="14" s="1"/>
  <c r="E27" i="14"/>
  <c r="E56" i="14"/>
  <c r="C55" i="14"/>
  <c r="D55" i="14" s="1"/>
  <c r="D24" i="11"/>
  <c r="E25" i="11"/>
  <c r="C25" i="11" s="1"/>
  <c r="E28" i="14" l="1"/>
  <c r="C27" i="14"/>
  <c r="D27" i="14" s="1"/>
  <c r="E57" i="14"/>
  <c r="C56" i="14"/>
  <c r="D56" i="14" s="1"/>
  <c r="D25" i="11"/>
  <c r="E26" i="11"/>
  <c r="C26" i="11" s="1"/>
  <c r="E29" i="14" l="1"/>
  <c r="C28" i="14"/>
  <c r="D28" i="14" s="1"/>
  <c r="C57" i="14"/>
  <c r="D57" i="14" s="1"/>
  <c r="E58" i="14"/>
  <c r="D26" i="11"/>
  <c r="E27" i="11"/>
  <c r="C27" i="11" s="1"/>
  <c r="E30" i="14" l="1"/>
  <c r="C29" i="14"/>
  <c r="D29" i="14" s="1"/>
  <c r="E59" i="14"/>
  <c r="C58" i="14"/>
  <c r="D58" i="14" s="1"/>
  <c r="D27" i="11"/>
  <c r="E28" i="11"/>
  <c r="C28" i="11" s="1"/>
  <c r="C30" i="14" l="1"/>
  <c r="D30" i="14" s="1"/>
  <c r="E31" i="14"/>
  <c r="E60" i="14"/>
  <c r="C59" i="14"/>
  <c r="D59" i="14" s="1"/>
  <c r="D28" i="11"/>
  <c r="E29" i="11"/>
  <c r="C29" i="11" s="1"/>
  <c r="C31" i="14" l="1"/>
  <c r="D31" i="14" s="1"/>
  <c r="E32" i="14"/>
  <c r="E61" i="14"/>
  <c r="C60" i="14"/>
  <c r="D60" i="14" s="1"/>
  <c r="D29" i="11"/>
  <c r="E30" i="11"/>
  <c r="C30" i="11" s="1"/>
  <c r="E33" i="14" l="1"/>
  <c r="C32" i="14"/>
  <c r="D32" i="14" s="1"/>
  <c r="C61" i="14"/>
  <c r="D61" i="14" s="1"/>
  <c r="E62" i="14"/>
  <c r="D30" i="11"/>
  <c r="E31" i="11"/>
  <c r="C31" i="11" s="1"/>
  <c r="E34" i="14" l="1"/>
  <c r="C33" i="14"/>
  <c r="D33" i="14" s="1"/>
  <c r="E63" i="14"/>
  <c r="C62" i="14"/>
  <c r="D62" i="14" s="1"/>
  <c r="D31" i="11"/>
  <c r="E32" i="11"/>
  <c r="C32" i="11" s="1"/>
  <c r="E35" i="14" l="1"/>
  <c r="C34" i="14"/>
  <c r="D34" i="14" s="1"/>
  <c r="E64" i="14"/>
  <c r="C63" i="14"/>
  <c r="D63" i="14" s="1"/>
  <c r="D32" i="11"/>
  <c r="E33" i="11"/>
  <c r="C33" i="11" s="1"/>
  <c r="E36" i="14" l="1"/>
  <c r="C35" i="14"/>
  <c r="D35" i="14" s="1"/>
  <c r="E65" i="14"/>
  <c r="C64" i="14"/>
  <c r="D64" i="14" s="1"/>
  <c r="D33" i="11"/>
  <c r="E34" i="11"/>
  <c r="C34" i="11" s="1"/>
  <c r="E37" i="14" l="1"/>
  <c r="C37" i="14" s="1"/>
  <c r="D37" i="14" s="1"/>
  <c r="C36" i="14"/>
  <c r="D36" i="14" s="1"/>
  <c r="C65" i="14"/>
  <c r="D65" i="14" s="1"/>
  <c r="E66" i="14"/>
  <c r="E67" i="14" s="1"/>
  <c r="D34" i="11"/>
  <c r="E35" i="11"/>
  <c r="C35" i="11" s="1"/>
  <c r="C67" i="14" l="1"/>
  <c r="D67" i="14" s="1"/>
  <c r="E68" i="14"/>
  <c r="C66" i="14"/>
  <c r="D66" i="14" s="1"/>
  <c r="D35" i="11"/>
  <c r="E36" i="11"/>
  <c r="C36" i="11" s="1"/>
  <c r="E69" i="14" l="1"/>
  <c r="C68" i="14"/>
  <c r="D68" i="14" s="1"/>
  <c r="D36" i="11"/>
  <c r="E37" i="11"/>
  <c r="C37" i="11" s="1"/>
  <c r="C69" i="14" l="1"/>
  <c r="E70" i="14"/>
  <c r="C38" i="11"/>
  <c r="D37" i="11"/>
  <c r="D69" i="14" l="1"/>
  <c r="C70" i="14"/>
  <c r="D70" i="14" s="1"/>
  <c r="E71" i="14"/>
  <c r="E72" i="14" l="1"/>
  <c r="C71" i="14"/>
  <c r="D71" i="14" l="1"/>
  <c r="C72" i="14"/>
  <c r="D72" i="14" s="1"/>
  <c r="E73" i="14"/>
  <c r="C73" i="14" l="1"/>
  <c r="E74" i="14"/>
  <c r="C74" i="14" l="1"/>
  <c r="D74" i="14" s="1"/>
  <c r="E75" i="14"/>
  <c r="D73" i="14"/>
  <c r="E76" i="14" l="1"/>
  <c r="C75" i="14"/>
  <c r="D75" i="14" s="1"/>
  <c r="C76" i="14" l="1"/>
  <c r="D76" i="14" s="1"/>
  <c r="E77" i="14"/>
  <c r="E78" i="14" l="1"/>
  <c r="C77" i="14"/>
  <c r="D77" i="14" s="1"/>
  <c r="C78" i="14" l="1"/>
  <c r="D78" i="14" s="1"/>
  <c r="E79" i="14"/>
  <c r="E80" i="14" l="1"/>
  <c r="C79" i="14"/>
  <c r="D79" i="14" s="1"/>
  <c r="C80" i="14" l="1"/>
  <c r="D80" i="14" s="1"/>
  <c r="E81" i="14"/>
  <c r="C81" i="14" l="1"/>
  <c r="D81" i="14" s="1"/>
  <c r="E82" i="14"/>
  <c r="E83" i="14" l="1"/>
  <c r="C82" i="14"/>
  <c r="D82" i="14" s="1"/>
  <c r="E84" i="14" l="1"/>
  <c r="C83" i="14"/>
  <c r="D83" i="14" s="1"/>
  <c r="E85" i="14" l="1"/>
  <c r="C85" i="14" s="1"/>
  <c r="C84" i="14"/>
  <c r="D84" i="14" s="1"/>
  <c r="D85" i="14" l="1"/>
  <c r="D86" i="14" s="1"/>
  <c r="C86" i="14"/>
</calcChain>
</file>

<file path=xl/sharedStrings.xml><?xml version="1.0" encoding="utf-8"?>
<sst xmlns="http://schemas.openxmlformats.org/spreadsheetml/2006/main" count="13600" uniqueCount="8109">
  <si>
    <t>№</t>
  </si>
  <si>
    <t>Nomi</t>
  </si>
  <si>
    <t xml:space="preserve">aylanma </t>
  </si>
  <si>
    <t xml:space="preserve">daromad </t>
  </si>
  <si>
    <t>NDS</t>
  </si>
  <si>
    <t xml:space="preserve">Bogot tomorqa xizmat </t>
  </si>
  <si>
    <t xml:space="preserve">Saidnazar Shaxzodbek </t>
  </si>
  <si>
    <t xml:space="preserve">Istiqbolli tomoqa xizmat </t>
  </si>
  <si>
    <t xml:space="preserve">Madaniyat Stars tomoqa xizmat </t>
  </si>
  <si>
    <t xml:space="preserve">Oq Oltinli Qaxramon tomoqa xizmat </t>
  </si>
  <si>
    <t xml:space="preserve">Yetakchi tomoqa xizmat </t>
  </si>
  <si>
    <t xml:space="preserve">Triton </t>
  </si>
  <si>
    <t xml:space="preserve">Bogot leadet tadbirkor </t>
  </si>
  <si>
    <t>Уч ғилдиракли юк мотороллер</t>
  </si>
  <si>
    <t>Размер каретки:""2000*1300mmгрузовой транспорт"Задний мост:Мост CHANGAN с повышенной мощностьюПередняя шина: 5.00-12 Задняя шина: 5.00-12Двигатель: 200cc Расход топлива на 100 кмРазмер каретки:""2000*1300mmгрузовой транспорт"Задний мост:Мост CHANGAN с повышенной мощностьюПередняя шина: 5.00-12 Задняя шина: 5.00-12Двигатель: 200cc Расход топлива на 100 кмРазмер каретки:""2000*1300mmгрузовой транспорт"Задний мост:Мост CHANGAN с повышенной мощностьюПередняя шина: 5.00-12 Задняя шина: 5.00-12Двигатель: 200cc Расход топлива на 100 км</t>
  </si>
  <si>
    <t>21.23.25.30.31.32.33</t>
  </si>
  <si>
    <t>Карчер</t>
  </si>
  <si>
    <t>10. 12.5  15</t>
  </si>
  <si>
    <t>Мойка высокого давления RTRMAX RTM7015
Керамический поршень
Шланг длиной 10 м, устойчивый к давлению и нагреванию
Байпасная технология, предотвращающая перегрузку насоса и двигателя давлением
Тепловая система, предотвращающая перегрев электродвигателя
Бесшумная и плавная работа
Области использования 
Напряжение сети
220 — 230 В
Частота тока
50 Гц
Мощность
3 кВт
Скорость вращения
1400 об/мин
Максимальное давление
150 бар
Расход воды
480 л/час
Вес
55 Кг
Гарантия
6 месяцев
Brand
RTRMAX</t>
  </si>
  <si>
    <t xml:space="preserve">25 - 33 mln </t>
  </si>
  <si>
    <t>Музқаймок ишлаб чикариш ускунаси</t>
  </si>
  <si>
    <t>Улгуржи(оптом) нархларда.Хитойнинг энг оригинал завод махсулотлари. Узбекистон буйича етказиб бериш хизматлари,1 йиллик сервиз хизматлари борУлгуржи(оптом) нархларда.Хитойнинг энг оригинал завод махсулотлари. Узбекистон буйича етказиб бериш хизматлари,1 йиллик сервиз хизматлари борУлгуржи(оптом) нархларда.Хитойнинг энг оригинал завод махсулотлари. Узбекистон буйича етказиб бериш хизматлари,1 йиллик сервиз хизматлари борУлгуржи(оптом) нархларда.Хитойнинг энг оригинал завод махсулотлари. Узбекистон буйича етказиб бериш хизматлари,1 йиллик сервиз хизматлари бор</t>
  </si>
  <si>
    <t>Тикиш машиналари</t>
  </si>
  <si>
    <t>0844700100600</t>
  </si>
  <si>
    <t xml:space="preserve"> 4,4 4,5 5 5,5 5,9 6 6,5 7 7,5 8,25 9 10 15 </t>
  </si>
  <si>
    <t>Швейная машинка JACK F4
"JK-F 4" Высокоскоростная прямострочная швейная машинка 
"JK-F 4" Одноигольная машина челночного стежка с плоской платформой, нижним транспортером и встроенным серводвигателем.
Преимущества швейной машины:
Автоматическая система смазки
Подсветка рабочей зоны
Встроенный в голову серводвигатель с блоком управления
Применение швейной машины:
Для стачивания легких и средних материалов</t>
  </si>
  <si>
    <t>Автомабил ювиш учун пуркагичли флакон</t>
  </si>
  <si>
    <t>0841300200300</t>
  </si>
  <si>
    <t>3 4 5</t>
  </si>
  <si>
    <t>Пеногенератор просто, эффективно и быстро преобразует моющее (химическое) вещество в пену, которая затем наносится на очищаемую поверхность. Используются пеногенераторы для очистки транспортных средств и различных сооружений, для работы в пищевой и перерабатывающей промышленности, для дезинфекции оборудования, производственных площадей.МАТЕРИАЛ БАКА
крашенная сталь
ОБЪЕМ БАКА
95 л.
РАБОЧЕЕ ДАВЛЕНИЯ
6 бар
МАКСИМАЛЬНОЕ ДАВЛЕНИЕ
8 бар
ВЕРТИКАЛЬНОЕ ИСПОЛНЕНИЕ
есть
МАНОМЕТР
есть
ИНДИКАТОР УРОВНЯ
есть
ПРЕДОХРАНИТЕЛЬНЫЙ КЛАПАН
есть
БРЕНД</t>
  </si>
  <si>
    <t xml:space="preserve">3 4 5 8 10 </t>
  </si>
  <si>
    <t>Чангюткич</t>
  </si>
  <si>
    <t>0850800100200</t>
  </si>
  <si>
    <t>Качественный и профессиональный пылесос для сухой и влажной уборки (пылеводосос) предназначен для сбора сухого или влажного мусора, воды и жидкой грязи.
МОЩНОСТЬ
3600 Вт
ОБЪЕМ БАКА
80 л.
ПОТОК ВОЗДУХА
106 л/сек.
НАПРЯЖЕНИЕ СЕТИ
220В
ФУНКЦИИ УБОРКИ
Влажная/сухая
ДЛИНА КАБЕЛИ</t>
  </si>
  <si>
    <t xml:space="preserve">20 22  24  25 33 </t>
  </si>
  <si>
    <t>Печка</t>
  </si>
  <si>
    <t>0851400100600</t>
  </si>
  <si>
    <t>Печка Хитойники 380 В да ишлайди Гарантия 3 йил промой скаладдан таркатамиз Бизда хаммаси арзон ва янги Печка Хитойники 380 В да ишлайди Гарантия 3 йил промой скаладдан таркатамиз Бизда хаммаси арзон ва янгиПечка Хитойники 380 В да ишлайди Гарантия 3 йил промой скаладдан таркатамиз Бизда хаммаси арзон ва янги Печка Хитойники 380 В да ишлайди Гарантия 3 йил промой скаладдан таркатамиз Бизда хаммаси арзон ва янгиПечка Хитойники 380 В да ишлайди Гарантия 3 йил промой скаладдан таркатамиз Бизда хаммаси арзон ва янги Печка Хитойники 380 В да ишлайди Гарантия 3 йил промой скаладдан таркатамиз Бизда хаммаси арзон ва янги</t>
  </si>
  <si>
    <t>Жатки</t>
  </si>
  <si>
    <t>Мотоблоги билан бирга уриш ва ер хайдаш учун мулжалланган махсус спесжатка сифатли техникалар харит килишни хохлайсизми унда бизга мурожат килинг йитказиб бериш хизмати хам мавжут
Ишлаб чикарилган давлат - Хитой
Энг кам микдори - 1 та
Яроклик муддати - 3 йил
Қуввати -12 от кучи
Техник параметрлари-Мотокултиватор 13 л,с. Бензин</t>
  </si>
  <si>
    <t>0843300100400</t>
  </si>
  <si>
    <t xml:space="preserve">10 - 33 </t>
  </si>
  <si>
    <t>Мотоблок</t>
  </si>
  <si>
    <t xml:space="preserve">10 -33 </t>
  </si>
  <si>
    <t>Ишлаб чикарилган давлат - Хитой
Энг кам микдори - 1 та 
Яроклик муддати - 3 йил
Қуввати -12 от кучи
Техник параметрлари-Мотокултиватор 13 л,с. Бензин</t>
  </si>
  <si>
    <t>Сув тозалаш ускунаси</t>
  </si>
  <si>
    <t>27 - 33</t>
  </si>
  <si>
    <t>Сув тозалаш тизими тўплами.
Теплица. парник. иссиқхоналар:
Мой сам. автомобилларни ювиш шахобчалари:
Ахоли учун тоза ичимлик сувлари ишлаб чиқариш учун барча турдаги сув тозалаш тизимлари!!!
Тескари осмос технологияси асосидаги 5 боскичли сув тозалаш системаси.
Ишлаб чикариш куввати – 500 литр/соат.
Боскичлари: 
1. Механик фильтр, фильтрловчи элемент – кварц қуми
2. Сорбцион фильтр, фильтрловчи элемент – фаол кўмир
3. Сув юмшатиш фильтри, фильтрловчи элемент – катионит
4. Нозик тозалаш фильтри, фильтрловчи элемент – полипропилен картридж
5. Тескари осмос тизими, фильтрловчи элемент – мембрана
Энергия истеъмоли – 1.9 кВт, 220V/50HZ.
Ишчи харорат: +10С… +40С</t>
  </si>
  <si>
    <t>Кесувчи арра ускунаси</t>
  </si>
  <si>
    <t>0846100200100    2</t>
  </si>
  <si>
    <t>(РУС) Компания:
(РУС) Модель:
(РУС) Макс. длина распила:
(РУС) Макс. ширина распила:
(РУС) Радиус основной пилы:
(РУС) Радиус второй пилы:
(РУС) Скорость вращения основной пилы:
(РУС) Скорость второй пилы:
(РУС) Толщина распила:
(РУС) В комплекте:
(РУС) WoodTech Working Machinary (Китай)
(РУС) MJ6132YT-MJ45
(РУС) 3000 мм
(РУС) 1250 мм
(РУС) 330/30 мм
(РУС) 120/20 мм
(РУС) 4000-6000 раз/мин
(РУС) 7000-8000 раз/мин
(РУС) 80 мм
(РУС) пылесос , запасная пила</t>
  </si>
  <si>
    <t>30 31 32 33</t>
  </si>
  <si>
    <t>Хомир коргич</t>
  </si>
  <si>
    <t>0843800200200</t>
  </si>
  <si>
    <t>8 10 12</t>
  </si>
  <si>
    <t>юкори сифатга эга бўлган занга чидамли темирдан ясалган хамир қориш машинаси сотилади сифатига 100 фоиз кафолат берилади юкори сифатга эга бўлган занга чидамли темирдан ясалган хамир қориш машинаси сотилади сифатига 100 фоиз кафолат берилади юкори сифатга эга бўлган занга чидамли темирдан ясалган хамир қориш машинаси сотилади сифатига 100 фоиз кафолат берилади юкори сифатга эга бўлган занга чидамли темирдан ясалган хамир қориш машинаси сотилади сифатига 100 фоиз кафолат берилади </t>
  </si>
  <si>
    <t>Музлаткич</t>
  </si>
  <si>
    <t xml:space="preserve">• Телефон Кисела Хар хил маделларидан бор
• Ишлаш тизими Но Фрост воздушный
• Електор тежовчи А+ класс
• Без табло с табло
• Бойи 1.75см Ени 60см
• 2 камерали
• 3 Йил сервис гарантия + 10 йил маторига гарантия
• Доставка Бепул Кун давомида йетказиб бериладиЮкори сифатили музкаймок ва шу каби сут махсулотларини саклаш учун 100 сифатга эга махсулот сифати кафолат берилади Юкори сифатили музкаймок ва шу каби сут махсулотларини саклаш учун 100 сифатга эга махсулот сифати кафолат берилади Юкори сифатили музкаймок ва шу каби сут махсулотларини саклаш учун 100 сифатга эга махсулот сифати кафолат берилади Юкори сифатили музкаймок ва шу каби сут махсулотларини саклаш учун 100 сифатга эга махсулот сифати кафолат берилади Юкори сифатили музкаймок ва шу каби сут махсулотларини саклаш учун 100 сифатга эга махсулот сифати кафолат берилади Юкори сифатили музкаймок ва шу каби сут махсулотларини саклаш учун 100 сифатга эга махсулот сифати кафолат берилади </t>
  </si>
  <si>
    <t>7,5 8  10 12</t>
  </si>
  <si>
    <t>Авто кўтаргич</t>
  </si>
  <si>
    <t xml:space="preserve">24 25 26 </t>
  </si>
  <si>
    <t>2-х стоечный подъемник Launch TDY-2D40M с моторчиком 220v и 380v. Имеется 3.5Т также 4Т.2-х стоечный подъемник Launch TDY-2D40M с моторчиком 220v и 380v. Имеется 3.5Т также 4Т.2-х стоечный подъемник Launch TDY-2D40M с моторчиком 220v и 380v. Имеется 3.5Т также 4Т.2-х стоечный подъемник Launch TDY-2D40M с моторчиком 220v и 380v. Имеется 3.5Т также 4Т.2-х стоечный подъемник Launch TDY-2D40M с моторчиком 220v и 380v. Имеется 3.5Т также 4Т.</t>
  </si>
  <si>
    <t>Компрессор</t>
  </si>
  <si>
    <t>2 3 4 4,5  5 8 10 15</t>
  </si>
  <si>
    <t>Единица товара: Штука Вес, кг: 24,83 Длина, мм: 650 Ширина, мм: 275 Высота, мм: 620 Компрессор; Ресивер; Универсальное быстродействующее соединение; Обрезиненная рукоятка; Упаковка. Единица товара: Штука Вес, кг: 24,83 Длина, мм: 650 Ширина, мм: 275 Высота, мм: 620 Компрессор; Ресивер; Универсальное быстродействующее соединение; Обрезиненная рукоятка; Упаковка. Единица товара: Штука Вес, кг: 24,83 Длина, мм: 650 Ширина, мм: 275 Высота, мм: 620 Компрессор; Ресивер; Универсальное быстродействующее соединение; Обрезиненная рукоятка; Упаковка.</t>
  </si>
  <si>
    <t>Электр перфоратор</t>
  </si>
  <si>
    <t>0846700100200</t>
  </si>
  <si>
    <t>PowerMaxx BS Basic Set * Mobile Workshop   (Аккумуляторная дрель-шуруповерт, мобильная мастерская)
Напряжение аккумулятора:10.8 В
Макс. мягкий крутящий момент:17 Нм
Макс. жесткий крутящий момент:34 Нм
Диаметр сверления в стали:10 мм
д. сверления в мягкой древесине:18 ммPowerMaxx BS Basic Set * Mobile Workshop   (Аккумуляторная дрель-шуруповерт, мобильная мастерская)
Напряжение аккумулятора:10.8 В
Макс. мягкий крутящий момент:17 Нм
Макс. жесткий крутящий момент:34 Нм
Диаметр сверления в стали:10 мм
д. сверления в мягкой древесине:18 мм</t>
  </si>
  <si>
    <t>2 3 4 5</t>
  </si>
  <si>
    <t>Товуқ</t>
  </si>
  <si>
    <t xml:space="preserve">50 ming </t>
  </si>
  <si>
    <t xml:space="preserve">Брама жожалари сотилади конни 100 % тоза ота онасиниям суратини куришингиз мумкин 1 хафталигдан бошлаб 1 йошгача бор Тоза қон 40 кунлик ПАЛИВИЙ жўжалар сотилади. Брама жожалари сотилади конни 100 % тоза ота онасиниям суратини куришингиз мумкин 1 хафталигдан бошлаб 1 йошгача бор Тоза қон 40 кунлик ПАЛИВИЙ жўжалар сотилади. Брама жожалари сотилади конни 100 % тоза ота онасиниям суратини куришингиз мумкин 1 хафталигдан бошлаб 1 йошгача бор Тоза қон 40 кунлик ПАЛИВИЙ жўжалар сотилади. Брама жожалари сотилади конни 100 % тоза ота онасиниям суратини куришингиз мумкин 1 хафталигдан бошлаб 1 йошгача бор Тоза қон 40 кунлик ПАЛИВИЙ жўжалар сотилади. </t>
  </si>
  <si>
    <t>Чувалчанг</t>
  </si>
  <si>
    <t>0,5</t>
  </si>
  <si>
    <t>Биогомус таййорлаш ва даромад олиш учун кулай. Калифорния Кизил ёмгир чувалчанги. Табиий биогумос ишлаб чикаради. Бир квадрати 500000 сум. Калифорнийский черви. 1 шт 500000 сум.Биогомус таййорлаш ва даромад олиш учун кулай. Калифорния Кизил ёмгир чувалчанги. Табиий биогумос ишлаб чикаради. Бир квадрати 500000 сум. Калифорнийский черви. 1 шт  500000 сум.Биогомус таййорлаш ва даромад олиш учун кулай. Калифорния Кизил ёмгир чувалчанги. Табиий биогумос ишлаб чикаради. Бир квадрати 500000 сум. Калифорнийский черви. 1 шт  500000 сум.</t>
  </si>
  <si>
    <t xml:space="preserve">Хоразм вилояти Богот тумани Ок Олтин МФЙ </t>
  </si>
  <si>
    <t xml:space="preserve">Kompyuter </t>
  </si>
  <si>
    <t xml:space="preserve">Жуманазаов Тохир </t>
  </si>
  <si>
    <t xml:space="preserve">Садуллаева Гуламбой </t>
  </si>
  <si>
    <t>7.5</t>
  </si>
  <si>
    <t xml:space="preserve">Худайберганов Ғанижон </t>
  </si>
  <si>
    <t xml:space="preserve">Жуманазаров Зафар </t>
  </si>
  <si>
    <t xml:space="preserve">Исмоилова Ойша </t>
  </si>
  <si>
    <t xml:space="preserve">Аллаберганова Гулой </t>
  </si>
  <si>
    <t xml:space="preserve">Ғайрат дарча </t>
  </si>
  <si>
    <t xml:space="preserve">каримбой Сабез </t>
  </si>
  <si>
    <t xml:space="preserve">Темур машин </t>
  </si>
  <si>
    <t xml:space="preserve">Aminova Zeboxon </t>
  </si>
  <si>
    <t xml:space="preserve">6.5 </t>
  </si>
  <si>
    <t xml:space="preserve">Тоиров Сухроб </t>
  </si>
  <si>
    <t xml:space="preserve">Тоирова Матлуба </t>
  </si>
  <si>
    <t>Ренат ога шокир огани платигина 11.75 млн ташлаш керар</t>
  </si>
  <si>
    <t xml:space="preserve">Davletov Донёр </t>
  </si>
  <si>
    <t xml:space="preserve">Кодирова Саида </t>
  </si>
  <si>
    <t xml:space="preserve">Азамат </t>
  </si>
  <si>
    <t xml:space="preserve">Рўзметова Рўзажон </t>
  </si>
  <si>
    <t xml:space="preserve">Собиров Одамбой </t>
  </si>
  <si>
    <t xml:space="preserve">Жуманазарова Ўғилжон </t>
  </si>
  <si>
    <t xml:space="preserve">Самандаров Жамшид </t>
  </si>
  <si>
    <t xml:space="preserve">7.5 </t>
  </si>
  <si>
    <t xml:space="preserve">Анвар ога </t>
  </si>
  <si>
    <t xml:space="preserve">Худайназарова Момогул </t>
  </si>
  <si>
    <t xml:space="preserve">Жуманиёзова Хилола </t>
  </si>
  <si>
    <t xml:space="preserve">Алимбоев Камоладдин </t>
  </si>
  <si>
    <t xml:space="preserve">Алимбоева Рухсора </t>
  </si>
  <si>
    <t xml:space="preserve">3.5 млн астака колди </t>
  </si>
  <si>
    <t xml:space="preserve">Садуллаев Бобуржон </t>
  </si>
  <si>
    <t>Farid oga</t>
  </si>
  <si>
    <t xml:space="preserve">Сапаев нурбек </t>
  </si>
  <si>
    <t xml:space="preserve">azamat </t>
  </si>
  <si>
    <t xml:space="preserve">Садуллаев Содикжон </t>
  </si>
  <si>
    <t xml:space="preserve">Тажиев Музаффар </t>
  </si>
  <si>
    <t xml:space="preserve">Умаров Шодлик </t>
  </si>
  <si>
    <t xml:space="preserve">Сабирова Назокат </t>
  </si>
  <si>
    <t>5.8</t>
  </si>
  <si>
    <t xml:space="preserve">Курaнбоева Мадина </t>
  </si>
  <si>
    <t xml:space="preserve">gulom mikra </t>
  </si>
  <si>
    <t xml:space="preserve">Сотимбоева Нилуфар </t>
  </si>
  <si>
    <t xml:space="preserve">Султонова Махлиё </t>
  </si>
  <si>
    <t xml:space="preserve">Сапаев Ойбек </t>
  </si>
  <si>
    <t xml:space="preserve">SBS 0112 Bog`ot </t>
  </si>
  <si>
    <t xml:space="preserve">Babajonova Soxiba </t>
  </si>
  <si>
    <t xml:space="preserve"> </t>
  </si>
  <si>
    <t>кашилог 001</t>
  </si>
  <si>
    <t>Тезлик 001</t>
  </si>
  <si>
    <t>Шерхон city 007</t>
  </si>
  <si>
    <t xml:space="preserve">Karzinka House </t>
  </si>
  <si>
    <t xml:space="preserve">Барон House </t>
  </si>
  <si>
    <t>Контейнер</t>
  </si>
  <si>
    <t>Контейнер под офис.
Ест наличе.
Ofis uchun tayyor konteynerlar
Devori mdf dekor
Eshigi ichi mdf tashqi tomoni temir
Romi akfa plast 6000 trio
Patalogi plastik
Poli linolim
Elektrikasi tayyo</t>
  </si>
  <si>
    <t>0841500100100</t>
  </si>
  <si>
    <t>Мощность охлаждения - 9500 Btu
Мощность обогрева - 11000Btu
Расход электроэнергии - 0,55 кВт
Обслуживаемая площадь - 30 м2
Обслуживаемая площадь - 90 м3
Колличество фриона - 675 гр.
Фрион - R32
Расход воздуха - 620
Low Voltage 115V-265V
Экономия до 60% электроэнергии
Скрытый Led Display
Компрессор GMCC Toshiba
10 лет гарантии на компрессор
3 года сервисного обслуживания</t>
  </si>
  <si>
    <t>Кондитсинер</t>
  </si>
  <si>
    <t>Компютер</t>
  </si>
  <si>
    <t>ntel Core i7-10700T 2.0 GHz (up to 4.3 GHz) 8C 35 W / 8GB (1x8GB) DDR4 2666 SODIMM / 1TB 7200RPM 2.5" HDD / 9.5mm DVD-Writer / 23.8"  (54.6 cm) Full HD (1920 x 1080) / Intel UHD Graphics 630 / Intel 9560 ac 2x2 nvP +Bluetooth 5 WW / FreeDOS / One Years Warranty / Black / USB Keyboard and Mouse
Несмотря на то, что моноблоки появились давно и потеряли свою актуальность из-за пришедших взамен ноутбуков, развитие информационных технологий позволило им снова возродиться. Моноблок представляет собой компьютер, который встроен в корпус монитора. Удобство моноблоков в том, что они занимают мало свободного пространства и являются миниатюрной частью интерьера. На этом устройстве полностью отсутствуют провода, кроме сетевого провода, что значительно облегчит вам задачу переносить его куда-либо.</t>
  </si>
  <si>
    <t>0844300100100</t>
  </si>
  <si>
    <t>Принтер</t>
  </si>
  <si>
    <t xml:space="preserve">A4 Печать фотографий   есть Количество цветов   6 Минимальный объем капли   1.5 пл Печать без полей   есть Максимальное разрешение для цветной печати   5760x1440 dpi Скорость печати   37 стр/мин (ч/б А4), 38 стр/мин (цветн. А4) Время печати 10x15 см (цветн.)   12 с планшетный Тип датчика   контактный (CIS) Максимальный формат оригинала   A4 Максимальный размер сканирования   216x297 мм Глубина цвета   24 бит Разрешение сканера   1200x2400 dpi 64-300 г/м2 Печать на:   карточках, пленках, этикетках, фотобумаге, CD/DVD, глянцевой бумаге, конвертах, матовой бумаге Ресурс цветного картриджа/тонера   1800 страниц Ресурс ч/б картриджа/тонера   1800 страниц Количество картриджей   6 Тип картриджа/тонера   черный C13T67314A, голубой C13T67324A, пурпурный C13T67334A, желтый C13T67344A, светло-голубой C13T67354A, светло-пурпурный C13T67364A Система непрерывной подачи чернил   есть </t>
  </si>
  <si>
    <t>0940300300100</t>
  </si>
  <si>
    <t>Стол</t>
  </si>
  <si>
    <t>Стильный и эргономичный стол, станет важным элементом интерьера. Просторная поверхность стола позволяет удобно разместить как компьютерное оборудование, так и канцелярские принадлежности. Под столешницей расположены выдвижные ящики для хранения мелочей. Изделие выполнено из высококачественного и экологичного материала – МДФ. Все края обработаны ударопрочной кромкой ПВХ, которая значительно увеличивает срок эксплуатации изделия.
Для сборки изделия используется фурнитура ведущих мировых производителей.
Заказывайте по доступным ценам компьютерный стол от производителя</t>
  </si>
  <si>
    <t>0940300301200</t>
  </si>
  <si>
    <t>Комплект стол стуллари билан</t>
  </si>
  <si>
    <t>Представляем вашему вниманию стильные и современные офисные кресла от "FurniGlass". Офисные кресла выполнены из высококачественной кожи, которая имеет стойкость к истиранию и постарению. Благодаря современному и стильному дизайну, офисные кресла в интерьер любого помещения и с любой мебелью. </t>
  </si>
  <si>
    <t xml:space="preserve">асосий  </t>
  </si>
  <si>
    <t xml:space="preserve">фоиз </t>
  </si>
  <si>
    <t xml:space="preserve">жами </t>
  </si>
  <si>
    <t>Номинальная мощность: 24 кВт
Габаритные размеры (ВxШxД) : 710x418x153 мм
Масса: 17,2 кг
Минимальное сечение проводов питания: 5x6 мм2
Номинальное напряжение: 380 В
Номинальный ток выключателя максимального тока: 40 А
Ориентировочная площадь обогрева: 220-300 м2
Степень защиты: IP 22
Температура на выходе: 35-85 °C</t>
  </si>
  <si>
    <t xml:space="preserve">Катёл </t>
  </si>
  <si>
    <t>БрендVolmer
Страна производительКитай
Основные характеристики
ТипСоло
Внутренний объем20 л
Внутренний объемдо 20 л
РасположениеОтдельно стоящая
Управление
Тип управленияМеханический
Режимы работы
Мощность микроволн700 Вт
Мощность микроволндо 700 Вт
Программы
Режим разморозкиЕсть
Количество рецептов автоприготовления5</t>
  </si>
  <si>
    <t xml:space="preserve">Микравалновка </t>
  </si>
  <si>
    <t>Кундалик рецептлар учун кўп қиррали ва оғир гўшт майдалагичингиз. Фрикаделкалар, болонез, бургер, салатлар, гарнирлар ва уй соуслари - Tefal NE688837 гўшт майдалагич билан ресторанда сифатли уйда пиширилган таомлардан роҳатланинг.
Турли хил майдалаш ва майдалаш вариантлари
Турли рецептлар учун 3 та раф
+ кабоб ва колбаса учун нозуллар
Танланган қийма гўштдан севимли рецепти бўйича мазали уй қурилиши колбасаларини тайёрланг. Гўшт майдалагич учун бириктирма пишириш жараёнини тез ва осон қилади.
Ингредиентларни майдалаш ва майдалаш учун 4 та конус қўшимчалари, шу жумладан кубиклар
- Сабзавотлар учун майдалагич
- Пишлоқ ва картошка пансакес учун қирғичдан
- Кесиш
- кубларни кесиш
Қулай ва хавфсиз
ХАВФСИЗ тескари ФУНКЦИЯ
Тасодифий фаоллаштиришдан ҳимоя ўрнатилган. Функцияни фақат майдалагич ўчирилган ҳолатда фаоллаштириш мумкин.
САҚЛАШ ОСОН
Қурилманинг корпусида пичоқ, панжара ва нозуллар учун махсус бўлинма мавжуд.
ФОЙДАЛАНИШ Осон
Осон ташиш ва сақлаш учун катта тутқи</t>
  </si>
  <si>
    <t>Диаметр дисков 10”-26”Автоматический ввод двух параметров колеса – расстояние до колеса, диаметр.
Размер ширины диска вводиться в ручную.
Система Direct 3D – точное прямое измерение геометрии ALU – дисков. 22 “ LED монитор
Модель класса БИЗНЕС с интеллектуальным приводом. Отличают удобство в эксплуатации, простота и надежность. Информативный LCD-монитор обеспечивает комфортную работу на станке.
Легкость в освоении и обслуживании:  наглядное представление информации при работе
- экраны подсказок доступны в любой момент
- текстовое меню настроек
- пошаговые инструкции по калибровке
- речевое сопровождение
Дополнительные функции: Оптимизация положения "шина-диск". Для уменьшения массы устанавливаемых грузов возможно проведение оптимизации «шина-диск». При оптимизации тяжелые участки диска и шины перемещаются на противоположные стороны, что позволяет снизить суммарный дисбаланс колеса.
- «Невидимый груз» – SPLIT. Для сохранения внешнего вида дорогого диска мы предлагаем решение – переместить груз за спицы. Функция SPLIT разделит груз на два так, что они окажутся за спицами.
ПАРАМЕТРЫ
Макс. масса колеса, кг 65
Макс. диаметр диска, дюйм 26
Макс. ширина диска, дюйм 20
Макс. диаметр колеса, мм 800
Точность, г 1
Диаметр вала, мм 40
Дисплей LCD 19
Напряжение в сети 220В
Масса, кг 85
Габаритные размеры, мм 915 x 1290 x 1330
Цвет Синий / красный</t>
  </si>
  <si>
    <t xml:space="preserve">Балансировка </t>
  </si>
  <si>
    <t xml:space="preserve">прихот </t>
  </si>
  <si>
    <t xml:space="preserve">расхот </t>
  </si>
  <si>
    <t xml:space="preserve">svarka aparat </t>
  </si>
  <si>
    <t>3.5</t>
  </si>
  <si>
    <t>Сварочный полуавтомат ХУГОНГ "NB 251K" Профессиональный многофункциональный сварочный аппарат. Оптимально подходит для сварки углеродистых, низколегированных и нержавеющих сталей. Сварочные процессы MIG/MAG, FCAW, MMA. Работа от однофазной сети 220В, сварка проволокой 0.6 - 1.2 мм. ОСОБЕННОСТИ МОДЕЛИ • Сварочный аппарат для полуавтоматической сварки в среде защитного газа (MIG/MAG) и ручной дуговой сварки (ММА). • Инверторная технология на базе новейших IGBT транзисторов • Оптимально подходит для сварки углеродистых, низколегированных и нержавеющих сталей • Встроенный Горячий старт и Антизалипание электрода • Регулировка индуктивности • Режимы работы горелки 2Т/4Т • Дисплей сварочного тока • Дисплей сварочного напряжения • Встроенный 2-х роликовый подающий механизм • Скорость подачи проволоки 2.5-13 м/мин • Функция дожига провоолоки • Функция автоматической постпродувки, 3 секунды • Быстроразъемное соединение сварочных кабелей • Быстроразъемное подключение защитного газа • Легкая смена полярности на панели управления • Встроенная защита от скачков напряжения • Встроенная термальная защита • Индикатор перегрева • Охлаждение с помощью встроенного вентилятора • Встроенный подающий механизм • Установка катушки весом до 20 кг • Кнопка протяжки проволоки • Розетка 36В для подогрева газа • Запатентованная технология, высокая мощность и продолжительность работы • Современный дизайн, небольшой вес, ручка для переноски ОБЩИЕ ХАРАКТЕРИСТИКИ РЕЖИМЫ СВАРКИ MIG/MAG, MMA НАПРЯЖЕНИЕ СЕТИ 220В ± 15% ПОТРЕБЛЕНИЕ МАКСИМАЛЬНОЕ, КВА 10.6 НАПРЯЖЕНИЕ ХОЛОСТОГО ХОДА, В 56 РЕГУЛИРОВКА СВАРОЧНОГО НАПРЯЖЕНИЯ ДЛЯ MIG, В 16.5-26.5 СВАРОЧНЫЙ ТОК MIG, А 50-250 ДИАМЕТР ПРОВОЛОКИ, ММ 0.6-1.2 МАССА КАТУШКИ, КГ 15/20 СВАРОЧНЫЙ ТОК ММА, А 50-200 ДИАМЕТР ЭЛЕКТРОДА, ММ 1.6-4 ПВ, % 60% (20°С) / 35% (40°С) КЛАСС ИЗОЛЯЦИИ F СТЕПЕНЬ ЗАЩИТЫ IP21S МАССА, КГ 23.2 ГАБАРИТНЫЕ РАЗМЕРЫ (Д;Ш;В; ММ) 510x243x492 МАССА БРУТТО, КГ 29 ГАБАРИТНЫЕ РАЗМЕРЫ УПАКОВКИ (Д;Ш;В; ММ) 635х350х530 ГАРАНТИЯ, СРОК (МЕС) 12</t>
  </si>
  <si>
    <t>Электр болгарка</t>
  </si>
  <si>
    <t>0846700200200</t>
  </si>
  <si>
    <t>Электропила Makita GA9020, невероятно долговечная, стойкая к перегреву, имеет усиленные конические шестерни редуктора, надежный и пылезащитный мотор (2200 Вт) для работы с бетономЭлектропила Makita GA9020, невероятно долговечная, стойкая к перегреву, имеет усиленные конические шестерни редуктора, надежный и пылезащитный мотор (2200 Вт) для работы с бетономЭлектропила Makita GA9020, невероятно долговечная, стойкая к перегреву, имеет усиленные конические шестерни редуктора, надежный и пылезащитный мотор (2200 Вт) для работы с бетономЭлектропила Makita GA9020, невероятно долговечная, стойкая к перегреву, имеет усиленные конические шестерни редуктора, надежный и пылезащитный мотор (2200 Вт) для работы с бетоном</t>
  </si>
  <si>
    <t>Электр дрел</t>
  </si>
  <si>
    <t>0846700100100</t>
  </si>
  <si>
    <t>Електр арра</t>
  </si>
  <si>
    <t>0846700100300</t>
  </si>
  <si>
    <t>Пила Аллигатор: Конструкция ручная; Мощность 1700; Выходная мощность 900 Вт; Количество скоростей 1;  Длина полотна 430 мм; Производительность; Размер хода 40 мм; Число ходов в минуту 3000; Дополнительная информация
Комплект поставки; пильное полотно, ключ; Габариты (ШхВ) 918x219 мм; Вес 5.5 кгПила Аллигатор: Конструкция ручная; Мощность 1700; Выходная мощность 900 Вт; Количество скоростей 1;  Длина полотна 430 мм; Производительность; Размер хода 40 мм; Число ходов в минуту 3000; Дополнительная информация
Комплект поставки; пильное полотно, ключ; Габариты (ШхВ) 918x219 мм; Вес 5.5 кг</t>
  </si>
  <si>
    <t xml:space="preserve">Калитлар тўплами </t>
  </si>
  <si>
    <t xml:space="preserve"> Количество в наборе: 122 единиц.
- Насадки 1/2″: от 12 до 24мм, длиной 38 мм; от 27 до 32мм, длиной 42 мм.
- Насадки 1/4″: от 4 до 14мм, длиной 25 мм.
- Насадки 1/2″ длиние: от 10 до 19мм, длиной 76 мм.
- Насадки 1/4″ длиние: от 4 до 9мм, длиной 50 мм.
- Насадки Torx 1/2″: E10, E12, E14, E16, E18, E20, E22, E24.
- Удлинители: 1/2″: 254 мм, 1/4″: 152 мм.
- Кардан: 1/4″, 1/2.
- Свечные головки 1/2″: 16 мм, 21 мм.
- Трещотки: 1/2″ 255 мм, 1/4″ 155 мм, на 72 зуба.
- Головки 1/4″ плоские: от 3 до 6 мм, длиной 25 мм.
- Головки 1/4″ Pozidrive: Pz0, Pz1, PZ2, длиной 25 мм.
- Головки 1/4″ Philips: PH0, PH1, PH2, длиной 25 мм.
- Биты 1/4″ плоске: 4 мм, 5,5 мм, 6,5 мм, длиной 37 мм.
- Биты 1/4″ Philips: PH1, PH2, PH3, длиной 37 мм.
- Биты 1/4″ Pozidrive: PZ2, PZ3, длиной 37 мм.
- Биты 1/4″ HEX: 3 мм, 4 мм, 5 мм, 6 мм, длиной 37 мм.
- Биты 1/4″ TORX: T8, T10, T15, T20, T25, длиной 37 мм.
- Биты 1/4″ TORX с отвестием: T10, T15, T20, T25, T40, длиной 37 мм.
- Ключи комбинированные: от 8 до 19 мм.
- Отвёртки плоские: 4x100мм, 6x150мм.
- Отвёртки Philips: Ph2х100, Ph3х150мм.
- Плоскогубцы: 180 мм.
- Бокорезы: 160 мм.
- Длинногубцы: 160 мм.
- Клещи: 250 мм.
- Молоток: 300 грамм.
- Набор ключей шестигранных: от 2 мм, до 10 мм.
- Материал: CrV.
- Вес: 11,5 кг</t>
  </si>
  <si>
    <t xml:space="preserve">Иновтсион Яшил макон </t>
  </si>
  <si>
    <t xml:space="preserve">Ред синема </t>
  </si>
  <si>
    <t xml:space="preserve">расхўт </t>
  </si>
  <si>
    <t>асалари оиласи</t>
  </si>
  <si>
    <t>Chetdan porodali zottor asalari oylalari uyalari bilan sotiladi asalarilar sog'lom va sifatli mahsuldor asal yig'adi asalarini sifatiga kafolat asalari onalari oq kraska bilan yelkasini metka qilingan shuningdek asalari uyalarini ham yaseymizChetdan porodali zottor asalari oylalari uyalari bilan sotiladi asalarilar sog'lom va sifatli mahsuldor asal yig'adi asalarini sifatiga kafolat asalari onalari oq kraska bilan yelkasini metka qilingan shuningdek asalari uyalarini ham yaseymizChetdan porodali zottor asalari oylalari uyalari bilan sotiladi asalarilar sog'lom va sifatli mahsuldor asal yig'adi asalarini sifatiga kafolat asalari onalari oq kraska bilan yelkasini metka qilingan shuningdek asalari uyalarini ham yaseymiz</t>
  </si>
  <si>
    <t xml:space="preserve">Asad Xalq banki </t>
  </si>
  <si>
    <t xml:space="preserve">Мирзаева Матлуба </t>
  </si>
  <si>
    <t xml:space="preserve">Даврон Доктор </t>
  </si>
  <si>
    <t xml:space="preserve">Садуллаева Фазилат </t>
  </si>
  <si>
    <t xml:space="preserve">Кушаев Расулбек </t>
  </si>
  <si>
    <t xml:space="preserve">Rustam og`a usta mikra </t>
  </si>
  <si>
    <t>Кушаева Дилафруз</t>
  </si>
  <si>
    <t xml:space="preserve">Кушаева Гулшода </t>
  </si>
  <si>
    <t xml:space="preserve">Саидмуротова Зумрад </t>
  </si>
  <si>
    <t xml:space="preserve">Ковунчи тошкент колхоз </t>
  </si>
  <si>
    <t xml:space="preserve">Турдиева Наргизахон </t>
  </si>
  <si>
    <t xml:space="preserve">Сапаев Достон Боходирни укаси </t>
  </si>
  <si>
    <t xml:space="preserve">Бахрамова Дилфуза </t>
  </si>
  <si>
    <t xml:space="preserve">6.7 </t>
  </si>
  <si>
    <t xml:space="preserve">урганчли апка </t>
  </si>
  <si>
    <t xml:space="preserve">Ахмадова Мохидил </t>
  </si>
  <si>
    <t xml:space="preserve">Maqsad jura </t>
  </si>
  <si>
    <t xml:space="preserve">Бекчанова Анамой </t>
  </si>
  <si>
    <t xml:space="preserve">Yusupova Saodat </t>
  </si>
  <si>
    <t xml:space="preserve">Baxodir mikra </t>
  </si>
  <si>
    <t xml:space="preserve">Egamberdiyev Xayrulla </t>
  </si>
  <si>
    <t xml:space="preserve">Ренат ога </t>
  </si>
  <si>
    <t>Ражабов Жавохир</t>
  </si>
  <si>
    <t xml:space="preserve">Бекчанов Максадбек </t>
  </si>
  <si>
    <t xml:space="preserve">Юсупова Мохичехра </t>
  </si>
  <si>
    <t xml:space="preserve">Дилшод жура </t>
  </si>
  <si>
    <t xml:space="preserve">Юсупов Еркабой </t>
  </si>
  <si>
    <t xml:space="preserve">Авазов Сулаймон </t>
  </si>
  <si>
    <t>6.3</t>
  </si>
  <si>
    <t xml:space="preserve">Исмаилова Фотима </t>
  </si>
  <si>
    <t xml:space="preserve">Саидниёзов Камолбой </t>
  </si>
  <si>
    <t xml:space="preserve">камол ога </t>
  </si>
  <si>
    <t xml:space="preserve">Киличев Дилмурод </t>
  </si>
  <si>
    <t xml:space="preserve">Дилмурод ога Беруний МФЙ </t>
  </si>
  <si>
    <t xml:space="preserve">Худайберганов Отабек </t>
  </si>
  <si>
    <t xml:space="preserve">Бабахонов Раматилло </t>
  </si>
  <si>
    <t xml:space="preserve">Худайберганов Полвон </t>
  </si>
  <si>
    <t xml:space="preserve">Саидова Гуландон </t>
  </si>
  <si>
    <t xml:space="preserve">Мадаминов Огабек </t>
  </si>
  <si>
    <t xml:space="preserve">Каримбоев Сирож </t>
  </si>
  <si>
    <t>узи</t>
  </si>
  <si>
    <t xml:space="preserve">Пулатов Сурат </t>
  </si>
  <si>
    <t xml:space="preserve">Отабек хоким ёрдамчи </t>
  </si>
  <si>
    <t xml:space="preserve">Абдуллаев Санжар </t>
  </si>
  <si>
    <t xml:space="preserve">Хасанбой </t>
  </si>
  <si>
    <t xml:space="preserve">Абдуллаева Гулжон </t>
  </si>
  <si>
    <t xml:space="preserve">Ибрагимова Исмигул </t>
  </si>
  <si>
    <t xml:space="preserve">Сирож поспон </t>
  </si>
  <si>
    <t xml:space="preserve">Сафарбоев Донёрбек </t>
  </si>
  <si>
    <t xml:space="preserve">опаси келди </t>
  </si>
  <si>
    <t xml:space="preserve">Садуллаева Зайнаб </t>
  </si>
  <si>
    <t xml:space="preserve">Курбонбоев Ўлмас </t>
  </si>
  <si>
    <t xml:space="preserve">Жуманиёзов Улугбек </t>
  </si>
  <si>
    <t xml:space="preserve"> Микра юрист </t>
  </si>
  <si>
    <t xml:space="preserve">Ахмедов Атхамжон </t>
  </si>
  <si>
    <t xml:space="preserve">Самандарова Олтиной </t>
  </si>
  <si>
    <t xml:space="preserve">Маданият Котиб </t>
  </si>
  <si>
    <t>Маткурбонова Дилфуза</t>
  </si>
  <si>
    <t>Жасур халк банк олди</t>
  </si>
  <si>
    <t xml:space="preserve">Ахмедов Аброржон </t>
  </si>
  <si>
    <t>Микра юрист</t>
  </si>
  <si>
    <t xml:space="preserve">Сапарбоева Гулёр </t>
  </si>
  <si>
    <t xml:space="preserve">ўзи келди </t>
  </si>
  <si>
    <t xml:space="preserve">Сапаев Елмурод </t>
  </si>
  <si>
    <t xml:space="preserve">Самандаров Нодирбек </t>
  </si>
  <si>
    <t xml:space="preserve">Шоназарова Дилноза </t>
  </si>
  <si>
    <t>Акаси Косим</t>
  </si>
  <si>
    <t xml:space="preserve">Курбондурдиев Достон </t>
  </si>
  <si>
    <t xml:space="preserve">Зафарбек Ога олиб кетди </t>
  </si>
  <si>
    <t xml:space="preserve">Мадаминова Мохира </t>
  </si>
  <si>
    <t xml:space="preserve">Атаниёзов Умрбек </t>
  </si>
  <si>
    <t xml:space="preserve">Курбондурдиев Максуд </t>
  </si>
  <si>
    <t xml:space="preserve">Шариббоева Икбол </t>
  </si>
  <si>
    <t xml:space="preserve">Садуллаева Гуласал </t>
  </si>
  <si>
    <t xml:space="preserve">Шомуротов Асад </t>
  </si>
  <si>
    <t xml:space="preserve">Гаипова Зарнигор </t>
  </si>
  <si>
    <t>Домла узи</t>
  </si>
  <si>
    <t xml:space="preserve">Худайназарова Нилуфар </t>
  </si>
  <si>
    <t xml:space="preserve">Алимов Анварбек </t>
  </si>
  <si>
    <t xml:space="preserve">Улугбек ога уста Халк банки </t>
  </si>
  <si>
    <t xml:space="preserve">Ахмадова Комила </t>
  </si>
  <si>
    <t>Максад охран</t>
  </si>
  <si>
    <t xml:space="preserve">Шоназаров Акмалбек </t>
  </si>
  <si>
    <t xml:space="preserve">даргумон </t>
  </si>
  <si>
    <t xml:space="preserve">Фарходов Акмал </t>
  </si>
  <si>
    <t xml:space="preserve">Донёр халк банки </t>
  </si>
  <si>
    <t xml:space="preserve">Жабборов Жамшид </t>
  </si>
  <si>
    <t xml:space="preserve">Оллаберганов Фаррух </t>
  </si>
  <si>
    <t xml:space="preserve">Алибек Ога Паспорт стол </t>
  </si>
  <si>
    <t xml:space="preserve">Сафарбоев Қувондик  </t>
  </si>
  <si>
    <t xml:space="preserve">Садуллаева Мохинисо </t>
  </si>
  <si>
    <t xml:space="preserve">Улуғ кўзи </t>
  </si>
  <si>
    <t xml:space="preserve">Курбонбоева дилдора </t>
  </si>
  <si>
    <t xml:space="preserve">Хамид Халк Банки </t>
  </si>
  <si>
    <t xml:space="preserve">Жуманиёзов Хамдам </t>
  </si>
  <si>
    <t xml:space="preserve">Авезова Мадина </t>
  </si>
  <si>
    <t>Одилбек ога экология</t>
  </si>
  <si>
    <t xml:space="preserve">Хужамуротова Гулхаё </t>
  </si>
  <si>
    <t xml:space="preserve">Уз келди </t>
  </si>
  <si>
    <t xml:space="preserve">Мадаминова Кумуш </t>
  </si>
  <si>
    <t xml:space="preserve"> Азамат </t>
  </si>
  <si>
    <t xml:space="preserve">Ахмадова Нафиса </t>
  </si>
  <si>
    <t xml:space="preserve">Бектурдиев Хаким </t>
  </si>
  <si>
    <t xml:space="preserve">Бахриддин ога </t>
  </si>
  <si>
    <t xml:space="preserve">Хаитбоев Санжар </t>
  </si>
  <si>
    <t xml:space="preserve">Усмон узи олиб кетди   </t>
  </si>
  <si>
    <t xml:space="preserve">Маткурбонов Усмонжон </t>
  </si>
  <si>
    <t xml:space="preserve">Олимова Азиза </t>
  </si>
  <si>
    <t xml:space="preserve">узи </t>
  </si>
  <si>
    <t xml:space="preserve">Машарипова Райхона </t>
  </si>
  <si>
    <t xml:space="preserve">Шарипова Гулрух </t>
  </si>
  <si>
    <t xml:space="preserve">алижон ога паспорт стол </t>
  </si>
  <si>
    <t xml:space="preserve">Эшметова Гулжамол </t>
  </si>
  <si>
    <t xml:space="preserve">Сабирова Муножат </t>
  </si>
  <si>
    <t xml:space="preserve">Курбондурдиев Иномжон </t>
  </si>
  <si>
    <t xml:space="preserve">Жуманазарова Дилдора </t>
  </si>
  <si>
    <t xml:space="preserve">Улуғ қўзи </t>
  </si>
  <si>
    <t xml:space="preserve">Сапаева Бикажон </t>
  </si>
  <si>
    <t xml:space="preserve"> Нурулла ога уста </t>
  </si>
  <si>
    <t xml:space="preserve">Бекчанов Азамжон </t>
  </si>
  <si>
    <t xml:space="preserve">Матлатипова Турсуной </t>
  </si>
  <si>
    <t xml:space="preserve">узи олиб кетди </t>
  </si>
  <si>
    <t xml:space="preserve">Аллабердиев Мусожон </t>
  </si>
  <si>
    <t xml:space="preserve">щзи келди </t>
  </si>
  <si>
    <t xml:space="preserve">Рузметов Одамбой </t>
  </si>
  <si>
    <t xml:space="preserve">Халк банки Ахран </t>
  </si>
  <si>
    <t xml:space="preserve">Викторов Шохрух </t>
  </si>
  <si>
    <t xml:space="preserve">Бердиева Асалхон </t>
  </si>
  <si>
    <t xml:space="preserve">Сапаева Сарвиноз </t>
  </si>
  <si>
    <t xml:space="preserve">Жамшид охран </t>
  </si>
  <si>
    <t xml:space="preserve">Кенжаева Рисолат </t>
  </si>
  <si>
    <t xml:space="preserve">Абдуллаева Гулёр </t>
  </si>
  <si>
    <t xml:space="preserve">Максуд ога </t>
  </si>
  <si>
    <t xml:space="preserve">Собиров Тщлкин </t>
  </si>
  <si>
    <t>Абдуллаева Умида</t>
  </si>
  <si>
    <t xml:space="preserve">Исмоилова Фотима </t>
  </si>
  <si>
    <t xml:space="preserve">Бектудиева Руфайда </t>
  </si>
  <si>
    <t xml:space="preserve">Жамшид Гулмира </t>
  </si>
  <si>
    <t xml:space="preserve">Якуббоев Сухроб </t>
  </si>
  <si>
    <t>7.3</t>
  </si>
  <si>
    <t xml:space="preserve">Абдуллаева Нилуфар </t>
  </si>
  <si>
    <t xml:space="preserve">Узи олди </t>
  </si>
  <si>
    <t xml:space="preserve">Исмоилова Зухра </t>
  </si>
  <si>
    <t xml:space="preserve">Бердиева Анажон </t>
  </si>
  <si>
    <t>Жамшид ахран</t>
  </si>
  <si>
    <t xml:space="preserve">Якуббоева Сабохат </t>
  </si>
  <si>
    <t xml:space="preserve">Комондир </t>
  </si>
  <si>
    <t xml:space="preserve">Озодбоев Толибжон </t>
  </si>
  <si>
    <t xml:space="preserve">Сапарматов Азизбек </t>
  </si>
  <si>
    <t xml:space="preserve">Якуббоев Сирож </t>
  </si>
  <si>
    <t xml:space="preserve">Отажонова Максуда </t>
  </si>
  <si>
    <t xml:space="preserve"> Султонов Оллаёр </t>
  </si>
  <si>
    <t xml:space="preserve">Отамуротов Хамиджон </t>
  </si>
  <si>
    <t xml:space="preserve">максуд Галаба хоким ёрдамчи </t>
  </si>
  <si>
    <t>Мадримов Диас</t>
  </si>
  <si>
    <t xml:space="preserve">Кутлимуротов Умрбек </t>
  </si>
  <si>
    <t xml:space="preserve">Косим ога тахи </t>
  </si>
  <si>
    <t xml:space="preserve">Маратов Мухиддин </t>
  </si>
  <si>
    <t>6.2</t>
  </si>
  <si>
    <t xml:space="preserve">узи келди </t>
  </si>
  <si>
    <t xml:space="preserve">Хужаниёзова Шоира </t>
  </si>
  <si>
    <t xml:space="preserve">Камол огани огаси Дарча </t>
  </si>
  <si>
    <t xml:space="preserve">Қадамбоев Шохжахон </t>
  </si>
  <si>
    <t xml:space="preserve">Худайбердиев Камранбек </t>
  </si>
  <si>
    <t xml:space="preserve"> Шокир огамни акасини жщраси </t>
  </si>
  <si>
    <t xml:space="preserve">Жаббарова Мехринисо </t>
  </si>
  <si>
    <t xml:space="preserve">Худайбердиев Шахриёр </t>
  </si>
  <si>
    <t xml:space="preserve">Шомуротова Дилдора </t>
  </si>
  <si>
    <t>Анвар ога Бекчанов</t>
  </si>
  <si>
    <t xml:space="preserve">Атамуротов Музаффар </t>
  </si>
  <si>
    <t xml:space="preserve">Жуманиёзова Муниса </t>
  </si>
  <si>
    <t xml:space="preserve"> Хужаниёзова Феруза </t>
  </si>
  <si>
    <t xml:space="preserve">Матназаров Абдуллажон </t>
  </si>
  <si>
    <t xml:space="preserve">Азамат  Олиб кетди </t>
  </si>
  <si>
    <t xml:space="preserve">Эгамбердиев Бахаваддин </t>
  </si>
  <si>
    <t>Худайберганов Моможон</t>
  </si>
  <si>
    <t xml:space="preserve">Фуркат ога Галаба </t>
  </si>
  <si>
    <t xml:space="preserve">Курёзова Курвонгул </t>
  </si>
  <si>
    <t xml:space="preserve">Юсупова Тозагул </t>
  </si>
  <si>
    <t xml:space="preserve">жамшид охран </t>
  </si>
  <si>
    <t>Мадримова Махлиё Раман кизи</t>
  </si>
  <si>
    <t xml:space="preserve">Бобоназаров Азизбек Жуманазарович </t>
  </si>
  <si>
    <t>5.4</t>
  </si>
  <si>
    <t xml:space="preserve">      Азамат  </t>
  </si>
  <si>
    <t xml:space="preserve">Кутлимуротов Худашукур Ахмед щ-ли </t>
  </si>
  <si>
    <t xml:space="preserve">Бобоназарова Адолат Жуманазаровна </t>
  </si>
  <si>
    <t xml:space="preserve">Султонова Дилафруз </t>
  </si>
  <si>
    <t xml:space="preserve">Гасн  Музаффар ога </t>
  </si>
  <si>
    <t xml:space="preserve">Кутлимуротова Шаира </t>
  </si>
  <si>
    <t>5.7</t>
  </si>
  <si>
    <t xml:space="preserve">Юсупов Жавохир Махмуд ўғли </t>
  </si>
  <si>
    <t xml:space="preserve"> Акаси келиб олиб кетди </t>
  </si>
  <si>
    <t xml:space="preserve">Курбондурдиева Озода Қўзибоевна </t>
  </si>
  <si>
    <t xml:space="preserve"> Косим ога Шокир ога </t>
  </si>
  <si>
    <t xml:space="preserve">Хужаниёзов Шухрат Бахрам ўғли </t>
  </si>
  <si>
    <t>камол ога дарча</t>
  </si>
  <si>
    <t xml:space="preserve">Қўчқоров Илхом Сотимович </t>
  </si>
  <si>
    <t>6.5</t>
  </si>
  <si>
    <t>Аминов Мурот Отабек ўғли</t>
  </si>
  <si>
    <t>Аминов Умарбек Отабек ўғли</t>
  </si>
  <si>
    <t xml:space="preserve">Болтаева Кумуш </t>
  </si>
  <si>
    <t xml:space="preserve">Олимов Асадбек </t>
  </si>
  <si>
    <t xml:space="preserve">Жонибек ога </t>
  </si>
  <si>
    <t xml:space="preserve">Болтаева Донохон </t>
  </si>
  <si>
    <t>Абдукаримова Лобар</t>
  </si>
  <si>
    <t>5.2</t>
  </si>
  <si>
    <t xml:space="preserve">Сатимова Дурханим </t>
  </si>
  <si>
    <t xml:space="preserve">Диванова Мохира </t>
  </si>
  <si>
    <t xml:space="preserve">Назокат апка микра </t>
  </si>
  <si>
    <t>Бардибоев Аббосбек Алишер угли</t>
  </si>
  <si>
    <t xml:space="preserve">Омонова Гулрух </t>
  </si>
  <si>
    <t xml:space="preserve">Камандир </t>
  </si>
  <si>
    <t xml:space="preserve">Комилжонов Саидмухаммад </t>
  </si>
  <si>
    <t xml:space="preserve">Раматова Динора </t>
  </si>
  <si>
    <t xml:space="preserve">Акаси келиб олиб кетди </t>
  </si>
  <si>
    <t xml:space="preserve">Қўчқорава Гуласал </t>
  </si>
  <si>
    <t>Укаси келиб олиб кетди  99 505 30 90</t>
  </si>
  <si>
    <t xml:space="preserve">Хщжаниёзов Шохрух </t>
  </si>
  <si>
    <t xml:space="preserve">Елдор Бух </t>
  </si>
  <si>
    <t xml:space="preserve">Исмоилова Гули </t>
  </si>
  <si>
    <t>Курбондурдиев Бехзод</t>
  </si>
  <si>
    <t>Умидбоев Бобуржон</t>
  </si>
  <si>
    <t xml:space="preserve">Муроджон ога </t>
  </si>
  <si>
    <t>Матназарова Роза</t>
  </si>
  <si>
    <t xml:space="preserve">Одамбой Микра </t>
  </si>
  <si>
    <t xml:space="preserve">Раззаков Акмал </t>
  </si>
  <si>
    <t xml:space="preserve">Тангриберганова Зебо </t>
  </si>
  <si>
    <t xml:space="preserve">Ражабов Анвар </t>
  </si>
  <si>
    <t xml:space="preserve">Озодов Кудрат </t>
  </si>
  <si>
    <t xml:space="preserve">Файзуллаев Достонбек </t>
  </si>
  <si>
    <t xml:space="preserve">Санжарни Кайнатаси </t>
  </si>
  <si>
    <t xml:space="preserve">Бобожонова Дилноза </t>
  </si>
  <si>
    <t xml:space="preserve">Файзуллаев Бекзод </t>
  </si>
  <si>
    <t xml:space="preserve">Олимбоева Сабохат </t>
  </si>
  <si>
    <t>5.5</t>
  </si>
  <si>
    <t xml:space="preserve">Эри келиб олиб кетди </t>
  </si>
  <si>
    <t xml:space="preserve">Сапаев Кахрамон </t>
  </si>
  <si>
    <t xml:space="preserve">Уси олиб кетди </t>
  </si>
  <si>
    <t xml:space="preserve">Рахимбоева Дилшода </t>
  </si>
  <si>
    <t xml:space="preserve">Сотимова Дурхоним </t>
  </si>
  <si>
    <t xml:space="preserve">Ғайратов Хусниддин </t>
  </si>
  <si>
    <t xml:space="preserve"> Одилбек  олиб кетди </t>
  </si>
  <si>
    <t xml:space="preserve">Ёлдошев Давлатбой </t>
  </si>
  <si>
    <t xml:space="preserve">Хужаниёзов Санат </t>
  </si>
  <si>
    <t xml:space="preserve"> Одилбек Аннаев </t>
  </si>
  <si>
    <t xml:space="preserve">Уринбоев Жавохир </t>
  </si>
  <si>
    <t>Хаитбоев Фуркат</t>
  </si>
  <si>
    <t xml:space="preserve">Жуманиёзова Малика </t>
  </si>
  <si>
    <t xml:space="preserve">Узи келди </t>
  </si>
  <si>
    <t>Рщзметов Абдулазиз</t>
  </si>
  <si>
    <t xml:space="preserve">Тухтабоева Азиза </t>
  </si>
  <si>
    <t>Абдуллаев Миржалол</t>
  </si>
  <si>
    <t>Машарипов Тохиржон</t>
  </si>
  <si>
    <t>Ибрагимова Маржона</t>
  </si>
  <si>
    <t>Уринбоева Дилнура</t>
  </si>
  <si>
    <t xml:space="preserve">Кувондик ога Кабулов </t>
  </si>
  <si>
    <t>Кутлимуратова Муножат</t>
  </si>
  <si>
    <t xml:space="preserve">Анвар Бекчанов 513 0088 </t>
  </si>
  <si>
    <t>Хасанов Жахонгир</t>
  </si>
  <si>
    <t>Машарипова Асалхон</t>
  </si>
  <si>
    <t xml:space="preserve">Акаси Шухрат олди </t>
  </si>
  <si>
    <t>Кодирбердиева Онахон</t>
  </si>
  <si>
    <t xml:space="preserve">Алланазарова Зилола </t>
  </si>
  <si>
    <t>Райуна Зам 94 205 39 01</t>
  </si>
  <si>
    <t xml:space="preserve">Алланазаров Аслбек </t>
  </si>
  <si>
    <t xml:space="preserve"> Абдуллаев Оллашукур </t>
  </si>
  <si>
    <t xml:space="preserve">Одамбоев Аброр </t>
  </si>
  <si>
    <t xml:space="preserve">Мусаев Саидакбар </t>
  </si>
  <si>
    <t>Отажонова Рухсора</t>
  </si>
  <si>
    <t>Хунарманд таъмир тиклаш</t>
  </si>
  <si>
    <t xml:space="preserve">Хасанов Санат </t>
  </si>
  <si>
    <t xml:space="preserve">Култимуротов Шахзодбек </t>
  </si>
  <si>
    <t>Дилмурод ога Агробанк</t>
  </si>
  <si>
    <t>Жамшид ога ахрам</t>
  </si>
  <si>
    <t xml:space="preserve">Хаитбоева Комила </t>
  </si>
  <si>
    <t>7,5</t>
  </si>
  <si>
    <t>Отажонов Амирхон</t>
  </si>
  <si>
    <t xml:space="preserve">Исмоилва Марифат </t>
  </si>
  <si>
    <t xml:space="preserve">Сапабоева Марифат </t>
  </si>
  <si>
    <t xml:space="preserve">Ёлдошев Жасурбек </t>
  </si>
  <si>
    <t xml:space="preserve">Каримова Рўзика </t>
  </si>
  <si>
    <t>Шехмурод 2022</t>
  </si>
  <si>
    <t>Шехмурод 0112</t>
  </si>
  <si>
    <t xml:space="preserve">Сомпютер техно </t>
  </si>
  <si>
    <t xml:space="preserve">Хоразм бюк чинори </t>
  </si>
  <si>
    <t>Шехмурод 1509</t>
  </si>
  <si>
    <t xml:space="preserve"> Ога инилар </t>
  </si>
  <si>
    <t xml:space="preserve">Гулчи </t>
  </si>
  <si>
    <t>леадер 1994</t>
  </si>
  <si>
    <t>Огалар 007</t>
  </si>
  <si>
    <t xml:space="preserve">Сомфорт </t>
  </si>
  <si>
    <t>N 1 Xunarmand xous</t>
  </si>
  <si>
    <t xml:space="preserve"> Shokir og`ani qarri do`stlari</t>
  </si>
  <si>
    <t>инн</t>
  </si>
  <si>
    <t>парол</t>
  </si>
  <si>
    <t>K</t>
  </si>
  <si>
    <t xml:space="preserve">Рухсора </t>
  </si>
  <si>
    <t xml:space="preserve">Маткаримов Хурсанд </t>
  </si>
  <si>
    <t>Душамова Юлдуз</t>
  </si>
  <si>
    <t>Маткурбонова Шахло</t>
  </si>
  <si>
    <t>Матчанова Зухрахон</t>
  </si>
  <si>
    <t>Жумязов Содик</t>
  </si>
  <si>
    <t>Рузметова Гулзода</t>
  </si>
  <si>
    <t>Бобоназаров Огабой</t>
  </si>
  <si>
    <t>Рузметова Муниса</t>
  </si>
  <si>
    <t>Рузибоев Сирож</t>
  </si>
  <si>
    <t>Султонова Гулрух</t>
  </si>
  <si>
    <t>Азамат юрист</t>
  </si>
  <si>
    <t>Ортикбой МИБ</t>
  </si>
  <si>
    <t xml:space="preserve">Кабулов Қувондиқ </t>
  </si>
  <si>
    <t>08711001001000000    08704001001000000</t>
  </si>
  <si>
    <t xml:space="preserve">Рустам ога Микра </t>
  </si>
  <si>
    <t xml:space="preserve">30 млн матсакил Журабек ога </t>
  </si>
  <si>
    <t xml:space="preserve">Юсупова Шахризода </t>
  </si>
  <si>
    <t xml:space="preserve">Беглимуротова Гулмира </t>
  </si>
  <si>
    <t xml:space="preserve">Рустамов Исмоил </t>
  </si>
  <si>
    <t xml:space="preserve">Тожибоев Хусниддин </t>
  </si>
  <si>
    <t>Курамбоев Шахзод</t>
  </si>
  <si>
    <t xml:space="preserve">Абдуллаева Мафтуна </t>
  </si>
  <si>
    <t xml:space="preserve">Бобониёзов Рузимурот </t>
  </si>
  <si>
    <t xml:space="preserve">Душамбоев Сурат </t>
  </si>
  <si>
    <t>Эгамбердиева Хуршида</t>
  </si>
  <si>
    <t xml:space="preserve">жуманазарова Олтиной </t>
  </si>
  <si>
    <t xml:space="preserve">Назаров Нодир </t>
  </si>
  <si>
    <t xml:space="preserve">Бобожонова Зилола </t>
  </si>
  <si>
    <t xml:space="preserve">Мавлонов Мухаммаджон </t>
  </si>
  <si>
    <t xml:space="preserve">Ойбек ога қўнгиши </t>
  </si>
  <si>
    <t xml:space="preserve">Мирзохид ога Микра </t>
  </si>
  <si>
    <t>Хасанни Жураси Наврщз</t>
  </si>
  <si>
    <t xml:space="preserve">Рузибоева Ширин </t>
  </si>
  <si>
    <t>Азамат</t>
  </si>
  <si>
    <t xml:space="preserve">азамат </t>
  </si>
  <si>
    <t xml:space="preserve">Камилов Асадбек </t>
  </si>
  <si>
    <t xml:space="preserve">Худайберганов Ихтиёр </t>
  </si>
  <si>
    <t xml:space="preserve">Дусчонова Зухра </t>
  </si>
  <si>
    <t xml:space="preserve">Одамов Жавохир </t>
  </si>
  <si>
    <t>Ганиев Жасур</t>
  </si>
  <si>
    <t xml:space="preserve">Ибрагимов Жамшид </t>
  </si>
  <si>
    <t>азамат</t>
  </si>
  <si>
    <t>Укаси келиб олиб кетди  33 989 00 09</t>
  </si>
  <si>
    <t xml:space="preserve">94 205 39 01 Одилбек ога Раёна </t>
  </si>
  <si>
    <t xml:space="preserve">Умид ога </t>
  </si>
  <si>
    <t>BOG'OT MOTO HOUSE 007 MCHJ</t>
  </si>
  <si>
    <t xml:space="preserve">Ёлдошев Пирназар </t>
  </si>
  <si>
    <t xml:space="preserve">Ёлдошева Шахноза  </t>
  </si>
  <si>
    <t xml:space="preserve">Бобожонов Бобожон </t>
  </si>
  <si>
    <t>Хушнудова Гулноза</t>
  </si>
  <si>
    <t xml:space="preserve">Бобожонов Бобуржон </t>
  </si>
  <si>
    <t xml:space="preserve">Шокир ога  Хоким ёрдамчи </t>
  </si>
  <si>
    <t xml:space="preserve">Музаффар Гасн </t>
  </si>
  <si>
    <t xml:space="preserve">Қодирбердиева Фарангиз </t>
  </si>
  <si>
    <t>Рузметов Алижон</t>
  </si>
  <si>
    <t>Давлатов Нурбек</t>
  </si>
  <si>
    <t>Юсубов Юсупбой</t>
  </si>
  <si>
    <t xml:space="preserve">Маматов Шахзод </t>
  </si>
  <si>
    <t xml:space="preserve">Бобур ога Мафтуна Синдошни эри </t>
  </si>
  <si>
    <t xml:space="preserve">ўзи </t>
  </si>
  <si>
    <t xml:space="preserve">Эргашова Мунира </t>
  </si>
  <si>
    <t>Каландаров Бекзод</t>
  </si>
  <si>
    <t xml:space="preserve">Каримбердиева Азиза </t>
  </si>
  <si>
    <t>Бахтиёров Жавохир</t>
  </si>
  <si>
    <t>Кўшаев Дилмурод</t>
  </si>
  <si>
    <t>Ражабов Сапабой</t>
  </si>
  <si>
    <t>Ўзари олиб кетди 99 120 54 50</t>
  </si>
  <si>
    <t xml:space="preserve"> Кахрамон тахси </t>
  </si>
  <si>
    <t xml:space="preserve">Тахси Тозабозор Хамид жураси </t>
  </si>
  <si>
    <t>Хамид ога Бокча  93 467 7001</t>
  </si>
  <si>
    <t>Тахси Миркага таниш 91 775 90 98</t>
  </si>
  <si>
    <t xml:space="preserve">Уринбадалов Абдулазиз </t>
  </si>
  <si>
    <t xml:space="preserve">Куранбоев Илёс </t>
  </si>
  <si>
    <t xml:space="preserve">Матякубова матлуба </t>
  </si>
  <si>
    <t xml:space="preserve">Эгамбердев Иброхим </t>
  </si>
  <si>
    <t xml:space="preserve">Нуруллаев Иброхим </t>
  </si>
  <si>
    <t xml:space="preserve">Камилова Чарос </t>
  </si>
  <si>
    <t xml:space="preserve">Бахтиёрова Рухсора </t>
  </si>
  <si>
    <t xml:space="preserve">Мухаммаджонова Мохинур </t>
  </si>
  <si>
    <t xml:space="preserve">Юсупова Сабохат </t>
  </si>
  <si>
    <t xml:space="preserve">Ёлдошев Темур </t>
  </si>
  <si>
    <t xml:space="preserve">Кодирбердиева Зулайхо </t>
  </si>
  <si>
    <t xml:space="preserve"> 94 650 70 17</t>
  </si>
  <si>
    <t>88 458 12 83</t>
  </si>
  <si>
    <t>Одилбек ога Халқ талими  94 205 39 01</t>
  </si>
  <si>
    <t>XUDAYBERGENOV RAVSHANBEK DAVLATOVICH</t>
  </si>
  <si>
    <t xml:space="preserve">Шокир огани Акасини Жўраси </t>
  </si>
  <si>
    <t>99 734 99 20</t>
  </si>
  <si>
    <t xml:space="preserve">Шоназарпова Дилобар </t>
  </si>
  <si>
    <t xml:space="preserve">Собирова Фотима </t>
  </si>
  <si>
    <t xml:space="preserve"> O`ktam og`a sabezz qaroul</t>
  </si>
  <si>
    <t>FRISBEE CONSULT MCHJ</t>
  </si>
  <si>
    <t>BOG'OT TEXNIKA OLAMI 01 MCHJ</t>
  </si>
  <si>
    <t xml:space="preserve">сумма </t>
  </si>
  <si>
    <t xml:space="preserve">Матякубов Зафар </t>
  </si>
  <si>
    <t xml:space="preserve">Рузматов Жалоладдин </t>
  </si>
  <si>
    <t xml:space="preserve">Искандарова Сохиба </t>
  </si>
  <si>
    <t xml:space="preserve">Муслим Шахзод </t>
  </si>
  <si>
    <t xml:space="preserve">Банисадаги опай </t>
  </si>
  <si>
    <t>Bog`ot kompyuter olami MCHJ</t>
  </si>
  <si>
    <t xml:space="preserve">Бахтиёров Жуманазар </t>
  </si>
  <si>
    <t xml:space="preserve">97 858 7151 Янги ариқ Камандир  </t>
  </si>
  <si>
    <t xml:space="preserve">Бектудиева Гулрух </t>
  </si>
  <si>
    <t xml:space="preserve">Садуллаева Динора </t>
  </si>
  <si>
    <t xml:space="preserve">Алокабанк Кассир </t>
  </si>
  <si>
    <t xml:space="preserve">Реймберганова Муниса </t>
  </si>
  <si>
    <t xml:space="preserve">Атахонова Лола </t>
  </si>
  <si>
    <t xml:space="preserve">Комилова Онахон </t>
  </si>
  <si>
    <t xml:space="preserve">Машарипова Фазилат </t>
  </si>
  <si>
    <t xml:space="preserve">Бахтиёров Жавохир </t>
  </si>
  <si>
    <t xml:space="preserve">Худашукуров Фозил </t>
  </si>
  <si>
    <t>97 603 68 26</t>
  </si>
  <si>
    <t xml:space="preserve">Майсара апка </t>
  </si>
  <si>
    <t xml:space="preserve">Олимбой Жабборов </t>
  </si>
  <si>
    <t xml:space="preserve">Янгиарик Хофиз </t>
  </si>
  <si>
    <t xml:space="preserve">Алимардон Шафёр </t>
  </si>
  <si>
    <t>24Q</t>
  </si>
  <si>
    <t>25Q</t>
  </si>
  <si>
    <t>23N</t>
  </si>
  <si>
    <t>18Q</t>
  </si>
  <si>
    <t xml:space="preserve">Полвонов Умрбек </t>
  </si>
  <si>
    <t>Махсулот</t>
  </si>
  <si>
    <t>Кредит</t>
  </si>
  <si>
    <t>Накд</t>
  </si>
  <si>
    <t>Ролли капинка 1 тонна</t>
  </si>
  <si>
    <t>Ролсиз капинка 500 кг</t>
  </si>
  <si>
    <t>Ярим капинка 1 тонна</t>
  </si>
  <si>
    <t>1 тонна</t>
  </si>
  <si>
    <t>600 кг</t>
  </si>
  <si>
    <t>500 кг</t>
  </si>
  <si>
    <t>22Q</t>
  </si>
  <si>
    <t>19Q</t>
  </si>
  <si>
    <t>9Q</t>
  </si>
  <si>
    <t xml:space="preserve">Каландарова Сарвиноз </t>
  </si>
  <si>
    <t xml:space="preserve">Қадамбоев Наврўз </t>
  </si>
  <si>
    <t xml:space="preserve">Матниёзов Мўмин </t>
  </si>
  <si>
    <t xml:space="preserve">Эшниёзова Мунира </t>
  </si>
  <si>
    <t xml:space="preserve">Алимова Мунира </t>
  </si>
  <si>
    <t xml:space="preserve">Ўзи </t>
  </si>
  <si>
    <t xml:space="preserve">Умид ога Микра юрист </t>
  </si>
  <si>
    <t xml:space="preserve">Улуғбек ога уста </t>
  </si>
  <si>
    <t xml:space="preserve">Ўзи  келиб олиб кетди </t>
  </si>
  <si>
    <t>SHEROV SEVINDIK KURBANBAYEVICH</t>
  </si>
  <si>
    <t xml:space="preserve">Sobirov Alibek </t>
  </si>
  <si>
    <t xml:space="preserve">Садиев Диёр </t>
  </si>
  <si>
    <t xml:space="preserve">Садиев Лазиз </t>
  </si>
  <si>
    <t xml:space="preserve">Obod </t>
  </si>
  <si>
    <t xml:space="preserve">Shadlikova Ranoxon </t>
  </si>
  <si>
    <t xml:space="preserve">Sobirova Shodiya </t>
  </si>
  <si>
    <t>SAPAROV XALMURAT GAIPNAZAROVICH</t>
  </si>
  <si>
    <t xml:space="preserve">Yo`ldosheva Nargiza </t>
  </si>
  <si>
    <t xml:space="preserve">Ro`ziyeva Gulzor </t>
  </si>
  <si>
    <t xml:space="preserve">Rustamboeva Ruxsora </t>
  </si>
  <si>
    <t xml:space="preserve">Jonibek oga </t>
  </si>
  <si>
    <t xml:space="preserve">ZARIPOVA DONOXON BEKNAZAR QIZI </t>
  </si>
  <si>
    <t>e</t>
  </si>
  <si>
    <t xml:space="preserve">BABAJANOVA SHAXNAZA BAZARBAYEVNA </t>
  </si>
  <si>
    <t>b</t>
  </si>
  <si>
    <t>SAPARBAYEVA KUNDUZ YERKABAYEVNA</t>
  </si>
  <si>
    <t>YESHIMBETOV AKBAR YULDASHBAYEVICH</t>
  </si>
  <si>
    <t>SAPARBAYEV ALISHER XUDAYBERGENOVICH</t>
  </si>
  <si>
    <t>SABIROVA SANABAR DJUMABAYEVNA</t>
  </si>
  <si>
    <t>MADAMINOVA ALMAGUL XAITBAYEVNA</t>
  </si>
  <si>
    <t>JABBIYEV XAMID ALLAMBERGENOVICH</t>
  </si>
  <si>
    <t>MOLDABAYEV ADIL ABDIMURATOVICH</t>
  </si>
  <si>
    <t>2022 yil</t>
  </si>
  <si>
    <t>BEKIMBETOV SEYTNAZAR FAYZULLAYEVICH</t>
  </si>
  <si>
    <t>MUMINOVA XOSIYAT KURBANBAYEVNA</t>
  </si>
  <si>
    <t>XUDAYBERGENOVA MASTURA URAZBAYEVNA</t>
  </si>
  <si>
    <t>Sadullaev Asadullo</t>
  </si>
  <si>
    <t xml:space="preserve">Munis oga </t>
  </si>
  <si>
    <t>09,02,2022</t>
  </si>
  <si>
    <t>ZARLIKOVA ROZA MURATBAYEVNA</t>
  </si>
  <si>
    <t>KURBANBAYEV BAXRAM BERDIMURATOVICH</t>
  </si>
  <si>
    <t>AKMANOV AZAMAT JUMABAYEVICH</t>
  </si>
  <si>
    <t>DJABBARBERGENOV OYBEK NURKENOVICH</t>
  </si>
  <si>
    <t xml:space="preserve">kredit shartnoma </t>
  </si>
  <si>
    <t xml:space="preserve">ariza berilmagan </t>
  </si>
  <si>
    <t xml:space="preserve">Kelajak moto </t>
  </si>
  <si>
    <t>26Q</t>
  </si>
  <si>
    <t>r</t>
  </si>
  <si>
    <t>MATSAPAYEVA ZULFIYA KAMALADDINOVNA</t>
  </si>
  <si>
    <t>OqOltin moto biznes 0110</t>
  </si>
  <si>
    <t>Bog`ot moto Biznes 0110</t>
  </si>
  <si>
    <t xml:space="preserve">Mo`minjon mikra </t>
  </si>
  <si>
    <t xml:space="preserve">Aminboeva Mohinur </t>
  </si>
  <si>
    <t xml:space="preserve">Aminboeva Kumush </t>
  </si>
  <si>
    <t xml:space="preserve">Jumaniyozova Alo </t>
  </si>
  <si>
    <t xml:space="preserve">Xudaynazarova Sadoqat </t>
  </si>
  <si>
    <t xml:space="preserve">Rajabboeva Nigina </t>
  </si>
  <si>
    <t xml:space="preserve">Rajabova Mushtariy </t>
  </si>
  <si>
    <t xml:space="preserve">Bekturdiev Muxammad </t>
  </si>
  <si>
    <t>azamat</t>
  </si>
  <si>
    <t xml:space="preserve">Jo`shqin og`a </t>
  </si>
  <si>
    <t>13,02,2022</t>
  </si>
  <si>
    <t>KADIROVA GULSANAM YEGAMBERGANOVNA</t>
  </si>
  <si>
    <t xml:space="preserve">Xurriyat </t>
  </si>
  <si>
    <t xml:space="preserve">Iskandarov Maqsud </t>
  </si>
  <si>
    <t xml:space="preserve">Jamshid oga </t>
  </si>
  <si>
    <t xml:space="preserve">Rajabov Asad </t>
  </si>
  <si>
    <t xml:space="preserve">Ozodov Bekzod </t>
  </si>
  <si>
    <t xml:space="preserve">Sobirova Shohida </t>
  </si>
  <si>
    <t>BABANIYAZOV ERGASH XUSANOVICH</t>
  </si>
  <si>
    <t>ABDREYMOV MAXAMMETJAN ABDREYMOVICH</t>
  </si>
  <si>
    <t>MATNAZAROV FAXRATDIN ACHILOVICH</t>
  </si>
  <si>
    <t>OSPANOVA BAYAN ROZUMBAYEVNA</t>
  </si>
  <si>
    <t>RAMANBERGENOV ALLAMBERGAN RAVSHANBEK O‘G‘LI</t>
  </si>
  <si>
    <t>Xudayrazarova Dilnura</t>
  </si>
  <si>
    <t xml:space="preserve">Jumanazarov Behzod </t>
  </si>
  <si>
    <t xml:space="preserve">Ozodov Dilshod </t>
  </si>
  <si>
    <t xml:space="preserve">Madraximov Oybek </t>
  </si>
  <si>
    <t xml:space="preserve">O`zi keldi </t>
  </si>
  <si>
    <t xml:space="preserve">Nurullayev Nizom </t>
  </si>
  <si>
    <t xml:space="preserve">Xamid oga </t>
  </si>
  <si>
    <t xml:space="preserve">siroj Xalq banki </t>
  </si>
  <si>
    <t>Yangiqadam</t>
  </si>
  <si>
    <t>RAMETOV ILYAS ANVAROVICH</t>
  </si>
  <si>
    <t xml:space="preserve">Qahramon og`ani bojasi </t>
  </si>
  <si>
    <t xml:space="preserve">Shokir og`ani Bratlari </t>
  </si>
  <si>
    <t xml:space="preserve">Sapayeva Nigina </t>
  </si>
  <si>
    <t xml:space="preserve">Yo`ldoshev Diyor </t>
  </si>
  <si>
    <t xml:space="preserve">Sadullayeva Mavluda </t>
  </si>
  <si>
    <t xml:space="preserve">Jumaniyozova Risolat </t>
  </si>
  <si>
    <t xml:space="preserve">Tajiev Xakimboy </t>
  </si>
  <si>
    <t>Shavkatov Farrux</t>
  </si>
  <si>
    <t xml:space="preserve">Ilyosova Ruxshona </t>
  </si>
  <si>
    <t>88 517 27 57</t>
  </si>
  <si>
    <t xml:space="preserve">Qahramon jo`rasi </t>
  </si>
  <si>
    <t xml:space="preserve">Ukasi 99 500 45 56 </t>
  </si>
  <si>
    <t xml:space="preserve"> 
ISAKOVA ILMIRA RUSTAMOVNA</t>
  </si>
  <si>
    <t>RADJAPBAYEV OTAMURAD YULDASHOVICH</t>
  </si>
  <si>
    <t xml:space="preserve">94 113 47 79 Odamboy </t>
  </si>
  <si>
    <t xml:space="preserve">99 554 64 29 Eri </t>
  </si>
  <si>
    <t xml:space="preserve">qurbonova Go`zal </t>
  </si>
  <si>
    <t xml:space="preserve">Karimberganov Nodirbek </t>
  </si>
  <si>
    <t xml:space="preserve">Asadni jo`rasi </t>
  </si>
  <si>
    <t xml:space="preserve">ZaRLIQOV OBIDJON </t>
  </si>
  <si>
    <t>YESHIMBETOVA OYDIN TURABAYEVNA</t>
  </si>
  <si>
    <t xml:space="preserve">Ro`ziboyeva Munira </t>
  </si>
  <si>
    <t xml:space="preserve">Raximov Ibrohimjon </t>
  </si>
  <si>
    <t xml:space="preserve">Abdullayeva Xovajon </t>
  </si>
  <si>
    <t xml:space="preserve">Abdullayeva Shaxlo </t>
  </si>
  <si>
    <t xml:space="preserve">Madaniyat </t>
  </si>
  <si>
    <t>08515001001000000</t>
  </si>
  <si>
    <t>08421002005000001</t>
  </si>
  <si>
    <t xml:space="preserve">Ro`zmetova Malika </t>
  </si>
  <si>
    <t xml:space="preserve">Matrizayev Matkarim </t>
  </si>
  <si>
    <t xml:space="preserve">Kamandir olib ketdi </t>
  </si>
  <si>
    <t>Maksadni ukasi 97 299 29 77</t>
  </si>
  <si>
    <t xml:space="preserve">Adamboeva Moxinur </t>
  </si>
  <si>
    <t xml:space="preserve">Sadullaeva Tabassum </t>
  </si>
  <si>
    <t xml:space="preserve">Sadullaeva Martaba </t>
  </si>
  <si>
    <t xml:space="preserve">Shakirova Saboxat </t>
  </si>
  <si>
    <t xml:space="preserve">Qadamov Sanjarbek </t>
  </si>
  <si>
    <t xml:space="preserve">Jummi enam </t>
  </si>
  <si>
    <t xml:space="preserve">Kamandir olib ketdi 97 527 44 54 </t>
  </si>
  <si>
    <t>Alisher og`a Tozabozor 97 090 89 77</t>
  </si>
  <si>
    <t xml:space="preserve">Ibrohim og`a agrabank </t>
  </si>
  <si>
    <t xml:space="preserve">Kamandir 885143366 99 330 50 40 </t>
  </si>
  <si>
    <t>YULDASHOV QAMAR SHERIPBAYEVICH</t>
  </si>
  <si>
    <t>BABASHOV UMRBEK BALKIBAYEVICH</t>
  </si>
  <si>
    <t>REYIMOV MATNAZAR TURABAYEVICH</t>
  </si>
  <si>
    <t>24,01,2022</t>
  </si>
  <si>
    <t xml:space="preserve">O`dakov Gulom </t>
  </si>
  <si>
    <t>20 mln berildi Bonus</t>
  </si>
  <si>
    <t xml:space="preserve">Nurafshon </t>
  </si>
  <si>
    <t xml:space="preserve">Masharipova Ro`za </t>
  </si>
  <si>
    <t xml:space="preserve">Ro`zmetova Xosiyat </t>
  </si>
  <si>
    <t xml:space="preserve">Otamurotov Shaxzod </t>
  </si>
  <si>
    <t>99 559 43 40</t>
  </si>
  <si>
    <t>0843200300100</t>
  </si>
  <si>
    <t>juda sifatli profil maxsulotidan tayyorlangan issiqxonalar 1 sotixdan katta barcha turdagi issiqxonalarni talabga qarab turli xil o`lchamlarda yayyorlab beramiz  4 lik profildan kurilgan juda sifatli profil maxsulotidan tayyorlangan issiqxonalar 1 sotixdan katta barcha turdagi issiqxonalarni talabga qarab turli xil o`lchamlarda yayyorlab beramiz  4 lik profildan kurilgan juda sifatli profil maxsulotidan tayyorlangan issiqxonalar 1 sotixdan katta barcha turdagi issiqxonalarni talabga qarab turli xil o`lchamlarda yayyorlab beramiz  4 lik profildan kurilgan juda sifatli profil maxsulotidan tayyorlangan issiqxonalar 1 sotixdan katta barcha turdagi issiqxonalarni talabga qarab turli xil o`lchamlarda yayyorlab beramiz  4 lik profildan kurilgan </t>
  </si>
  <si>
    <t>0940600100500</t>
  </si>
  <si>
    <t xml:space="preserve">Issiqxona </t>
  </si>
  <si>
    <t>08438001020000000</t>
  </si>
  <si>
    <t xml:space="preserve">Oq qand </t>
  </si>
  <si>
    <t>03924001010034011</t>
  </si>
  <si>
    <t xml:space="preserve">Oshxona idishlar </t>
  </si>
  <si>
    <t>Qurbondurdiyeva Yulduz</t>
  </si>
  <si>
    <t xml:space="preserve">Raximova Rayxona </t>
  </si>
  <si>
    <t xml:space="preserve">Sadullayeva Xurshida </t>
  </si>
  <si>
    <t>PRIMBETOVA TUXTA URAZBAYEVNA</t>
  </si>
  <si>
    <t>ATADJANOV OBODJON FARXADOVICH</t>
  </si>
  <si>
    <t>KOZIBAYEVA NAVBAXOR SABIROVNA</t>
  </si>
  <si>
    <t>ATAJANOV AXMADJON RUSTAMOVICH</t>
  </si>
  <si>
    <t>ABDULLAYEVA GUZAL ATAXANOVNA</t>
  </si>
  <si>
    <t xml:space="preserve">SABIROVA UMIDA IBADULLAYEVNA </t>
  </si>
  <si>
    <t>SABUROV KUDRAT JIYEMURATOVICH</t>
  </si>
  <si>
    <t>RAXIMBAYEV YO‘LDOSH IBADULLAYEVICH</t>
  </si>
  <si>
    <t>KASIMOVA DILBAR TOXTABAYEVNA</t>
  </si>
  <si>
    <t>JUMASHEV TALGAT ASPANOVICH</t>
  </si>
  <si>
    <t>DAUILBAYEV ABAY KENJEBAYEVICH</t>
  </si>
  <si>
    <t xml:space="preserve">Tozabozor </t>
  </si>
  <si>
    <t>Eri olib ketdi 97 512 57 13</t>
  </si>
  <si>
    <t xml:space="preserve">Mirzoxid og`a </t>
  </si>
  <si>
    <t>08471001001000000</t>
  </si>
  <si>
    <t xml:space="preserve">Qaramon ogamni bojasi </t>
  </si>
  <si>
    <t>og`asi 94 312 10 95</t>
  </si>
  <si>
    <t>SAPARBAYEV ATABEK XUSINOVICH</t>
  </si>
  <si>
    <t xml:space="preserve">
KURBANALIYEVA MARAL</t>
  </si>
  <si>
    <t>Jonibek og` a</t>
  </si>
  <si>
    <t>KUCHKAROV SUHROB YUNUS O‘G‘L</t>
  </si>
  <si>
    <t>DJUMAMURATOVA GULISTAN MAMATALIYEVNA</t>
  </si>
  <si>
    <t xml:space="preserve">Ibadullaeva Dildora </t>
  </si>
  <si>
    <t xml:space="preserve">Shaxzod Baxodir mikra jura 77 039 92 52 </t>
  </si>
  <si>
    <t xml:space="preserve">Aminboyeva Shodiya </t>
  </si>
  <si>
    <t xml:space="preserve">Sadullayeva Moxinur </t>
  </si>
  <si>
    <t xml:space="preserve">Qaxramon ogani qarindoshi </t>
  </si>
  <si>
    <t>FUTURE MOTO LINE 777 MCHJ</t>
  </si>
  <si>
    <t>ISHONCH BIZNES MOTO 777 MCHJ</t>
  </si>
  <si>
    <t>FINANS MOTO TRADE MCHJ</t>
  </si>
  <si>
    <t>OQ OLTIN MOTO TRADE 0110 MCHJ</t>
  </si>
  <si>
    <t xml:space="preserve">O`zlari kelib olib ketdilar </t>
  </si>
  <si>
    <t>09,03,2022</t>
  </si>
  <si>
    <t xml:space="preserve">Vaiosov Azimboy </t>
  </si>
  <si>
    <t xml:space="preserve">Qabulova Dilnoza </t>
  </si>
  <si>
    <t xml:space="preserve">Rajabov G`ayrat </t>
  </si>
  <si>
    <t xml:space="preserve">Yusupboyeva Xurriyat </t>
  </si>
  <si>
    <t xml:space="preserve">Ataniyozova Sabiya </t>
  </si>
  <si>
    <t xml:space="preserve">Kenjayev Ataxan </t>
  </si>
  <si>
    <t xml:space="preserve">Erkaboeva Mexribon </t>
  </si>
  <si>
    <t>b33</t>
  </si>
  <si>
    <t>XALILAYEVA GULIYOR ERGASH QIZI</t>
  </si>
  <si>
    <t>MATYAKUPOV JAMSHID SAPARBAYEVICH</t>
  </si>
  <si>
    <t>ISMAILOV XOJAMURAT ATAXONOVICH</t>
  </si>
  <si>
    <t>ALLAMOV SHUXRAT ALIMBAYEVICH</t>
  </si>
  <si>
    <t>Sultonov Jaxongir</t>
  </si>
  <si>
    <t>Xo`jamboeva Gulshod</t>
  </si>
  <si>
    <t>ATABAYEV GANJABOY JUMANAZAROVICH</t>
  </si>
  <si>
    <t>32 mln rulli Tozabozor sahrtnomaga qarab turibdi 97 600 14 65</t>
  </si>
  <si>
    <t xml:space="preserve">Vafoev Temur </t>
  </si>
  <si>
    <t xml:space="preserve">O`rinboyeva Iroda </t>
  </si>
  <si>
    <t xml:space="preserve">Quronboyeva Zeboxon </t>
  </si>
  <si>
    <t xml:space="preserve">Rajabova Zulayxo </t>
  </si>
  <si>
    <t xml:space="preserve">O`zi kelib oldi 93 282 59 59 </t>
  </si>
  <si>
    <t xml:space="preserve">20 mln Jo`shqin og`ani o`zi </t>
  </si>
  <si>
    <t xml:space="preserve">O`dakov G`ofur og`a </t>
  </si>
  <si>
    <t xml:space="preserve">eri 99 744 51 51 Ibush jo`rasi </t>
  </si>
  <si>
    <t>Bunyodni jo`ralari</t>
  </si>
  <si>
    <t xml:space="preserve">o`zi keldi 99 951 38 84 </t>
  </si>
  <si>
    <t xml:space="preserve">Qazaqova Umida </t>
  </si>
  <si>
    <t>00199001008000000</t>
  </si>
  <si>
    <t>RUSTAMOV JAXONGIR KAMIL O‘G‘LI</t>
  </si>
  <si>
    <t>ABDURAYIMOVA ROXATOY AZATJANOVNA</t>
  </si>
  <si>
    <t>TAYIROVA MUYASSAR RUZIMBAYEVNA</t>
  </si>
  <si>
    <t>YO‘LDOSHEVA DILORAM</t>
  </si>
  <si>
    <t>MATYAKUBOVA XUMOR</t>
  </si>
  <si>
    <t xml:space="preserve">YUSUPOV ULUG‘BEK </t>
  </si>
  <si>
    <t>BAZARBAYEV SARDOR</t>
  </si>
  <si>
    <t>RADJAPBAYEV UMIRBEK</t>
  </si>
  <si>
    <t>IBRAGIMOV ALIBEK</t>
  </si>
  <si>
    <t>MAMUTOV AMINBAY</t>
  </si>
  <si>
    <t>KOSHANOV KAMALATDIN</t>
  </si>
  <si>
    <t>08424002009000000</t>
  </si>
  <si>
    <t>08414002001000000</t>
  </si>
  <si>
    <t>21Q</t>
  </si>
  <si>
    <t>REYIMBAYEV YUSUPBAY AXMEDOVICH</t>
  </si>
  <si>
    <t>DAVLETOVA ASALXON IKRAM QIZI</t>
  </si>
  <si>
    <t>REYMOV TURSUNBAY</t>
  </si>
  <si>
    <t xml:space="preserve">To`xtaboyev Usmonjon </t>
  </si>
  <si>
    <t xml:space="preserve">Masharipov Elyor </t>
  </si>
  <si>
    <t>KARIMOVA RAXATJAN</t>
  </si>
  <si>
    <t xml:space="preserve">Rustamov Nurbek </t>
  </si>
  <si>
    <t xml:space="preserve">O`zi kelib olib ketdi </t>
  </si>
  <si>
    <t xml:space="preserve">O`zi keldi 88 858 78 76 </t>
  </si>
  <si>
    <t>14,03,2022</t>
  </si>
  <si>
    <t>Yangiariq Xofiz 99 506 76 66</t>
  </si>
  <si>
    <t xml:space="preserve">Botirov Doston </t>
  </si>
  <si>
    <t xml:space="preserve">Aloqa qassir </t>
  </si>
  <si>
    <t xml:space="preserve">G`oyibnazarova Donoxon </t>
  </si>
  <si>
    <t xml:space="preserve">Saparova Dilnoza </t>
  </si>
  <si>
    <t xml:space="preserve">Allaberganov Sardor </t>
  </si>
  <si>
    <t xml:space="preserve">Samandarova Moxigul </t>
  </si>
  <si>
    <t>Tajibayev Erzod</t>
  </si>
  <si>
    <t xml:space="preserve">Xayitboyeva Shaxnoza </t>
  </si>
  <si>
    <t xml:space="preserve">Shonazarov Umrbek </t>
  </si>
  <si>
    <t xml:space="preserve">Axatova Farangiz </t>
  </si>
  <si>
    <t xml:space="preserve">Qobulov Javoxirbek </t>
  </si>
  <si>
    <t xml:space="preserve">Raximova Mo`tabar </t>
  </si>
  <si>
    <t xml:space="preserve">Shavkatova Xusniya </t>
  </si>
  <si>
    <t>Eri kelib olib ketdi 93 827 70 10</t>
  </si>
  <si>
    <t>Ravona Odilbek og`a  94 205 39 01</t>
  </si>
  <si>
    <t xml:space="preserve">Jamshid oga Axran </t>
  </si>
  <si>
    <t xml:space="preserve">Kamilov Mansur </t>
  </si>
  <si>
    <t xml:space="preserve">Jumanazarov Ulug`bek </t>
  </si>
  <si>
    <t xml:space="preserve">Murod og`a zapchast </t>
  </si>
  <si>
    <t>YULDASHEVA UMIDA BISANBOYEVNA</t>
  </si>
  <si>
    <t>MAXSATOV SANJAR</t>
  </si>
  <si>
    <t xml:space="preserve">SAPARBAYEVA ROZA </t>
  </si>
  <si>
    <t xml:space="preserve"> Eri keldi 88 456 78 96 </t>
  </si>
  <si>
    <t xml:space="preserve">O`zi keldi 88 456 78 96 </t>
  </si>
  <si>
    <t xml:space="preserve">O`zi keldi 90 090 22 92 </t>
  </si>
  <si>
    <t xml:space="preserve">Ro`ziboyeva Qunduz </t>
  </si>
  <si>
    <t xml:space="preserve">Qadirova Maftuna </t>
  </si>
  <si>
    <t xml:space="preserve">Salayev Maqsad </t>
  </si>
  <si>
    <t xml:space="preserve">Nurmetov Yusuf </t>
  </si>
  <si>
    <t xml:space="preserve">Allaberganov Sarvar </t>
  </si>
  <si>
    <t>ATAJANOV ASQARJON SABIROVICH</t>
  </si>
  <si>
    <t>Gazblok 90 433 57 47</t>
  </si>
  <si>
    <t>MIRZAYEVA MUXAYYO OTOJONOVNA</t>
  </si>
  <si>
    <t xml:space="preserve">Ilyos ari </t>
  </si>
  <si>
    <t>QAZOQOV QOZOQBOY RAJABBAYEVICH</t>
  </si>
  <si>
    <t xml:space="preserve">O`zbekiston qazoqboy Shuxrat og`a </t>
  </si>
  <si>
    <t>ABDULLAYEVA SHAKARJON ASADULLAYEVNA</t>
  </si>
  <si>
    <t xml:space="preserve">O`zbekiston Shuxrat og` a </t>
  </si>
  <si>
    <t xml:space="preserve">Xamdam og`ani O`zi </t>
  </si>
  <si>
    <t xml:space="preserve">Xajibayev Abdullajon </t>
  </si>
  <si>
    <t>DURDIBAYEV ABDULLA</t>
  </si>
  <si>
    <t>QURYOZOV JALOLIDDIN</t>
  </si>
  <si>
    <t>BABADJANOV ESHCHANBAY</t>
  </si>
  <si>
    <t>MADIRIMOVA GULSHANOY RAJABBOY QIZI</t>
  </si>
  <si>
    <t xml:space="preserve">Quromboy ari 17 mln </t>
  </si>
  <si>
    <t>DUSHAMBOYEVA MADINA AZAMAT QIZI</t>
  </si>
  <si>
    <t xml:space="preserve">Shavkat Toyir advakat 99 582 11 21 </t>
  </si>
  <si>
    <t>17,03,2022</t>
  </si>
  <si>
    <t>Raximov Mo`minjon</t>
  </si>
  <si>
    <t xml:space="preserve">Iskandarova Shoxnoza </t>
  </si>
  <si>
    <t xml:space="preserve">Iskandarova Iroda </t>
  </si>
  <si>
    <t xml:space="preserve">TOYLIYEVA GULALEK </t>
  </si>
  <si>
    <t>YEGAMBERDIYEV MUZAFFAR SAPARBAYEVICH</t>
  </si>
  <si>
    <t>Farruxni odami ellikkala 994592535</t>
  </si>
  <si>
    <t>O`zi keldi 97 791 11 22</t>
  </si>
  <si>
    <t>O`zi kelib olib ketdi 97 451 66 00</t>
  </si>
  <si>
    <t xml:space="preserve">       </t>
  </si>
  <si>
    <t>08425001001000000</t>
  </si>
  <si>
    <t>08204001001000000</t>
  </si>
  <si>
    <t>08542001003000000</t>
  </si>
  <si>
    <t>ESHCHONOVA MAXBUBA MATNAZAR QIZI</t>
  </si>
  <si>
    <t xml:space="preserve">Bog`ibek og`a </t>
  </si>
  <si>
    <t>YARASHOVA XAYRINISO SULTONBOY QIZI</t>
  </si>
  <si>
    <t xml:space="preserve">Shuxrat og`a O`zbekiston </t>
  </si>
  <si>
    <t>RAXIMOV TOLIBJON SAPARBOYEVICH</t>
  </si>
  <si>
    <t xml:space="preserve">Sarvar og`a 33 mln matsakil </t>
  </si>
  <si>
    <t xml:space="preserve">Tajiyev Farrux </t>
  </si>
  <si>
    <t xml:space="preserve">Jamol Xalq banki </t>
  </si>
  <si>
    <t>MADAMINOVA SHAROFAT G‘AYIBOVNA</t>
  </si>
  <si>
    <t>Oq tepa kontener 91 421 07 66</t>
  </si>
  <si>
    <t xml:space="preserve">Tozabozor Egamov Baxtiyor </t>
  </si>
  <si>
    <t>EGAMBERDIYEV SARDORBEK AZIMBOY O‘G‘LI</t>
  </si>
  <si>
    <t xml:space="preserve">Quromboy ari </t>
  </si>
  <si>
    <t>08609001001000000</t>
  </si>
  <si>
    <t>MAVLONOV SHAVKAT G‘OYIBOVICH</t>
  </si>
  <si>
    <t xml:space="preserve">O`zgarish motoblok  914266981 88 513 01 06 </t>
  </si>
  <si>
    <t>JUMANIYAZOV MARKS XO‘JANIYOZOVICH</t>
  </si>
  <si>
    <t>MAMIYEVA ALIYAJAN MUMINOVNA</t>
  </si>
  <si>
    <t xml:space="preserve">O`zi keldi 97 452 67 57 </t>
  </si>
  <si>
    <t>x`</t>
  </si>
  <si>
    <t>Zavod</t>
  </si>
  <si>
    <t xml:space="preserve">Seydanova Aziza </t>
  </si>
  <si>
    <t xml:space="preserve">Karimboyev Xamdam </t>
  </si>
  <si>
    <t xml:space="preserve">Ismoilov Umrbek </t>
  </si>
  <si>
    <t>RAJABOVA FAZILAT HAYITBOYEVNA</t>
  </si>
  <si>
    <t xml:space="preserve">Davron og`a Oq Oltin </t>
  </si>
  <si>
    <t>MASHIRIPOVA DILBAR QADIROVNA</t>
  </si>
  <si>
    <t xml:space="preserve">Yosh o`smir 99 745 56 57 </t>
  </si>
  <si>
    <t xml:space="preserve">Xo`sinov Ibrohomjon </t>
  </si>
  <si>
    <t xml:space="preserve">Donyor Xalq Banki </t>
  </si>
  <si>
    <t>ATADJANOV AZAT FARXADOVICH</t>
  </si>
  <si>
    <t>GONCHIK HOUSE 999 MCHJ</t>
  </si>
  <si>
    <t xml:space="preserve">  08459001006000000   0841800101300</t>
  </si>
  <si>
    <t>ATAMURATOVA SEVARA BAXTIYAROVNA</t>
  </si>
  <si>
    <t xml:space="preserve">Urganchli apka Freyzer apakart </t>
  </si>
  <si>
    <t xml:space="preserve">Rajabova Barno </t>
  </si>
  <si>
    <t xml:space="preserve">Xasanboyev Kamron </t>
  </si>
  <si>
    <t xml:space="preserve">Axmedov Islom </t>
  </si>
  <si>
    <t>QO‘ZIBAYEVA HAYOTXON SAFARBAYEVNA</t>
  </si>
  <si>
    <t xml:space="preserve"> 88  857 00 29 33 mln matsakil Benzin Dexqonobod MFY </t>
  </si>
  <si>
    <t xml:space="preserve">AT Aloqabank </t>
  </si>
  <si>
    <t>SHARIPOV RUSLAN SULTANBAYEVICH</t>
  </si>
  <si>
    <t xml:space="preserve">31,64 Xaladenik Shokir og`amni ukasi </t>
  </si>
  <si>
    <t>OTAJANOVA SHAXNOZA MAXSUDOVNA</t>
  </si>
  <si>
    <t xml:space="preserve">Sartaroshxona Mebellari Shaxriyor </t>
  </si>
  <si>
    <t>ISKANDAROVA SANOBAR MASHARIPOVNA</t>
  </si>
  <si>
    <t xml:space="preserve">Tozabozor do`ktor 22 mln motoblok </t>
  </si>
  <si>
    <t xml:space="preserve">Ibroximjon Agrobank </t>
  </si>
  <si>
    <t>MASHARIPOV AZAMAT JA’FAROVICH</t>
  </si>
  <si>
    <t xml:space="preserve">Umid og`a Bobojonov </t>
  </si>
  <si>
    <t>GANJAYEV SHOXRUX MAMATOVICH</t>
  </si>
  <si>
    <t xml:space="preserve">22 mln xunarmand </t>
  </si>
  <si>
    <t>MATYAQUBOV QODAMBOY YULDASHOVICH</t>
  </si>
  <si>
    <t xml:space="preserve">Toyir og`a </t>
  </si>
  <si>
    <t>PONOYEVA ZUMROT RUSTOMOVNA</t>
  </si>
  <si>
    <t xml:space="preserve">Nuquljonni bolasi </t>
  </si>
  <si>
    <t>XUDAYBERGANOVA SAYYORA OTAXANOVNA</t>
  </si>
  <si>
    <t xml:space="preserve">21 mln bog`ibek og`a </t>
  </si>
  <si>
    <t>OLLASHOVA DILRABO QURAMBOYEVNA</t>
  </si>
  <si>
    <t>MADAMINOVA GULRUX TO‘LQIN</t>
  </si>
  <si>
    <t xml:space="preserve">Manaviyat 99 752 34 30 </t>
  </si>
  <si>
    <t>GOLD DRAGON SSS</t>
  </si>
  <si>
    <t xml:space="preserve">Yangiariq 97 753 7313  97 601 95  95 </t>
  </si>
  <si>
    <t xml:space="preserve">Akmal og`a Mikra </t>
  </si>
  <si>
    <t>BAKIYEV HAMDAMBEK TOJIBOYEVICH</t>
  </si>
  <si>
    <t>QURBANBAYEV UKTAMBOY RAXIMBOYEVICH</t>
  </si>
  <si>
    <t xml:space="preserve">Tajiboyev Normurod </t>
  </si>
  <si>
    <t xml:space="preserve">Achilova Moxinur </t>
  </si>
  <si>
    <t>XUDAYBERGANOV JO‘RABEK BOBONAZAROVICH</t>
  </si>
  <si>
    <t xml:space="preserve">Nurli hayot 94 860 58 87 </t>
  </si>
  <si>
    <t xml:space="preserve">Azamat </t>
  </si>
  <si>
    <t>MATVAFAYEVA GULBAHOR OTAXONOVNA</t>
  </si>
  <si>
    <t xml:space="preserve">O`zbekiston Shuxrat og`a </t>
  </si>
  <si>
    <t xml:space="preserve">Nurafshon klient 99 122 61 52 </t>
  </si>
  <si>
    <t xml:space="preserve">JUMANAZAROV NIZOMJON OZOD O‘G‘LI </t>
  </si>
  <si>
    <t xml:space="preserve">Qalajiqala 99 175 55 15 </t>
  </si>
  <si>
    <t>KALANDAROV MARDON SHERJON O‘G‘LI</t>
  </si>
  <si>
    <t>Sher Moyka 33 mln 88 858 71 70</t>
  </si>
  <si>
    <t>QURBONBOYEVA RO‘ZAXON AZAMAT QIZI</t>
  </si>
  <si>
    <t>Sher Moyka 30 mln 88 858 71 70</t>
  </si>
  <si>
    <t>ABDULLAYEV DIYORBEK</t>
  </si>
  <si>
    <t xml:space="preserve">Tozabozor 97 091 17 95 </t>
  </si>
  <si>
    <t xml:space="preserve">Yo`ldoshev Sarvar </t>
  </si>
  <si>
    <t>JUMABOYEV HASANBOY QAHRAMON O‘G‘LI</t>
  </si>
  <si>
    <t>Nurafshon 94 312 50 69</t>
  </si>
  <si>
    <t>XO‘JANIYOZOV MARDON BAXTIYOROVICH</t>
  </si>
  <si>
    <t xml:space="preserve">Nurafshon 93 467 15 14 </t>
  </si>
  <si>
    <t>O`zi olib ketdi 97 606 82 22</t>
  </si>
  <si>
    <t>Qalajiqala  94 112 77 66</t>
  </si>
  <si>
    <t xml:space="preserve">5 6 </t>
  </si>
  <si>
    <t xml:space="preserve">Oq tepa </t>
  </si>
  <si>
    <t xml:space="preserve">navbatda </t>
  </si>
  <si>
    <t>OTAJONOVA GULYOR HAYITBOY QIZ</t>
  </si>
  <si>
    <t xml:space="preserve">Oq tepa 99 176 86 86 </t>
  </si>
  <si>
    <t>BABAJANOV OG‘ABEK RASHID O‘G‘LI</t>
  </si>
  <si>
    <t xml:space="preserve">Yangiqadam 95 589 24 95 </t>
  </si>
  <si>
    <t>TILLAYEV BOZORBOY RO‘ZIYEVICH</t>
  </si>
  <si>
    <t>RAJABOVA SHAKARJON GANJA QIZI</t>
  </si>
  <si>
    <t xml:space="preserve">Nayman enam 97 606 28 98 </t>
  </si>
  <si>
    <t>MIRZAYEV RAXIMBERDI XUDASHUKUROVICH</t>
  </si>
  <si>
    <t xml:space="preserve">BAZAROVA DERMANGUL SHABERDIYEVNA </t>
  </si>
  <si>
    <t xml:space="preserve">Odilbek og`a ekalogiya 99 501 79 12 </t>
  </si>
  <si>
    <t>BEKMETOV SAPARBOY</t>
  </si>
  <si>
    <t>MATYOQUBOV KOMILJON IBADULLAYEVICH</t>
  </si>
  <si>
    <t>HASANOV G‘ULOMJON ABDIBAXRAMOVICH</t>
  </si>
  <si>
    <t xml:space="preserve">33 mln motoblok </t>
  </si>
  <si>
    <t xml:space="preserve">Axmedov Sodiqjon </t>
  </si>
  <si>
    <t xml:space="preserve">Ro`zmetov Xamid </t>
  </si>
  <si>
    <t xml:space="preserve">Qalajiqala </t>
  </si>
  <si>
    <t xml:space="preserve">Achilova Gulrux </t>
  </si>
  <si>
    <t xml:space="preserve">Tursunboyev Xudoyor </t>
  </si>
  <si>
    <t xml:space="preserve">Ashxobod </t>
  </si>
  <si>
    <t>BEKNAZAROV DAVRANBEK IBRAHIMOVICH</t>
  </si>
  <si>
    <t>MATCHANOV ODILBEK BOBOXONOVICH</t>
  </si>
  <si>
    <t xml:space="preserve">Donyor oga to`pchi </t>
  </si>
  <si>
    <t>RAXIMOVA MARHAMAT NURULLAYEVNA</t>
  </si>
  <si>
    <t xml:space="preserve">Izzatni tanishlari 99 038 66 00 </t>
  </si>
  <si>
    <t xml:space="preserve">Otabekov Abrorbek </t>
  </si>
  <si>
    <t>ISMOILOV MURODJON UMIRBEK O‘G‘LI</t>
  </si>
  <si>
    <t xml:space="preserve">Muxtor og`a Uzumzor </t>
  </si>
  <si>
    <t>QURBONOVA FAROG‘AT TOHIROVNA</t>
  </si>
  <si>
    <t xml:space="preserve"> Tozabozor 97 721 07 86 </t>
  </si>
  <si>
    <t>OLLAMOVA GULBAXOR UMAROVNA</t>
  </si>
  <si>
    <t xml:space="preserve">Oq tepa 93 744 40 90 </t>
  </si>
  <si>
    <t>50 mln 05,04,2023</t>
  </si>
  <si>
    <t>10 mln 27,03,2023</t>
  </si>
  <si>
    <t>10 mln 16,03,2023</t>
  </si>
  <si>
    <t>27,,02,2023</t>
  </si>
  <si>
    <t xml:space="preserve">Xasanboyev Ruslanbek </t>
  </si>
  <si>
    <t xml:space="preserve">To`rayev Quvondiq </t>
  </si>
  <si>
    <t xml:space="preserve">Jamshid og`a Mashin zavod </t>
  </si>
  <si>
    <t>RO‘ZIBOYEVA QUNDUZXON RUSTAM QIZI</t>
  </si>
  <si>
    <t xml:space="preserve">28 ming soliq qarzi </t>
  </si>
  <si>
    <t>SAIDOVA GULNOZA SHONAZAROVNA</t>
  </si>
  <si>
    <t xml:space="preserve">Yangiqadam </t>
  </si>
  <si>
    <t>JUMANIYOZOVA CHAMANGUL YULDASHEVNA</t>
  </si>
  <si>
    <t xml:space="preserve">Galaba 99 417 53 98 </t>
  </si>
  <si>
    <t>Uzumzor 99 079 98 50</t>
  </si>
  <si>
    <t>99 744 515 1</t>
  </si>
  <si>
    <t>JUMANAZAROV SAPARBOY MATCHONOVICH</t>
  </si>
  <si>
    <t>JABBAROV ISLOMBEK ABDULLAYEVICH</t>
  </si>
  <si>
    <t>AMINOV IXTIYOR</t>
  </si>
  <si>
    <t>Tozabozor Qosim og`a 97 456 9002</t>
  </si>
  <si>
    <t xml:space="preserve">Raximova Shohsanam </t>
  </si>
  <si>
    <t>AMIROV NIZAMATDIN</t>
  </si>
  <si>
    <t xml:space="preserve">Qaraqalpoq </t>
  </si>
  <si>
    <t>ABDULLAYEV ELDORBEK ISMOIL O‘G‘LI</t>
  </si>
  <si>
    <t>07,04,2023</t>
  </si>
  <si>
    <t>BOBOJONOV KAMOL</t>
  </si>
  <si>
    <t xml:space="preserve">Xurriyat  31 53 236  93 287 84 36 </t>
  </si>
  <si>
    <t>97 791 83 88</t>
  </si>
  <si>
    <t xml:space="preserve">Jumaniyozova Manzura </t>
  </si>
  <si>
    <t>YUSUPOVA GULNORA AXMEDOVNA</t>
  </si>
  <si>
    <t xml:space="preserve">97 452 73 84 Ustalar Sarvar og`a  </t>
  </si>
  <si>
    <t xml:space="preserve">Nurmetov Rustam </t>
  </si>
  <si>
    <t xml:space="preserve">93 063 25 77 </t>
  </si>
  <si>
    <t>ALLABERGANOVA GAVHAR KARIMBOYEVNA</t>
  </si>
  <si>
    <t>SADULLAYEVA ODINA QO‘ZIBAYEVNA</t>
  </si>
  <si>
    <t>Soxibkor 99 333 74 13</t>
  </si>
  <si>
    <t xml:space="preserve">1 shapka </t>
  </si>
  <si>
    <t xml:space="preserve">benzin </t>
  </si>
  <si>
    <t xml:space="preserve">1,5 tonna </t>
  </si>
  <si>
    <t>0,6 liq</t>
  </si>
  <si>
    <t xml:space="preserve">rulli </t>
  </si>
  <si>
    <t xml:space="preserve">ATAJONOVA MUHABBAT O‘KTAMBOYEVNA </t>
  </si>
  <si>
    <t xml:space="preserve">Erzod og`a 91 434 51 89 </t>
  </si>
  <si>
    <t>MAVLONOV JABBORBERDI YULDOSHOVICH</t>
  </si>
  <si>
    <t>108 soliq qarz</t>
  </si>
  <si>
    <t>Mol mulki</t>
  </si>
  <si>
    <t>b30</t>
  </si>
  <si>
    <t>CHICHILA GOLD</t>
  </si>
  <si>
    <t>SUPER MOTO 100</t>
  </si>
  <si>
    <t>RO‘ZMETOVA UMIDA IBODULLAYEVNA</t>
  </si>
  <si>
    <t xml:space="preserve">Murod og`a qo`ngishi </t>
  </si>
  <si>
    <t>MATNIYOZOV UTKIR KOMILOVICH</t>
  </si>
  <si>
    <t>Yangiqadam 991516211</t>
  </si>
  <si>
    <t>MAVLANOVA YULDUZ EGAMBERDIYEVNA</t>
  </si>
  <si>
    <t>Kulonqorabog` 941184628</t>
  </si>
  <si>
    <t>QLICHEV RASHIDBEK SADULLAYEVICH</t>
  </si>
  <si>
    <t>TO‘RAYEV OMONBOY HAJIBAYEVICH</t>
  </si>
  <si>
    <t>Qulonqorabog` 946875659</t>
  </si>
  <si>
    <t>RAZZOQBERGANOVA SOJIDA MADIYOR QIZI</t>
  </si>
  <si>
    <t xml:space="preserve">Nurbek og`a tikish mashin 10 mln </t>
  </si>
  <si>
    <t>SADULLAYEVA SAPARGUL DURDIYEVNA</t>
  </si>
  <si>
    <t xml:space="preserve">Bogzor tikish mashin </t>
  </si>
  <si>
    <t>JUMANIYAZOVA MANZURA KOMILJONOVNA</t>
  </si>
  <si>
    <t>BOBOJONOVA NARGIZA BOLTABOYEVNA</t>
  </si>
  <si>
    <t xml:space="preserve">Nargiza apka salon mebel 33 mln </t>
  </si>
  <si>
    <t>ASKAROV KOMILJON ATAJANOVICH</t>
  </si>
  <si>
    <t xml:space="preserve">Rasulbek og`a Qipchoq </t>
  </si>
  <si>
    <t>SADULLAYEV XAMDAMBEK MAQSUD O‘G‘LI</t>
  </si>
  <si>
    <t>Bog`iston 94 151 3112   94 113 80 55</t>
  </si>
  <si>
    <t>ATABAYEVA FARIDA SULTANBAYEVNA</t>
  </si>
  <si>
    <t xml:space="preserve">Jo`rabek og`a </t>
  </si>
  <si>
    <t>XOJAMURATOVA NIGARA EGAMBERGENOVNA</t>
  </si>
  <si>
    <t>Jo`rabek og`a issiqxona</t>
  </si>
  <si>
    <t>QURAMBOYEV SHIXNAZAR</t>
  </si>
  <si>
    <t>Navruz Rulli tel 932810484</t>
  </si>
  <si>
    <t xml:space="preserve">SAPARBOYEV SIROJBEK MUHAMMAD O‘G‘LI </t>
  </si>
  <si>
    <t>Xurriyat 99 598 85 69</t>
  </si>
  <si>
    <t>OZODOV IXTIYOR SHODIYOR O‘G‘LI</t>
  </si>
  <si>
    <t xml:space="preserve">30 mln non  pechka  91 571 71 03 </t>
  </si>
  <si>
    <t>Ismoilova Dilafruz</t>
  </si>
  <si>
    <t xml:space="preserve">Shonazarov Muxammadjon </t>
  </si>
  <si>
    <t xml:space="preserve">Muxtor yurist </t>
  </si>
  <si>
    <t>MATYAQUBOVA FAZILAT IBRAGIMOVNA</t>
  </si>
  <si>
    <t xml:space="preserve">33 mln matsakil obod og`a </t>
  </si>
  <si>
    <t>DAVLATYAROVA IKLIMA ZARIPBAYEVNA</t>
  </si>
  <si>
    <t xml:space="preserve">33 mln tikish mashin 97 441 17 41  Xazarasp sher </t>
  </si>
  <si>
    <t>SOBIROV BEHZOD G‘ULOMOVICH</t>
  </si>
  <si>
    <t xml:space="preserve">33 mln matsakil 99 377 55 99 </t>
  </si>
  <si>
    <t xml:space="preserve">33 mln matsakil Gazablok 90 433 57 47 </t>
  </si>
  <si>
    <t>JUMABOYEV SAN’ATBEK KUROMBOYEVICH</t>
  </si>
  <si>
    <t>Oq Oltin 94 114 76 83  99 163 79 76 94 310 79 76</t>
  </si>
  <si>
    <t>HAYITBOYEVA HAVOJON RUSTAMOVNA</t>
  </si>
  <si>
    <t xml:space="preserve">Oq Oltin 94 234 10 91 </t>
  </si>
  <si>
    <t>YUSUPOVA MOHICHEHRA DAVRON QIZI</t>
  </si>
  <si>
    <t xml:space="preserve">Dilshod kompyuter 6 mln </t>
  </si>
  <si>
    <t>MATNIYOZOVA MUNIRAXON RUSTAMOVNA</t>
  </si>
  <si>
    <t>Farxod sho`ra 99 688 50 00</t>
  </si>
  <si>
    <t>BOBOJONOVA KAROMAT BAXTIYEROVNA</t>
  </si>
  <si>
    <t>RO‘ZMETOVA KUMUSH MADAMINOVNA</t>
  </si>
  <si>
    <t xml:space="preserve">Tikish mashin Bog`zor qudrat og`a </t>
  </si>
  <si>
    <t xml:space="preserve">  Madaniyat 97 528 21 71 </t>
  </si>
  <si>
    <t xml:space="preserve"> Madaniyat 97 528 21 71 </t>
  </si>
  <si>
    <t>MASHARIPOVA RO‘ZAJON QODIRBERDI</t>
  </si>
  <si>
    <t>Javlon og`a agrobank 990596272</t>
  </si>
  <si>
    <t>XO‘JANIYOZOVA MUBORAK SHOMURATOVNA</t>
  </si>
  <si>
    <t>Bekzod jaqir 99 416 1028</t>
  </si>
  <si>
    <t>login</t>
  </si>
  <si>
    <t xml:space="preserve">parol </t>
  </si>
  <si>
    <t xml:space="preserve"> pulniki </t>
  </si>
  <si>
    <t xml:space="preserve">firma nomi </t>
  </si>
  <si>
    <t xml:space="preserve">Oq oltin moto </t>
  </si>
  <si>
    <t>Oqoltinmoto</t>
  </si>
  <si>
    <t xml:space="preserve">Kelajak </t>
  </si>
  <si>
    <t>Future Moto line</t>
  </si>
  <si>
    <t xml:space="preserve">Oq oltin moto trade </t>
  </si>
  <si>
    <t>Shexmurod 1509</t>
  </si>
  <si>
    <t>Shexmurod 0112</t>
  </si>
  <si>
    <t xml:space="preserve">Chichila </t>
  </si>
  <si>
    <t xml:space="preserve">Super moto </t>
  </si>
  <si>
    <t>YUSUPOV DAVRONBEK SHUXRATOVICH</t>
  </si>
  <si>
    <t xml:space="preserve">29 moyka </t>
  </si>
  <si>
    <t>MAXMUDOV ZAFAR KOMILOVICH</t>
  </si>
  <si>
    <t>Dexqonobod 22,5</t>
  </si>
  <si>
    <t>MASHARIPOV NE’MAT YO‘LDOSHEVICH</t>
  </si>
  <si>
    <t xml:space="preserve">Ashxobod  99 969 07 66 </t>
  </si>
  <si>
    <t>MATCHANOVA ROXAT AZADOVNA</t>
  </si>
  <si>
    <t xml:space="preserve">Saxovat97 704 96 92  </t>
  </si>
  <si>
    <t>JUMANIYAZOV ATABEK JUMANAZAROVICH</t>
  </si>
  <si>
    <t>Otbek oqtepa 99120 72 79</t>
  </si>
  <si>
    <t>RAXIMBAYEVA XIKOYAT KARIMBAYEVNA</t>
  </si>
  <si>
    <t xml:space="preserve">33 chavaq qipchoq </t>
  </si>
  <si>
    <t>ATAJANOV FARRUX AZAMAT O‘G‘LI</t>
  </si>
  <si>
    <t>ATOMUROTOVA NURJON JUMABAYEVNA</t>
  </si>
  <si>
    <t>SAMANDAROV BUNYOD SHIXNAZAROVICH</t>
  </si>
  <si>
    <t xml:space="preserve">10 mln motoblok Shuxrat og`a </t>
  </si>
  <si>
    <t>SAPAYEV RAHIMBERDI KAMILOVICH</t>
  </si>
  <si>
    <t xml:space="preserve">33 mln qozon 97 790 91 31 </t>
  </si>
  <si>
    <t>ALLAKULIYEV XAKIMBAY DAVLETOVICH</t>
  </si>
  <si>
    <t>ISKANDAROV AZAMAT BATIROVICH</t>
  </si>
  <si>
    <t xml:space="preserve">33 mln savun 91 858 28 80 </t>
  </si>
  <si>
    <t>RAJABOV QUVONCHBEK XAITBOY O‘G‘LI</t>
  </si>
  <si>
    <t xml:space="preserve">Ashxobod  97 511 59 60 </t>
  </si>
  <si>
    <t>QURBANOV DONIYOR QOBULBOYEVICH</t>
  </si>
  <si>
    <t>MATYAQUBOVA SHOSANAM KAMOLOVNA</t>
  </si>
  <si>
    <t xml:space="preserve">33 mln matsakil shuxrat og`a </t>
  </si>
  <si>
    <t>ASHIROVA MUYASSAR ABDURAXMANOVNA</t>
  </si>
  <si>
    <t>33 mln G`isht zavod Jurabek oga</t>
  </si>
  <si>
    <t>QO‘SHAQOV ABROR RO‘ZMATOVICH</t>
  </si>
  <si>
    <t xml:space="preserve">Nurafshon 94 117 20 21 </t>
  </si>
  <si>
    <t xml:space="preserve">Nurafshon 99 829 15 58 </t>
  </si>
  <si>
    <t>IBODULLAYEVA GULBAHOR YUSUFOVNA</t>
  </si>
  <si>
    <t>Mirzohid</t>
  </si>
  <si>
    <t>OLLANAZAROVA ZUBAYDA JUMABOYEVNA</t>
  </si>
  <si>
    <t xml:space="preserve">Oq Oltin 99 174 82 79 </t>
  </si>
  <si>
    <t xml:space="preserve"> Yosh o`smir 88 859 88 33 93 063 25 77</t>
  </si>
  <si>
    <t xml:space="preserve">Nurafshon 99 192 41 47 </t>
  </si>
  <si>
    <t>ISMOILOV INOMJON SAMANDAROVICH</t>
  </si>
  <si>
    <t xml:space="preserve">19,5 Sartaroshxona Inomjon 93 619 91 69 </t>
  </si>
  <si>
    <t>ATAJONOVA MAMAGUL QABULOVNA</t>
  </si>
  <si>
    <t xml:space="preserve">Xurriyat 99 552 44 69 </t>
  </si>
  <si>
    <t>GOLD DRAGON 777</t>
  </si>
  <si>
    <t>ACHILDIYEV ISROILJON MATKARIMOVICH</t>
  </si>
  <si>
    <t xml:space="preserve">Nurafshon 99 504 63 89 </t>
  </si>
  <si>
    <t>JUMOBOYEV JASURBEK NAZARBOYEVICH</t>
  </si>
  <si>
    <t xml:space="preserve">Gukshan 99 282 52 10 </t>
  </si>
  <si>
    <t>SAPARBAYEVA INTIZOR RUSTAMOVNA</t>
  </si>
  <si>
    <t xml:space="preserve">24 mln moto 91 997 58 56 </t>
  </si>
  <si>
    <t>XAKIMOV XAYRULLA RUSTAMBAYEVICH</t>
  </si>
  <si>
    <t xml:space="preserve">Manviyat 99 716 07 51 </t>
  </si>
  <si>
    <t>Omonova Munisa Murodbek qiz</t>
  </si>
  <si>
    <t>FARHODOV RAHMATJON GANIJON OGL</t>
  </si>
  <si>
    <t>RUSTAMOVA DILAFERUZ VAXOBJON QIZI</t>
  </si>
  <si>
    <t xml:space="preserve">95 770 55 84  Akasi </t>
  </si>
  <si>
    <t xml:space="preserve">Norvoy og`a </t>
  </si>
  <si>
    <t>Rasulbek xalq banki 11 66</t>
  </si>
  <si>
    <t>NURMATOV GANJA YUSUPOVICH</t>
  </si>
  <si>
    <t xml:space="preserve">Ibush agrobank </t>
  </si>
  <si>
    <t>OTOMUROTOV YASHNARBEK TAVAKKALOVICH</t>
  </si>
  <si>
    <t xml:space="preserve">Nurli maskan </t>
  </si>
  <si>
    <t xml:space="preserve"> Xonqa 93 854 64 27  99 184 08 39 </t>
  </si>
  <si>
    <t>OLLAQULOVA LAYLO SHOKIRBAYEVNA</t>
  </si>
  <si>
    <t>220220dX</t>
  </si>
  <si>
    <t xml:space="preserve"> 33 mln matsakil O`zbekiston Shuxrat og`a 99 557 24 80</t>
  </si>
  <si>
    <t xml:space="preserve">Bog`ot Kelajak moto MCHJ </t>
  </si>
  <si>
    <t>15 mln</t>
  </si>
  <si>
    <t xml:space="preserve">Bog`ot lochin Armada moto MCHJ </t>
  </si>
  <si>
    <t>OTAMUROTOVA SHAXLO SHAVKATOVNA</t>
  </si>
  <si>
    <t xml:space="preserve">Oqtepa 6 mln </t>
  </si>
  <si>
    <t>MASHARIPOV RASULJAN SABIROVICH</t>
  </si>
  <si>
    <t>Xiva 88 201 07 69  919975633</t>
  </si>
  <si>
    <t>Djumaniyazova Shodiya Zoxidjon Qizi</t>
  </si>
  <si>
    <t>AZADOVA MOHICHEHRA ZAFARBEK QIZI</t>
  </si>
  <si>
    <t>ABDULNIYAZOVA DILNAVOZ QADAMBOY QIZI</t>
  </si>
  <si>
    <t>ABDULNIYOZOV HAMDAM QADAMBOY O`G`L</t>
  </si>
  <si>
    <t xml:space="preserve">Gai 91 993 04 04 </t>
  </si>
  <si>
    <t xml:space="preserve">Shokir og`ani Jurasi </t>
  </si>
  <si>
    <t>XO‘JAQOV ZIYODJON YULDASHOVICH</t>
  </si>
  <si>
    <t xml:space="preserve">Bog`zor  94 658 28 91 </t>
  </si>
  <si>
    <t>MATCHANOV SHERZOD QUVONDIQOVICH</t>
  </si>
  <si>
    <t>JALOLOV SHUHRAT SHARIPBAYEVICH</t>
  </si>
  <si>
    <t xml:space="preserve">Ashxobod 99 312 29 80 </t>
  </si>
  <si>
    <t xml:space="preserve">Atajonov Zarbad </t>
  </si>
  <si>
    <t xml:space="preserve">Odamboy mikra </t>
  </si>
  <si>
    <t>AHMEDOV AHMADJON G`OFUR O`G`LI</t>
  </si>
  <si>
    <t xml:space="preserve">Muslimbek </t>
  </si>
  <si>
    <t>O‘RINOVA ANAJON QILICHOVNA</t>
  </si>
  <si>
    <t xml:space="preserve">Tikish mashin 91 914 45 66 </t>
  </si>
  <si>
    <t>MAMETOV SAPARBOY YAXSHIMURATOVICH</t>
  </si>
  <si>
    <t>Mametov Saparboy  32 mln moto 97 515 71 28</t>
  </si>
  <si>
    <t xml:space="preserve">Sobirova Shoxida </t>
  </si>
  <si>
    <t xml:space="preserve">Fayzullayev alijon </t>
  </si>
  <si>
    <t xml:space="preserve">Qurbondurdiyev Sardor </t>
  </si>
  <si>
    <t>MATNAZAROV ZAKIRJON SAIDNAZAROVICH</t>
  </si>
  <si>
    <t xml:space="preserve">Oqtepa 99 208 09 87 </t>
  </si>
  <si>
    <t>RAXIMOVA NOZIMA ERKIN QIZI</t>
  </si>
  <si>
    <t xml:space="preserve">Jonibek og`a Xalq banki 32 matsakil </t>
  </si>
  <si>
    <t>ALLASHEV FAXRIDDIN OZODOVICH</t>
  </si>
  <si>
    <t xml:space="preserve">Madaniyat 97 362 89 93 </t>
  </si>
  <si>
    <t xml:space="preserve">ko`k </t>
  </si>
  <si>
    <t xml:space="preserve">oq </t>
  </si>
  <si>
    <t>ALLAZAROV JAVLONBEK BAXTIYOROVICH</t>
  </si>
  <si>
    <t xml:space="preserve">Shuxrat og`a 94 114 12 59 </t>
  </si>
  <si>
    <t>RAXMONOV RUSLAN EGAMBERDIYEVICH</t>
  </si>
  <si>
    <t>Ashxobod 99 702 67 26</t>
  </si>
  <si>
    <t>JUMABAYEVA GULZIRA ARTIKOVNA</t>
  </si>
  <si>
    <t xml:space="preserve">Bog`iston 94 514 09 78 </t>
  </si>
  <si>
    <t>ALLABERGANOV MAKSAD MAKSUDOVICH</t>
  </si>
  <si>
    <t xml:space="preserve">Maqsad boja 32 mln </t>
  </si>
  <si>
    <t>ABDULLAYEVA NASIBA ODAMBAYEVNA</t>
  </si>
  <si>
    <t xml:space="preserve">Dexqonobod MFY matsakil </t>
  </si>
  <si>
    <t>XUDAYBERGANOVA GULORA BAXTIYAR QIZI</t>
  </si>
  <si>
    <t>Urganch akpa frezer aparat 32,6</t>
  </si>
  <si>
    <t xml:space="preserve">Tajibayeva Ruxsora </t>
  </si>
  <si>
    <t xml:space="preserve">To`rayev Feruz </t>
  </si>
  <si>
    <t xml:space="preserve">Raximova Ruxsora </t>
  </si>
  <si>
    <t>Madaminov Mamurjon</t>
  </si>
  <si>
    <t>O`zbekiston 942381570</t>
  </si>
  <si>
    <t>BOLTAYEV MARDONBEK RAZZAK O‘G‘LI</t>
  </si>
  <si>
    <t xml:space="preserve">Farrux 24 mln matsakil </t>
  </si>
  <si>
    <t xml:space="preserve">jamolbek </t>
  </si>
  <si>
    <t xml:space="preserve">Gulmira xalq banki </t>
  </si>
  <si>
    <t>ISMOILOV DAVLATBOY QADAM O‘G‘LI</t>
  </si>
  <si>
    <t xml:space="preserve">Nayman  97 360 77 43 </t>
  </si>
  <si>
    <t xml:space="preserve">99 578 60 68 </t>
  </si>
  <si>
    <t>JURAYEVA MAZGUL URALOVNA</t>
  </si>
  <si>
    <t xml:space="preserve">O`zbekiston 94 116 26 94 </t>
  </si>
  <si>
    <t xml:space="preserve">Jaxon xalq banki 99 675 93 61 </t>
  </si>
  <si>
    <t xml:space="preserve">91 425 14 94 Eri </t>
  </si>
  <si>
    <t xml:space="preserve">Sabirova Adolat </t>
  </si>
  <si>
    <t xml:space="preserve">Po`latov Xabibullo </t>
  </si>
  <si>
    <t xml:space="preserve">Ibodullayeva Farmon </t>
  </si>
  <si>
    <t xml:space="preserve">Qalajiqala kamandir 97 856 00 70 </t>
  </si>
  <si>
    <t>XUDOYBERGANOV SHUXRAT MADRAXIMOVICH</t>
  </si>
  <si>
    <t>OTOJONOV SA’DULLA MAQSUD O‘G‘LI</t>
  </si>
  <si>
    <t xml:space="preserve">Beruniy 99 944 65 44 </t>
  </si>
  <si>
    <t>k</t>
  </si>
  <si>
    <t xml:space="preserve">2023 prixod </t>
  </si>
  <si>
    <t xml:space="preserve">2022 prixod juda tez </t>
  </si>
  <si>
    <t>2022 va 2023 prixod juda tez</t>
  </si>
  <si>
    <t xml:space="preserve">prixod </t>
  </si>
  <si>
    <t xml:space="preserve">juda tez </t>
  </si>
  <si>
    <t xml:space="preserve">prixod Ilhom og`a </t>
  </si>
  <si>
    <t xml:space="preserve">muammo qatiyi </t>
  </si>
  <si>
    <t xml:space="preserve">Soxibkor 33 927 27 81  94 111 23 54 </t>
  </si>
  <si>
    <t xml:space="preserve">kabina </t>
  </si>
  <si>
    <t xml:space="preserve">Manaviyat 33 427 00 81 99 774 54 14 </t>
  </si>
  <si>
    <t xml:space="preserve">otmen </t>
  </si>
  <si>
    <t>OCHILOVA GULSHODA MUXTORBEK QIZI</t>
  </si>
  <si>
    <t xml:space="preserve">93 745 49 79 Soxibkor </t>
  </si>
  <si>
    <t xml:space="preserve">1500 $ </t>
  </si>
  <si>
    <t>HAYITOVA FIRUZA RAXIMOVNA</t>
  </si>
  <si>
    <t xml:space="preserve">33 mln 77 093 19 81 </t>
  </si>
  <si>
    <t>JUMANIYOZOVA MANZURA RAJABBOYEVNA</t>
  </si>
  <si>
    <t>TANGIRBERGANOV LOCHIN BABAJANOVICH</t>
  </si>
  <si>
    <t>MASHARIPOV SANATBEK ODILBEKOVICH</t>
  </si>
  <si>
    <t xml:space="preserve">Yangiariq 97 608 04 91 </t>
  </si>
  <si>
    <t xml:space="preserve">94 110 78 61 Qipchoq </t>
  </si>
  <si>
    <t>ABDIKARIMOV IBRATJON AZAMATOVICH</t>
  </si>
  <si>
    <t xml:space="preserve">Qipchoq moto 33 benzin </t>
  </si>
  <si>
    <t xml:space="preserve">Bekiyazova Sanobar </t>
  </si>
  <si>
    <t xml:space="preserve">Ko`nabirlashuv 94 026 78 28 </t>
  </si>
  <si>
    <t>QALANDAROV RAJABBOY QAXRAMON</t>
  </si>
  <si>
    <t xml:space="preserve">Nurafshon 99 193 50 30 </t>
  </si>
  <si>
    <t>GAYIBOVA MARYAM MASHARIPOVNA</t>
  </si>
  <si>
    <t>XUDAYBERGANOV MARDONBEK MUXTOR O‘G‘LI</t>
  </si>
  <si>
    <t xml:space="preserve">Nurli maskan 93 006 59 09 K </t>
  </si>
  <si>
    <t>Ashxobod 99 423 71 71  K</t>
  </si>
  <si>
    <t>ABDIRAXMANOVA YULDUZXON BAXTIYOROVNA</t>
  </si>
  <si>
    <t xml:space="preserve">nalogga berildi </t>
  </si>
  <si>
    <t>OTANIYEZOVA DILOROM BAHROMOVNA</t>
  </si>
  <si>
    <t xml:space="preserve">Xurriyat 91 917 84 77 </t>
  </si>
  <si>
    <t>JUMABOYEV MUXAMMADJON SOBIR O`G`L</t>
  </si>
  <si>
    <t xml:space="preserve">Renat og`ani tanishi 99 448 25 58 </t>
  </si>
  <si>
    <t>KURBANBAYEVA DILRABO XALILLAYEVNA</t>
  </si>
  <si>
    <t xml:space="preserve"> 
AYTBAYEV FAZLIDDIN XADJIYEVICH</t>
  </si>
  <si>
    <t>RUZMETOV OYBEK DJUMABAYEVICH</t>
  </si>
  <si>
    <t>ABDURAXMANOV SARVAR ABDULLAYEVICH</t>
  </si>
  <si>
    <t>XODJABAYEVA DILFUZA REYMBAYEVNA</t>
  </si>
  <si>
    <t>SABUROVA NAZAKAT KURBANBAYEVNA</t>
  </si>
  <si>
    <t>YULDASHEV UXTAM KENJABEKOVICH</t>
  </si>
  <si>
    <t xml:space="preserve"> 
TO‘XTABOYEV SIROJ ZAFAR O‘G‘LI</t>
  </si>
  <si>
    <t>YUSUPOV SHAVKAT YULDASHEVICH</t>
  </si>
  <si>
    <t xml:space="preserve"> 
PERDEBAYEVA AYSULUV JAMALADDIN QIZI</t>
  </si>
  <si>
    <t>XUDAYBERGENOVA ZIYADA BALTABAYEVNA</t>
  </si>
  <si>
    <t>PARDABAYEV BERDAX YULDASHEVICH</t>
  </si>
  <si>
    <t>XALIMBETOVA AYNUR RADJAPBAYEVNA</t>
  </si>
  <si>
    <t>ALIZAKOVA NISHANGUL KUANOVNA</t>
  </si>
  <si>
    <t>YERJANOVA KAMILA SULAYMANOVNA</t>
  </si>
  <si>
    <t xml:space="preserve">Jonibek oga Qara 33 </t>
  </si>
  <si>
    <t xml:space="preserve">Jo`rabek tarafdan olingan </t>
  </si>
  <si>
    <t xml:space="preserve">Men tarafdan olingan </t>
  </si>
  <si>
    <t>ATAJANOVA SHARAFAT PARXADOVNA</t>
  </si>
  <si>
    <t>Ashirova Gulxayo</t>
  </si>
  <si>
    <t xml:space="preserve">Davletova Xoljon </t>
  </si>
  <si>
    <t xml:space="preserve">Xo`janiyozov Baxtiyor </t>
  </si>
  <si>
    <t>ROZUMBAYEVA FERUZA AKROM QIZI</t>
  </si>
  <si>
    <t xml:space="preserve">Janibek Kontener 33 mln </t>
  </si>
  <si>
    <t>OTAMURATOVA ZARAFSHON YULDASHOVNA</t>
  </si>
  <si>
    <t xml:space="preserve">dadaxon 33 mln non pechka </t>
  </si>
  <si>
    <t>rasm</t>
  </si>
  <si>
    <t xml:space="preserve">rasm </t>
  </si>
  <si>
    <t>ch</t>
  </si>
  <si>
    <t xml:space="preserve">ch </t>
  </si>
  <si>
    <t xml:space="preserve">Bog`ot kelajak moto </t>
  </si>
  <si>
    <t>YUSUPOVA ZAKIRA RUSTAMOVNA</t>
  </si>
  <si>
    <t>HAYITBOYEVA RO‘ZA OZODOVNA</t>
  </si>
  <si>
    <t>Bog`zor qudrat oga 88 091 17 98</t>
  </si>
  <si>
    <t>BARGANOVA MOHINUR MAXKAMBEK QIZI</t>
  </si>
  <si>
    <t>MADAMINOVA MAQSUDA JUMABOYEVNA</t>
  </si>
  <si>
    <t xml:space="preserve">Shuxrat og`a O`zbekiston Baliq chavaq </t>
  </si>
  <si>
    <t xml:space="preserve">Xurriyat 99 751 04 05 </t>
  </si>
  <si>
    <t xml:space="preserve">Matchanov Xasanboy </t>
  </si>
  <si>
    <t xml:space="preserve">90 725 82 82 </t>
  </si>
  <si>
    <t>BOTIROV DOSTONBEK USMAN O`G`LI</t>
  </si>
  <si>
    <t xml:space="preserve">91 997 00 96  Ag`asi olib ketdi </t>
  </si>
  <si>
    <t>ABDRIMOVA GULXUMOR ISMOILOVNA</t>
  </si>
  <si>
    <t xml:space="preserve">Navro`z 93 269 78 08 </t>
  </si>
  <si>
    <t xml:space="preserve">Ashxobod  97 600 26 57 </t>
  </si>
  <si>
    <t>XUDAYBERGANOV DAVLATBAY TO‘RAYEVICH</t>
  </si>
  <si>
    <t xml:space="preserve">Ari 8,4 mln Furqat og`a </t>
  </si>
  <si>
    <t>YUSUPOVA SHOHIDA OLLASHUKUROVNA</t>
  </si>
  <si>
    <t>SOPABAYEVA GULNOZA SHONAZAR QIZI</t>
  </si>
  <si>
    <t xml:space="preserve">kamandir 94 112 22 66 </t>
  </si>
  <si>
    <t>DURDIYEV UMORBEK JUMABOYEVICH</t>
  </si>
  <si>
    <t xml:space="preserve">Oq Oltin  99 239 55 75 </t>
  </si>
  <si>
    <t>ORTIKOVA SANOBAR OLIMOVNA</t>
  </si>
  <si>
    <t xml:space="preserve">Gulshan sho`ra </t>
  </si>
  <si>
    <t>ABDULLAYEV MANSUR BAXTIYAROVICH</t>
  </si>
  <si>
    <t>JUMANIYOZOVA GULIDA OZOD QIZI</t>
  </si>
  <si>
    <t xml:space="preserve">Olimboyni ukasi </t>
  </si>
  <si>
    <t>JABBORBERGANOV FARRUXBEK RAVSHANBEK O‘G‘LI</t>
  </si>
  <si>
    <t xml:space="preserve">Matsakil  oladi </t>
  </si>
  <si>
    <t>XUDAYNAZAROV IN`OMJON YO`LDOSH O`G`LI</t>
  </si>
  <si>
    <t>SETMATOV ANVAR MIRZAYEVICH</t>
  </si>
  <si>
    <t xml:space="preserve">Obod 31 mln matsakil </t>
  </si>
  <si>
    <t>ASHXABOD MOTOROLLER</t>
  </si>
  <si>
    <t>Raximova Dildora</t>
  </si>
  <si>
    <t xml:space="preserve">shuxrat og`a xoladinnik 30 mln </t>
  </si>
  <si>
    <t>Gulzoda apka  943137785</t>
  </si>
  <si>
    <t xml:space="preserve">SULTANOV MIRZA AZADOVICH </t>
  </si>
  <si>
    <t xml:space="preserve">Bog`iston  99 509 34 73 </t>
  </si>
  <si>
    <t>192 soliq qarz</t>
  </si>
  <si>
    <t>ALLAZAROVA GULANDAN TAJIYEVNA</t>
  </si>
  <si>
    <t xml:space="preserve">25 mln Matsakil shuxrat og`a </t>
  </si>
  <si>
    <t xml:space="preserve">Ergash og`a  32 mln </t>
  </si>
  <si>
    <t>MADRIMOVA QURBONBIKA ABDIRIMOVNA</t>
  </si>
  <si>
    <t xml:space="preserve">33 mln xoladelnik sarvar og`a </t>
  </si>
  <si>
    <t xml:space="preserve">Ashxobod Asad og`a 99 509 23 87 </t>
  </si>
  <si>
    <t xml:space="preserve">Ashxobod 99 700 55 76  99 666 76 55 </t>
  </si>
  <si>
    <t>Yangiariq  kredit  97 203 19 74 97 528 81 25</t>
  </si>
  <si>
    <t xml:space="preserve">Qudrat og`a Bog`zor Shaxzod 88 008 22 74 </t>
  </si>
  <si>
    <t>QODIROV BOBURJON KOMIL O‘G‘L</t>
  </si>
  <si>
    <t>ROZZOQOV MATYOQUB OLIMOVICH</t>
  </si>
  <si>
    <t xml:space="preserve"> Yangiqadam 91 371 46 23 moto oljak </t>
  </si>
  <si>
    <t xml:space="preserve">iqush og`a kabinali </t>
  </si>
  <si>
    <t xml:space="preserve">Bog`zor 88 452 06 14  Jo`rabek </t>
  </si>
  <si>
    <t>RAXMETOVA LAYLO OTAXONOVNA</t>
  </si>
  <si>
    <t xml:space="preserve">25 mln matsakil manaviyat 22 mln 91 092 78 80 </t>
  </si>
  <si>
    <t>RO‘ZIBOYEV YUNUS YARASHOVICH</t>
  </si>
  <si>
    <t xml:space="preserve">99 135 55 65 Manaviayt mfy </t>
  </si>
  <si>
    <t>YUSUPOV SHOXZODBEK BAXRAMOVICH</t>
  </si>
  <si>
    <t xml:space="preserve"> XAKIMOV TIMERBULAT GABDULXAYEVICH</t>
  </si>
  <si>
    <t>JUMANAZAROVA SADOQAT ZOKIR QIZI</t>
  </si>
  <si>
    <t>sanat111</t>
  </si>
  <si>
    <t xml:space="preserve">20,7 mln matsakil 94 111 20 08 </t>
  </si>
  <si>
    <t>PRIMBETOVA GULSHAD AKNAZAROVNA</t>
  </si>
  <si>
    <t>QURBANOV ZOKIR ERGASHOVICH</t>
  </si>
  <si>
    <t xml:space="preserve">30 mln ari BoboniyoZov uzumzor </t>
  </si>
  <si>
    <t>02,05,2023</t>
  </si>
  <si>
    <t>USTA ISMOIL BOBO MARKET MCHJ</t>
  </si>
  <si>
    <t xml:space="preserve">navruz maxalal kontener 28 mln 88 526 98 87 </t>
  </si>
  <si>
    <t>AXMETOV XUSAIN ATANAZAROVICH</t>
  </si>
  <si>
    <t>10 mln 01,05,2023</t>
  </si>
  <si>
    <t>JUMANIYOZOVA GO‘ZALXON JUMABOYEVNA</t>
  </si>
  <si>
    <t>YULDASHEVA RA`NO GANJA QIZI</t>
  </si>
  <si>
    <t>YO`LDOSHEV ASADBEK GANJA O`G`LI</t>
  </si>
  <si>
    <t>gulyor apka sabez</t>
  </si>
  <si>
    <t xml:space="preserve">G`ofurova Nargiza </t>
  </si>
  <si>
    <t xml:space="preserve">Mag`rur oga 93 178 13 99 </t>
  </si>
  <si>
    <t>ALLAMOV SANAT RAXMANOVICH</t>
  </si>
  <si>
    <t xml:space="preserve">Nayman 97 211 78 46 </t>
  </si>
  <si>
    <t xml:space="preserve">Navbaxor shapka </t>
  </si>
  <si>
    <t>SULTONOV BABURBEK BAHROMBEK O`G`LI</t>
  </si>
  <si>
    <t xml:space="preserve">SOBIROVA ZARNIGOR MAQSUD QIZI </t>
  </si>
  <si>
    <t xml:space="preserve"> 99 671 36 53 </t>
  </si>
  <si>
    <t xml:space="preserve">Tikish mashin Jaxon </t>
  </si>
  <si>
    <t xml:space="preserve">Abdullayeva Yulduz </t>
  </si>
  <si>
    <t xml:space="preserve">Fayzullayev Bekzod </t>
  </si>
  <si>
    <t xml:space="preserve">O`tkirbek mikra </t>
  </si>
  <si>
    <t>XAMROYEVA NIGORA ZARIPBOYEVNA</t>
  </si>
  <si>
    <t>NUROVA SURAYYO BEGIMOVNA</t>
  </si>
  <si>
    <t xml:space="preserve">Soxibkor MFY 93 758 00 46 </t>
  </si>
  <si>
    <t>QOBULOV MURODJON AZAMAT O‘G‘LI</t>
  </si>
  <si>
    <t>QUCHQAROVA SANOBAR YUSUPBAYEVNA</t>
  </si>
  <si>
    <t xml:space="preserve">Bog`zor 93 138 31 86 </t>
  </si>
  <si>
    <t>AVEZOV G‘AYRAT MARATOVICH</t>
  </si>
  <si>
    <t xml:space="preserve">Dexqonobod masakil oladi 24 mln </t>
  </si>
  <si>
    <t>SAIDOV BAXROM JUMABOYEVICH</t>
  </si>
  <si>
    <t>Nurafshon Xo`janiyozov Daston 99 348 93 13</t>
  </si>
  <si>
    <t>ABDULLAYEVA DILNOZA MARKSOVNA</t>
  </si>
  <si>
    <t xml:space="preserve">Madaniyat 97 527 85 05  Matsakil oljak </t>
  </si>
  <si>
    <t>ONNAYEV RAVSHANBEK YOQUBBOY O‘G‘LI</t>
  </si>
  <si>
    <t xml:space="preserve">Otabek 22 mln motoblok </t>
  </si>
  <si>
    <t xml:space="preserve">Nurafshon 94 118 26 10 </t>
  </si>
  <si>
    <t>03,05,2023</t>
  </si>
  <si>
    <t>OTAJONOV SHERMUROT QADAMOVICH</t>
  </si>
  <si>
    <t xml:space="preserve">Xolmurod og`a 24 mln matsakil </t>
  </si>
  <si>
    <t>JUMANIYOZOVA SABOHAT KAMILJONOVNA</t>
  </si>
  <si>
    <t xml:space="preserve">19 mln matsakil Navbaxor 99 565 74 66 </t>
  </si>
  <si>
    <t>AVAZMETOV HAKIMBOY BEKCHONOVICH</t>
  </si>
  <si>
    <t xml:space="preserve">Nayman 97 510 15 78 97 211 07 06  97 362 91 50 </t>
  </si>
  <si>
    <t>ISMAILOV ALISHER AZAMAT O`G`LI</t>
  </si>
  <si>
    <t>JUMABOYEV AZIZBEK ODILBEK O`G`LI</t>
  </si>
  <si>
    <t>QOBULOVA MARDONAXON AZAMAT QIZI</t>
  </si>
  <si>
    <t>XUDAYBERGANOVA O‘G‘ILJON YUSUPBOYEVNA</t>
  </si>
  <si>
    <t xml:space="preserve">Ma daniyat  97 527 37 25  33 mln </t>
  </si>
  <si>
    <t>RO‘ZIBAYEVA SAYYORA YUSUPOVNA</t>
  </si>
  <si>
    <t xml:space="preserve">Manaviyat matsakil oladi  22 mln  99 571 64 65 </t>
  </si>
  <si>
    <t xml:space="preserve">berildi to`liq ikki marta xam bo`lishi mumkin </t>
  </si>
  <si>
    <t>04,05,2023</t>
  </si>
  <si>
    <t xml:space="preserve">ALLABERGANOVA MAVJUDA MATNAZAROVNA </t>
  </si>
  <si>
    <t xml:space="preserve">Bog`ot Motoroller </t>
  </si>
  <si>
    <t>DAVLETOVA MAXFIRA QUTLIMURATOVNA</t>
  </si>
  <si>
    <t>AVEZOV MARAT YO‘LDOSHEVICH</t>
  </si>
  <si>
    <t xml:space="preserve">Yangiqadam 99 753 05 68 </t>
  </si>
  <si>
    <t>ALLASHKUROV JAHONGIR SHERJON O‘G‘LI</t>
  </si>
  <si>
    <t xml:space="preserve">Nurafshon 99 161 04 03 </t>
  </si>
  <si>
    <t>BAGAT ATTRAKSION BOG'I XK</t>
  </si>
  <si>
    <t xml:space="preserve">240 anvar og`a otraksion 90 557 74 73 </t>
  </si>
  <si>
    <t>OZODOV DIYORBEK TOHIR OGLI</t>
  </si>
  <si>
    <t xml:space="preserve">Ozodov Diyorbek Toyir Xalq banki </t>
  </si>
  <si>
    <t xml:space="preserve">Abdullayeva Fazilat </t>
  </si>
  <si>
    <t xml:space="preserve">Jabborov Yusupboy </t>
  </si>
  <si>
    <t xml:space="preserve">90 090 11 87 Eldor bux jo`rasi </t>
  </si>
  <si>
    <t xml:space="preserve">Mirjalon moto </t>
  </si>
  <si>
    <t>KOLANDAROVA MARYAMJON OLLANAZAROVNA</t>
  </si>
  <si>
    <t xml:space="preserve">Nurafshon 99 104 70 57 </t>
  </si>
  <si>
    <t>RO‘ZMETOV AKMAL ASADULLAYEVICH</t>
  </si>
  <si>
    <t>MATNAZAROV MO‘MINJON YARASHOVICH</t>
  </si>
  <si>
    <t>RUZMETOV RUSTAM BAXADIROVICH</t>
  </si>
  <si>
    <t xml:space="preserve">Qorabog` 79361527 93 284 85 81 </t>
  </si>
  <si>
    <t>ABDULLAYEV NURADDIN REYIMBAYEVICH</t>
  </si>
  <si>
    <t xml:space="preserve">Mikra Muzaffar </t>
  </si>
  <si>
    <t>SAPAYEV SHAVKAT QADAMBOY O‘G‘LI</t>
  </si>
  <si>
    <t xml:space="preserve">Yangiqadam 99 053 11 93 </t>
  </si>
  <si>
    <t xml:space="preserve">Mirzoxis oga </t>
  </si>
  <si>
    <t>ALLASHKUROVA XOSIYAT QALANDAROVNA</t>
  </si>
  <si>
    <t xml:space="preserve">Bog`iston 99 509 34 73 </t>
  </si>
  <si>
    <t>YULDASHOV DONIYOR DILMUROD O‘G‘LI</t>
  </si>
  <si>
    <t>QURYAZOV DIYORBEK MANSUR O‘G‘LI</t>
  </si>
  <si>
    <t xml:space="preserve">Oltinqum 93 498 54 77 </t>
  </si>
  <si>
    <t>ESHCHANOVA SHAHNOZA MATYOQUB QIZI</t>
  </si>
  <si>
    <t>Madaniyat 32 mln matsakil 88 859 40 46</t>
  </si>
  <si>
    <t>OLLANAZAROVA JUMAGUL ABDULLAYEVNA</t>
  </si>
  <si>
    <t xml:space="preserve">Nurafshon 99 509 68 47 </t>
  </si>
  <si>
    <t>XUDAYOROV ZAFARBEK AZADOVICH</t>
  </si>
  <si>
    <t>QURBONBOYEVA DILBAR SABIROVNA</t>
  </si>
  <si>
    <t>MATKARIMOVA MOHIGUL MIRZA QIZI</t>
  </si>
  <si>
    <t xml:space="preserve">Soxibkor Gulzoda apka 94 313 77 85 </t>
  </si>
  <si>
    <t xml:space="preserve">Qudrat og`a </t>
  </si>
  <si>
    <t>05,05,</t>
  </si>
  <si>
    <t xml:space="preserve">Qo`ziboyeva Nozimaxon </t>
  </si>
  <si>
    <t>Allaquliyev Diyorbek</t>
  </si>
  <si>
    <t xml:space="preserve">k </t>
  </si>
  <si>
    <t>06,05,2023</t>
  </si>
  <si>
    <t>XO‘JANIYOZOV QAHRAMON RAJABOVICH</t>
  </si>
  <si>
    <t xml:space="preserve">Nurafshon 99 547 46 45 </t>
  </si>
  <si>
    <t>QURYAZOV SARVARBEK QURAMBAYEVICH</t>
  </si>
  <si>
    <t xml:space="preserve">Oltinqum 99 352 37 91 </t>
  </si>
  <si>
    <t>SADULLAYEVA QURVANGUL ALIMOVNA</t>
  </si>
  <si>
    <t xml:space="preserve">Opami chiqani 99 508 88 62 </t>
  </si>
  <si>
    <t>BOTIROVA HILOLA RAHIMOVNA</t>
  </si>
  <si>
    <t>soxibkor 951886021</t>
  </si>
  <si>
    <t xml:space="preserve"> Jaloliddin telekom 93 740 77 01 </t>
  </si>
  <si>
    <t>AXMEDOVA MOHINUR ALISHER QIZI</t>
  </si>
  <si>
    <t>JUMANIYAZOVA SHOHRUZA MAXMUD QIZI</t>
  </si>
  <si>
    <t xml:space="preserve">Nurafshon 95 440 04 92 </t>
  </si>
  <si>
    <t>MATMURATOVA MUNIRA BOTIR QIZI</t>
  </si>
  <si>
    <t xml:space="preserve">Oltinqum 91 428 89 45 </t>
  </si>
  <si>
    <t xml:space="preserve">24 lik 1 q </t>
  </si>
  <si>
    <t>BOBOJONOV HASANBOY SHEXNAZAROVICH</t>
  </si>
  <si>
    <t xml:space="preserve">Ashxobod  99 156 26 25 </t>
  </si>
  <si>
    <t xml:space="preserve"> 97 740 09 52 </t>
  </si>
  <si>
    <t>MAMATOV JABBOR MADIYOROVICH</t>
  </si>
  <si>
    <t>HASANOV MAXSUD ABDULLAYEVICH</t>
  </si>
  <si>
    <t>XO‘JANIYOZOV DASTONBEK BUSTON O‘G‘LI</t>
  </si>
  <si>
    <t>SAPAYEVA SHARIFA RAJABOVNA</t>
  </si>
  <si>
    <t xml:space="preserve">azamat og`a qo`shni 99 128 34 73 </t>
  </si>
  <si>
    <t>ABDIRIMOVA MAFTUNA SAN’AT QIZI</t>
  </si>
  <si>
    <t>G‘AYIBOV MURODJON RO‘ZMATOVICH</t>
  </si>
  <si>
    <t xml:space="preserve">Korabog`  93 575 16 92 </t>
  </si>
  <si>
    <t>QURBONOV TOHIR HAJIYEVICH</t>
  </si>
  <si>
    <t xml:space="preserve">Korabog` 93 740 80 40 </t>
  </si>
  <si>
    <t>MUNUSOV ZAXIRJON MUSAYEVICH</t>
  </si>
  <si>
    <t>Navro`z 99 217 94 06</t>
  </si>
  <si>
    <t xml:space="preserve"> 
SABIROVA GULSHAN MARVANOVNA</t>
  </si>
  <si>
    <t>XO‘SINBOYEVA GULORA TO‘RABOY QIZI</t>
  </si>
  <si>
    <t xml:space="preserve">ari 27 mln </t>
  </si>
  <si>
    <t>EGAMOV FARHOD BAHODIROVICH</t>
  </si>
  <si>
    <t>32 moto O`zgarish 88 451 66 60</t>
  </si>
  <si>
    <t>JUMAGALDIYEV SHAXZOD ALLAYAROVICH</t>
  </si>
  <si>
    <t xml:space="preserve">32 moto O`zgarish 88 512 70 80 </t>
  </si>
  <si>
    <t>ABDURAXMONOVA SAODAT KARIMOVNA</t>
  </si>
  <si>
    <t>Yangiqadam 97 511 27 56</t>
  </si>
  <si>
    <t>QURBONOV TOXIRJON ODILBEK O‘G‘LI</t>
  </si>
  <si>
    <t xml:space="preserve">Manaviyat  93 816 87 57 </t>
  </si>
  <si>
    <t>ozodjon2002</t>
  </si>
  <si>
    <t>JOBBOROV OZODJON AZIZ O‘G‘LI</t>
  </si>
  <si>
    <t xml:space="preserve">Kulonqorabog` 99 501 19 79 </t>
  </si>
  <si>
    <t xml:space="preserve">Yangiariq 97 527 49 46 </t>
  </si>
  <si>
    <t xml:space="preserve">MADAMINOVA MUQADDAS MAMADSIDIKOVNA </t>
  </si>
  <si>
    <t xml:space="preserve">Gulzoda apka toza </t>
  </si>
  <si>
    <t>XASANOV OXUNJON SOPORBAYEVICH</t>
  </si>
  <si>
    <t>Shokir og`amni juralari 99 624 30 15</t>
  </si>
  <si>
    <t>HAYITBOYEV FARHOD OZOD O‘G‘LI</t>
  </si>
  <si>
    <t xml:space="preserve">Tozabozor 97 361 60 93 </t>
  </si>
  <si>
    <t>IBODULLAYEVA DILDORA BAXRAMJONOVNA</t>
  </si>
  <si>
    <t xml:space="preserve">32 mln oqtepa Malo chiqani 91 424 01 86 </t>
  </si>
  <si>
    <t>SADULLAYEV BUNYOD ILYOS O‘G‘LI</t>
  </si>
  <si>
    <t xml:space="preserve">Oqtepa 91 428 06 77 </t>
  </si>
  <si>
    <t>QALANDAROVA MAVLUDA BAXTIYOROVNA</t>
  </si>
  <si>
    <t>30,1 mln o`g`it Madaniyat 97 525 10 64</t>
  </si>
  <si>
    <t xml:space="preserve">ashxobod tikish mashina </t>
  </si>
  <si>
    <t xml:space="preserve">Nurmetov Ixtiyor </t>
  </si>
  <si>
    <t>RAXIMOV ASADBEK QAHRAMON O‘G‘LI</t>
  </si>
  <si>
    <t xml:space="preserve">nayman 97 241 02 20 </t>
  </si>
  <si>
    <t xml:space="preserve">Jamshid axran 97 525 13 01 </t>
  </si>
  <si>
    <t xml:space="preserve">Manaviyat  MFY 99 571 64 65 </t>
  </si>
  <si>
    <t>MATYAQUBOVA LOBAR OTABAYEVNA</t>
  </si>
  <si>
    <t>Yangariq Xokim yordomchi</t>
  </si>
  <si>
    <t>BOBOJONOVA GULNURA FARXODOVNA</t>
  </si>
  <si>
    <t>RAXIMOV TEMUR EGAMBERGANOVICH</t>
  </si>
  <si>
    <t xml:space="preserve"> Jumaniyozova Gulasal ( Yaqubboyev Suxrob )</t>
  </si>
  <si>
    <t>SAPAYEVA MARG‘UBA IBADULLAYEVNA</t>
  </si>
  <si>
    <t xml:space="preserve">Gulshan 90 526 04 60  99 501 19 26 </t>
  </si>
  <si>
    <t>MATYAKUBOV FARXODJON SHUXRATOVICH</t>
  </si>
  <si>
    <t xml:space="preserve">Galaba 33 mln matsakil 99 168 09 99 </t>
  </si>
  <si>
    <t>EGAMBERDIYEV SAN’AT ABDULLAYEVICH</t>
  </si>
  <si>
    <t xml:space="preserve">Oqtepa 10 mln xoladelnik 91 093 13 80 </t>
  </si>
  <si>
    <t>TUXTABAYEV ASHIRBAY XADJIBAYEVICH</t>
  </si>
  <si>
    <t>33 mln Jo`rabek moto</t>
  </si>
  <si>
    <t>IMAMBAYEV AYBOL DALMAXANOVICH</t>
  </si>
  <si>
    <t>ATAJANOVA INOBAT OTAMURATOVNA</t>
  </si>
  <si>
    <t xml:space="preserve">32 mln mardon og`a agra </t>
  </si>
  <si>
    <t>QURYOZOV MARKS</t>
  </si>
  <si>
    <t xml:space="preserve">22 mln motoblok Rim Cho`mmak </t>
  </si>
  <si>
    <t>ASHIROVA GULXAYO AXMEDJANOVNA</t>
  </si>
  <si>
    <t xml:space="preserve">24 mln Jo`rabek moto </t>
  </si>
  <si>
    <t>DAVLETOVA XALJAN ISAKOVNA</t>
  </si>
  <si>
    <t>NURMATOVA LOLA ULUG‘BEKOVNA</t>
  </si>
  <si>
    <t>MATKARIMOVA SUMBUL ERKINBAYEVNA</t>
  </si>
  <si>
    <t xml:space="preserve">Navbaxor  94 316 63 01 </t>
  </si>
  <si>
    <t>NURMETOVA SABOXAT</t>
  </si>
  <si>
    <t>RO‘ZMETOVA MAHBUBA YUSUPOVNA</t>
  </si>
  <si>
    <t>SOBIROV SANJAR HASANOVICH</t>
  </si>
  <si>
    <t xml:space="preserve">Qorabog` 93 043 52 72 </t>
  </si>
  <si>
    <t>XO‘JANIYAZOV XO‘JANIYOZ BEKBAYEVICH</t>
  </si>
  <si>
    <t xml:space="preserve">Navbaxor 88 601 32 36 </t>
  </si>
  <si>
    <t xml:space="preserve">sklad </t>
  </si>
  <si>
    <t>RUZIBAYEVA FARIDA JUMABAYEVNA</t>
  </si>
  <si>
    <t>galaba 99 318 87 07  91 431 8707</t>
  </si>
  <si>
    <t>MADRAXIMOV JASURBEK KARIMBOYEVICH</t>
  </si>
  <si>
    <t xml:space="preserve">Yangiariq 97 859 80 31 </t>
  </si>
  <si>
    <t>DURDIYEV AZIZBEK ERGASHEVICH</t>
  </si>
  <si>
    <t xml:space="preserve">99 262 09 29  OQ oltin </t>
  </si>
  <si>
    <t>KENJOYEVA MA’MURA MORS QIZI</t>
  </si>
  <si>
    <t xml:space="preserve">Manaviyat 99 742 57 51 </t>
  </si>
  <si>
    <t>VAISOVA SHAYDO YANGIBOYEVNA</t>
  </si>
  <si>
    <t xml:space="preserve">Nurafshon xaji momo 99 054 29 40 </t>
  </si>
  <si>
    <t>ISKANDAROV PARVOZ RUSTAMOVICH</t>
  </si>
  <si>
    <t>SOBIROV IZZAT BOTIROVICH</t>
  </si>
  <si>
    <t>36 real moto</t>
  </si>
  <si>
    <t>RUSTAMOV YARASHBOY ILXOMOVICH</t>
  </si>
  <si>
    <t xml:space="preserve">Maqsad boja </t>
  </si>
  <si>
    <t>QUROMBOYEV AMONBOY QILICHOVICH</t>
  </si>
  <si>
    <t xml:space="preserve">Obod 91 430 51 81 </t>
  </si>
  <si>
    <t>JUMANIYOZOV ALLASHKUR MANGLIYEVICH</t>
  </si>
  <si>
    <t xml:space="preserve">Nurafshon 93 751 52 41 </t>
  </si>
  <si>
    <t>TOJIYEV ULUG‘BEK YO‘LDOSHEVICH</t>
  </si>
  <si>
    <t xml:space="preserve">Nurafshon  99 410 48 43 </t>
  </si>
  <si>
    <t>MADRIMOV SHUXRAT MASHARIBOVICH</t>
  </si>
  <si>
    <t xml:space="preserve">Mirzoxid og`a 97 451 21 82 </t>
  </si>
  <si>
    <t>MINYAILOV BOBOXON TOXIROVICH</t>
  </si>
  <si>
    <t>Qipchoq oybek og`a xalq banki 97 091 80 83</t>
  </si>
  <si>
    <t>QUTLIMUROTOV SHERZOD BAXTIYOR O‘G‘LI</t>
  </si>
  <si>
    <t xml:space="preserve">Sherali mlisa Shokir og`a 94 310 09 90 </t>
  </si>
  <si>
    <t>SADULLAYEV DADAXON OTAXON O‘G‘LI</t>
  </si>
  <si>
    <t xml:space="preserve">asad usta 99 509 23 87 </t>
  </si>
  <si>
    <t>SABIROV OCHILBEK JUMABAYEVICH</t>
  </si>
  <si>
    <t>BABAJANOV INOYAT BOLTABAYEVICH</t>
  </si>
  <si>
    <t xml:space="preserve"> Qorabog ~ 93 281 53 72 </t>
  </si>
  <si>
    <t xml:space="preserve">mag`rur og`a </t>
  </si>
  <si>
    <t>RUZIBAYEV YULDASH XXX</t>
  </si>
  <si>
    <t xml:space="preserve">qalajiqala 88 790 10 57 </t>
  </si>
  <si>
    <t xml:space="preserve">Qajajiqala 97 601 01 63 </t>
  </si>
  <si>
    <t xml:space="preserve">shokir og`ada </t>
  </si>
  <si>
    <t xml:space="preserve"> 99 423 35 10  3 chisla qolganini beradi </t>
  </si>
  <si>
    <t>RAXMETOV G‘ANISHER YUSUPOVICH</t>
  </si>
  <si>
    <t xml:space="preserve">Ashxabod 99 713 22 86 </t>
  </si>
  <si>
    <t xml:space="preserve">Otaxonova Shaxnozabonu </t>
  </si>
  <si>
    <t>SOHIBKOR MOTO ROLLER</t>
  </si>
  <si>
    <t>SHABNAM MOTO ROLLER</t>
  </si>
  <si>
    <t xml:space="preserve">99 505 30 90 </t>
  </si>
  <si>
    <t>ARTIQOV MAQSUD ALLABERGANOVICH</t>
  </si>
  <si>
    <t>12,05,2023</t>
  </si>
  <si>
    <t xml:space="preserve">Yuksalish 99 025 56 26 benzin </t>
  </si>
  <si>
    <t xml:space="preserve">Yangiqadam 33 577 02 62 </t>
  </si>
  <si>
    <t xml:space="preserve">ATAJANOV QUVONDIQ ALLABERGANOVICH </t>
  </si>
  <si>
    <t xml:space="preserve">Nurafshon 99 756 62 42 </t>
  </si>
  <si>
    <t>TESHABOYEVA YULDUZ BAXROM QIZI</t>
  </si>
  <si>
    <t>RAXIMOVA OYGUL RAXMAN QIZI</t>
  </si>
  <si>
    <t xml:space="preserve"> 
RAJABOVA OZODAXON AZIMBOY QIZI</t>
  </si>
  <si>
    <t xml:space="preserve">Mexnatguli tikish mashin </t>
  </si>
  <si>
    <t>ABDULLAYEV MAXSUD SADULLAYEVICH</t>
  </si>
  <si>
    <t xml:space="preserve">Gulshan 99 156 07 76 </t>
  </si>
  <si>
    <t xml:space="preserve">rasul Xalq banki xabarlashish kerak </t>
  </si>
  <si>
    <t>MUSAYEV USMAN SAPARBOYEVICH</t>
  </si>
  <si>
    <t xml:space="preserve">Nurafshon 93 091 00 90 benzin </t>
  </si>
  <si>
    <t xml:space="preserve">O`zgarish 90 013 02 97  matsakil </t>
  </si>
  <si>
    <t>SULTONOVA SOJIDA SADULLA QIZI</t>
  </si>
  <si>
    <t xml:space="preserve">Tozabozor 88 858 43 53 benzin </t>
  </si>
  <si>
    <t>IBRAGIMOV NURULLA MATYAQUBOVICH</t>
  </si>
  <si>
    <t>Sohibkor 91 421 72 98</t>
  </si>
  <si>
    <t>XASANOVA BARNO YUSUPBOYEVNA</t>
  </si>
  <si>
    <t>NURMATOVA MAFTUNA UMIDBEK QIZI</t>
  </si>
  <si>
    <t xml:space="preserve">Yangiqadam 99 289 75 86 </t>
  </si>
  <si>
    <t>Islom og`a 93 509 03 89</t>
  </si>
  <si>
    <t>битти</t>
  </si>
  <si>
    <t xml:space="preserve">Ismoilova Lobar </t>
  </si>
  <si>
    <t xml:space="preserve">22-24 aniq amas </t>
  </si>
  <si>
    <t>RAJABOV BAHODIR AMINOVICH</t>
  </si>
  <si>
    <t xml:space="preserve">Beruniy 99 071 15 78 </t>
  </si>
  <si>
    <t>13,05,2023</t>
  </si>
  <si>
    <t xml:space="preserve"> Qorabog` 93 283 99 77</t>
  </si>
  <si>
    <t>08418001002001001</t>
  </si>
  <si>
    <t xml:space="preserve">Gulashan kluch dadaxonda sklad 99 947 56 77 </t>
  </si>
  <si>
    <t>MASHARIPOVA SHOXNOZA SOATDURDI QIZI</t>
  </si>
  <si>
    <t>Obod  907269596</t>
  </si>
  <si>
    <t xml:space="preserve">Nayman 97 361 97 76 </t>
  </si>
  <si>
    <t>SAPAYEV MADRAXIM RAZZAQBERDI O‘G‘LI</t>
  </si>
  <si>
    <t>RO‘ZMETOVA NODIRA ASADULLAYEVNA</t>
  </si>
  <si>
    <t xml:space="preserve">Mag`rur og`a 93 284 86 26 </t>
  </si>
  <si>
    <t>ALLABERGANOV KENJABAY KOMILOVICH</t>
  </si>
  <si>
    <t>SELXANOVA RUHIYA IKROMOVNA</t>
  </si>
  <si>
    <t>Manaviyat 95 956 30 00</t>
  </si>
  <si>
    <t xml:space="preserve">Gulom Yangiariq </t>
  </si>
  <si>
    <t>14,05,2023</t>
  </si>
  <si>
    <t>LARGO MOTO 4000</t>
  </si>
  <si>
    <t>OLTINQUM MOTOROLLER</t>
  </si>
  <si>
    <t xml:space="preserve">Nayman 97 510 28 47  99 704 15 83 </t>
  </si>
  <si>
    <t>XUJAYEV FARXOD SODULLAYEVICH</t>
  </si>
  <si>
    <t xml:space="preserve">Abu rayxon beruniy 97 516 80 90 Asrlon og`a </t>
  </si>
  <si>
    <t>QABULOV OTAJON ABDULLAYEVICH</t>
  </si>
  <si>
    <t xml:space="preserve">Gulom kassob 25 mln moto </t>
  </si>
  <si>
    <t>ABDULLAYEV ABDUG‘ANI OTAJON O‘G‘LI</t>
  </si>
  <si>
    <t>BEKTURDIYEV UMARBEK SATTOROVICH</t>
  </si>
  <si>
    <t>Nayman 97 603 7005</t>
  </si>
  <si>
    <t>SAMANDAROVA MAHBUBA SHERXON QIZI</t>
  </si>
  <si>
    <t>Ashxabod  99 124 2003</t>
  </si>
  <si>
    <t xml:space="preserve">Nurli maskan 99 208 74 75 benzin </t>
  </si>
  <si>
    <t>OLLABERGANOVA SOLIYAJON MATNAZAROVNA</t>
  </si>
  <si>
    <t xml:space="preserve">Soxibkor 99 032 29 83  94 112 3335 </t>
  </si>
  <si>
    <t>15,06,2023</t>
  </si>
  <si>
    <t xml:space="preserve">Soxibkor motoroller </t>
  </si>
  <si>
    <t xml:space="preserve">shabnam </t>
  </si>
  <si>
    <t xml:space="preserve">oltinqum </t>
  </si>
  <si>
    <t>ABDULLAYEVA XOSIYAT SHANAZAROVNA</t>
  </si>
  <si>
    <t xml:space="preserve">Temur darcha 27 mln moto </t>
  </si>
  <si>
    <t>ACHILOVA RA’NO ERGASHEVNA</t>
  </si>
  <si>
    <t xml:space="preserve">Jo`rabek motoblok 33 mln </t>
  </si>
  <si>
    <t>XUDAYBERGENOV UTKIRBEK FARXADOVICH</t>
  </si>
  <si>
    <t>FARXADOVA MOXIRA BAXRAMOVNA</t>
  </si>
  <si>
    <t>ACHILOVA LAYLO OLLOYOROVNA</t>
  </si>
  <si>
    <t xml:space="preserve">Oltinqum Gulmira apka chiqani Odilbek og`a </t>
  </si>
  <si>
    <t xml:space="preserve">divijoq qo`yib berish kerak </t>
  </si>
  <si>
    <t>Qorabog 93 090 93 00</t>
  </si>
  <si>
    <t>QODIROVA GULHAYO YUSUPBOY QIZI</t>
  </si>
  <si>
    <t xml:space="preserve">Manaviyat 99 354 57 55 99 500 06 62 </t>
  </si>
  <si>
    <t xml:space="preserve">Botirov Asqarbek </t>
  </si>
  <si>
    <t xml:space="preserve">Mib boshliq </t>
  </si>
  <si>
    <t xml:space="preserve">Karimova Xurshida </t>
  </si>
  <si>
    <t xml:space="preserve">Allaberdiyev Mustafo </t>
  </si>
  <si>
    <t xml:space="preserve">O`zi 94 233 50 01 </t>
  </si>
  <si>
    <t xml:space="preserve">Otajonov Asadbek </t>
  </si>
  <si>
    <t xml:space="preserve">Safarboev Nuraddin </t>
  </si>
  <si>
    <t xml:space="preserve">Shonazarova Guli </t>
  </si>
  <si>
    <t xml:space="preserve">Davlatova nasiba </t>
  </si>
  <si>
    <t xml:space="preserve">Do`schonov Xamid </t>
  </si>
  <si>
    <t xml:space="preserve">Do`schonova Laylo </t>
  </si>
  <si>
    <t xml:space="preserve">Tangriberganova Dilafruz </t>
  </si>
  <si>
    <t>RAZZAQOVA SAPARGUL SATTAROVNA</t>
  </si>
  <si>
    <t>Tozabozor 937455930</t>
  </si>
  <si>
    <t>BAGAT GOLD DRAGON</t>
  </si>
  <si>
    <t>ABDULLAYEV XAMDAM SHAVKATOVICH</t>
  </si>
  <si>
    <t xml:space="preserve">Madaniyat Jo`shqin og`a </t>
  </si>
  <si>
    <t>JABBOROVA SAHIBA ERGASHEVNA</t>
  </si>
  <si>
    <t xml:space="preserve">Nurafshon baliq 29,9  65 ming so`mdan </t>
  </si>
  <si>
    <t>Deputat kamol og`a  97 513 48 42</t>
  </si>
  <si>
    <t>KARRIYEVA NASIBA MAVLONOVNA</t>
  </si>
  <si>
    <t>16,05,2023</t>
  </si>
  <si>
    <t xml:space="preserve">Soxibkor 99 968 16 98 </t>
  </si>
  <si>
    <t>SOBUROVA GULSARA AZAMAT QIZI</t>
  </si>
  <si>
    <t xml:space="preserve">rasm yo`q </t>
  </si>
  <si>
    <t xml:space="preserve">bugun chiqadi </t>
  </si>
  <si>
    <t>NAVRO‘ZOV A’ZAMJON SA’DULLAYEVICH</t>
  </si>
  <si>
    <t xml:space="preserve">Soxibkor 91 422 25 27 </t>
  </si>
  <si>
    <t xml:space="preserve">chiqmidi bekor qilish kerak </t>
  </si>
  <si>
    <t>RAJABOV BAHODIR MAMATSHERIBOVICH</t>
  </si>
  <si>
    <t xml:space="preserve">Azamat shora </t>
  </si>
  <si>
    <t>JABBAROV IBODULLA SHANAZAROVICH</t>
  </si>
  <si>
    <t xml:space="preserve">Nayman 93 758 28 78 </t>
  </si>
  <si>
    <t xml:space="preserve">Quryozov Oxunjon </t>
  </si>
  <si>
    <t>qutlug` 25</t>
  </si>
  <si>
    <t>MAQSUDOV ASADBEK MARDONBEK O‘G‘LI</t>
  </si>
  <si>
    <t xml:space="preserve">Bagat gold drakon </t>
  </si>
  <si>
    <t>Sotibolidiyeva Eliza</t>
  </si>
  <si>
    <t xml:space="preserve">Ramanov Asadbek </t>
  </si>
  <si>
    <t>Fayzullayev Xurshid</t>
  </si>
  <si>
    <t xml:space="preserve">Ramatov Boburbek </t>
  </si>
  <si>
    <t xml:space="preserve">Iskandarova Munira </t>
  </si>
  <si>
    <t xml:space="preserve">Qutlimurotova Jumagul </t>
  </si>
  <si>
    <t xml:space="preserve">largo </t>
  </si>
  <si>
    <t xml:space="preserve">Nurjonov Ilxom </t>
  </si>
  <si>
    <t>97 608 65 00</t>
  </si>
  <si>
    <t xml:space="preserve">90 725 15 61 </t>
  </si>
  <si>
    <t>91 997 00 96</t>
  </si>
  <si>
    <t>BOBOJONOV ORTIQBOY DURDIYEVICH</t>
  </si>
  <si>
    <t xml:space="preserve">Nurlixayot 94 231 10 50 </t>
  </si>
  <si>
    <t>ISKANDAROV XUSHNUD TAJIBAYEVICH</t>
  </si>
  <si>
    <t>SOBIROVA FAZILAT JUMABAYEVNA</t>
  </si>
  <si>
    <t>ORAZMEDOVA NAZOKAT AZATBOYEVNA</t>
  </si>
  <si>
    <t>17,05,2023</t>
  </si>
  <si>
    <t>ANNAYEV RUSLAN JUMANAZAROVICH</t>
  </si>
  <si>
    <t>EGAMOV OMANBOY XUJANAZAROVICH</t>
  </si>
  <si>
    <t xml:space="preserve">Qudrat og`a Bog`zor 88 790 32 02 sklad </t>
  </si>
  <si>
    <t xml:space="preserve">Boshqa odamni otiga qiladi </t>
  </si>
  <si>
    <t xml:space="preserve">Yangiqadam 97 514 25 90 </t>
  </si>
  <si>
    <t>ARTIQOV UKTAMBOY SHONAZAROVICH</t>
  </si>
  <si>
    <t>Tozabozor 91 858 57 76</t>
  </si>
  <si>
    <t>RO‘ZIBAYEVA E’TIBOR FARHADOVNA</t>
  </si>
  <si>
    <t>RAJABBOYEV JAHONGIR AZAMAT O‘G‘LI</t>
  </si>
  <si>
    <t xml:space="preserve">Gulshan 99 450 75 48 </t>
  </si>
  <si>
    <t>JAMSHIDBEK JAMOLBEK OK</t>
  </si>
  <si>
    <t xml:space="preserve">300 mln xaladelnuk  91 427 00 71 </t>
  </si>
  <si>
    <t xml:space="preserve"> 
BABAJANOV MAKSUDBEK YULDASHEVICH</t>
  </si>
  <si>
    <t>TILLAYEV SAPARBOY ATABOYEVICH</t>
  </si>
  <si>
    <t xml:space="preserve">tozabozor 97 510 68 02  88 510 07 63 </t>
  </si>
  <si>
    <t xml:space="preserve">Xasanni jo`rasi Hamdam </t>
  </si>
  <si>
    <t xml:space="preserve">Matyaqubov Dilmurod </t>
  </si>
  <si>
    <t>Qudra tog`a 97 608 0592</t>
  </si>
  <si>
    <t>RAXIMOVA ZUXRA BOLTAYEVNA</t>
  </si>
  <si>
    <t xml:space="preserve">Bekchonboy </t>
  </si>
  <si>
    <t xml:space="preserve">1 qoldi 24 mln bo`lib tushgan asli 23 mln </t>
  </si>
  <si>
    <t xml:space="preserve">Rajabova Shoira </t>
  </si>
  <si>
    <t xml:space="preserve">Rustamova Dilnoza </t>
  </si>
  <si>
    <t xml:space="preserve">kenjayeva O`g`iljon </t>
  </si>
  <si>
    <t xml:space="preserve">Kenjayeva Sarvinoz </t>
  </si>
  <si>
    <t xml:space="preserve">99 961 94 90 </t>
  </si>
  <si>
    <t xml:space="preserve">Jumaniyozov Sherzod </t>
  </si>
  <si>
    <t xml:space="preserve">Sobirova shoxida </t>
  </si>
  <si>
    <t>Navruz Xasanni jo`rasi 97 459 67 07</t>
  </si>
  <si>
    <t>XAJIYEV TOHIRJON QURBONDURDI O‘G‘LI</t>
  </si>
  <si>
    <t>MAVLANOVA GULZODA DAVRONBEKOVNA</t>
  </si>
  <si>
    <t xml:space="preserve">Suxrob aralash </t>
  </si>
  <si>
    <t>AMINOVA MUNISAXON ODILBEK QIZI</t>
  </si>
  <si>
    <t xml:space="preserve">Temur darcha 28 matsakil </t>
  </si>
  <si>
    <t>AYDULLAYEVA MEXRIBAN JUMABAYEVNA</t>
  </si>
  <si>
    <t xml:space="preserve">93 288 52 62 </t>
  </si>
  <si>
    <t>RO‘ZIBOYEV INOMJON OLLAMBERDI O‘G‘LI</t>
  </si>
  <si>
    <t xml:space="preserve">Baxriddin og`a 33 mln </t>
  </si>
  <si>
    <t>RO‘ZMATOVA SUMBULA ULUG‘BEKOVNA</t>
  </si>
  <si>
    <t>SAIDOVA DILDORA ISLOMOVNA</t>
  </si>
  <si>
    <t>RO‘ZIBAYEV SULAYMON MADRIMOVICH</t>
  </si>
  <si>
    <t>EGAMOVA INTIZOR XAKIMBAYEVNA</t>
  </si>
  <si>
    <t xml:space="preserve">yukasalish suv 90 432 77 99 </t>
  </si>
  <si>
    <t>O‘RINBOYEVA XONZODABEGIM ORTIQBOY QIZI</t>
  </si>
  <si>
    <t xml:space="preserve">Sanat anorbank </t>
  </si>
  <si>
    <t>QALANDAROVA SHAROFAT NORMATOVNA</t>
  </si>
  <si>
    <t>ATAJONOV KAMOL ZARIPBAYEVICH</t>
  </si>
  <si>
    <t>18,05,2023</t>
  </si>
  <si>
    <t xml:space="preserve">uzumzor moto 97 600 30 07 </t>
  </si>
  <si>
    <t>ACHILOVA NARGIS ATABOYEVNA</t>
  </si>
  <si>
    <t>DUSHAMOVA NAZIRA BAXTIYOROVNA</t>
  </si>
  <si>
    <t>ABDULLAYEVA GULBAHOR HASANOVNA</t>
  </si>
  <si>
    <t>Manaviyat 93 299 01 70</t>
  </si>
  <si>
    <t xml:space="preserve">Yangiariq 97 211 03 80 </t>
  </si>
  <si>
    <t xml:space="preserve">97 299 46 21 </t>
  </si>
  <si>
    <t>HAYITBAYEVA KAMOLAT IZZAT QIZI</t>
  </si>
  <si>
    <t xml:space="preserve">Oq Oltin MFY 93 061 48 24 </t>
  </si>
  <si>
    <t>JABBAROV OTAXON SA’DULLAYEVICH</t>
  </si>
  <si>
    <t>q. shartnoma</t>
  </si>
  <si>
    <t>19,05,2023</t>
  </si>
  <si>
    <t xml:space="preserve">Bog`zor 94 636 27 92  </t>
  </si>
  <si>
    <t xml:space="preserve">Soxibkor 99 969 25 94 </t>
  </si>
  <si>
    <t>BEKCHANOVA SHOXISTA EGAMBERDIYEVNA</t>
  </si>
  <si>
    <t>OLIMOV SHIXNAZAR SATIMBOYEVICH</t>
  </si>
  <si>
    <t>Xonqa 94 232 62 23</t>
  </si>
  <si>
    <t>ATAJANOV G‘AYRAT OLIMBOYEVICH</t>
  </si>
  <si>
    <t>JUMANIYOZOV SHAVKAT SHARIFBOY O‘G‘LI</t>
  </si>
  <si>
    <t>Xonqa 93 283 70 33</t>
  </si>
  <si>
    <t>JUMABAYEV MUZAFFAR O‘RUNBAYEVICH</t>
  </si>
  <si>
    <t>MATMURATOV AZIZBEK TOHIROVICH</t>
  </si>
  <si>
    <t xml:space="preserve">Nurli hayot 93 621 48 89 </t>
  </si>
  <si>
    <t>AXMEDOVA SOPORGUL QALANDAROVNA</t>
  </si>
  <si>
    <t>RAJABOVA SHIRIN BAHODIROVNA</t>
  </si>
  <si>
    <t xml:space="preserve">Shirin tikish mashin 15 mln </t>
  </si>
  <si>
    <t>NAFASOVA ORZIGUL TO‘RAYEVNA</t>
  </si>
  <si>
    <t xml:space="preserve">Mexnatguli  94 233 98 90 </t>
  </si>
  <si>
    <t>RAJABOVA DILMIRA BAXTIYOROVNA</t>
  </si>
  <si>
    <t xml:space="preserve">O`zbekiston 99 201 17 91 Sklad </t>
  </si>
  <si>
    <t>ALLABERGANOVA MAXFUZA OLIMBOY QIZI</t>
  </si>
  <si>
    <t xml:space="preserve">Oq tepa tikish mashin </t>
  </si>
  <si>
    <t xml:space="preserve">G`alaba 99 667 81 25 sklad </t>
  </si>
  <si>
    <t xml:space="preserve">Qo`shko`pir  97 529 79 79 </t>
  </si>
  <si>
    <t>BEKCHONOVA NIYOZJON INOMJON QIZI</t>
  </si>
  <si>
    <t>20,05,2023</t>
  </si>
  <si>
    <t xml:space="preserve">sherzod pabeda </t>
  </si>
  <si>
    <t>SAIDMAMATOVA QUNDUZXON AYBEKOVNA</t>
  </si>
  <si>
    <t>QOBULOV SOBIRJON AZIMBOY O‘G‘LI</t>
  </si>
  <si>
    <t>Manaviyat 948120197</t>
  </si>
  <si>
    <t>QURAMBAYEVA MAFTUNA MAXSUD QIZI</t>
  </si>
  <si>
    <t xml:space="preserve">To`rtkul 94 951 72 00 </t>
  </si>
  <si>
    <t>RAXMONOVA GULNORA SADULLAYEVNA</t>
  </si>
  <si>
    <t xml:space="preserve">Uzumzor 12 mln makaron sex </t>
  </si>
  <si>
    <t>DAVLETOV OZOD SAMANDAROVICH</t>
  </si>
  <si>
    <t xml:space="preserve">Yosh o`smir 90 725 22 84 </t>
  </si>
  <si>
    <t xml:space="preserve">Mirzoxid </t>
  </si>
  <si>
    <t>RAXIMOVA LOBARXON JO‘RABEK QIZI</t>
  </si>
  <si>
    <t xml:space="preserve">Elliqqala </t>
  </si>
  <si>
    <t>BOGZOR MOTOROLLER</t>
  </si>
  <si>
    <t>SABUROV QURONBOY ISMOILOVICH</t>
  </si>
  <si>
    <t>Galaba  97 458 25 76   28 mln matsakil ,</t>
  </si>
  <si>
    <t>SOBUROV FAYZULLA ISMOILOVICH</t>
  </si>
  <si>
    <t>Galaba  97 458 25 76   23 mln matsakil ,</t>
  </si>
  <si>
    <t xml:space="preserve">Oq Oltin Maxmud og`a 30 mln ari  99 565 70 05 </t>
  </si>
  <si>
    <t>EGAMOV XAYRULLA BEKTURDIYEVICH</t>
  </si>
  <si>
    <t>22,05,2023</t>
  </si>
  <si>
    <t xml:space="preserve">Xurriyat 91 424 98 57 </t>
  </si>
  <si>
    <t>MUSAYEV DOSTON ISMOILOVICH</t>
  </si>
  <si>
    <t xml:space="preserve">Nurafshon 99 621 86 16 </t>
  </si>
  <si>
    <t>DUISOVA SHIRINGUL NURLIBAYEVNA</t>
  </si>
  <si>
    <t>TOXIROV DOSTONBEK MADAMINOVICH</t>
  </si>
  <si>
    <t xml:space="preserve">Shuxrat og`a 33 mln matsakil </t>
  </si>
  <si>
    <t>MARDIYEVA DILAFRUZ UKTAMJON QIZI</t>
  </si>
  <si>
    <t>Nurafshon 99 389 92 30</t>
  </si>
  <si>
    <t>OBOD MOTOROLLER</t>
  </si>
  <si>
    <t>QALAJIQ MOTO ROLLER MCHJ</t>
  </si>
  <si>
    <t>G'ALABA MOTOROLLER</t>
  </si>
  <si>
    <t>OTAMURATOVA MUHAYYO NURMAMATOVNA</t>
  </si>
  <si>
    <t>sanat000</t>
  </si>
  <si>
    <t xml:space="preserve">Sanat mantiyor  94 111 2008 </t>
  </si>
  <si>
    <t>EGAMOVA GO‘ZAL OTAMURODOVNA</t>
  </si>
  <si>
    <t>Oq Oltin Matsakil 22 mln 90 737 04 83</t>
  </si>
  <si>
    <t>ALIMOV ELYOR KURIYAZ O‘G‘LI</t>
  </si>
  <si>
    <t>Elliqala 93 773 73 63   97 353 63 00</t>
  </si>
  <si>
    <t>MATNIYAZOVA FIRUZA XUDAYAROVNA</t>
  </si>
  <si>
    <t>Bog`iston 975253181</t>
  </si>
  <si>
    <t>ONNAMUROTOVA OZODA SULTANOVNA</t>
  </si>
  <si>
    <t>Shuxrat oga 2 mln pechka 2 mln qilish kerak '</t>
  </si>
  <si>
    <t>XO‘JAYEV RUSLAN SADULLAYEVICH</t>
  </si>
  <si>
    <t xml:space="preserve">Arslom og`a 99 151 03 83 </t>
  </si>
  <si>
    <t xml:space="preserve"> 
YAKUBOV ZOKIRJON O‘KTAMOVICH</t>
  </si>
  <si>
    <t>Otajonov Ulug`bek 8,25</t>
  </si>
  <si>
    <t>10mln 22,05,2023</t>
  </si>
  <si>
    <t>G‘OPPAROVA SHAXNOZA</t>
  </si>
  <si>
    <t xml:space="preserve">QudraT og`a o``zin </t>
  </si>
  <si>
    <t xml:space="preserve">  23,05,2023  2 mln berildi </t>
  </si>
  <si>
    <t>23,05,2023</t>
  </si>
  <si>
    <t xml:space="preserve">Qorabog 94 112 22 72 </t>
  </si>
  <si>
    <t>XUDOYBERGANOV SADULLA MASHARIPOVICH</t>
  </si>
  <si>
    <t xml:space="preserve">Nurli hayot 94 310 31 62 </t>
  </si>
  <si>
    <t xml:space="preserve">2 tonnali sari </t>
  </si>
  <si>
    <t>SAIDNAZAROVA GULI ANVARBEKOVNA</t>
  </si>
  <si>
    <t>Bog`iston 99 172 98 57</t>
  </si>
  <si>
    <t>XO‘JANIYAZOVA DONO RUSTAM QIZI</t>
  </si>
  <si>
    <t xml:space="preserve">obod 99 569 07 93 </t>
  </si>
  <si>
    <t xml:space="preserve">Mirzoxid og`a  95 780 03 14 </t>
  </si>
  <si>
    <t xml:space="preserve">Xo`sinboyev Azimboy </t>
  </si>
  <si>
    <t xml:space="preserve">Abdullayeva Elif </t>
  </si>
  <si>
    <t xml:space="preserve">97 790 79 63 </t>
  </si>
  <si>
    <t xml:space="preserve">madaniyat </t>
  </si>
  <si>
    <t>Nurafshon</t>
  </si>
  <si>
    <t>Tozabozor</t>
  </si>
  <si>
    <t>Madaniyat</t>
  </si>
  <si>
    <t>Yangiariq</t>
  </si>
  <si>
    <t>Manaviyat</t>
  </si>
  <si>
    <t>Qalajiqala</t>
  </si>
  <si>
    <t>Ashxobod</t>
  </si>
  <si>
    <t>Uzumzor</t>
  </si>
  <si>
    <t>Qaraqalpoq</t>
  </si>
  <si>
    <t>Xurriyat</t>
  </si>
  <si>
    <t>Xonqa</t>
  </si>
  <si>
    <t>Soxibkor</t>
  </si>
  <si>
    <t>Bog`iston</t>
  </si>
  <si>
    <t>Tikish</t>
  </si>
  <si>
    <t>Dexqonobod</t>
  </si>
  <si>
    <t>Navruz</t>
  </si>
  <si>
    <t>Yosh</t>
  </si>
  <si>
    <t>Manviyat</t>
  </si>
  <si>
    <t>Xiva</t>
  </si>
  <si>
    <t>Bog`zor</t>
  </si>
  <si>
    <t>O`zbekiston</t>
  </si>
  <si>
    <t>Qorabog`</t>
  </si>
  <si>
    <t>Qipchoq</t>
  </si>
  <si>
    <t>Ko`nabirlashuv</t>
  </si>
  <si>
    <t>Navro`z</t>
  </si>
  <si>
    <t>Navbaxor</t>
  </si>
  <si>
    <t>Mag`rur</t>
  </si>
  <si>
    <t>Oltinqum</t>
  </si>
  <si>
    <t>soxibkor</t>
  </si>
  <si>
    <t>ashxobod</t>
  </si>
  <si>
    <t>mag`rur</t>
  </si>
  <si>
    <t>Yuksalish</t>
  </si>
  <si>
    <t>Sohibkor</t>
  </si>
  <si>
    <t>madaniyat</t>
  </si>
  <si>
    <t>Beruniy</t>
  </si>
  <si>
    <t>Obod</t>
  </si>
  <si>
    <t>Nurlixayot</t>
  </si>
  <si>
    <t>Nayman</t>
  </si>
  <si>
    <t>QudraT</t>
  </si>
  <si>
    <t>nayman</t>
  </si>
  <si>
    <t>tozabozor</t>
  </si>
  <si>
    <t>qalajiqala</t>
  </si>
  <si>
    <t>Qajajiqala</t>
  </si>
  <si>
    <t>Ashxabod</t>
  </si>
  <si>
    <t>Qo`shko`pir</t>
  </si>
  <si>
    <t>G`alaba</t>
  </si>
  <si>
    <t>Elliqqala</t>
  </si>
  <si>
    <t>obod</t>
  </si>
  <si>
    <t xml:space="preserve">To`pchi </t>
  </si>
  <si>
    <t xml:space="preserve">Ustalar </t>
  </si>
  <si>
    <t xml:space="preserve">Oq Oltin </t>
  </si>
  <si>
    <t xml:space="preserve">Qumbodoq </t>
  </si>
  <si>
    <t xml:space="preserve"> Soxibkor</t>
  </si>
  <si>
    <t>muammo</t>
  </si>
  <si>
    <t>YUSUPOVA NAZOKAT OTAXONOVNA( Otabek )</t>
  </si>
  <si>
    <t xml:space="preserve">77 028 77 81 </t>
  </si>
  <si>
    <t>MAMATOVA YULDUZ DAVLATOVNA</t>
  </si>
  <si>
    <t>XALBAYEVA NIGORA BAXRAMOVNA</t>
  </si>
  <si>
    <t>QURBONBOYEV BEGZOD AMAT O‘G‘LI</t>
  </si>
  <si>
    <t xml:space="preserve">Yangiariq 97 856 19 89  97 000 46 78 </t>
  </si>
  <si>
    <t>MATNIYAZOVA ZEBO ALLABERGANOVNA</t>
  </si>
  <si>
    <t xml:space="preserve">Qulonqorabog` 91 422 93 66  91 985 49 09 </t>
  </si>
  <si>
    <t>XUDAYOROV OZOD DURDIYEVICH</t>
  </si>
  <si>
    <t xml:space="preserve">divijoq bilan </t>
  </si>
  <si>
    <t xml:space="preserve">Gulshan 97 263 00 34 99 187 64 67 </t>
  </si>
  <si>
    <t>ABDULLAYEVA YULDUZ YULDASHEVNA</t>
  </si>
  <si>
    <t xml:space="preserve">Oltinqum  99 048 93 73 </t>
  </si>
  <si>
    <t xml:space="preserve">Oltinqum </t>
  </si>
  <si>
    <t>XO‘SINOV QURANBOY ISMAILOVICH</t>
  </si>
  <si>
    <t>Madaniyat 975125466</t>
  </si>
  <si>
    <t>MASHARIPOVA RO‘ZIGUL ABDULLA QIZI</t>
  </si>
  <si>
    <t xml:space="preserve">Oltinqum 99 035 09 30 </t>
  </si>
  <si>
    <t>YUSUPOV SHERMAT SABIROVICH</t>
  </si>
  <si>
    <t xml:space="preserve">Bog`zor 99 557 36 43 </t>
  </si>
  <si>
    <t xml:space="preserve">Bog`zor </t>
  </si>
  <si>
    <t>NURULLAYEVA QUNDUZ FARXADOVNA</t>
  </si>
  <si>
    <t>TONGIRBERGANOVA DILFUZA GANJAYEVNA</t>
  </si>
  <si>
    <t xml:space="preserve">28 mlndan olinadi </t>
  </si>
  <si>
    <t xml:space="preserve">Yangiariq </t>
  </si>
  <si>
    <t>Mirzoxid og`a</t>
  </si>
  <si>
    <t>SATTOROV QUVONDIQ TO‘XTABOY O‘G‘LI</t>
  </si>
  <si>
    <t xml:space="preserve">Nurafshon 99 964 07 93 </t>
  </si>
  <si>
    <t>SADULLAYEV SULTANBAY NIYOZMETOVICH</t>
  </si>
  <si>
    <t xml:space="preserve">Gulzor </t>
  </si>
  <si>
    <t xml:space="preserve"> Gulzor 991872789</t>
  </si>
  <si>
    <t>QO‘ZIBAYEVA ANBARJON HAMDAM QIZI</t>
  </si>
  <si>
    <t xml:space="preserve">Olimjonni opasi </t>
  </si>
  <si>
    <t xml:space="preserve">Yangiariq 97 363 66 07 </t>
  </si>
  <si>
    <t>MAVLANOVA MA’MURA OTABAYEVNA</t>
  </si>
  <si>
    <t>MATYOQUBOV DILMUROD JUMABOYEVICH</t>
  </si>
  <si>
    <t xml:space="preserve">Navbaxor </t>
  </si>
  <si>
    <t xml:space="preserve">Jumaboyev Ozod </t>
  </si>
  <si>
    <t xml:space="preserve">Sherjonov G`ulomjon </t>
  </si>
  <si>
    <t xml:space="preserve">Saburova Nigora </t>
  </si>
  <si>
    <t xml:space="preserve">Nayman 88 856 20 00  88 459 33 44 </t>
  </si>
  <si>
    <t xml:space="preserve">Nayman 88 858 44 80 97 360 77 43 IKROM OG`A </t>
  </si>
  <si>
    <t xml:space="preserve">Ikrom sho`ra </t>
  </si>
  <si>
    <t xml:space="preserve">Gulshan </t>
  </si>
  <si>
    <t>NURULLAYEVA DINORA ISLOMBAYEVNA</t>
  </si>
  <si>
    <t>SHENYOZOVA SAYYORA RAZZAQOVNA</t>
  </si>
  <si>
    <t xml:space="preserve">jo`shqin og`a ari </t>
  </si>
  <si>
    <t>BEKMATOV BEKMAMAT EGAMBERDI O‘G‘L</t>
  </si>
  <si>
    <t>IBRAGIMOVA ZULFIYA SAMANDAROVNA</t>
  </si>
  <si>
    <t>25,05,20233</t>
  </si>
  <si>
    <t xml:space="preserve">Otaxonov Mirjalol </t>
  </si>
  <si>
    <t xml:space="preserve">Sultonova Mamura </t>
  </si>
  <si>
    <t xml:space="preserve">Sultonova Mexruza </t>
  </si>
  <si>
    <t xml:space="preserve">Usmonova Mushtariy </t>
  </si>
  <si>
    <t xml:space="preserve"> 99 505 30 90 </t>
  </si>
  <si>
    <t>BEKTURDIYEVA SHAXODAT SAMANDAROVNA</t>
  </si>
  <si>
    <t xml:space="preserve">Oqtepa tikish mashin qadastr </t>
  </si>
  <si>
    <t>SAFOROVA GAVHAR RAJABBOYEVNA</t>
  </si>
  <si>
    <t xml:space="preserve">Qalajiqala 99 048 16 13 </t>
  </si>
  <si>
    <t>SADULLAYEVA RO‘ZAXON QASIMOVNA</t>
  </si>
  <si>
    <t xml:space="preserve">Mexnatguli 93 748 24 26  99 415 93 61 </t>
  </si>
  <si>
    <t xml:space="preserve">qudrat og`a </t>
  </si>
  <si>
    <t xml:space="preserve">Yangiariq 97 480 07 94  97 360 36 94 </t>
  </si>
  <si>
    <t xml:space="preserve"> 
MADIRIMOV RAJABBOY YO‘LDOSHOVICH</t>
  </si>
  <si>
    <t>ABDURAXMANOVA RISOLAT QODAMBAYEVNA</t>
  </si>
  <si>
    <t xml:space="preserve">Bog`zor shavkat oga 93 753 43 83 </t>
  </si>
  <si>
    <t>JUMABOYEV MURZABEK AXMEDJONOVICH</t>
  </si>
  <si>
    <t xml:space="preserve">Ulug`bek agro </t>
  </si>
  <si>
    <t>SAIDOV SAXIB SHAVKATOVICH</t>
  </si>
  <si>
    <t xml:space="preserve">Xurasnd to`pchi motoblok </t>
  </si>
  <si>
    <t>Muzaffar og`a</t>
  </si>
  <si>
    <t>QO‘ZIBOYEVA NAFISA MAXMUD QIZI</t>
  </si>
  <si>
    <t xml:space="preserve"> Yangi qadam  995081158</t>
  </si>
  <si>
    <t>ashxabod</t>
  </si>
  <si>
    <t>27,05,2023</t>
  </si>
  <si>
    <t>ABDULLAYEV SHUHRAT RO‘ZMATOVICH</t>
  </si>
  <si>
    <t xml:space="preserve">Obod iqush og`a </t>
  </si>
  <si>
    <t xml:space="preserve">Nurli maskan 99 741 29 26 </t>
  </si>
  <si>
    <t>ALLAMOVA XOLIDA BAHODIROVNA</t>
  </si>
  <si>
    <t xml:space="preserve">Manaviyat 99 502 33 68 </t>
  </si>
  <si>
    <t xml:space="preserve">Manaviyat </t>
  </si>
  <si>
    <t xml:space="preserve">Bog`zor 99 500 79 49 </t>
  </si>
  <si>
    <t xml:space="preserve">Yangiariq G`ulom 97 170 29 71 </t>
  </si>
  <si>
    <t xml:space="preserve">Galaba </t>
  </si>
  <si>
    <t>Galaba 99 220 01 11</t>
  </si>
  <si>
    <t xml:space="preserve">oq tepa </t>
  </si>
  <si>
    <t xml:space="preserve">Xursand og`a to`pchi </t>
  </si>
  <si>
    <t>IBRAGIMOV SHUHRAT SHAVKATOVICH</t>
  </si>
  <si>
    <t xml:space="preserve">Gulshan 88 600 10 05 </t>
  </si>
  <si>
    <t xml:space="preserve">Obod 91 912 22 30 </t>
  </si>
  <si>
    <t xml:space="preserve">Ko`nabirlashuv 88 133 81 77 </t>
  </si>
  <si>
    <t xml:space="preserve">Nurli maskan 99 678 16 63 </t>
  </si>
  <si>
    <t xml:space="preserve">G`alaba 91 999 09 59  90 559 01 79 </t>
  </si>
  <si>
    <t>BEKTURDIYEV SHONAZAR ALLAYOROVICH</t>
  </si>
  <si>
    <t xml:space="preserve">Qulonqorabog` 33 mln </t>
  </si>
  <si>
    <t xml:space="preserve">Yosh o`smir </t>
  </si>
  <si>
    <t xml:space="preserve">naqd oldi </t>
  </si>
  <si>
    <t xml:space="preserve">G`alaba </t>
  </si>
  <si>
    <t>29,05,2023</t>
  </si>
  <si>
    <t xml:space="preserve">Gulzor 95 035 16 12 </t>
  </si>
  <si>
    <t xml:space="preserve">To`rtkul </t>
  </si>
  <si>
    <t>BABAJANOV HABIBULLA LATIBOVICH</t>
  </si>
  <si>
    <t xml:space="preserve">Dexqonobod chiyon 91 425 56 68 </t>
  </si>
  <si>
    <t>QO‘CHQAROV YODGOR SATIMOVICH</t>
  </si>
  <si>
    <t xml:space="preserve">Yodgor og`a ari 99 253 79 01 </t>
  </si>
  <si>
    <t>YUSUPOV BOYMUROD BEKCHANOVICH</t>
  </si>
  <si>
    <t>Kunabirlashuv</t>
  </si>
  <si>
    <t xml:space="preserve">Mag`rur og`a 94 755 20 87 </t>
  </si>
  <si>
    <t xml:space="preserve">muammo </t>
  </si>
  <si>
    <t>QALANDAROVA GULBAXOR ATANAZAROVNA</t>
  </si>
  <si>
    <t xml:space="preserve">Xuriyat 90 090 15 52 benzin </t>
  </si>
  <si>
    <t>SHOMURODOV SARDOR GANJABOYEVICH</t>
  </si>
  <si>
    <t>Shonazarova Shukurjon</t>
  </si>
  <si>
    <t xml:space="preserve">Atabayeva Rahimajon </t>
  </si>
  <si>
    <t>30,05,2023</t>
  </si>
  <si>
    <t xml:space="preserve">To`pchi Xurasnd </t>
  </si>
  <si>
    <t xml:space="preserve">Yangi ariq G`ulom 88 160 18 10 </t>
  </si>
  <si>
    <t>SAIDJANOV OTAJAN HASANBAYEVICH</t>
  </si>
  <si>
    <t xml:space="preserve">limit </t>
  </si>
  <si>
    <t xml:space="preserve">boshqa odam </t>
  </si>
  <si>
    <t xml:space="preserve">xokimni kutyapti </t>
  </si>
  <si>
    <t xml:space="preserve"> 
BALTAYEVA GULYOR MAXSUDBEKOVNA</t>
  </si>
  <si>
    <t xml:space="preserve">yangiariq </t>
  </si>
  <si>
    <t>KARIMOVA DILORAM YULDASHOVNA</t>
  </si>
  <si>
    <t>JUMANIYAZOV YUNUS BOTIRBAYEVICH</t>
  </si>
  <si>
    <t xml:space="preserve">Soxibkor 93 281 21 84 </t>
  </si>
  <si>
    <t xml:space="preserve">Sohibkor </t>
  </si>
  <si>
    <t>YUSUPOV SAIDMUROD AMATJONOVICH</t>
  </si>
  <si>
    <t xml:space="preserve">Shixnazarov Ollabergan </t>
  </si>
  <si>
    <t xml:space="preserve">Xalq banki dollarchi </t>
  </si>
  <si>
    <t xml:space="preserve">Ruzmetova Kumush </t>
  </si>
  <si>
    <t xml:space="preserve"> 
SAPAYEV ALISHER RAZZAKOVICH</t>
  </si>
  <si>
    <t>GABDULXAKOV ELDOR FLYUR O‘G‘LI</t>
  </si>
  <si>
    <t xml:space="preserve">Yosh o`smir 99 501 15 33 </t>
  </si>
  <si>
    <t xml:space="preserve">Mirzoxid og`a quvondiq 94 318 01 59 </t>
  </si>
  <si>
    <t xml:space="preserve">Sardor Mirzoxid og`a Quvondiq </t>
  </si>
  <si>
    <t xml:space="preserve">Samandarova Maxliyo </t>
  </si>
  <si>
    <t>MAMETOVA RISOLAT XUDOYOROVNA</t>
  </si>
  <si>
    <t>31,05,2023</t>
  </si>
  <si>
    <t xml:space="preserve">Ashxabod </t>
  </si>
  <si>
    <t xml:space="preserve">Ashxabod 90 578 05 95 </t>
  </si>
  <si>
    <t>OTANIYOZOV BEKPULAT SHARIBOVICH</t>
  </si>
  <si>
    <t xml:space="preserve">Shovot </t>
  </si>
  <si>
    <t xml:space="preserve">Shovot 99 064 08 67   </t>
  </si>
  <si>
    <t xml:space="preserve">ashxabod </t>
  </si>
  <si>
    <t xml:space="preserve">elliqala </t>
  </si>
  <si>
    <t xml:space="preserve"> 
SATIMOVA MUQADDAS JUMANAZAROVNA</t>
  </si>
  <si>
    <t>Nayman 991359747</t>
  </si>
  <si>
    <t xml:space="preserve">Nayman </t>
  </si>
  <si>
    <t>YAQUBBOYEV ZAFARBEK OTAXON O‘G‘LI</t>
  </si>
  <si>
    <t xml:space="preserve">Zafarbek 88 459 33 44 Obod MFY yoshlar yetakchi </t>
  </si>
  <si>
    <t xml:space="preserve">Rajabov Donyor </t>
  </si>
  <si>
    <t xml:space="preserve">Yangiqadam 99 268 75 93 </t>
  </si>
  <si>
    <t xml:space="preserve">Bog`zor  94 118 15 81 </t>
  </si>
  <si>
    <t xml:space="preserve">Madaminov Asadbek </t>
  </si>
  <si>
    <t xml:space="preserve">Rajabova Sadoqat </t>
  </si>
  <si>
    <t>01,06,2023</t>
  </si>
  <si>
    <t>XAMRAYEV MAQSUD RUSTAMOVICH</t>
  </si>
  <si>
    <t xml:space="preserve">Ashxabod 99 541 14 81 </t>
  </si>
  <si>
    <t>RAMATOVA MOHIRA OYBEK QIZI</t>
  </si>
  <si>
    <t xml:space="preserve">Maqsadni jo`ralari kirob </t>
  </si>
  <si>
    <t>OZODOVA NODIRA RAMATJON QIZI</t>
  </si>
  <si>
    <t>MATRASULOVA ULLIJON BAXTIYOROVNA</t>
  </si>
  <si>
    <t>ATABOYEVA INOBAT RO‘ZIBOYEVNA</t>
  </si>
  <si>
    <t xml:space="preserve"> 90 090 20 73 Kamandir </t>
  </si>
  <si>
    <t>AMINOVA GULMIRA OCHILOVNA</t>
  </si>
  <si>
    <t xml:space="preserve">Qalajiqala 95 788 91 03   97 608 19 39 </t>
  </si>
  <si>
    <t>ATAJONOVA DILNAVOZ MASHARIPOVNA</t>
  </si>
  <si>
    <t xml:space="preserve">O`tkir usta </t>
  </si>
  <si>
    <t>KURBANBAYEV XASANBAY ULUG‘BEK O‘G‘LI</t>
  </si>
  <si>
    <t xml:space="preserve">KURBONBAYEV MUSAJON KAMOL O‘G‘LI </t>
  </si>
  <si>
    <t xml:space="preserve">Ellikqala 94 599 37 75 </t>
  </si>
  <si>
    <t xml:space="preserve">Elliqala </t>
  </si>
  <si>
    <t xml:space="preserve">99 123 08 68 </t>
  </si>
  <si>
    <t>YANGIBOYEV SARDORBEK ANVAR O‘G‘LI</t>
  </si>
  <si>
    <t xml:space="preserve">ali ari </t>
  </si>
  <si>
    <t>SA’DULLAYEV ASADBEK MASHARIP O‘G‘LI</t>
  </si>
  <si>
    <t xml:space="preserve">Qudrat og`a staniok 33 mln </t>
  </si>
  <si>
    <t>YUSUPOVA OYSANAM SHUXRATOVNA</t>
  </si>
  <si>
    <t>SAIDOV TO‘XTASIN YULDASHBOYEVICH</t>
  </si>
  <si>
    <t>02,06,2023</t>
  </si>
  <si>
    <t xml:space="preserve">Galaba 88 360 66 86 </t>
  </si>
  <si>
    <t>BOZOROVA MUNAVVAR HAJIBOY QIZI</t>
  </si>
  <si>
    <t xml:space="preserve">Navbaxor 93 681 44 39 </t>
  </si>
  <si>
    <t>QURIYAZOVA MARJONA XO‘SIN QIZI</t>
  </si>
  <si>
    <t xml:space="preserve">Manaviyat 99 662 71 50 </t>
  </si>
  <si>
    <t xml:space="preserve">Nayman 97 201 84 04 </t>
  </si>
  <si>
    <t>OTABOYEV ZAFARBEK SHAVKATOVICH</t>
  </si>
  <si>
    <t>TALBEKOVA INTIZOR BEKTURDIYEVNA</t>
  </si>
  <si>
    <t xml:space="preserve">To`pchi 97 449 66 65 </t>
  </si>
  <si>
    <t xml:space="preserve">Saidova Dildora </t>
  </si>
  <si>
    <t xml:space="preserve">Ashxobod ertang oladila  97 511 56 66 </t>
  </si>
  <si>
    <t>BABANIYOZOVA GULZOR QURVANDURDIYEVNA</t>
  </si>
  <si>
    <t xml:space="preserve">Yangiqadam murodjon odami </t>
  </si>
  <si>
    <t>RAHIMOVA GULASOR QO‘ZIYEVNA</t>
  </si>
  <si>
    <t>Uzumzor  sardor 16,5 mln 2 dona moto</t>
  </si>
  <si>
    <t xml:space="preserve">Jummi enamni taxsisi 97 606 41 11 </t>
  </si>
  <si>
    <t>MADIRIMOVA TURSUNOY GANJAYEVNA</t>
  </si>
  <si>
    <t>SAIDOVA MARDONA AZADOVNA</t>
  </si>
  <si>
    <t xml:space="preserve">Ro`zmetova Ro`zaxon </t>
  </si>
  <si>
    <t xml:space="preserve">Beruniy 91 276 11 71 </t>
  </si>
  <si>
    <t xml:space="preserve">Yangiariq G`ulom  94 310 10 39 </t>
  </si>
  <si>
    <t>Navbaxor 33 615 17 12</t>
  </si>
  <si>
    <t>RAXIMOV NODIRBEK DAVRONBEKOVICH</t>
  </si>
  <si>
    <t>05,06,2023</t>
  </si>
  <si>
    <t>MATYOQUBOV XURSANDBEK</t>
  </si>
  <si>
    <t xml:space="preserve">Nurli maskan 99 46763  63 </t>
  </si>
  <si>
    <t>EGAMOV UMOR MATNAZAROVICH</t>
  </si>
  <si>
    <t xml:space="preserve">Sohibkor 99 173 02 12 </t>
  </si>
  <si>
    <t xml:space="preserve">Navbaxor 99 295 01 75 </t>
  </si>
  <si>
    <t>RAXMONOV OYBEK JUMANAZAROVICH</t>
  </si>
  <si>
    <t xml:space="preserve">Oqtepa </t>
  </si>
  <si>
    <t>Oqtepa 91 570 03 08</t>
  </si>
  <si>
    <t xml:space="preserve">POLVONOVA SHARQIYA SATTORBERGANOVNA </t>
  </si>
  <si>
    <t>ALIMOV SHAVKAT RUSTAMOVICH</t>
  </si>
  <si>
    <t xml:space="preserve">Farrux urganch </t>
  </si>
  <si>
    <t xml:space="preserve">Jumanazrova Shabnam </t>
  </si>
  <si>
    <t xml:space="preserve">Salayev Yashin </t>
  </si>
  <si>
    <t>XUDAYBERDIYEVA SOJIDA OYBEK QIZI</t>
  </si>
  <si>
    <t xml:space="preserve">Tozabozor 93 529 53 93 </t>
  </si>
  <si>
    <t xml:space="preserve">allaberganova Iroda </t>
  </si>
  <si>
    <t xml:space="preserve">Boja </t>
  </si>
  <si>
    <t>REYIMOVA GULSHOD ATAMURATOVNA</t>
  </si>
  <si>
    <t>06,06,2023</t>
  </si>
  <si>
    <t>NURMETOVA GULRUX SAMANDAROVNA</t>
  </si>
  <si>
    <t xml:space="preserve">Umid og`a pechka </t>
  </si>
  <si>
    <t>ABDULLAYEVA SHAROFAT KARIMBOYEVNA</t>
  </si>
  <si>
    <t xml:space="preserve">Manaviyat 93 811 79 04 </t>
  </si>
  <si>
    <t xml:space="preserve">Yangiqadam  88 458 01 90 </t>
  </si>
  <si>
    <t xml:space="preserve">Yangiqadam 88 458 01 90 </t>
  </si>
  <si>
    <t>Tozabozor  94 312 96 62  94 942 00 54</t>
  </si>
  <si>
    <t xml:space="preserve">Bekiyev Izzat </t>
  </si>
  <si>
    <t xml:space="preserve">Otajonov Ulug`bek </t>
  </si>
  <si>
    <t xml:space="preserve">Karimov Abdulaziz </t>
  </si>
  <si>
    <t xml:space="preserve">Tojiboyev Raximberdi </t>
  </si>
  <si>
    <t xml:space="preserve">ilhomova Gulbadambegim </t>
  </si>
  <si>
    <t>YULDOSHOV G‘ULOMJON JO‘RABEK O‘G‘LI</t>
  </si>
  <si>
    <t xml:space="preserve">Navbaxor 88 606 04 98 </t>
  </si>
  <si>
    <t xml:space="preserve">Yangiqadam  95 188 12 70 </t>
  </si>
  <si>
    <t xml:space="preserve">Nurli hayot </t>
  </si>
  <si>
    <t xml:space="preserve">Nurli Hayot 93 867 80 30 </t>
  </si>
  <si>
    <t>07,06,2023</t>
  </si>
  <si>
    <t xml:space="preserve">Madaniyat Buva </t>
  </si>
  <si>
    <t>KOMEKBAYEV AMANDIK ALIMBAYEVICH</t>
  </si>
  <si>
    <t>RAXIMOVA ROHILA ERGASHBOYEVNA</t>
  </si>
  <si>
    <t xml:space="preserve">O`zbekiston </t>
  </si>
  <si>
    <t xml:space="preserve">Xurriyat   94 117 20 21  99 116 23 81 </t>
  </si>
  <si>
    <t>ASHIROV TURABOY RAXIMOVICH</t>
  </si>
  <si>
    <t xml:space="preserve">Shovot 91 987 63 93 </t>
  </si>
  <si>
    <t xml:space="preserve">O`tkir m ikra </t>
  </si>
  <si>
    <t xml:space="preserve">Qurbonboyeva Maryamjon </t>
  </si>
  <si>
    <t xml:space="preserve">G`alaba 91 571 81 69 </t>
  </si>
  <si>
    <t>Ko`nabirlashuv 97 513 29 41</t>
  </si>
  <si>
    <t>REYIMBERDIYEV SHODIYOR</t>
  </si>
  <si>
    <t xml:space="preserve">Beruniy 91 258 47 76   97 563 18 82 </t>
  </si>
  <si>
    <t xml:space="preserve">Beruniy Shoxruxbek </t>
  </si>
  <si>
    <t>BABAJANOVA ADOLAT NURULLAYEVNA</t>
  </si>
  <si>
    <t xml:space="preserve">Mo`ynoq 93 207 47 43 </t>
  </si>
  <si>
    <t xml:space="preserve">Mo`ynoq </t>
  </si>
  <si>
    <t xml:space="preserve">Jumagaldiyev Yusupboy </t>
  </si>
  <si>
    <t>QO‘ZIBOYEVA GULYOR ATABAYEVNA</t>
  </si>
  <si>
    <t xml:space="preserve">Navro`z </t>
  </si>
  <si>
    <t xml:space="preserve">Navro`z 99 630 90 28 </t>
  </si>
  <si>
    <t>MATCHONOV BAYRAMBEK</t>
  </si>
  <si>
    <t xml:space="preserve">saxovat 88 857 90 00 </t>
  </si>
  <si>
    <t xml:space="preserve">99 505 52 02 </t>
  </si>
  <si>
    <t>BARGANBOYEVA SHUKURJON OZOD QIZI</t>
  </si>
  <si>
    <t>SODIKOVA SALOMAT AZADOVNA</t>
  </si>
  <si>
    <t>08,06,2023</t>
  </si>
  <si>
    <t xml:space="preserve">To`pchi 451 89 90 Jo`rabek og`a </t>
  </si>
  <si>
    <t xml:space="preserve">ADOMBOYEVA MAVJUDA G‘ULOMBOYEVNA </t>
  </si>
  <si>
    <t>ISKANDAROV UMARBEK TO‘XTABAYEVICH</t>
  </si>
  <si>
    <t>O`zgarish</t>
  </si>
  <si>
    <t xml:space="preserve">O`zgatrish 97 361 33 34 </t>
  </si>
  <si>
    <t>XUDAKOV SATIMBOY SAIDMURATOVICH</t>
  </si>
  <si>
    <t xml:space="preserve">O`zgarish </t>
  </si>
  <si>
    <t xml:space="preserve">O`zgarish 91 993 17 76 </t>
  </si>
  <si>
    <t xml:space="preserve">Xunarmand 99 242 47 70 </t>
  </si>
  <si>
    <t xml:space="preserve">Xunarmand </t>
  </si>
  <si>
    <t xml:space="preserve">Bog`zor 99 678 29 78  88 600 88 98 </t>
  </si>
  <si>
    <t>KARIMOVA XO‘VVAJON OTABOYEVNA</t>
  </si>
  <si>
    <t xml:space="preserve">Tozabozor 97 859 01 73 </t>
  </si>
  <si>
    <t>AMETOVA FOTIMA FARXADOVNA</t>
  </si>
  <si>
    <t xml:space="preserve">Ellikqala 93 848 03 82 </t>
  </si>
  <si>
    <t xml:space="preserve">Navro`z 91 571 10 38  99 118 53 13 </t>
  </si>
  <si>
    <t>SABUROVA MUQADDAS MASHARIPOVNA</t>
  </si>
  <si>
    <t>EGAMOVA SURAYYO PO‘LATOVNA</t>
  </si>
  <si>
    <t>ABDULLAYEVA DINORA UMARBEK QIZI</t>
  </si>
  <si>
    <t xml:space="preserve">91 432 93 97 </t>
  </si>
  <si>
    <t>O`zbekiston 99 242 79 42</t>
  </si>
  <si>
    <t xml:space="preserve">Ko`nabirlashuv </t>
  </si>
  <si>
    <t xml:space="preserve">Ko`nabirlashuv 93 516 84 05 </t>
  </si>
  <si>
    <t xml:space="preserve">Mamatov Yarash </t>
  </si>
  <si>
    <t xml:space="preserve">Yangiqadam 90 557 53 91 </t>
  </si>
  <si>
    <t xml:space="preserve">Reyimbayeva Mamlakat </t>
  </si>
  <si>
    <t xml:space="preserve">Allaquliyeva Elyorbek </t>
  </si>
  <si>
    <t xml:space="preserve">Iskandarov Sardorbek </t>
  </si>
  <si>
    <t xml:space="preserve">Zaripova Ozoda </t>
  </si>
  <si>
    <t xml:space="preserve">Sabirova Sabohat </t>
  </si>
  <si>
    <t xml:space="preserve">Shonazarov Nurmuhammad </t>
  </si>
  <si>
    <t xml:space="preserve">To`rtkul  99 252 36 72 </t>
  </si>
  <si>
    <t>EGAMOV ABDULLA JUMANAZAROVICH</t>
  </si>
  <si>
    <t xml:space="preserve">Soxibkor   99 347 85 44  90 078 12 92 </t>
  </si>
  <si>
    <t>RO‘ZMATOV BAXTIYAR JUMAYEVICH</t>
  </si>
  <si>
    <t>09,06,2023</t>
  </si>
  <si>
    <t xml:space="preserve">Nayman 97 510 81 34  Yamg`urovni tanishi </t>
  </si>
  <si>
    <t>MAVLANOVA LEYLA ALLABERGANOVNA</t>
  </si>
  <si>
    <t xml:space="preserve">Mehnatguli 99 282 15 77 </t>
  </si>
  <si>
    <t xml:space="preserve">Mehnatguli </t>
  </si>
  <si>
    <t>RAJABBOYEV OG‘ABOY BAXTIYOROVICH</t>
  </si>
  <si>
    <t xml:space="preserve">Navbaxor 95 233 06 94 </t>
  </si>
  <si>
    <t>BOLTAYEVA GULNOZA SULTANOVNA</t>
  </si>
  <si>
    <t xml:space="preserve">Xonqa </t>
  </si>
  <si>
    <t xml:space="preserve">Zinoxos 97 528 44 34 </t>
  </si>
  <si>
    <t xml:space="preserve">To`pchi 99 058 62 85 </t>
  </si>
  <si>
    <t>TILLAYEVA FAROG‘AT XAKIMOVNA</t>
  </si>
  <si>
    <t xml:space="preserve">O`zbekiston 93 234 28 16 </t>
  </si>
  <si>
    <t>SAPAYEV NAIMJON ALBERTOVICH</t>
  </si>
  <si>
    <t>Kontener 30,710</t>
  </si>
  <si>
    <t xml:space="preserve">Ro`ziboyeva Sojida </t>
  </si>
  <si>
    <t xml:space="preserve">Allaquliyev Shoxruxbek </t>
  </si>
  <si>
    <t xml:space="preserve">Atajanova Dilnura </t>
  </si>
  <si>
    <t>AMONOV MUHAMMAD ERGASH O‘G‘LI</t>
  </si>
  <si>
    <t>Odilbek mikra</t>
  </si>
  <si>
    <t>KUTLIMURATOV YULDASHBAY XODJABAYEVICH</t>
  </si>
  <si>
    <t xml:space="preserve">Xujayli 90 650 21 17 </t>
  </si>
  <si>
    <t xml:space="preserve">Xujayli </t>
  </si>
  <si>
    <t xml:space="preserve">Xonqa 93 468 28 29  Xokim 99 016 56 50 </t>
  </si>
  <si>
    <t>JUMANAZAROV SANATBEK QALANDAROVICH</t>
  </si>
  <si>
    <t xml:space="preserve">Sanat Oq Oltin 99 941 08 58 </t>
  </si>
  <si>
    <t xml:space="preserve">Beruniy </t>
  </si>
  <si>
    <t>ABDULLAYEVA SHAXNOZA NURADDINOVNA</t>
  </si>
  <si>
    <t>NURIMBETOV AZIZBEK KAZAXOVICH</t>
  </si>
  <si>
    <t xml:space="preserve">Navbaxor  88 606 15 74 </t>
  </si>
  <si>
    <t>EGOMBERDIYEV SOYFIDDIN IMOMODDINOVICH</t>
  </si>
  <si>
    <t>MAXMUDOVA MUXAYYO MUXTOROVNA</t>
  </si>
  <si>
    <t xml:space="preserve">Pitnak </t>
  </si>
  <si>
    <t xml:space="preserve">Pitnak  97 452 37 21  97 211 43 81  Xokim yordamchi </t>
  </si>
  <si>
    <t xml:space="preserve">93 540 77 01 </t>
  </si>
  <si>
    <t>XUDAKOV MANSURBEK XUSINOVICH</t>
  </si>
  <si>
    <t xml:space="preserve">Samarqand 93 353 30 70  99 035 08 00 </t>
  </si>
  <si>
    <t xml:space="preserve">Samarqand </t>
  </si>
  <si>
    <t xml:space="preserve">Nayman 97 459 05 76 </t>
  </si>
  <si>
    <t>YUSUPOV RASUL TO‘XTABOYEVICH</t>
  </si>
  <si>
    <t>11,06,2023</t>
  </si>
  <si>
    <t xml:space="preserve">Madaniyat  Izzat </t>
  </si>
  <si>
    <t xml:space="preserve">Gulzor  Behzod </t>
  </si>
  <si>
    <t xml:space="preserve">G`alaba Qaxramon </t>
  </si>
  <si>
    <t>NAMOZOVA UMIDA G‘AYRAT QIZI</t>
  </si>
  <si>
    <t>12,06,2023</t>
  </si>
  <si>
    <t xml:space="preserve">Samarqand 99 581 03 64  91 542 55 93 </t>
  </si>
  <si>
    <t>ABDULLAYEVA MAQSUDA BAXRAMOVNA</t>
  </si>
  <si>
    <t xml:space="preserve">Oltinqum 99 031 25 77 </t>
  </si>
  <si>
    <t xml:space="preserve">Qorabog` 99 689 23 81 </t>
  </si>
  <si>
    <t xml:space="preserve">SAPAYEVA ZUXRA BALTAYEVNA </t>
  </si>
  <si>
    <t xml:space="preserve">ari 24 mln </t>
  </si>
  <si>
    <t>ERKINBAYEVA FAROG‘AT MUZAFFAR QIZI</t>
  </si>
  <si>
    <t xml:space="preserve">Nayman 95 222 63 96  94 112 07 91 </t>
  </si>
  <si>
    <t>JUMANIYAZOV DILSHOD ERGASHBOYEVICH</t>
  </si>
  <si>
    <t xml:space="preserve">Sahovat </t>
  </si>
  <si>
    <t xml:space="preserve">Sahovat 97 299 74 75 </t>
  </si>
  <si>
    <t xml:space="preserve">Erkinova Munojat </t>
  </si>
  <si>
    <t xml:space="preserve">Matkarimov Bekzod </t>
  </si>
  <si>
    <t xml:space="preserve">Atajonov Masharifjon </t>
  </si>
  <si>
    <t xml:space="preserve">Eshon buva Xalq banki </t>
  </si>
  <si>
    <t>ALLABERGANOV ALIJON TOJIBOY O‘G‘LI</t>
  </si>
  <si>
    <t xml:space="preserve">Oltinqum 99 152 83 21 </t>
  </si>
  <si>
    <t>SHOMURATOVA GULYOR ERGASH QIZI</t>
  </si>
  <si>
    <t>ABDULLAYEV AMANGELDI XALILEVICH</t>
  </si>
  <si>
    <t xml:space="preserve">Dexqonobod 99 554 08 77 </t>
  </si>
  <si>
    <t>MATKARIMOVA NIGORA RO‘ZIBAYEVNA</t>
  </si>
  <si>
    <t xml:space="preserve">Navbaxor 94 232 52 90    88 857 70 88 </t>
  </si>
  <si>
    <t xml:space="preserve">93 043 42 73 </t>
  </si>
  <si>
    <t>YUSUPOV BAHROM BEKMURATOVICH</t>
  </si>
  <si>
    <t>NURADDINOV ODILBEK SOPORBOY O‘G‘LI</t>
  </si>
  <si>
    <t xml:space="preserve"> motoblok </t>
  </si>
  <si>
    <t xml:space="preserve">95 559 30 00 </t>
  </si>
  <si>
    <t>SABIROVA TO‘XTAGUL OTABEKOVNA</t>
  </si>
  <si>
    <t xml:space="preserve">To`pchi  shlakablok </t>
  </si>
  <si>
    <t>JAFAROVA AZIZA RAXIMBAYEVNA</t>
  </si>
  <si>
    <t xml:space="preserve">tikish mashin jonibek og`a jack </t>
  </si>
  <si>
    <t>RO‘ZMETOVA DILBAR SABIROVNA</t>
  </si>
  <si>
    <t>QALANDAROV OBID BAXODIROVICH</t>
  </si>
  <si>
    <t xml:space="preserve">Ulug`bek agrobank 24 mln matsakil </t>
  </si>
  <si>
    <t>YUSUPOV IZZATBEK ABDULLA O‘G‘LI</t>
  </si>
  <si>
    <t xml:space="preserve">raxbar </t>
  </si>
  <si>
    <t xml:space="preserve">Xurriyat 99 562 99 29 </t>
  </si>
  <si>
    <t>KO‘PALBOYEV ANVARBEK JASUR O‘G‘LI</t>
  </si>
  <si>
    <t>SOBIROV ODILBEK SHERMATOVICH</t>
  </si>
  <si>
    <t>14,06,2023</t>
  </si>
  <si>
    <t>MIRZAYEV OLLABERGAN SHAMURATOVICH</t>
  </si>
  <si>
    <t xml:space="preserve">Madniyat 97 510 70 63  </t>
  </si>
  <si>
    <t>SATTAROVA ZULXUMOR YULDASHBAYEVNA</t>
  </si>
  <si>
    <t xml:space="preserve">Nurli maskan 97 605 83 82 </t>
  </si>
  <si>
    <t xml:space="preserve">Obod 97 858 84 81 </t>
  </si>
  <si>
    <t>ISHANQULIYEVA GULBAXOR ANNAKULIYEVNA</t>
  </si>
  <si>
    <t>XOLMUROTOVA ELMIRA ABDIRASUL QIZI</t>
  </si>
  <si>
    <t xml:space="preserve">Sirdaryo </t>
  </si>
  <si>
    <t>JUMAYEV YALQABBOY RO‘ZMATOVICH</t>
  </si>
  <si>
    <t>Nayman 97 221 1506</t>
  </si>
  <si>
    <t>SAPASHEV BUXARBAY BAZARBAYEVICH</t>
  </si>
  <si>
    <t xml:space="preserve">Xo`jayli </t>
  </si>
  <si>
    <t xml:space="preserve">Ro`ziboyeva Sabina </t>
  </si>
  <si>
    <t xml:space="preserve">Yusupov Izzat </t>
  </si>
  <si>
    <t xml:space="preserve">Yusup Izzat Abdulla </t>
  </si>
  <si>
    <t>MASHARIPOVA OYSHAJON KAMALOVNA</t>
  </si>
  <si>
    <t>HASANOVA TURSUNOY QURBONNAZAR QIZI</t>
  </si>
  <si>
    <t xml:space="preserve">Navro`z 90 719 14 07 </t>
  </si>
  <si>
    <t xml:space="preserve">Divijoq bilan </t>
  </si>
  <si>
    <t>BOBOJONOVA HANIFA RO‘ZMATOVNA</t>
  </si>
  <si>
    <t xml:space="preserve">Azadova Feruza </t>
  </si>
  <si>
    <t xml:space="preserve">Sobirova Moxigul </t>
  </si>
  <si>
    <t xml:space="preserve">obod  90 719 93 99 </t>
  </si>
  <si>
    <t>JUMANIYOZOVA FERUZA JABBORBERDIYEVNA</t>
  </si>
  <si>
    <t xml:space="preserve">O`zbekistin 99 387 90 43 </t>
  </si>
  <si>
    <t>TILLAYEVA SAYYORA AMINBAYEVNA</t>
  </si>
  <si>
    <t xml:space="preserve">Ko`nabirlashuv 99 132 22 72 </t>
  </si>
  <si>
    <t xml:space="preserve">Sirdaryo 88 905 2890  shafyo`r 94 116 08 69 </t>
  </si>
  <si>
    <t xml:space="preserve">Komiljonova Gulyor </t>
  </si>
  <si>
    <t xml:space="preserve">Iskandarova Aziza </t>
  </si>
  <si>
    <t xml:space="preserve">Shermetova Gulchexra </t>
  </si>
  <si>
    <t xml:space="preserve">Usmonov Doniyorbek </t>
  </si>
  <si>
    <t xml:space="preserve">Rajabov Rustamboy </t>
  </si>
  <si>
    <t xml:space="preserve">Rajabov Dostonbek </t>
  </si>
  <si>
    <t xml:space="preserve">Bobojonova Soxiba </t>
  </si>
  <si>
    <t xml:space="preserve">91 993 04 04 </t>
  </si>
  <si>
    <t xml:space="preserve">Uzumzor </t>
  </si>
  <si>
    <t xml:space="preserve">Uzumzor 94 014 80 20 </t>
  </si>
  <si>
    <t>AHMEDOV GULOMJON MADIRIMOVICH</t>
  </si>
  <si>
    <t xml:space="preserve">Dexqonobod 88 456 11 55 </t>
  </si>
  <si>
    <t xml:space="preserve">99 184 48 00 </t>
  </si>
  <si>
    <t>SAPAYEV QURBONNAZAR JUMANAZAROVICH</t>
  </si>
  <si>
    <t>Nayman 97 211 13 65</t>
  </si>
  <si>
    <t xml:space="preserve">Ko`nabirlashuv 94 236 77 25 </t>
  </si>
  <si>
    <t xml:space="preserve">Masharipov Ulug`bek </t>
  </si>
  <si>
    <t xml:space="preserve">94 145 73 24 </t>
  </si>
  <si>
    <t xml:space="preserve">To`pchi  97 511 21 74 </t>
  </si>
  <si>
    <t xml:space="preserve">99 706 03 81  99 330 50 40 </t>
  </si>
  <si>
    <t>16,06,2023</t>
  </si>
  <si>
    <t>NORBAYEVA DO‘NDI SHAMUROTOVNA</t>
  </si>
  <si>
    <t xml:space="preserve">Nayman 97 517 09 62 </t>
  </si>
  <si>
    <t>KURBANBAYEVA FERUZA ROMANBERDIYEVNA</t>
  </si>
  <si>
    <t xml:space="preserve">Navbaxor 94 318 06 01 </t>
  </si>
  <si>
    <t xml:space="preserve">MASHARIPOVA OYSANAM IBADULLAYEVNA </t>
  </si>
  <si>
    <t xml:space="preserve">Navbaxor  99 336 68 11 </t>
  </si>
  <si>
    <t xml:space="preserve">99 963 67 03 </t>
  </si>
  <si>
    <t xml:space="preserve">G`alaba 93 280 15 76 </t>
  </si>
  <si>
    <t>POLIYOZOV ODILBEK RAXIMOVICH</t>
  </si>
  <si>
    <t xml:space="preserve">Navbaxor 94 231 93 00 </t>
  </si>
  <si>
    <t>IBADULLAYEVA NAZIRA ABDULLAYEVNA</t>
  </si>
  <si>
    <t xml:space="preserve">Nayman 88 606 62 65 </t>
  </si>
  <si>
    <t>JUMANAZAROVA SAIDA OLLABERGANOVNA</t>
  </si>
  <si>
    <t xml:space="preserve">Navbaxor  94 233 68 68 </t>
  </si>
  <si>
    <t>TAJIYEVA NARGIZA SHOKIROVNA</t>
  </si>
  <si>
    <t xml:space="preserve">Tozabozor 97 510 33 55  97 518 48 99 </t>
  </si>
  <si>
    <t xml:space="preserve">Nayman 99 157 89 86 </t>
  </si>
  <si>
    <t xml:space="preserve">Xayitboyeva Gulchiroy </t>
  </si>
  <si>
    <t xml:space="preserve">Ro`ziboyev Habibullo </t>
  </si>
  <si>
    <t xml:space="preserve">Sadullayeva Oydinoy </t>
  </si>
  <si>
    <t xml:space="preserve">Abdullayeva Ro`zaxon </t>
  </si>
  <si>
    <t xml:space="preserve">Xajiyev Izzat </t>
  </si>
  <si>
    <t xml:space="preserve">99 113 70 68 </t>
  </si>
  <si>
    <t xml:space="preserve">Bog`zor Armada motors </t>
  </si>
  <si>
    <t>Yusup Izzat Abdulla  Izzat</t>
  </si>
  <si>
    <t xml:space="preserve">Bog`zor Armada motors  Izzat </t>
  </si>
  <si>
    <t xml:space="preserve">Oq Oltin 99 048 10 63 </t>
  </si>
  <si>
    <t xml:space="preserve">Oltinqum 97 363 73 37 </t>
  </si>
  <si>
    <t>SAIDOVA OQILJON RAMATOVNA</t>
  </si>
  <si>
    <t>17,06,2023</t>
  </si>
  <si>
    <t>ABDULLAYEV XAYRULLA MATVAFAYEVICH</t>
  </si>
  <si>
    <t xml:space="preserve">Nurafshon 90 737 02 15 </t>
  </si>
  <si>
    <t>MATYOQUBOVA SADOQAT MATNAZAROVNA</t>
  </si>
  <si>
    <t>BABAJANOV GOFURJON ELAMANOVICH</t>
  </si>
  <si>
    <t xml:space="preserve">O`zbekiston 93 752 13 83 </t>
  </si>
  <si>
    <t>AMINOV TURABEK OCHILOVICH</t>
  </si>
  <si>
    <t xml:space="preserve">Qalajiqala 881461989 Erkavoy stat 99 755 05 41 </t>
  </si>
  <si>
    <t>JUMANAZAROVA GO‘ZALXON SHONAZAROVNA</t>
  </si>
  <si>
    <t xml:space="preserve">Ko`nabirlashuv 33 156 07 97 </t>
  </si>
  <si>
    <t>KOMILOV IZZATBEK ERGASH O‘G‘LI</t>
  </si>
  <si>
    <t xml:space="preserve">Ko`nabirlashuv 99 777 14 72 </t>
  </si>
  <si>
    <t xml:space="preserve">Gurlan </t>
  </si>
  <si>
    <t xml:space="preserve">Yarmatova Shaxlo </t>
  </si>
  <si>
    <t xml:space="preserve">Gurlan 99 624 8770   88 299 9007 Xokim yordamchi </t>
  </si>
  <si>
    <t>IBODULLAYEVA OYIMJON TOXIROVNA</t>
  </si>
  <si>
    <t xml:space="preserve">Navbaxor 99 623 27 96 </t>
  </si>
  <si>
    <t>ABDIRIMOV MAVLONBERDI OTABOYEVICH</t>
  </si>
  <si>
    <t xml:space="preserve">Navbaxor 97 178 02 97 </t>
  </si>
  <si>
    <t>RAXIMOVA ZUXRA IBRAGIMOVNA</t>
  </si>
  <si>
    <t>ESHMURATOVA SADOQAT DJUMABAYEVNA</t>
  </si>
  <si>
    <t xml:space="preserve">Navbaxor 94 235 88 34 </t>
  </si>
  <si>
    <t xml:space="preserve">Madaniyat 97 299 87 12 </t>
  </si>
  <si>
    <t>RAXIMOV DONIYOR BAXTIYOR O‘G‘LI</t>
  </si>
  <si>
    <t xml:space="preserve">Saxovat 97 790 66 95 </t>
  </si>
  <si>
    <t>YUSUPOVA GULZIRA QO‘CHQARBAYEVNA</t>
  </si>
  <si>
    <t xml:space="preserve">OQ Tepa 91 277 96 94 </t>
  </si>
  <si>
    <t>QURBONBOYEV RAJABBAY JUMABAYEVICH</t>
  </si>
  <si>
    <t xml:space="preserve">Oq Oltin MFY 99 129 07 45 </t>
  </si>
  <si>
    <t>QURIYAZOV G‘OFUR SADULLAYEVICH</t>
  </si>
  <si>
    <t xml:space="preserve">G`alaba 99 253 12 97 </t>
  </si>
  <si>
    <t>19,06,5023</t>
  </si>
  <si>
    <t xml:space="preserve">Shomurotov Zufarbek </t>
  </si>
  <si>
    <t>MATKARIMOVA NARGIZA ALLANAZAROVNA</t>
  </si>
  <si>
    <t xml:space="preserve">Bog`iston </t>
  </si>
  <si>
    <t xml:space="preserve">Bog`iston  94 315 59 16 </t>
  </si>
  <si>
    <t>SULTANOV MAVLONBEK YULDASHEVICH</t>
  </si>
  <si>
    <t xml:space="preserve">ari quromboy </t>
  </si>
  <si>
    <t>JUMANIYOZOVA ZEBO BOG‘IBEK QIZI</t>
  </si>
  <si>
    <t>ALLABERGANOV SABIRJON KAMILOVICH</t>
  </si>
  <si>
    <t xml:space="preserve">Jibbi og`a Erkin og`a 99 955 77 07 </t>
  </si>
  <si>
    <t xml:space="preserve">Ko`nabirlashuv 94 674 97 09 </t>
  </si>
  <si>
    <t xml:space="preserve">Jibbi og` a </t>
  </si>
  <si>
    <t xml:space="preserve">99 832 20 95 </t>
  </si>
  <si>
    <t xml:space="preserve">AB 5163059 </t>
  </si>
  <si>
    <t>10,02,2000</t>
  </si>
  <si>
    <t>61002007100041</t>
  </si>
  <si>
    <t>ISMOILOVA GULBAHOR BOLTAYEVNA</t>
  </si>
  <si>
    <t xml:space="preserve">Ko`nabirlashuv 94 311 90 85 </t>
  </si>
  <si>
    <t>SOBIROVA MANZURA BARGAN QIZI</t>
  </si>
  <si>
    <t xml:space="preserve">Nurli maskan 88 453 02 52 </t>
  </si>
  <si>
    <t>TAJIYEV XUSHNUD RUSTAMOVICH</t>
  </si>
  <si>
    <t xml:space="preserve">Nurafshon 97 360 49 79   5 mln berildi qolgani Rustam og`a bilan maslaxat qilinadi </t>
  </si>
  <si>
    <t xml:space="preserve">5 berdi </t>
  </si>
  <si>
    <t>RO‘ZMETOV RASHID BEKCHANOVICH</t>
  </si>
  <si>
    <t xml:space="preserve">Xonqa  91 994 77 27 </t>
  </si>
  <si>
    <t>AD 0726714</t>
  </si>
  <si>
    <t>01,11,2004</t>
  </si>
  <si>
    <t>50111047100020</t>
  </si>
  <si>
    <t xml:space="preserve">94 650 70 17 </t>
  </si>
  <si>
    <t>52802007100038</t>
  </si>
  <si>
    <t>AB6338979</t>
  </si>
  <si>
    <t>28,02,2000</t>
  </si>
  <si>
    <t>AB 6267130</t>
  </si>
  <si>
    <t>20,11,2000</t>
  </si>
  <si>
    <t>62011007100031</t>
  </si>
  <si>
    <t>AA 4183715</t>
  </si>
  <si>
    <t>02,05,1994</t>
  </si>
  <si>
    <t>30205943070027</t>
  </si>
  <si>
    <t xml:space="preserve">94 117 85 85 </t>
  </si>
  <si>
    <t>20,06,2023</t>
  </si>
  <si>
    <t>ABDIRIMOV HAYOTBEK OTABOYEVICH</t>
  </si>
  <si>
    <t xml:space="preserve">Navbaxor 88 459 22 90 </t>
  </si>
  <si>
    <t>JUMANIYAZOVA MUHAYYO KOMILJANOVNA</t>
  </si>
  <si>
    <t xml:space="preserve">Motoblok 31,8 mln </t>
  </si>
  <si>
    <t>ALIYEVA NILUFAR QADAMBAYEVNA</t>
  </si>
  <si>
    <t xml:space="preserve">Sabez matsakil  97 790 86 89 </t>
  </si>
  <si>
    <t>XUDAYBERGANOVA GULYOR QO‘CHQOROVNA</t>
  </si>
  <si>
    <t>Madaniyat 99 775 44 74</t>
  </si>
  <si>
    <t xml:space="preserve">Navbaxor 97 203 98 96 </t>
  </si>
  <si>
    <t>SULTANOVA SOXIBA BARGANOVNA</t>
  </si>
  <si>
    <t xml:space="preserve">33 mln matsakil obod </t>
  </si>
  <si>
    <t>SATIBOLDIYEV DAVLATMUROD SAMANDAROVICH</t>
  </si>
  <si>
    <t>BOLTAYEV MANSUR ALLABERGANOVICH</t>
  </si>
  <si>
    <t xml:space="preserve">Oltinqum 90 090 11 87 </t>
  </si>
  <si>
    <t>XURSANOV BAXTIYOR MUMINJONOVICH</t>
  </si>
  <si>
    <t xml:space="preserve">Urgut 93 353 30 70 </t>
  </si>
  <si>
    <t xml:space="preserve">Olimov Davron </t>
  </si>
  <si>
    <t xml:space="preserve">Ro`zmetova Shahnoza </t>
  </si>
  <si>
    <t xml:space="preserve">Aloqabank </t>
  </si>
  <si>
    <t xml:space="preserve">AA 9935818 </t>
  </si>
  <si>
    <t>01,03,1999</t>
  </si>
  <si>
    <t>40103997100019</t>
  </si>
  <si>
    <t>21,06,2023</t>
  </si>
  <si>
    <t>AA8162546</t>
  </si>
  <si>
    <t>22,09,1995</t>
  </si>
  <si>
    <t>32209953070015</t>
  </si>
  <si>
    <t>88 528 04 49</t>
  </si>
  <si>
    <t>YO‘LDOSHOV XURSHIDBEK YARASH O‘G‘LI</t>
  </si>
  <si>
    <t xml:space="preserve">Navbaxor 94 116 09 84 </t>
  </si>
  <si>
    <t>BABAJONOVA AVADON ADAMBAYEVNA</t>
  </si>
  <si>
    <t xml:space="preserve">Gulashan 99 967 23 66 </t>
  </si>
  <si>
    <t>HAYTANOV RAVSHANBEK RUSTAMBAYEVICH</t>
  </si>
  <si>
    <t>ERNAZAROVA GULIDA RAJABBAYEVNA</t>
  </si>
  <si>
    <t>TAJIYEV AZIZBEK YO‘LDOSHEVICH</t>
  </si>
  <si>
    <t xml:space="preserve">Jumaniyozova Bibimaryam </t>
  </si>
  <si>
    <t xml:space="preserve">Nurmamatov Dilshod </t>
  </si>
  <si>
    <t>AA7374444</t>
  </si>
  <si>
    <t>08,09,1998</t>
  </si>
  <si>
    <t>30809987150022</t>
  </si>
  <si>
    <t xml:space="preserve">Oq Tepa </t>
  </si>
  <si>
    <t xml:space="preserve">Oq tepa 91 571 85 61 </t>
  </si>
  <si>
    <t>22,06,2023</t>
  </si>
  <si>
    <t>BEGJONOV ILYOS XAJIBOYEVICH</t>
  </si>
  <si>
    <t xml:space="preserve">32,975 motoblok </t>
  </si>
  <si>
    <t>BAZAROV XUDOYOR OTOXON O‘G‘LI</t>
  </si>
  <si>
    <t xml:space="preserve">Ashxabod 99 966 76 85 </t>
  </si>
  <si>
    <t>JUMABAYEVA CHINIJON BOBOYEVNA</t>
  </si>
  <si>
    <t xml:space="preserve">bor </t>
  </si>
  <si>
    <t xml:space="preserve">O`zgarish 94 314 47 44 </t>
  </si>
  <si>
    <t>OBAYEV RAVSHONBEK RAJABOVICH</t>
  </si>
  <si>
    <t xml:space="preserve">Nayman 97 856 74 79 </t>
  </si>
  <si>
    <t>SOBIRBOYEVA OYGUL ALISHER QIZI</t>
  </si>
  <si>
    <t xml:space="preserve">Tozabozor 97 090 89 77 </t>
  </si>
  <si>
    <t>NORMETOV OLLAYOR YO‘LDASHEVICH</t>
  </si>
  <si>
    <t xml:space="preserve">Tozabozor 97 603 05 77 </t>
  </si>
  <si>
    <t>XUSINOV XAYRULLA IBODULLAYEVICH</t>
  </si>
  <si>
    <t xml:space="preserve">Saxovat 94 117 39 10 </t>
  </si>
  <si>
    <t xml:space="preserve">Satimov Muhammadjon </t>
  </si>
  <si>
    <t xml:space="preserve"> 99 754 02 56 </t>
  </si>
  <si>
    <t>OLIMOVA GULORA SABIRJANOVNA</t>
  </si>
  <si>
    <t xml:space="preserve">Yangiariq Qo`shloq </t>
  </si>
  <si>
    <t xml:space="preserve">Yangiariq 99 527 73 13  99 116 25 46 </t>
  </si>
  <si>
    <t>BOBOYEV IKROM QURBONDURDIYEVICH</t>
  </si>
  <si>
    <t xml:space="preserve">Ashxabod 99 779 24 54 </t>
  </si>
  <si>
    <t>KARIMOVA XULKAR BEKTURDIYEVNA</t>
  </si>
  <si>
    <t xml:space="preserve"> 
RAXIMOVA GULNORA IBRAGIMOVNA</t>
  </si>
  <si>
    <t>JUMANIYOZOVA NIGORA MASHARIPOVNA</t>
  </si>
  <si>
    <t xml:space="preserve">Ismoiloya Sevinchoy </t>
  </si>
  <si>
    <t>AD1397725</t>
  </si>
  <si>
    <t>30,07,2004</t>
  </si>
  <si>
    <t>63007047190012</t>
  </si>
  <si>
    <t>23,06,2023</t>
  </si>
  <si>
    <t>BEKCHONOV QURBONDURDI</t>
  </si>
  <si>
    <t>IBADULLAYEV FARXOD REDJEPBAYEVICH</t>
  </si>
  <si>
    <t>QALANDAROV ALI JUMABAYEVICH</t>
  </si>
  <si>
    <t xml:space="preserve">G`alaba 99 593 27 71 </t>
  </si>
  <si>
    <t>BEKIYEV XUDASHUKUR RAJABOVICH</t>
  </si>
  <si>
    <t xml:space="preserve">Nurli hayot 93 268 56 06 </t>
  </si>
  <si>
    <t>RAJAPOVA RUXIYA ISKANDAROVNA</t>
  </si>
  <si>
    <t xml:space="preserve">Xudayberganov Mustafo </t>
  </si>
  <si>
    <t>AD1782749</t>
  </si>
  <si>
    <t>23,12,2004</t>
  </si>
  <si>
    <t>52312047100038</t>
  </si>
  <si>
    <t xml:space="preserve">99 215 55 25 </t>
  </si>
  <si>
    <t xml:space="preserve">Obod   99 061 31 58 </t>
  </si>
  <si>
    <t>SULTANOVA LAYLO KO‘PALOVNA</t>
  </si>
  <si>
    <t xml:space="preserve">Saxovat 93 493 31 42 </t>
  </si>
  <si>
    <t>OTAJONOVA GULNOZA JUMANIYOZOVNA</t>
  </si>
  <si>
    <t>Navro`z 99 410 29 06</t>
  </si>
  <si>
    <t>SHUKURULLAYEVA ASALXON AXMAD QIZI</t>
  </si>
  <si>
    <t>JUMANIYOZOV OTABEK XUDOYBERDIYEVICH</t>
  </si>
  <si>
    <t xml:space="preserve">Nayman  97 511 33 50   97 602 33 50 </t>
  </si>
  <si>
    <t xml:space="preserve">Shakirov Sarvarbek </t>
  </si>
  <si>
    <t>RO‘ZMETOV G‘ULOMJON FARXODOVICH</t>
  </si>
  <si>
    <t xml:space="preserve">Navbaxor 94 233 27 85 </t>
  </si>
  <si>
    <t>ABDULLAYEV RAVSHON NORBOYEVICH</t>
  </si>
  <si>
    <t>SAIDNAZAROVA GULZIRA JUMABOYEVNA</t>
  </si>
  <si>
    <t xml:space="preserve">Soxibkor </t>
  </si>
  <si>
    <t>YAKUBOV LAZIZ QADAMBOYEVICH</t>
  </si>
  <si>
    <t xml:space="preserve">Paxtaobod </t>
  </si>
  <si>
    <t xml:space="preserve">Paxtaobod 93 468 81 70  Azizbek og`a O` zgarish doyisi </t>
  </si>
  <si>
    <t>QURBANBAYEVA UMIDA YARASHOVNA</t>
  </si>
  <si>
    <t>Uzumzor 99 347 92 10</t>
  </si>
  <si>
    <t xml:space="preserve">Oq Oltin MFY 99 425 0687 </t>
  </si>
  <si>
    <t>AC 2860732</t>
  </si>
  <si>
    <t>26,03,2004</t>
  </si>
  <si>
    <t>52603047100013</t>
  </si>
  <si>
    <t xml:space="preserve">99 063 54 13 </t>
  </si>
  <si>
    <t xml:space="preserve">Nayman 93 467 17 80 </t>
  </si>
  <si>
    <t>KARIMOVA DILFUZA XOKIM QIZI</t>
  </si>
  <si>
    <t xml:space="preserve"> Oq Tepa Jonibek og`a jak </t>
  </si>
  <si>
    <t>26,06,2023</t>
  </si>
  <si>
    <t>SOBIROV RAVSHONBEK SETMUROTOVICH</t>
  </si>
  <si>
    <t xml:space="preserve">Bobur moto 18 mln </t>
  </si>
  <si>
    <t>Navbaxor  93 406 69 70</t>
  </si>
  <si>
    <t>JUMANIYAZOVA SHAROFAT ABDULLAYEVNA</t>
  </si>
  <si>
    <t xml:space="preserve">Beruniy 99 753 41 45 </t>
  </si>
  <si>
    <t>MATNAZAROV BAXTIYOR SA’DULLA O‘G‘LI</t>
  </si>
  <si>
    <t xml:space="preserve">Masharipova Muxabbat </t>
  </si>
  <si>
    <t>BEKCHANOVA DONAJON RAVSHANBEKOVNA</t>
  </si>
  <si>
    <t xml:space="preserve">Navbaxor  99 069 30 22 </t>
  </si>
  <si>
    <t xml:space="preserve">Yangiqadam  91 428 26 37 </t>
  </si>
  <si>
    <t xml:space="preserve">O`razbayev Ibadulla  32 mln rulli </t>
  </si>
  <si>
    <t>AB6830730</t>
  </si>
  <si>
    <t>16,02,1980</t>
  </si>
  <si>
    <t>41602807180016</t>
  </si>
  <si>
    <t>27,06,2023</t>
  </si>
  <si>
    <t>AC 2570756</t>
  </si>
  <si>
    <t>02,12,2003</t>
  </si>
  <si>
    <t>50212037180016</t>
  </si>
  <si>
    <t xml:space="preserve">93 764 82 83 </t>
  </si>
  <si>
    <t>QO‘CHQOROV G‘ULOMJON QADAMBOYEVICH</t>
  </si>
  <si>
    <t xml:space="preserve">Bog`zor 97 105 83 00 </t>
  </si>
  <si>
    <t>ALLABERGANOV MURODBEK SHAMURATOVICH</t>
  </si>
  <si>
    <t xml:space="preserve">Gulashan 99 564 63 16 </t>
  </si>
  <si>
    <t>AMINOV MA’RUFJON SHERIPOVICH</t>
  </si>
  <si>
    <t xml:space="preserve">Qipchoq </t>
  </si>
  <si>
    <t xml:space="preserve">Qipchoq 97 201 02 08 </t>
  </si>
  <si>
    <t>AD0378732</t>
  </si>
  <si>
    <t>17,05,2021</t>
  </si>
  <si>
    <t>61503057100068</t>
  </si>
  <si>
    <t>97 361 69 14</t>
  </si>
  <si>
    <t>29,06,2023</t>
  </si>
  <si>
    <t xml:space="preserve">Ashxabod 94 008 21 84 </t>
  </si>
  <si>
    <t xml:space="preserve">Yangiqadam 99 317 11 14 Ollayor Qamxo`z  </t>
  </si>
  <si>
    <t xml:space="preserve">Vapayev Erkin </t>
  </si>
  <si>
    <t xml:space="preserve">  97 358 32 32  97 355 45 44  Xokim yordamchi </t>
  </si>
  <si>
    <t xml:space="preserve">To`pchi Xursand Og`a  99 421 86 72 </t>
  </si>
  <si>
    <t xml:space="preserve">To`pchi Xursand Og`a 99 458 18 16 </t>
  </si>
  <si>
    <t xml:space="preserve">Obod Armada Motors MCHJ </t>
  </si>
  <si>
    <t xml:space="preserve">Oq Oltin Armada motors MCHJ </t>
  </si>
  <si>
    <t xml:space="preserve">Navbaxor Armada motors </t>
  </si>
  <si>
    <t xml:space="preserve">Navbaxor 94 112 02 75 Jumazar og`a </t>
  </si>
  <si>
    <t>Navbaxor 94 112 02 75 Jumazar og`a</t>
  </si>
  <si>
    <t xml:space="preserve">Boynepesova Yulduz </t>
  </si>
  <si>
    <t xml:space="preserve">To`pchi 99 048 22 24 </t>
  </si>
  <si>
    <t xml:space="preserve">To`pchi  99 126 85 64 </t>
  </si>
  <si>
    <t xml:space="preserve">Oq Oltin 99 024 97 50 </t>
  </si>
  <si>
    <t>MATKARIMOVA XUMORA ISMOILOVNA</t>
  </si>
  <si>
    <t xml:space="preserve">Mehnatguli   93 712 94 10  93 784 92 06 </t>
  </si>
  <si>
    <t xml:space="preserve">To`pchi 97 792 08 20 </t>
  </si>
  <si>
    <t>To`pchi 99 576 70 88</t>
  </si>
  <si>
    <t xml:space="preserve">G`alaba 99 014 44 54 </t>
  </si>
  <si>
    <t>Г</t>
  </si>
  <si>
    <t>To`pchi 88 513 90 96</t>
  </si>
  <si>
    <t>03,07,2023</t>
  </si>
  <si>
    <t xml:space="preserve"> Nurafshon sho`ra </t>
  </si>
  <si>
    <t xml:space="preserve">Nurli Maskan 99 076 63 92 </t>
  </si>
  <si>
    <t>JUMANIYOZOVA BARNO DURDIBOYEVNA</t>
  </si>
  <si>
    <t xml:space="preserve">Nayman 97 515 03 78 </t>
  </si>
  <si>
    <t xml:space="preserve">To`pchi 95 525 01 64 </t>
  </si>
  <si>
    <t>To`pchi 97 512 27 50</t>
  </si>
  <si>
    <t xml:space="preserve">To`pchi 97 202 04 15 </t>
  </si>
  <si>
    <t>Oq Oltin</t>
  </si>
  <si>
    <t>Oq Oltin 99 220 80 40</t>
  </si>
  <si>
    <t>MATYAKUBOV XUDAYAR</t>
  </si>
  <si>
    <t xml:space="preserve">Mang`it </t>
  </si>
  <si>
    <t xml:space="preserve">99 122 05 96 </t>
  </si>
  <si>
    <t xml:space="preserve">Xonqa Znoxos </t>
  </si>
  <si>
    <t xml:space="preserve">Xonqa Znaxos 97 201 84 86 </t>
  </si>
  <si>
    <t xml:space="preserve">G`alaba 99 105 17 99 </t>
  </si>
  <si>
    <t xml:space="preserve">O`zgarish 88 606 95 35 </t>
  </si>
  <si>
    <t>XALMURATOV JAKSIBAY NIYETBAYEVICH</t>
  </si>
  <si>
    <t xml:space="preserve">Nukus Xumoyun </t>
  </si>
  <si>
    <t xml:space="preserve">91 300 79 81 </t>
  </si>
  <si>
    <t xml:space="preserve">Nulri maskan 94 037 1006 Rulli </t>
  </si>
  <si>
    <t>Uzumzor 930978124</t>
  </si>
  <si>
    <t>XUDAYBERGANOV FARRUX BAXTIYOROVICH</t>
  </si>
  <si>
    <t xml:space="preserve">Ali moto Xonqa </t>
  </si>
  <si>
    <t xml:space="preserve">To`pchi 97 362 00 06 </t>
  </si>
  <si>
    <t>QURBANOVA DILNOZA OG‘ABOYEVNA</t>
  </si>
  <si>
    <t xml:space="preserve">Nurli maskan 99 312 65 88 </t>
  </si>
  <si>
    <t xml:space="preserve">Nurmetova Ro`za </t>
  </si>
  <si>
    <t xml:space="preserve">Alimov  Sevinchbek </t>
  </si>
  <si>
    <t>AVAZOV SHUXRAT QUROMBAYEVICH</t>
  </si>
  <si>
    <t>04,07,2023</t>
  </si>
  <si>
    <t xml:space="preserve">Obod 99 502 71 32 </t>
  </si>
  <si>
    <t>RO‘ZMETOVA SALOMAT ADAMOVNA</t>
  </si>
  <si>
    <t xml:space="preserve">Nayman 97 453 53 57 </t>
  </si>
  <si>
    <t>BABAJONOV RAXIMBOY ULUG‘BEK</t>
  </si>
  <si>
    <t xml:space="preserve">Yangiariq G`ulom </t>
  </si>
  <si>
    <t xml:space="preserve">Yangiariq G`ulom 97 090 96 11 </t>
  </si>
  <si>
    <t xml:space="preserve">Nayman divijoqli moto 88 175 10 05 </t>
  </si>
  <si>
    <t>ISKANDAROVA MUBORAK SHONAZAROVNA</t>
  </si>
  <si>
    <t xml:space="preserve">Qulonqorabog` </t>
  </si>
  <si>
    <t xml:space="preserve">Qulonqarobog` 91 277 06 83 </t>
  </si>
  <si>
    <t>SHODURDIYEV MASHXURBEK BOXROMBOY O‘G‘LI</t>
  </si>
  <si>
    <t xml:space="preserve">Navro`z 99 949 99 02 </t>
  </si>
  <si>
    <t xml:space="preserve">MATLATIPOV RO‘ZIBOY ALIMBOY O‘G‘LI </t>
  </si>
  <si>
    <t xml:space="preserve">Beruniy 99 424 94 04 </t>
  </si>
  <si>
    <t>RO‘ZMETOVA IQBOL ERKINBOYEVNA</t>
  </si>
  <si>
    <t xml:space="preserve">Yangiariq 97 489 28 89  </t>
  </si>
  <si>
    <t>IBRAGIMOV QUVANDIQ ISMAILOVICH</t>
  </si>
  <si>
    <t xml:space="preserve">Mehnatguli  94 231 01 63 </t>
  </si>
  <si>
    <t>QURONBAYEVA ONAJON JUMABAYEVNA</t>
  </si>
  <si>
    <t xml:space="preserve">Nurli hayot  99 542 58 70 </t>
  </si>
  <si>
    <t>YUSUPOV SORDORBEK BEKPO‘LOTOVICH</t>
  </si>
  <si>
    <t xml:space="preserve">Madaniyat 97 202 92 67 </t>
  </si>
  <si>
    <t xml:space="preserve">Bankda rasm qo`shilgan </t>
  </si>
  <si>
    <t>Qalandarov Rustam ( Gubir )</t>
  </si>
  <si>
    <t xml:space="preserve">To`pchi 97 600 10 54 </t>
  </si>
  <si>
    <t>Qalandarov Komil ( Gubir )</t>
  </si>
  <si>
    <t xml:space="preserve">To`pchi  99 285 25 90 </t>
  </si>
  <si>
    <t xml:space="preserve">Bankdaa </t>
  </si>
  <si>
    <t xml:space="preserve">To`pchi 99 343 98 13 </t>
  </si>
  <si>
    <t>Rasm qo`shish kerak 993194989</t>
  </si>
  <si>
    <t>QURBONOV O‘TKIR KENJAYEVICH</t>
  </si>
  <si>
    <t xml:space="preserve">Oltinqum 88 142 50 06 </t>
  </si>
  <si>
    <t>MATYAQUBOVA DILFUZA BAKDURDIYEVNA</t>
  </si>
  <si>
    <t xml:space="preserve">Nurli maskan 99 501 82 14 </t>
  </si>
  <si>
    <t>MAVLANOVA O‘G‘ILJON YARASHOVNA</t>
  </si>
  <si>
    <t>O`zgarish 97 091 96 92</t>
  </si>
  <si>
    <t>KARIMOVA O‘G‘ILJON RO‘ZIMBAYEVNA</t>
  </si>
  <si>
    <t xml:space="preserve">Gulzor 93 215 30 91 </t>
  </si>
  <si>
    <t xml:space="preserve">Namuna </t>
  </si>
  <si>
    <t>Rasm qo`shish kerak 996230232</t>
  </si>
  <si>
    <t xml:space="preserve">To`pchi tel nomeri yo`q </t>
  </si>
  <si>
    <t>SAIDNAZAROVA SHOIRA JUMABOYEVNA</t>
  </si>
  <si>
    <t>XAKIMOV UMARBEK BARDIBAY O‘G‘LI</t>
  </si>
  <si>
    <t xml:space="preserve">99 716 07 51  </t>
  </si>
  <si>
    <t xml:space="preserve">tayyor </t>
  </si>
  <si>
    <t xml:space="preserve">tushdi </t>
  </si>
  <si>
    <t xml:space="preserve">Rasm yo`q 99 964 23 03 </t>
  </si>
  <si>
    <t xml:space="preserve">beruniy Birlik maxalla 99 114 24 51 </t>
  </si>
  <si>
    <t>ATADJANOV MAKSUDBEK IKRAMOVICH</t>
  </si>
  <si>
    <t xml:space="preserve">To`pchi 97 457 21 87 </t>
  </si>
  <si>
    <t>IBODULLAYEV SHUHRAT RAMATOVICH</t>
  </si>
  <si>
    <t xml:space="preserve">To`pchi 99 734 83 14 </t>
  </si>
  <si>
    <t>SAFARBOYEV MUHIDDIN SOBIROVICH</t>
  </si>
  <si>
    <t xml:space="preserve">To`pchi 97 516 03 20 </t>
  </si>
  <si>
    <t>SOBIROVA IQBOLXON SODIQJON QIZI</t>
  </si>
  <si>
    <t xml:space="preserve">MASHARIPOV MIRZOBEK AZIMBAYEVICH </t>
  </si>
  <si>
    <t>Soxibkor muzlatkich 90 725 0002</t>
  </si>
  <si>
    <t>06,07,2023</t>
  </si>
  <si>
    <t>JUMANIYAZOVA HILOLA XO‘JANIYAZOVNA</t>
  </si>
  <si>
    <t>IBODULLAYEVA SO‘NAJON MAQSUD</t>
  </si>
  <si>
    <t xml:space="preserve">Tozabozor 97 512 09 01 </t>
  </si>
  <si>
    <t>KUCHKOROVA DILRABO</t>
  </si>
  <si>
    <t xml:space="preserve">To`pchi 88 512 79 78 </t>
  </si>
  <si>
    <t>ab4774117 12,01,1999</t>
  </si>
  <si>
    <t xml:space="preserve">To`pchi 77 031 11 93 </t>
  </si>
  <si>
    <t xml:space="preserve">To`pchi 97 221 40 88 </t>
  </si>
  <si>
    <t>AB 4810487</t>
  </si>
  <si>
    <t>17,03,1999</t>
  </si>
  <si>
    <t>31703997100028</t>
  </si>
  <si>
    <t>AB 0907030</t>
  </si>
  <si>
    <t>01,01,1998</t>
  </si>
  <si>
    <t>40101987100078</t>
  </si>
  <si>
    <t xml:space="preserve">99 708 87 51 </t>
  </si>
  <si>
    <t>QURBANOVA SAYYORA QABULOVNA</t>
  </si>
  <si>
    <t xml:space="preserve">88 452 93 53 </t>
  </si>
  <si>
    <t>QUTLIMUROTOV QADAMBOY SAFARBOYEVICH</t>
  </si>
  <si>
    <t>ZARIBOV DILSHODBEK RAMAT O‘G‘LI</t>
  </si>
  <si>
    <t>Тозабозор  88 518 02 07</t>
  </si>
  <si>
    <t>OTOJONOV HAMDAM RAJABBAYEVICH</t>
  </si>
  <si>
    <t xml:space="preserve">To`pchi 99 505 94 30 </t>
  </si>
  <si>
    <t xml:space="preserve">97 201 94 00  22 bo`lishi kerak  edi lekin 23 mln chiqaqan </t>
  </si>
  <si>
    <t>BOLTAYEV RASHIDBEK ABDULLA O‘G‘LI</t>
  </si>
  <si>
    <t xml:space="preserve">33 mln chuvalchang </t>
  </si>
  <si>
    <t>07,07,2023</t>
  </si>
  <si>
    <t>00199001007000000</t>
  </si>
  <si>
    <t>YARASHOV BOBURBEK NURALI</t>
  </si>
  <si>
    <t xml:space="preserve">Razzaqberdiyeva Shirin </t>
  </si>
  <si>
    <t>AMINOVA TANZILA ULUG‘BEKOVNA</t>
  </si>
  <si>
    <t xml:space="preserve">99 960 59 62 </t>
  </si>
  <si>
    <t>BEKCHANOVA NILUFAR GANJA QIZI</t>
  </si>
  <si>
    <t>Bog`zor resurs</t>
  </si>
  <si>
    <t xml:space="preserve">bankda </t>
  </si>
  <si>
    <t>HOMIDOVA FAROG‘AT DO‘STMURODOVNA</t>
  </si>
  <si>
    <t xml:space="preserve">Saraqand urgut </t>
  </si>
  <si>
    <t xml:space="preserve">97 896 21 22 </t>
  </si>
  <si>
    <t>AA3307858</t>
  </si>
  <si>
    <t>29,12,1996</t>
  </si>
  <si>
    <t>42912967100016</t>
  </si>
  <si>
    <t>99 096 09 27</t>
  </si>
  <si>
    <t xml:space="preserve">Namangan </t>
  </si>
  <si>
    <t xml:space="preserve">  </t>
  </si>
  <si>
    <t>08,07,2023</t>
  </si>
  <si>
    <t>KALANDAROV BOTIRBOY YULDOSHOVICH</t>
  </si>
  <si>
    <t>Qoshko'pir  974522255</t>
  </si>
  <si>
    <t>Qoshko'pir</t>
  </si>
  <si>
    <t xml:space="preserve">Matkarimova Maqsuda </t>
  </si>
  <si>
    <t xml:space="preserve">Mehnatguli 94 318 37 87 </t>
  </si>
  <si>
    <t xml:space="preserve">77 036 61 01 </t>
  </si>
  <si>
    <t xml:space="preserve"> 10 mln berdi 10 mln  1 sentaybrga </t>
  </si>
  <si>
    <t xml:space="preserve">tez topish kerak </t>
  </si>
  <si>
    <t>SAIDMURATOV SIROJIDDIN FAYZULLA</t>
  </si>
  <si>
    <t xml:space="preserve">Qipchoq 97 510 82 69 </t>
  </si>
  <si>
    <t xml:space="preserve">Muzaffar og`a Xunarmand  99 347 17 63 </t>
  </si>
  <si>
    <t>10,07,2023</t>
  </si>
  <si>
    <t>MASHARIPOVA SHAXODAT QADAMBAYEVNA</t>
  </si>
  <si>
    <t xml:space="preserve">O`zgarish 97 203 48 28 </t>
  </si>
  <si>
    <t xml:space="preserve"> 2,2 mln qarz </t>
  </si>
  <si>
    <t xml:space="preserve">Boshqa odamni otiga qiladi tez o`ziga chiqmidi </t>
  </si>
  <si>
    <t>215 soliq qarz</t>
  </si>
  <si>
    <t>ALIMOVA SALIYA ADAMBAYEVNA</t>
  </si>
  <si>
    <t xml:space="preserve">Qorazbog` 93 747 01 72 </t>
  </si>
  <si>
    <t>Ustalar 886018786</t>
  </si>
  <si>
    <t>KARIMOVA SADOQAT G‘AFUROVNA</t>
  </si>
  <si>
    <t xml:space="preserve">Namuna 94 319 39 74 </t>
  </si>
  <si>
    <t>YUSUPOVA NIGORA ISMAILOVNA</t>
  </si>
  <si>
    <t>KUSHAKOVA GULSANAM NURULLAYEVNA</t>
  </si>
  <si>
    <t xml:space="preserve">Beruniy shoxrux </t>
  </si>
  <si>
    <t xml:space="preserve">32 mln rulli </t>
  </si>
  <si>
    <t>QURBANOV ISLOMBOY PO‘LATOVICH</t>
  </si>
  <si>
    <t xml:space="preserve">Navro`z  99 260 92 89 </t>
  </si>
  <si>
    <t xml:space="preserve">Shonazarov Jahongir </t>
  </si>
  <si>
    <t>QURBONOV G‘APPOR XASANOVICH</t>
  </si>
  <si>
    <t>11,07,2023</t>
  </si>
  <si>
    <t xml:space="preserve">Yangiariq 99 023 46 71  97 145 25 11 </t>
  </si>
  <si>
    <t xml:space="preserve">Yusupova Maftuna </t>
  </si>
  <si>
    <t xml:space="preserve">Odamboyeva Dilobar </t>
  </si>
  <si>
    <t>Ataxonova Ruxsora</t>
  </si>
  <si>
    <t xml:space="preserve">Raxmonov Abbosbek </t>
  </si>
  <si>
    <t>AC 1764364</t>
  </si>
  <si>
    <t>01,09,2001</t>
  </si>
  <si>
    <t>60109017100124</t>
  </si>
  <si>
    <t>AB 1284991</t>
  </si>
  <si>
    <t>02,11,1997</t>
  </si>
  <si>
    <t>30211977100041</t>
  </si>
  <si>
    <t xml:space="preserve">99 505 33 53 </t>
  </si>
  <si>
    <t>SAMANDAROVA SHAHNOZA RASULOVNA</t>
  </si>
  <si>
    <t>QURBONDURDIYEV PIRNAFAS JUMABOYEVICH</t>
  </si>
  <si>
    <t xml:space="preserve">Madaniyat 99 422 87 62 </t>
  </si>
  <si>
    <t xml:space="preserve">Saidova elmira </t>
  </si>
  <si>
    <t>BEKMETOVA SABOHAT QUVONDIQ QIZI</t>
  </si>
  <si>
    <t xml:space="preserve">Ko`nabirlashuv 99 015 55 88 </t>
  </si>
  <si>
    <t>ADAMBAYEVA GULSHANOY RUSTAMBOYEVNA</t>
  </si>
  <si>
    <t xml:space="preserve"> Bog`iston 93 139 50 61 </t>
  </si>
  <si>
    <t>ABDIKARIMOVA QIZLARGUL MATYAZOVNA</t>
  </si>
  <si>
    <t>Bog`iston 942399898</t>
  </si>
  <si>
    <t>"BOG'OT ARMADA MOTORS" MCHJ</t>
  </si>
  <si>
    <t>USNATDINOV NIZAMATDIN SHAMSHATDINOVICH</t>
  </si>
  <si>
    <t xml:space="preserve">MadaniyaT </t>
  </si>
  <si>
    <t xml:space="preserve">Madaniyat 99 041 81 40 </t>
  </si>
  <si>
    <t xml:space="preserve">2 mln naqd pulni beradi </t>
  </si>
  <si>
    <t xml:space="preserve">Xamdam usta </t>
  </si>
  <si>
    <t xml:space="preserve">Rahimov Kamolbek </t>
  </si>
  <si>
    <t>AB 0541466</t>
  </si>
  <si>
    <t>01,08,1998</t>
  </si>
  <si>
    <t>30108987100041</t>
  </si>
  <si>
    <t xml:space="preserve">97 221 77 21 </t>
  </si>
  <si>
    <t>AB 0179729</t>
  </si>
  <si>
    <t>19,06,1997</t>
  </si>
  <si>
    <t>30806977100045</t>
  </si>
  <si>
    <t>AB 4552688</t>
  </si>
  <si>
    <t>18,07,1999</t>
  </si>
  <si>
    <t>41807997100011</t>
  </si>
  <si>
    <t xml:space="preserve">91 091 32 92 </t>
  </si>
  <si>
    <t>12,07,2023</t>
  </si>
  <si>
    <t>BEKTURDIYEV UMIDBEK SHOMURAT O‘G‘LI</t>
  </si>
  <si>
    <t xml:space="preserve">Ashxabod 99 242 38 09 </t>
  </si>
  <si>
    <t>KARIMOV ZOKIR EGAMOVICH</t>
  </si>
  <si>
    <t xml:space="preserve">Xonqa Nurafshon </t>
  </si>
  <si>
    <t xml:space="preserve">Xonqa 94 821 76 46 </t>
  </si>
  <si>
    <t>JUMABAYEVA GULNOZA SAFABAYEVNA (ABDURAXMANOV ERKIN RAJABOVICH)</t>
  </si>
  <si>
    <t xml:space="preserve">Gulzor 93 466 42 77 </t>
  </si>
  <si>
    <t>ABDURAXMANOV ZOKIRJON ATAJANOVICH</t>
  </si>
  <si>
    <t>MASHARIPOVA ZUMRAD NURULLAYEVNA</t>
  </si>
  <si>
    <t xml:space="preserve">Ko`nabirlashuv 94 239 97 04 </t>
  </si>
  <si>
    <t>LATIPOV NURADDIN MADAMINOVICH</t>
  </si>
  <si>
    <t xml:space="preserve">Ashxobod 99 105 53 07 </t>
  </si>
  <si>
    <t xml:space="preserve">Ashxobod 99 251 16 57 </t>
  </si>
  <si>
    <t xml:space="preserve">Mavlonov Bekzod </t>
  </si>
  <si>
    <t>13,07,2023</t>
  </si>
  <si>
    <t>AXMEDOV BEKZOD BAXTIYOR O‘G‘LI</t>
  </si>
  <si>
    <t xml:space="preserve"> Ашхабод     99 285 02 13</t>
  </si>
  <si>
    <t xml:space="preserve">Yangiariq 97 766 34 10 </t>
  </si>
  <si>
    <t>ABDULLAYEV SHONAZAR SHOMUROTOVICH</t>
  </si>
  <si>
    <t xml:space="preserve">Nurafshon 99 551 57 35 </t>
  </si>
  <si>
    <t xml:space="preserve">tez muammo </t>
  </si>
  <si>
    <t>AB 6338999</t>
  </si>
  <si>
    <t>18,03,1999</t>
  </si>
  <si>
    <t>41803997100026</t>
  </si>
  <si>
    <t xml:space="preserve"> 94 310 80 70 </t>
  </si>
  <si>
    <t>14,07,2023</t>
  </si>
  <si>
    <t>MADRIMOV ELYOR BAXODIROVICH</t>
  </si>
  <si>
    <t>Боғзор 93 317 12 31</t>
  </si>
  <si>
    <t>RO‘ZMETOV TOHIR ALLABERGANOVICH</t>
  </si>
  <si>
    <t>MATNAZAROV XOSHIMJON MATYAQUBOVICH</t>
  </si>
  <si>
    <t>JUMANAZAROV FARHOD BOLTAYEVICH</t>
  </si>
  <si>
    <t xml:space="preserve">Ustalar 88 362 15 64 </t>
  </si>
  <si>
    <t xml:space="preserve">Bog`zor 88 601 52 53 </t>
  </si>
  <si>
    <t xml:space="preserve">Bog`zor 97 092 06 92 </t>
  </si>
  <si>
    <t>Ashxobod sho`ra 99 966 7381</t>
  </si>
  <si>
    <t>OQ OLTIN XUGO MOTORS</t>
  </si>
  <si>
    <t>BOG'OT ARMADA MOTORS</t>
  </si>
  <si>
    <t>MAMATDURDIYEV OG‘ABEK TIRKASHBOY O‘G‘LI</t>
  </si>
  <si>
    <t xml:space="preserve">Qalajiqala 99 293 53 58   99 124 53 33 </t>
  </si>
  <si>
    <t xml:space="preserve">qaytardi </t>
  </si>
  <si>
    <t xml:space="preserve">Yangiariq 97 452 57 54 </t>
  </si>
  <si>
    <t>YULDASHEVA MUNIRA MUROD QIZI</t>
  </si>
  <si>
    <t xml:space="preserve"> 99 951 71 51 </t>
  </si>
  <si>
    <t xml:space="preserve">ratcho`t </t>
  </si>
  <si>
    <t>17,07,2023</t>
  </si>
  <si>
    <t xml:space="preserve">Ollaberganova Shukurjon Obod gazel </t>
  </si>
  <si>
    <t xml:space="preserve">90 578 19 85  99 424 67 88 </t>
  </si>
  <si>
    <t>XUDOYBERGANOV JO‘RABEK QO‘ZIBOYEVICH</t>
  </si>
  <si>
    <t>Gulshan 99 194 1085</t>
  </si>
  <si>
    <t>NURULLAYEVA NIGORA AXMEDOVNA</t>
  </si>
  <si>
    <t xml:space="preserve">Gulshan 99 701 10 56 </t>
  </si>
  <si>
    <t>XUDAKOV JALIL ALIMBAYEVICH</t>
  </si>
  <si>
    <t xml:space="preserve">Yangqadam 99 253 96 80 </t>
  </si>
  <si>
    <t>QULMETOV HAMDAM RO‘ZIBAYEVICH</t>
  </si>
  <si>
    <t xml:space="preserve">Bog`iston 93 065 41 80 </t>
  </si>
  <si>
    <t xml:space="preserve">Nurli maskan 33 640 87 88 Izzatni qarindoshi </t>
  </si>
  <si>
    <t xml:space="preserve">naqd berdi </t>
  </si>
  <si>
    <t>XUDAYBERGANOV NODIRBEK AMINBOY O‘G‘LI</t>
  </si>
  <si>
    <t xml:space="preserve">Ashxobod 99 434 99 20 </t>
  </si>
  <si>
    <t>BEKTURDIYEVA NIGORA QALANDAROVNA</t>
  </si>
  <si>
    <t xml:space="preserve">26 mln moto </t>
  </si>
  <si>
    <t>XO‘JANIYAZOVA MAFTUNA SHONAZAROVNA</t>
  </si>
  <si>
    <t xml:space="preserve">Gulshan 88 856 46 96 </t>
  </si>
  <si>
    <t xml:space="preserve">ABDULLAYEVA UMIDA MATNAZAROVNA </t>
  </si>
  <si>
    <t xml:space="preserve">17,07,2023  1 mln berildi </t>
  </si>
  <si>
    <t xml:space="preserve">Raximova Fazilat </t>
  </si>
  <si>
    <t xml:space="preserve">Saxovat 97 856 26 66 </t>
  </si>
  <si>
    <t>Солик тури</t>
  </si>
  <si>
    <t>яс</t>
  </si>
  <si>
    <t>к</t>
  </si>
  <si>
    <t>ккс</t>
  </si>
  <si>
    <t>18,07,2023</t>
  </si>
  <si>
    <t>ABDALOV GANJABAY OLIMOVICH</t>
  </si>
  <si>
    <t xml:space="preserve">xonqa </t>
  </si>
  <si>
    <t xml:space="preserve">Quromboy </t>
  </si>
  <si>
    <t>XUSAINOV ASADBEK JO‘SHQIN O‘G‘LI</t>
  </si>
  <si>
    <t>JUMANIYAZOV DIYORBEK AXMEDJON O‘G‘LI</t>
  </si>
  <si>
    <t>ABDULLAEV DAULET MARAT ULI</t>
  </si>
  <si>
    <t>qara</t>
  </si>
  <si>
    <t xml:space="preserve">Jo`rabek 33 mln moto </t>
  </si>
  <si>
    <t>RAIMBERGANOV BEHZOD BAXODIR O‘G‘LI</t>
  </si>
  <si>
    <t xml:space="preserve">Nurli Xayot 93 542 52 66 </t>
  </si>
  <si>
    <t>MASHARIPOV OLIMBOY BEKCHONOVICH</t>
  </si>
  <si>
    <t xml:space="preserve">Ashxabod 99 331 43 50 </t>
  </si>
  <si>
    <t xml:space="preserve"> Pasport dalniysi yo`q </t>
  </si>
  <si>
    <t xml:space="preserve">Nayman  97 453 38 78  Sobirjon   97 458 02 83 </t>
  </si>
  <si>
    <t xml:space="preserve">Olmijak Elyor hal qiladi didi </t>
  </si>
  <si>
    <t>YUSUPOV OLLABERGAN AXMEDOVICH</t>
  </si>
  <si>
    <t>Navro`z 99 267 17 47</t>
  </si>
  <si>
    <t xml:space="preserve">Samandarov Qudrat </t>
  </si>
  <si>
    <t xml:space="preserve">Matyaqubiva Shaxlo </t>
  </si>
  <si>
    <t>AA6602956</t>
  </si>
  <si>
    <t>07,06,1997</t>
  </si>
  <si>
    <t>30706977150049</t>
  </si>
  <si>
    <t>97 092 18 90</t>
  </si>
  <si>
    <t>AB8932377</t>
  </si>
  <si>
    <t>14,01,1976</t>
  </si>
  <si>
    <t>41401763070036</t>
  </si>
  <si>
    <t xml:space="preserve">97 361 69 14 </t>
  </si>
  <si>
    <t xml:space="preserve">Matmurotova Dilfuza </t>
  </si>
  <si>
    <t>19,07,2023</t>
  </si>
  <si>
    <t xml:space="preserve">Rasulbek Qipchoq </t>
  </si>
  <si>
    <t>AB 5867299</t>
  </si>
  <si>
    <t>17,02,1998</t>
  </si>
  <si>
    <t>41702987100049</t>
  </si>
  <si>
    <t>IBODULLAYEVA SHODIYA SHAVKAT QIZI</t>
  </si>
  <si>
    <t xml:space="preserve">Ro`zmetova Go`zal </t>
  </si>
  <si>
    <t xml:space="preserve">Qipchoq 94 235 80 10 </t>
  </si>
  <si>
    <t>SAPAYEV RUSTAM BARDIYEVICH</t>
  </si>
  <si>
    <t xml:space="preserve">Nurafshon 91 429 61 89 </t>
  </si>
  <si>
    <t>AA3574628</t>
  </si>
  <si>
    <t>10,02,1995</t>
  </si>
  <si>
    <t>41002953070016</t>
  </si>
  <si>
    <t xml:space="preserve">97 361 29 99 </t>
  </si>
  <si>
    <t>AMINOV NURADDIN NURULLA O‘G‘LI</t>
  </si>
  <si>
    <t>XUDASHKUROVA GULMIRA G‘ARIBJONOVNA</t>
  </si>
  <si>
    <t xml:space="preserve">Gulzor  94 311 83 21 </t>
  </si>
  <si>
    <t xml:space="preserve">19,07,2023 rasm kerak </t>
  </si>
  <si>
    <t xml:space="preserve">19,07,2023 Divijoq qo`yildi rasm </t>
  </si>
  <si>
    <t xml:space="preserve">19,07,2023 rasmni bugun qo`shadi </t>
  </si>
  <si>
    <t>SADULLAYEVA SABOHAT QADAMBAYEVNA</t>
  </si>
  <si>
    <t xml:space="preserve">Tozabozor 88 299 08 89 </t>
  </si>
  <si>
    <t>AA3891098</t>
  </si>
  <si>
    <t>29,05,1977</t>
  </si>
  <si>
    <t>32905977100018</t>
  </si>
  <si>
    <t xml:space="preserve">Nodira Xokim yordamchi </t>
  </si>
  <si>
    <t xml:space="preserve">Bog`zor 88 606 11 93  99 743 00 55 </t>
  </si>
  <si>
    <t>ATADJONOVA SAIDA KAMULJONOVNA</t>
  </si>
  <si>
    <t xml:space="preserve">O`zgarish 88 202 64 04 </t>
  </si>
  <si>
    <t>AA 6675252</t>
  </si>
  <si>
    <t>10,06,1998</t>
  </si>
  <si>
    <t>41006987100013</t>
  </si>
  <si>
    <t>SAFARBOYEV SHUXRATBEK MANSURBEK O‘G‘LI</t>
  </si>
  <si>
    <t>Beruniy 97 603 36 66  90 725 91 77  91 380 86 91</t>
  </si>
  <si>
    <t xml:space="preserve">Qorabog`  93 488 74 19 </t>
  </si>
  <si>
    <t xml:space="preserve">94 315 69 32 </t>
  </si>
  <si>
    <t>RO‘ZIBOYEV ALISHER JUMANAZAROVICH</t>
  </si>
  <si>
    <t xml:space="preserve">Olaja </t>
  </si>
  <si>
    <t>XOLMURODOVA JASMINA ABDUVALI QIZI</t>
  </si>
  <si>
    <t xml:space="preserve">Jonibek og`a </t>
  </si>
  <si>
    <t>SHARIPOVA ILMIRA RAXIMOVNA</t>
  </si>
  <si>
    <t>21,07,2023</t>
  </si>
  <si>
    <t xml:space="preserve">Quryazov Anarxon </t>
  </si>
  <si>
    <t>SAIDOVA SOHIBA OLLOYOROVNA</t>
  </si>
  <si>
    <t>MASHARIPOVA SHIRIN YUSUPBOYEVNA</t>
  </si>
  <si>
    <t>Saxovat 93 741 77 76</t>
  </si>
  <si>
    <t>JUMANIYAZOV YARASH ISKANDAROVICH</t>
  </si>
  <si>
    <t xml:space="preserve">Nurafshon 99 410 46 34 </t>
  </si>
  <si>
    <t xml:space="preserve">Iskandarova Marjona </t>
  </si>
  <si>
    <t>BALTAYEV BAG‘IBEK KALANDAROVICH</t>
  </si>
  <si>
    <t xml:space="preserve">Eldor </t>
  </si>
  <si>
    <t>AA8161382</t>
  </si>
  <si>
    <t>29,07,1980</t>
  </si>
  <si>
    <t>42907807100014</t>
  </si>
  <si>
    <t xml:space="preserve">99 502 75 72 </t>
  </si>
  <si>
    <t>AC 1648863</t>
  </si>
  <si>
    <t>30,10,2002</t>
  </si>
  <si>
    <t>63010027150030</t>
  </si>
  <si>
    <t xml:space="preserve">97 092 18 90 </t>
  </si>
  <si>
    <t>ABDURAYIMOV BAXTIYOR SOYIPJONOVICH</t>
  </si>
  <si>
    <t xml:space="preserve">Qaxramon og`ada nomeri </t>
  </si>
  <si>
    <t xml:space="preserve">qaytdi </t>
  </si>
  <si>
    <t xml:space="preserve">Ashxobod  </t>
  </si>
  <si>
    <t>ESHNIYOZOVA SEVINCHOY RAVSHANBEK QIZI</t>
  </si>
  <si>
    <t>Ogoxiy  94 115 82 60</t>
  </si>
  <si>
    <t>24,07,2023</t>
  </si>
  <si>
    <t>MAMATOV SHENNAZAR XXX</t>
  </si>
  <si>
    <t>Найман  93 281 57 61</t>
  </si>
  <si>
    <t>SAIDOVA MAVLUDA ERGASHOVNA</t>
  </si>
  <si>
    <t xml:space="preserve">Наврўз  93 09 096 97 </t>
  </si>
  <si>
    <t>KALANDAROV QAHRAMON SHOKIRJANOVICH</t>
  </si>
  <si>
    <t>ESHNIYOZOV OTABEK RO‘ZIBOYEVICH</t>
  </si>
  <si>
    <t xml:space="preserve">Ashxobod 94 258 77 25 </t>
  </si>
  <si>
    <t>YO‘LDASHOV SARDORBEK QUVONDIQ O‘G‘LI</t>
  </si>
  <si>
    <t xml:space="preserve">Yosh o`smir 94 795 05 97 </t>
  </si>
  <si>
    <t>30809883070015</t>
  </si>
  <si>
    <t>Олтин кўл 15</t>
  </si>
  <si>
    <t>42209997100045</t>
  </si>
  <si>
    <t>Зулфия 19</t>
  </si>
  <si>
    <t>32304853070111</t>
  </si>
  <si>
    <t>Aminova Muxtarama</t>
  </si>
  <si>
    <t xml:space="preserve">Mirzoxid og`a 93 746 00 79 </t>
  </si>
  <si>
    <t>QUTLIMURATOV FAXRIDDIN SAPARBAY O‘G‘LI</t>
  </si>
  <si>
    <t xml:space="preserve">Ashxabod 77 022 50 17 </t>
  </si>
  <si>
    <t>MATYOQUBOV ASADBEK KO‘PAL O‘G‘LI</t>
  </si>
  <si>
    <t>Ойдин ҳаёт</t>
  </si>
  <si>
    <t xml:space="preserve">Ойдин ҳаёт 97 741 81 41 </t>
  </si>
  <si>
    <t>BAXTIYOROV JAHONGIR MANSURBEK O‘G‘LI</t>
  </si>
  <si>
    <t xml:space="preserve">Fermer Xursand og`a 97 362 00 06 </t>
  </si>
  <si>
    <t>Nurli X06 yot 90 090 14 06</t>
  </si>
  <si>
    <t xml:space="preserve">Xonqa Olaja </t>
  </si>
  <si>
    <t xml:space="preserve">Olaja benzin 97 097 23 56 </t>
  </si>
  <si>
    <t>ARMADA MINI HAUSE</t>
  </si>
  <si>
    <t>TAJIYEVA SAIDA MATYAQUBOVNA</t>
  </si>
  <si>
    <t>Gulzor 941198813</t>
  </si>
  <si>
    <t>ANIYOZOVA BIVIJON FARHADOVNA</t>
  </si>
  <si>
    <t xml:space="preserve">Navbaxor 91 985 29 06 </t>
  </si>
  <si>
    <t>29367258 ( 74824552)</t>
  </si>
  <si>
    <t xml:space="preserve">10 mln naqd berdi </t>
  </si>
  <si>
    <t>DAVLETOV DONIYORBEK OTONAZAROVICH ( XO‘JANIYOZOVA NODIRA SHAMUROTOVNA)</t>
  </si>
  <si>
    <t>54127522(12276952)</t>
  </si>
  <si>
    <t>MATKARIMOVA UMIDA RAJABOVNA</t>
  </si>
  <si>
    <t xml:space="preserve">Namuna  </t>
  </si>
  <si>
    <t>QORRIBOYEVA NASIBA SOBUROVNA</t>
  </si>
  <si>
    <t xml:space="preserve">Tozabozor  97 360 26 76 </t>
  </si>
  <si>
    <t>RAHMONOV SADULLA RAZZAQOVICH</t>
  </si>
  <si>
    <t xml:space="preserve">Jo`shqin og` a 13 mln matsakil </t>
  </si>
  <si>
    <t>28,07,2023</t>
  </si>
  <si>
    <t>SAIDMURATOVA GULBAHOR AMINBOYEVNA</t>
  </si>
  <si>
    <t xml:space="preserve">Bog`iston 994297282  93 753 85 83 </t>
  </si>
  <si>
    <t>OTAJONOV JAVLON OTABEKOVICH</t>
  </si>
  <si>
    <t xml:space="preserve">Ashxabod 93 865 01 70 </t>
  </si>
  <si>
    <t xml:space="preserve">Navro`z  77 006 94 00  93 756 94 00 </t>
  </si>
  <si>
    <t>DURDIYEVA SEVARA XUDAYBERGANOVNA</t>
  </si>
  <si>
    <t xml:space="preserve">olimboy chiyon </t>
  </si>
  <si>
    <t>23 mln chiyon</t>
  </si>
  <si>
    <t>29,07,2023</t>
  </si>
  <si>
    <t>ABDIKARIMOV AZAD BOTIROVICH</t>
  </si>
  <si>
    <t xml:space="preserve">Qipchoq MFY 33 mln motobolk </t>
  </si>
  <si>
    <t xml:space="preserve"> 
DILMANOVA RAMUZA BEKMURATOVNA</t>
  </si>
  <si>
    <t xml:space="preserve">Xumoyun </t>
  </si>
  <si>
    <t xml:space="preserve">Xudashkurov Davron </t>
  </si>
  <si>
    <t xml:space="preserve">Найман  88 451 62 51  350 ming tashlaydi </t>
  </si>
  <si>
    <t xml:space="preserve">SADULLAYEV AVAZMAT DURDIYEVICH </t>
  </si>
  <si>
    <t xml:space="preserve">Fozil og`a Agrobank </t>
  </si>
  <si>
    <t>MATYOQUBOV DAVRONBEK</t>
  </si>
  <si>
    <t xml:space="preserve">Qalajiqala 99 031 79 09  91 949 56 99 </t>
  </si>
  <si>
    <t>QURBONOVA NASIBA OG‘ABOYEVNA</t>
  </si>
  <si>
    <t xml:space="preserve">Mehnatguli 94 657 51 91 </t>
  </si>
  <si>
    <t>ISMAILOV XURSAND</t>
  </si>
  <si>
    <t xml:space="preserve">Elliqala 88 333 38 39 </t>
  </si>
  <si>
    <t>DAVLETOVA YEKATERINA</t>
  </si>
  <si>
    <t xml:space="preserve">Tozabozor 99 968 82 06 </t>
  </si>
  <si>
    <t>RO‘ZIBOYEV KAMRONBEK OTABEK O‘G‘LI</t>
  </si>
  <si>
    <t xml:space="preserve">Ko`nabirlashuv  93 090 97 44 </t>
  </si>
  <si>
    <t>MAVLANOV MASHXURBEK XAYITBOYEVICH</t>
  </si>
  <si>
    <t xml:space="preserve"> Temur og`a 99 079 08 08 </t>
  </si>
  <si>
    <t xml:space="preserve">OTAXONOVA SHALOLA PIRNAFAS QIZI </t>
  </si>
  <si>
    <t xml:space="preserve">Navbaxor 99 419 04 59  94 237 67 91 </t>
  </si>
  <si>
    <t>MUXAMMETOVA NIGORA RUSTAMOVNA</t>
  </si>
  <si>
    <t xml:space="preserve">To`pchi 88 362 13 53  88 600 10 55  </t>
  </si>
  <si>
    <t>MATKARIMOVA MUBORAK RAJABBAYEVNA</t>
  </si>
  <si>
    <t xml:space="preserve">Navbaxor 97 709 55 88 </t>
  </si>
  <si>
    <t>ABDULLAYEV OLLABERGAN TO‘XTABOYEVICH</t>
  </si>
  <si>
    <t xml:space="preserve">Beruniy Shoxrux </t>
  </si>
  <si>
    <t>DAVLATOVA QUVONCH XASANOVNA</t>
  </si>
  <si>
    <t xml:space="preserve">Madaniyat 22 mln madaniyat </t>
  </si>
  <si>
    <t>QOBULOVA XURSHIDA AXMEDOVNA</t>
  </si>
  <si>
    <t xml:space="preserve">Nurli maskan 99 576 82 09  99 387 66 60 </t>
  </si>
  <si>
    <t>SULTANOVA SANOBAR YULDASHEVNA</t>
  </si>
  <si>
    <t xml:space="preserve">Quromboy qursdodh </t>
  </si>
  <si>
    <t>MUMINOVA DILDOR ALIKULOVNA</t>
  </si>
  <si>
    <t xml:space="preserve">Qarqadaryo Ko`kdala 99 663 56 23  91 320 23 56 </t>
  </si>
  <si>
    <t>QO‘CHQAROV QADAM AXMEDOVICH</t>
  </si>
  <si>
    <t xml:space="preserve">Qalajiqala 88 526 04 66  88 299 49 43 </t>
  </si>
  <si>
    <t>BOBOYOZOVA GAVHARJON HOJIYEVNA</t>
  </si>
  <si>
    <t xml:space="preserve"> 
SADULLAYEVA XURSANDOY ATAJANOVNA</t>
  </si>
  <si>
    <t xml:space="preserve">O`dakov Xushnud </t>
  </si>
  <si>
    <t xml:space="preserve">Bog`ibek og`a 97 516 36 04 </t>
  </si>
  <si>
    <t xml:space="preserve">Nurafshon 99 775 30 66  99 041 42 10 </t>
  </si>
  <si>
    <t>AA 7806084  04,12,1977</t>
  </si>
  <si>
    <t xml:space="preserve">Oktyabrda bersa 19 mln </t>
  </si>
  <si>
    <t xml:space="preserve">Nurli hayot 94 231 17 98   94 200 46 26 </t>
  </si>
  <si>
    <t>RAXIMOV RAMATJON SADULLAYEVICH</t>
  </si>
  <si>
    <t xml:space="preserve">Karimboy Sabez </t>
  </si>
  <si>
    <t xml:space="preserve">Komil axran </t>
  </si>
  <si>
    <t xml:space="preserve">Bog`ibek og`a 90 951 59 41 </t>
  </si>
  <si>
    <t xml:space="preserve">Bog`ibek og`a 97 526 96 60 </t>
  </si>
  <si>
    <t>07,08,2023</t>
  </si>
  <si>
    <t>JUMANAZAROVA MAHFUZA YAQUPBAYEVNA</t>
  </si>
  <si>
    <t xml:space="preserve">Nurli maskan 33 043 87 44  95 774 22 27 </t>
  </si>
  <si>
    <t>XOLMAMATOV JONIBEK URALOVICH</t>
  </si>
  <si>
    <t>RAJABOV ISROILBEK ISKANDAROVICH</t>
  </si>
  <si>
    <t>SAIDMUROTOV JUMYAZ NAZAROVICH</t>
  </si>
  <si>
    <t xml:space="preserve">G`alaba 99 108 93 21   99 108 93 21 </t>
  </si>
  <si>
    <t>DOSMAXANOV DJETKERBAY KENJAYEVICH</t>
  </si>
  <si>
    <t xml:space="preserve">Shoxrux beruniy </t>
  </si>
  <si>
    <t xml:space="preserve"> Beruniy  973556419 99 959 69 99</t>
  </si>
  <si>
    <t xml:space="preserve">Ko`kdala 91 320 23 56   88 8020813 </t>
  </si>
  <si>
    <t>UDABOYEVA SEVARA JIYANBOYEVNA</t>
  </si>
  <si>
    <t xml:space="preserve">To`pchi 97 608 05 53  97 518 05 52 </t>
  </si>
  <si>
    <t>XONNAZAROVA DILFUZA GANJAYEVNA</t>
  </si>
  <si>
    <t xml:space="preserve">Nurli hayot  93 933 26 98 </t>
  </si>
  <si>
    <t>ATAJONOVA ROZAXON OTOBOY QIZI</t>
  </si>
  <si>
    <t>Nurafshon  935099396</t>
  </si>
  <si>
    <t xml:space="preserve">15 sentyabr 18 mln </t>
  </si>
  <si>
    <t xml:space="preserve">Benzin </t>
  </si>
  <si>
    <t xml:space="preserve">armada </t>
  </si>
  <si>
    <t>08,08,2023</t>
  </si>
  <si>
    <t xml:space="preserve">G`ulom  97 527 14 65   94 626 65 56 </t>
  </si>
  <si>
    <t>HAQBERDIYEV BUNYOD RAZZOQOVICH</t>
  </si>
  <si>
    <t>Qashqadaryo Muborak 883129092  XY 914654154</t>
  </si>
  <si>
    <t xml:space="preserve">Qashqadaryo Muborak </t>
  </si>
  <si>
    <t>RAXIMOVA AYSHA YULDASHOVNA (Ernazarov Ruslan )</t>
  </si>
  <si>
    <t>ABDULLAYEV SHERZOD SHUKURULLAYEVICH</t>
  </si>
  <si>
    <t xml:space="preserve">Beruniy Birlik mfy </t>
  </si>
  <si>
    <t>RO‘ZIBOYEV USMONJON ABDULLAYEVICH</t>
  </si>
  <si>
    <t xml:space="preserve">Yuksalish </t>
  </si>
  <si>
    <t xml:space="preserve">Yuksalish 33 094 12 62 </t>
  </si>
  <si>
    <t>TOJIBOYEVA MUXABBAT SHODURDIYEVNA</t>
  </si>
  <si>
    <t>XUDAYBERGANOVA LENINIZA RO‘ZIBAYEVNA  (Tojiboyeva Muqaddas )</t>
  </si>
  <si>
    <t>XALLIYEVA LAYLA XUDAYBERGENOVNA</t>
  </si>
  <si>
    <t>GURJIYEVA SHAYDAGUL KURBANBAYEVNA</t>
  </si>
  <si>
    <t>RAXMONOV XUSNIDDIN OTAGALDIYEVICH</t>
  </si>
  <si>
    <t xml:space="preserve">Muxtor og`a markaz </t>
  </si>
  <si>
    <t>ESHYAZOV ULUG‘BEK HAKIMBAYEVICH</t>
  </si>
  <si>
    <t xml:space="preserve">Yuksalish 91 426 84 95 </t>
  </si>
  <si>
    <t>ABDULLAYEVA HALIMA IKROM QIZI</t>
  </si>
  <si>
    <t xml:space="preserve">Ergash og`ani tanishi  97 456 10 62 </t>
  </si>
  <si>
    <t>POLVONOV ANVAR TOYIROVICH</t>
  </si>
  <si>
    <t xml:space="preserve">Murodjon Og`a </t>
  </si>
  <si>
    <t>09,08,2023</t>
  </si>
  <si>
    <t>ATANAZAROV DIYORBEK BAXTIYOR O‘G‘LI</t>
  </si>
  <si>
    <t>NAJIMOV UMIDJON XXX</t>
  </si>
  <si>
    <t>FAYZIYEV ORIFJON NAJMITDINOVICH</t>
  </si>
  <si>
    <t xml:space="preserve">Samarqand Loyish 99 021 26 34 </t>
  </si>
  <si>
    <t xml:space="preserve">Gurlan 97 452 09 93  </t>
  </si>
  <si>
    <t>MATCHANOVA MALOHAT OLLANAZAROVNA (MATCHONOV OTAXON OLLANAZAROVICH)</t>
  </si>
  <si>
    <t>79876964 (92694277)</t>
  </si>
  <si>
    <t>XALMURATOV BAXADIR AZATBAYEVICH</t>
  </si>
  <si>
    <t>XAMRAYEVA SHOHSANAM ABDIRIMOVNA (ANNAYEV INOMJON MASHARIPOVICH)</t>
  </si>
  <si>
    <t>10,08,2023</t>
  </si>
  <si>
    <t>OTABOYEVA GULNOZA BOBOXON QIZI</t>
  </si>
  <si>
    <t xml:space="preserve">kluch eldorni kompyuterinda </t>
  </si>
  <si>
    <t>ABDURAXMANOV RO‘ZIBAY RAJABBAYEVICH</t>
  </si>
  <si>
    <t xml:space="preserve">Oqtepa 91 427 94 89  97 525 11 56 </t>
  </si>
  <si>
    <t xml:space="preserve">Mang`it 93 846 08 90   93 485 98 03 Rashid xokim yordam </t>
  </si>
  <si>
    <t>RAXIMBOYEV MURODJON SHUHRATOVICH</t>
  </si>
  <si>
    <t xml:space="preserve">Bo`ka </t>
  </si>
  <si>
    <t xml:space="preserve">Bo`ka  94 238 38 23  benzin </t>
  </si>
  <si>
    <t>ABDULLAYEVA XURMATJON BAXTIYOROVNA</t>
  </si>
  <si>
    <t xml:space="preserve">Rustam og`a sohibkor </t>
  </si>
  <si>
    <t>AVEZOV ULUG‘BEK O‘KTAMOVICH</t>
  </si>
  <si>
    <t xml:space="preserve">Nodir darcha </t>
  </si>
  <si>
    <t>JABBOROV JAVOXIR BAXODIR O‘G‘LI</t>
  </si>
  <si>
    <t>Samarqand toyloq</t>
  </si>
  <si>
    <t>Samarqand toyloq 97 9219177</t>
  </si>
  <si>
    <t>MATYOQUBOVA IQBOL QUROMBOYEVNA</t>
  </si>
  <si>
    <t>11,08,2023</t>
  </si>
  <si>
    <t>RO‘ZMETOV PO‘LAT RAXIMOVICH</t>
  </si>
  <si>
    <t xml:space="preserve">Nurafshon Xonzoda </t>
  </si>
  <si>
    <t>MATMURATOVA TABASSUM HAYITBAYEVNA</t>
  </si>
  <si>
    <t xml:space="preserve">4 xala 1 kon </t>
  </si>
  <si>
    <t xml:space="preserve">O`zbekiston 99 083 00 44 </t>
  </si>
  <si>
    <t>UBAYDULLAYEV ALISHER RUSTAMOVICH</t>
  </si>
  <si>
    <t xml:space="preserve">Qashqadaryo 94 528 07 69 </t>
  </si>
  <si>
    <t xml:space="preserve">qashqadaryo Muborak </t>
  </si>
  <si>
    <t xml:space="preserve">Charyorova Zebo </t>
  </si>
  <si>
    <t>AC 0790074   10,08,1981</t>
  </si>
  <si>
    <t xml:space="preserve">Yangiariq 94 237 71 81 </t>
  </si>
  <si>
    <t>MAXMUDOV BAXODIR XOYITBOYEVICH</t>
  </si>
  <si>
    <t xml:space="preserve">apamni chiqanini eri </t>
  </si>
  <si>
    <t xml:space="preserve">O`zbekiston  94 112 01 59  99 942 82 51 </t>
  </si>
  <si>
    <t>DOSIMOV DILSHOD FARXADDINOVICH</t>
  </si>
  <si>
    <t xml:space="preserve">Turtkul97 507 27 67  </t>
  </si>
  <si>
    <t>MADRIMOVA MAMAJAN ATABAYEVNA</t>
  </si>
  <si>
    <t xml:space="preserve">Yangiariq 99 960 90 54 </t>
  </si>
  <si>
    <t xml:space="preserve">1 mln ko`p tushdi zapaska balon bo`lishi mumkin </t>
  </si>
  <si>
    <t>AHMADOV ERKABOY SULTANOVICH</t>
  </si>
  <si>
    <t>12,08,2023</t>
  </si>
  <si>
    <t xml:space="preserve">Gulshan 99 210 55 82 </t>
  </si>
  <si>
    <t>Navbaxor 88 600 21 31  97 515 25 95</t>
  </si>
  <si>
    <t>BEKJONOV SHAVKATJON HO‘SINBOY O‘G‘LI</t>
  </si>
  <si>
    <t xml:space="preserve">Nayman 88 792 81 80 </t>
  </si>
  <si>
    <t xml:space="preserve">Qo`shko`pir </t>
  </si>
  <si>
    <t xml:space="preserve">Qo`shko`pir   93 244 21 09   93 144 21 59     97 457 30 06  Qadamboy  93 469 49 59  shu topib beradi </t>
  </si>
  <si>
    <t xml:space="preserve">Shoxruxdan ketgan </t>
  </si>
  <si>
    <t xml:space="preserve">Oldingi astatka </t>
  </si>
  <si>
    <t>JABBAROV OTANAZAR OLLAYOROVICH</t>
  </si>
  <si>
    <t xml:space="preserve">Navbaxor 94 110 16 30   99 963 30 60 Izzat shora kafil </t>
  </si>
  <si>
    <t>ATAJANOV YUNUS SHAMURATOVICH</t>
  </si>
  <si>
    <t>Oq Tepa</t>
  </si>
  <si>
    <t xml:space="preserve">Oqtepa  90 431 79 10  91 435 95 98 </t>
  </si>
  <si>
    <t xml:space="preserve">SAPAYEVA SHAHNOZA YO‘LDOSH QIZI </t>
  </si>
  <si>
    <t xml:space="preserve">RO‘ZMETOVA FERUZA SAFARBAY QIZI </t>
  </si>
  <si>
    <t xml:space="preserve"> 99 964 55 89   99 962 44 93 </t>
  </si>
  <si>
    <t>XAJIYEVA GULZODA SOBIRBAYEVNA</t>
  </si>
  <si>
    <t xml:space="preserve">33 mln kontener </t>
  </si>
  <si>
    <t xml:space="preserve">Oqtepa olimjonni apkasi </t>
  </si>
  <si>
    <t>OLLABERGANOVA UMIDA OTAMUROTOVNA</t>
  </si>
  <si>
    <t xml:space="preserve">9 mln </t>
  </si>
  <si>
    <t xml:space="preserve">Oqtepa olimjonni apkasi  91 995 12 92 </t>
  </si>
  <si>
    <t>RAJABBAYEVA KAMOLA</t>
  </si>
  <si>
    <t xml:space="preserve">Ko`nabirlashuv  99 380 50 67   99 035 50 67 </t>
  </si>
  <si>
    <t xml:space="preserve">bir oyda bersa 18,5 </t>
  </si>
  <si>
    <t>MASHARIPOVA ASALXON SHUXRAT QIZI</t>
  </si>
  <si>
    <t xml:space="preserve">shuxrat moyka </t>
  </si>
  <si>
    <t>XUDARGANOV BAYRAMBEK ELAMANOVICH</t>
  </si>
  <si>
    <t xml:space="preserve">shuxrat og`a O`zbekiston </t>
  </si>
  <si>
    <t>BEKMETOV ERGASHBOY</t>
  </si>
  <si>
    <t xml:space="preserve">Qumbodoq 93 218 48 78 </t>
  </si>
  <si>
    <t xml:space="preserve">Yangiariq 97 514 64 03   99 671 67 05 </t>
  </si>
  <si>
    <t xml:space="preserve">Umid og`ada </t>
  </si>
  <si>
    <t>Gulshan 88 526 01 92</t>
  </si>
  <si>
    <t>DAVLETOVA SOHIBA BAXTIYOROVN</t>
  </si>
  <si>
    <t>16,08,2023</t>
  </si>
  <si>
    <t>GAIPOV RAJAPBOY MASHARIPOVICH</t>
  </si>
  <si>
    <t xml:space="preserve">Oqtepa  99 032 13 63  </t>
  </si>
  <si>
    <t>BABAJANOVA MASHXURA YAVBASAROVNA</t>
  </si>
  <si>
    <t xml:space="preserve">Oq tepa 99 330 54 74 </t>
  </si>
  <si>
    <t xml:space="preserve">bank qaytargan </t>
  </si>
  <si>
    <t>BOBOJONOVA DILNOZA SHONAZAROVNA</t>
  </si>
  <si>
    <t xml:space="preserve">otkaz qilish kerak </t>
  </si>
  <si>
    <t>ARTIQOVA SOXIBA SOLAYEVNA</t>
  </si>
  <si>
    <t>AXMEDOV ABROR O‘TKIRBEKOVICH</t>
  </si>
  <si>
    <t>KARJAUBAYEV NURDAULET ARISTANBAYEVICH</t>
  </si>
  <si>
    <t xml:space="preserve">qoraqalopq Xumoyun </t>
  </si>
  <si>
    <t>Yangiariq Чакир МФЙ</t>
  </si>
  <si>
    <t xml:space="preserve">88 186 91 97    93 922 10 70  Xamdam Xokim yordamchi </t>
  </si>
  <si>
    <t>ALLABERGANOV SANJAR YARASHEVICH</t>
  </si>
  <si>
    <t xml:space="preserve">907344282 Vayanniy </t>
  </si>
  <si>
    <t xml:space="preserve">125 soliq qarz </t>
  </si>
  <si>
    <t>BOLTAYEVA GULNORA ERGASHBAYEVNA</t>
  </si>
  <si>
    <t xml:space="preserve">Gulzor 94 233 79 69 </t>
  </si>
  <si>
    <t>GALDIYEVA GULNOZA OLLASHKUROVNA</t>
  </si>
  <si>
    <t xml:space="preserve">Gulzor 93 092 21 96 </t>
  </si>
  <si>
    <t>Nurafshon 99 562 22 62</t>
  </si>
  <si>
    <t>RUSTAMOVA FAZILAT SOPORBOY QIZI</t>
  </si>
  <si>
    <t xml:space="preserve">javlon  shegirt  93 503 95 58 </t>
  </si>
  <si>
    <t xml:space="preserve"> 
ABDULLAYEV KURVANBAY SHODLIKOVICHAbdullayev Qurvonboy  Javlon og`ani qarindoshi </t>
  </si>
  <si>
    <t xml:space="preserve">O`g`ri </t>
  </si>
  <si>
    <t>оилавий тадбиркорликни ривожлантириш дастурлари доирасида «Халқ банки Боғот филиали» дан тўлиқ қайтарилмаган кредити мавжудлиги;</t>
  </si>
  <si>
    <t>XUSINOVA DILNOZA OLIMBOY QIZI</t>
  </si>
  <si>
    <t>IBADULLAYEVA ADOLAT MADRAIMOVNA</t>
  </si>
  <si>
    <t>RAXIMOV IBRAGIM MASHARIPOVICH</t>
  </si>
  <si>
    <t xml:space="preserve">To`rtkulda  Xokim yordamchi 93 285 00 47 </t>
  </si>
  <si>
    <t>JUMABAYEV DIYORBEK FAXRIDDIN O‘G‘LI</t>
  </si>
  <si>
    <t xml:space="preserve">Nurli Maskan </t>
  </si>
  <si>
    <t xml:space="preserve">Nurli Maskan 93 582 43 73   99 169 19 43 </t>
  </si>
  <si>
    <t xml:space="preserve">Anjir </t>
  </si>
  <si>
    <t>XUDAYBERGANOVA LOLA RAMANOVNA</t>
  </si>
  <si>
    <t xml:space="preserve">Nayman 97 362 21 90 </t>
  </si>
  <si>
    <t>MAMMETOV DONIYOR QADAMBOYEVICH</t>
  </si>
  <si>
    <t xml:space="preserve">33 mln Romel og`a </t>
  </si>
  <si>
    <t>SAFAYEVA MAXLIYO FAXRIDDIN KIZI</t>
  </si>
  <si>
    <t xml:space="preserve">99 045 24 95   99 961 16 95 </t>
  </si>
  <si>
    <t>MASHARIPOV QODIR BOLTABOYEVICH</t>
  </si>
  <si>
    <t xml:space="preserve"> Otavoy Buzg`unchi 91 279 56 59   90 556 66 86 </t>
  </si>
  <si>
    <t>Kamol darchani tanishi 999576959</t>
  </si>
  <si>
    <t>20,08,2023</t>
  </si>
  <si>
    <t>XASANOV SUROJBEK RAJABOVICH</t>
  </si>
  <si>
    <t xml:space="preserve">Xazarasp </t>
  </si>
  <si>
    <t xml:space="preserve">Ishchilar MFY 22 mln 99 286 14 09   95 922 96 01 </t>
  </si>
  <si>
    <t>21,08,2023</t>
  </si>
  <si>
    <t>ABDIRIMOV ZARIFBOY GANJAYEVICH</t>
  </si>
  <si>
    <t xml:space="preserve">Xunarmand 93 233 26 73    93 091 91 77 </t>
  </si>
  <si>
    <t>QOLANDAROVA GULMIRA MAMASHARIBOVNA</t>
  </si>
  <si>
    <t>NAVRO‘ZOV KAMARBEK OTABEK O‘G‘LI</t>
  </si>
  <si>
    <t xml:space="preserve"> 88 451 91 92    88 458 91 92 </t>
  </si>
  <si>
    <t xml:space="preserve">1 mln olib ketdi maqsud og`a to`yga deb </t>
  </si>
  <si>
    <t>22,08,2023</t>
  </si>
  <si>
    <t>RO‘ZIBOYEV DILSHOD SHERMATOVICH</t>
  </si>
  <si>
    <t>90 726 41 40  99 258 79 89  Akmal og`ani tanishlari</t>
  </si>
  <si>
    <t>SAPAYEVA MUXABBAT RO‘ZIBAYEVNA</t>
  </si>
  <si>
    <t xml:space="preserve">33 mln Zaafar og`a tikish masin </t>
  </si>
  <si>
    <t>DAVLETOVA YULDUZ RAMATOVNA</t>
  </si>
  <si>
    <t xml:space="preserve"> 97 608 90 88   77 037 90 88 </t>
  </si>
  <si>
    <t xml:space="preserve">97 601 63 67  88 451 85 80 </t>
  </si>
  <si>
    <t>BOZOROVA ANNAGUL OTAXONOVNA</t>
  </si>
  <si>
    <t xml:space="preserve">Shokir og`a gaplashgan pulli </t>
  </si>
  <si>
    <t xml:space="preserve">Zaripova Sanobar </t>
  </si>
  <si>
    <t>XO‘JANIYOZOVA MUYASSAR QUROMBOYEVNA</t>
  </si>
  <si>
    <t>23,08,2023</t>
  </si>
  <si>
    <t xml:space="preserve">91 993 36 50  99 448 36 50  Qutlimurod Xo`ja </t>
  </si>
  <si>
    <t>OLLABERGANOVA SADOQAT MATNAZAROVNA</t>
  </si>
  <si>
    <t xml:space="preserve">94 319 81 11  88 456 81 11  Sadullayev Xamdam </t>
  </si>
  <si>
    <t>MATYAQUBOV MEHRIDDIN AZATOVICH</t>
  </si>
  <si>
    <t xml:space="preserve">97 360 78 04  97 510 07 02  Ozod fermer </t>
  </si>
  <si>
    <t>SATIMOV BAHODIR BOLTABOYEVICH</t>
  </si>
  <si>
    <t>RO‘ZMETOV ALISHER MATYAZOVICH</t>
  </si>
  <si>
    <t>JUMANIYOZOV BAYONBOY RUSTAMOVICH</t>
  </si>
  <si>
    <t>SAIDOV QUDRAT ERNAZAROVICH</t>
  </si>
  <si>
    <t xml:space="preserve">99 587 55 35  99 082 33 23 </t>
  </si>
  <si>
    <t>23 lik</t>
  </si>
  <si>
    <t xml:space="preserve">Allamov Jasur </t>
  </si>
  <si>
    <t xml:space="preserve">puli tushdi </t>
  </si>
  <si>
    <t>SABIROV SHAVKAT KUZIBAY O‘G‘LI</t>
  </si>
  <si>
    <t xml:space="preserve">Puli tushdi </t>
  </si>
  <si>
    <t>24,08,2023</t>
  </si>
  <si>
    <t>97 528 55 60   97 791 02 07</t>
  </si>
  <si>
    <t>ATABOYEV TO‘LQIN EGAMBERDIYEVICH</t>
  </si>
  <si>
    <t>NAZIROV AZIZBEK BAXTIYOR</t>
  </si>
  <si>
    <t xml:space="preserve">Navro`z 99 284 98 91  99 452 50 09 </t>
  </si>
  <si>
    <t>OLLAMOVA SANOBAR EGAMOVNA</t>
  </si>
  <si>
    <t>NURMETOV DILSHODBEK QOSIMBAYEVICH</t>
  </si>
  <si>
    <t xml:space="preserve">97 221 20 57   88 601 05 97 </t>
  </si>
  <si>
    <t>MASHARIBOV ELYOR KOMILJONOVICH</t>
  </si>
  <si>
    <t xml:space="preserve">99 041 82 56  </t>
  </si>
  <si>
    <t xml:space="preserve">17,5 MLN BERDI </t>
  </si>
  <si>
    <t>RAXIMOV ALISHER YAKUBBAYEVICH</t>
  </si>
  <si>
    <t>93 177 09 93</t>
  </si>
  <si>
    <t>27,08,2023</t>
  </si>
  <si>
    <t>26,08,2023</t>
  </si>
  <si>
    <t>Quranbayeva Mahbuba Matrasul qizi</t>
  </si>
  <si>
    <t>88 510 10 20</t>
  </si>
  <si>
    <t>SADADDINOV MANSURBEK SULTONBAYEVICH</t>
  </si>
  <si>
    <t xml:space="preserve">Ashxabod    94  058 01 79   93 304 91 18 </t>
  </si>
  <si>
    <t>28,08,2023</t>
  </si>
  <si>
    <t xml:space="preserve">97 510 46 02 </t>
  </si>
  <si>
    <t xml:space="preserve">35 benzin yozish kerak </t>
  </si>
  <si>
    <t>SIYTIMOVA ZULAYXA AMINOVNA</t>
  </si>
  <si>
    <t>SAIDNAZAROVA YARQINOY ODOMBOYEVNA</t>
  </si>
  <si>
    <t xml:space="preserve">Madaniyat 23 motoblok </t>
  </si>
  <si>
    <t>PALIYAZOV ASADBEK MAXMUD O‘G‘LI</t>
  </si>
  <si>
    <t>ABDULLAYEVA MIYASSAR MASHARIPOVNA</t>
  </si>
  <si>
    <t xml:space="preserve">Gulshan 99 556 24 38 </t>
  </si>
  <si>
    <t>30,08,2023</t>
  </si>
  <si>
    <t>EGAMOV OLLASHKUR AMINOVICH</t>
  </si>
  <si>
    <t>DJUMANIYAZOVA MUXABBAT BERDIYEVNA</t>
  </si>
  <si>
    <t xml:space="preserve">Elliqala optom </t>
  </si>
  <si>
    <t>QALANDAROVA SHAXISTA XO‘JYAZOVNA</t>
  </si>
  <si>
    <t xml:space="preserve">99 068 20 72  </t>
  </si>
  <si>
    <t>ATAJANOVA BARNO ABDULLAYEVNA</t>
  </si>
  <si>
    <t>MADIYAROVA NILUFAR BAXTIYAROVNA</t>
  </si>
  <si>
    <t>RO‘ZIBOYEVA SHIRIN SA’DULLAYEVNA</t>
  </si>
  <si>
    <t>XO‘JANIYOZOV SARVARBEK SAIDQOSIM O‘G‘LI</t>
  </si>
  <si>
    <t xml:space="preserve">88 037 21 91 </t>
  </si>
  <si>
    <t xml:space="preserve">99 592 85 18 </t>
  </si>
  <si>
    <t xml:space="preserve">Yangibozor </t>
  </si>
  <si>
    <t xml:space="preserve">99 731 09 29  Xokim yordamchini bojasi </t>
  </si>
  <si>
    <t xml:space="preserve">88 790 50 56 </t>
  </si>
  <si>
    <t>31,08,2023</t>
  </si>
  <si>
    <t xml:space="preserve">chiqdi </t>
  </si>
  <si>
    <t xml:space="preserve">rasm qo`shilgan </t>
  </si>
  <si>
    <t>SALAYEV SULTANBOY KURANBAYEVICH</t>
  </si>
  <si>
    <t xml:space="preserve">97 701 52 72 </t>
  </si>
  <si>
    <t>RAJABOV MUSURMON XXX</t>
  </si>
  <si>
    <t xml:space="preserve">Chiroqchi </t>
  </si>
  <si>
    <t>ҳоким ёрдамчиси: JO‘RAYEV JAVLON MEYLIBOYEVICH тел: 998916417137</t>
  </si>
  <si>
    <t>02,09,2023</t>
  </si>
  <si>
    <t>Xurriyat 914213505</t>
  </si>
  <si>
    <t>MATNAZAROVA SHOHIDA SHOKIRBAYEVNA</t>
  </si>
  <si>
    <t>998 88 792 81 85</t>
  </si>
  <si>
    <t xml:space="preserve">Yangiqadam motorooler </t>
  </si>
  <si>
    <t xml:space="preserve">Ashxobod Xugo motors </t>
  </si>
  <si>
    <t>Armada primier motors 1</t>
  </si>
  <si>
    <t xml:space="preserve">Premier moto trans 111 </t>
  </si>
  <si>
    <t xml:space="preserve">Oq Oltin mototrans </t>
  </si>
  <si>
    <t xml:space="preserve">Speed armada motors </t>
  </si>
  <si>
    <t xml:space="preserve">Xugo motors </t>
  </si>
  <si>
    <t xml:space="preserve">qaytadan tuzish kerak </t>
  </si>
  <si>
    <t xml:space="preserve">04,09,2023 rasm kerak </t>
  </si>
  <si>
    <t>04,09,2023</t>
  </si>
  <si>
    <t>ATANIYAZOVA SOHIBA IBROXIMOVNA</t>
  </si>
  <si>
    <t xml:space="preserve">97 090 08 84 </t>
  </si>
  <si>
    <t xml:space="preserve">rad bo`lgan Xokim 88 513 33 44 shartnoma qilindi rasm qo`shish kerak 33 090 60 30 </t>
  </si>
  <si>
    <t xml:space="preserve">Yangiariq 94 852 94 20  99 961 94 20 yokim yordamchi  99 508 29 34 </t>
  </si>
  <si>
    <t xml:space="preserve">  bank  rad etgan SAPAYEV AZAMAT YUSUPBAYEVICH (93)285-00-47 Xokim yordamchi  94 145 46 46  Bank Baxodir 
(93)285-00-47</t>
  </si>
  <si>
    <t xml:space="preserve">Rajaboy Nodirbek Alisher og`ani akasi </t>
  </si>
  <si>
    <t xml:space="preserve">88 199 14 87   97 512 95 77 </t>
  </si>
  <si>
    <t>MASHARIPOVA ZULXUMOR YUSUPBOYEVNA</t>
  </si>
  <si>
    <t xml:space="preserve">99 525 75 21 </t>
  </si>
  <si>
    <t xml:space="preserve">rasm qo`shish kerak  Xokim yordamchi 91 273 77 37  bank 99 954 28 30 </t>
  </si>
  <si>
    <t xml:space="preserve">Xonqa quromboyni jo`ra tanish 88 451 95 45 </t>
  </si>
  <si>
    <t xml:space="preserve">97 457 19 72  77 027 42 47 </t>
  </si>
  <si>
    <t xml:space="preserve">Kurbanbayev Shamshat </t>
  </si>
  <si>
    <t xml:space="preserve">Akiyeva Sapura </t>
  </si>
  <si>
    <t xml:space="preserve">pasport dalniy yo`q </t>
  </si>
  <si>
    <t xml:space="preserve">AXMEDOV ALIJON KOMILJONOVICH </t>
  </si>
  <si>
    <t>05,09,2023</t>
  </si>
  <si>
    <t>XUDAYBERGANOVA OYMONJON BEKTURDIYEVNA</t>
  </si>
  <si>
    <t>97 528 17 55</t>
  </si>
  <si>
    <t>MASHARIPOV ISKANDAR ILXOMBEKOVICH</t>
  </si>
  <si>
    <t xml:space="preserve">99 545 66 86   </t>
  </si>
  <si>
    <t>NURULLAYEV BEKZOD HAMIDBEK O‘G‘LI</t>
  </si>
  <si>
    <t xml:space="preserve">99 182 16 26   94 162 00 79   90 434 34 38 </t>
  </si>
  <si>
    <t>NURULLAYEV SARVARBEK HAMIDBEK O‘G‘LI</t>
  </si>
  <si>
    <t xml:space="preserve"> MASHARIPOVA NASIBA RAXIMOVNA</t>
  </si>
  <si>
    <t>99 541 95 77</t>
  </si>
  <si>
    <t>PIRNAPASOV NARIMAN KUZIYEVICH</t>
  </si>
  <si>
    <t>G`alaba  97 792 98 58   91 434 74 49</t>
  </si>
  <si>
    <t>YUSUPOV RASUL FARHOD O‘G‘LI</t>
  </si>
  <si>
    <t xml:space="preserve">Xonqa Moto </t>
  </si>
  <si>
    <t xml:space="preserve">93 595 02 23  </t>
  </si>
  <si>
    <t>SADULLAYEV JAHONGIR ERKINOVICH</t>
  </si>
  <si>
    <t>TAVBAYEVA ZINA ALLAMURADOVNA</t>
  </si>
  <si>
    <t>SABIROV XUMOYUN ALISHER O‘G‘LI</t>
  </si>
  <si>
    <t xml:space="preserve">Opasi 97 090 07 94 </t>
  </si>
  <si>
    <t>06,09,2023</t>
  </si>
  <si>
    <t>OTABAYEV SANJARBEK ALISHER O‘G‘LI</t>
  </si>
  <si>
    <t xml:space="preserve">91 433 75 05  93 047 60 84 </t>
  </si>
  <si>
    <t>ERNAZAROVA GULBAHOR SOBUR QIZI</t>
  </si>
  <si>
    <t>ACHILOVA NARGIZAXON QADAMBOYEVNA</t>
  </si>
  <si>
    <t>LOCHINOY TADJ XK</t>
  </si>
  <si>
    <t xml:space="preserve">   Xoikm yordamchi J UMANIYOZOV XAMDAMBEK OLLABERGANOVICH</t>
  </si>
  <si>
    <t>YO‘LDOSHOVA SAIDA RAZZAQBERDIYEVNA</t>
  </si>
  <si>
    <t>BAYJANOVA ZULFIYA XUDAYNAZAROVNA</t>
  </si>
  <si>
    <t xml:space="preserve">97 459 76 00 </t>
  </si>
  <si>
    <t>XO‘JAQOVA SHOIRA YO‘LDOSHOVNA</t>
  </si>
  <si>
    <t>93 134 79 76</t>
  </si>
  <si>
    <t xml:space="preserve">Bakaushin Sergey </t>
  </si>
  <si>
    <t>QO‘ZIYEVA MALOHAT OZODOVNA</t>
  </si>
  <si>
    <t>99 501 91 55</t>
  </si>
  <si>
    <t>JO‘RAYEV ILXOMJON XALIM O‘G‘LI</t>
  </si>
  <si>
    <t xml:space="preserve">qashqadaryo kitob </t>
  </si>
  <si>
    <t xml:space="preserve">88 381 43 43 </t>
  </si>
  <si>
    <t>ATAXANOV SHOXZODBEK OTOBEKOVICH</t>
  </si>
  <si>
    <t>YAQUBOV AKMALBEK RO‘ZMETOVICH</t>
  </si>
  <si>
    <t>20 mln  07,09,2023</t>
  </si>
  <si>
    <t xml:space="preserve">Zaripova Iroda </t>
  </si>
  <si>
    <t>08,09,2023</t>
  </si>
  <si>
    <t xml:space="preserve">Adamboyeva Muqaddas </t>
  </si>
  <si>
    <t>09,09,2023</t>
  </si>
  <si>
    <t>NURADINOV SHAROFADDIN SATIMOVICH</t>
  </si>
  <si>
    <t>998 93 750 30 78</t>
  </si>
  <si>
    <t>ALLABERGANOVA MAHBIRA OTOMUROTOVNA</t>
  </si>
  <si>
    <t>998 99 023 72 78</t>
  </si>
  <si>
    <t xml:space="preserve">99 621 09 73 </t>
  </si>
  <si>
    <t>ariza ketdi 10,09,2023</t>
  </si>
  <si>
    <t xml:space="preserve">Ro`zmetova Gulsara </t>
  </si>
  <si>
    <t xml:space="preserve">97 740 44 34 </t>
  </si>
  <si>
    <t>SHARIPBOYEV INOMJON G‘AYRAT O‘G‘LI</t>
  </si>
  <si>
    <t xml:space="preserve">88 451 09 94 </t>
  </si>
  <si>
    <t xml:space="preserve">Yangiariq Arboblar </t>
  </si>
  <si>
    <t>93 450 49 59 Otaxon quyman</t>
  </si>
  <si>
    <t xml:space="preserve">    93 177 89 79   50 004 81 61 </t>
  </si>
  <si>
    <t xml:space="preserve">97 111 98 99 </t>
  </si>
  <si>
    <t>PODSHABOYEV XUDAYOR OLLAYOROVICH</t>
  </si>
  <si>
    <t>11,09,2023</t>
  </si>
  <si>
    <t xml:space="preserve">0,5 mln kam tashlandi xaqqimiz qoldi </t>
  </si>
  <si>
    <t>G‘OFUROVA SHAHNOZA OLLASHKUROVNA</t>
  </si>
  <si>
    <t>YUSUPOV ERGASHBOY MATYOQUBOVICH</t>
  </si>
  <si>
    <t>MAXMUDOVA SHAROFAT RAMATOVNA</t>
  </si>
  <si>
    <t>RAJABOVA FAZILAT BAYRAMDURDIYEVNA</t>
  </si>
  <si>
    <t xml:space="preserve"> 94 114 48 38 </t>
  </si>
  <si>
    <t xml:space="preserve">Xazarasp Qovunchi </t>
  </si>
  <si>
    <t>ABDIKARIMOVA GULPASHSHA RAYIMBOYEVNA</t>
  </si>
  <si>
    <t>Namuna</t>
  </si>
  <si>
    <t>OLLABERGANOVA DURDONA TO‘LIBOY QIZI</t>
  </si>
  <si>
    <t xml:space="preserve">Yuksalish 99 198 17 19 </t>
  </si>
  <si>
    <t xml:space="preserve">91 091 10 95   91 094 97 33   </t>
  </si>
  <si>
    <t>DAVLETOVA SALOMAT GALDIYEVNA</t>
  </si>
  <si>
    <t xml:space="preserve">MATNAZAROV MAXMUDJON MASHARIPOVICH </t>
  </si>
  <si>
    <t>SALAYEVA SAIDA SIDDIQJANOVNA</t>
  </si>
  <si>
    <t xml:space="preserve">22 sentyabrda ali og`am apkeladi </t>
  </si>
  <si>
    <t>91 425 30 21</t>
  </si>
  <si>
    <t xml:space="preserve">97 460 03 10 </t>
  </si>
  <si>
    <t xml:space="preserve">99 348 07 94 </t>
  </si>
  <si>
    <t>NAZAROV ULUG‘BEK YALQABOVICH</t>
  </si>
  <si>
    <t>998 93 862 26 00</t>
  </si>
  <si>
    <t>ISKANDAROV ERKIN SAMANDAROVICH</t>
  </si>
  <si>
    <t xml:space="preserve">kluch parol yo`q </t>
  </si>
  <si>
    <t>13,09,2023</t>
  </si>
  <si>
    <t xml:space="preserve">Rasm qo`shilgan </t>
  </si>
  <si>
    <t>RAXMANOV MURODJON ERKINBOY O‘G‘LI</t>
  </si>
  <si>
    <t>Rasm qo`shilgan 99 812 39 37 obod motoroler Xokim yordamchi Otabek 97 857 42 42</t>
  </si>
  <si>
    <t>RO‘ZMETOVA GULOYIM ERKINOVNA</t>
  </si>
  <si>
    <t>MATNAZAROVA MAVLUDA REYMBOYEVNA</t>
  </si>
  <si>
    <t xml:space="preserve">998 97 601 21 04 - 97 452 85 81 </t>
  </si>
  <si>
    <t>SAPOROV OTABEK HAYITBOYEVICH</t>
  </si>
  <si>
    <t>998 91 431 29 23  - 91 998 29 23</t>
  </si>
  <si>
    <t>JUMANIYAZOV NURADDIN MATNAZAROVICH</t>
  </si>
  <si>
    <t>MATYAKUBOV RUSTAM MATNAZAROVICH</t>
  </si>
  <si>
    <t xml:space="preserve">88 456 81 07 </t>
  </si>
  <si>
    <t>OTABOYEV NORBEK MUHAMMADSALIH O‘G‘LI</t>
  </si>
  <si>
    <t xml:space="preserve">88 790 10 57 </t>
  </si>
  <si>
    <t xml:space="preserve">Soxibkor  995018929  93 619 89 25 </t>
  </si>
  <si>
    <t>QO‘ZIYEVA SABOXAT RAXIMBAYEVNA</t>
  </si>
  <si>
    <t xml:space="preserve">Bejji Jaqir </t>
  </si>
  <si>
    <t>MATYOKUBOV DILMUROD QUTLIMURATOVICH</t>
  </si>
  <si>
    <t xml:space="preserve">KURBANBAYEV RUSTAM NURALLAYEVICH </t>
  </si>
  <si>
    <t xml:space="preserve">O`zgarish 88 600 82 62  99 743 00 55 94 315 69 32 </t>
  </si>
  <si>
    <t xml:space="preserve">sholini pulidan ratchot qiladi </t>
  </si>
  <si>
    <t>OTAJONOV ALISHER EGAMBERDIYEVICH</t>
  </si>
  <si>
    <t>SAYIDOV MADIYOR ISMOILOVICH</t>
  </si>
  <si>
    <t xml:space="preserve">88 360 01 81 </t>
  </si>
  <si>
    <t>ABDULLAYEVA GULMIRA SADULLAYEVNA</t>
  </si>
  <si>
    <t xml:space="preserve">93 082 24 74 </t>
  </si>
  <si>
    <t>HAJIBOYEVA SAODAT TOHIROVNA</t>
  </si>
  <si>
    <t xml:space="preserve">93 728 03 95 </t>
  </si>
  <si>
    <t xml:space="preserve">93 744 15 43 </t>
  </si>
  <si>
    <t xml:space="preserve">94 098 27 10 </t>
  </si>
  <si>
    <t xml:space="preserve">Nurafshon  93 281 50 19 </t>
  </si>
  <si>
    <t>16,09,2023</t>
  </si>
  <si>
    <t>YESCHANOV SALIMBAY RAXIMBAYEVICH</t>
  </si>
  <si>
    <t xml:space="preserve">Elliqala Ittifoq </t>
  </si>
  <si>
    <t xml:space="preserve">99 681 91 18   Xokim yordamchi </t>
  </si>
  <si>
    <t>RO‘ZIMATOV HIKMATJON KARIMBAYEVICH</t>
  </si>
  <si>
    <t>ABDULLAYEVA SAYARA SETMAMUTOVNA</t>
  </si>
  <si>
    <t>SATIMOV NE’MATJON QADAMOVICH</t>
  </si>
  <si>
    <t xml:space="preserve">99 622 26 08 </t>
  </si>
  <si>
    <t>RAXIMOV QUDRAT QURAMBOYEVICH</t>
  </si>
  <si>
    <t xml:space="preserve">quromboy Chuvalchang </t>
  </si>
  <si>
    <t>ok</t>
  </si>
  <si>
    <t xml:space="preserve">rasm qo`shilmagan </t>
  </si>
  <si>
    <t>17,09,2023</t>
  </si>
  <si>
    <t xml:space="preserve">ok </t>
  </si>
  <si>
    <t>RO‘ZIBAYEVA MARYAMJON XUDAYOROVNA</t>
  </si>
  <si>
    <t>KASIMOVA OYSHAJON FARXODOVNA</t>
  </si>
  <si>
    <t xml:space="preserve">93 866 42 48 </t>
  </si>
  <si>
    <t xml:space="preserve">rasm qo`shilgan ok </t>
  </si>
  <si>
    <t>18,09,2023</t>
  </si>
  <si>
    <t xml:space="preserve">arizani yuborish kerak </t>
  </si>
  <si>
    <t>MASHARIPOVA GULORA RO‘ZMETOVNA  (ATAJANOV KUPAL YULDASHOVICH)</t>
  </si>
  <si>
    <t xml:space="preserve">xotini nomiga qildi kluch kerak </t>
  </si>
  <si>
    <t xml:space="preserve">arizani qayta yuborish kerak </t>
  </si>
  <si>
    <t xml:space="preserve">Rustam og`a Shug`ullanadi </t>
  </si>
  <si>
    <t xml:space="preserve">qishloq qurilish kredit 600 ming </t>
  </si>
  <si>
    <t xml:space="preserve">naqd beradi </t>
  </si>
  <si>
    <t xml:space="preserve">rasulbek hal qiladi </t>
  </si>
  <si>
    <t xml:space="preserve">Iftixor mfy   Akbar  sud jarayonida </t>
  </si>
  <si>
    <t xml:space="preserve">Mirzoxid og`a bitiradi </t>
  </si>
  <si>
    <t xml:space="preserve">Beruniy 99 558 76 63   99 571 55 04 Rashid </t>
  </si>
  <si>
    <t>kluch oldirish kerak tez  18,09,2023</t>
  </si>
  <si>
    <t xml:space="preserve">ariza yuborish kerak </t>
  </si>
  <si>
    <t>DJURAYEV JAMSHID YULDASHEVICH</t>
  </si>
  <si>
    <t xml:space="preserve">Toshkent </t>
  </si>
  <si>
    <t>YAQUBOV MARDON KARIMOVICH</t>
  </si>
  <si>
    <t xml:space="preserve">99 092 27 94 </t>
  </si>
  <si>
    <t>SAIDOVA NAZOKAT OTABOY QIZI</t>
  </si>
  <si>
    <t xml:space="preserve">Nurafshon 99 421 84 58  91 436 73 77 </t>
  </si>
  <si>
    <t>AMINOV OLLABERGAN QURBONBAYEVICH</t>
  </si>
  <si>
    <t>975252067 Xokim yordamchi 94 119 32 34</t>
  </si>
  <si>
    <t>NURMETOV KAMOL YULDASHOVICH</t>
  </si>
  <si>
    <t>HASANBAYEV KAMOLBEK OYBEK O‘G‘LI</t>
  </si>
  <si>
    <t xml:space="preserve">99 130 53 59 </t>
  </si>
  <si>
    <t xml:space="preserve">978805353  Xokim yordamchi 99 806 85 81 </t>
  </si>
  <si>
    <t xml:space="preserve">978805353  Xokim yordamchi 99 806 85 81  Shafyor 99 662 07 71 </t>
  </si>
  <si>
    <t xml:space="preserve">97 363 81 82 </t>
  </si>
  <si>
    <t xml:space="preserve">  99 145 84 86    95 570 15 88 </t>
  </si>
  <si>
    <t xml:space="preserve">BEYJONOV ZAFARBEK ALISHER O‘G‘LI </t>
  </si>
  <si>
    <t xml:space="preserve">94 070 15 20 </t>
  </si>
  <si>
    <t>97 601 95 86  Xokim yordamchi 94 119 32 34</t>
  </si>
  <si>
    <t>QODIROV SEVINCHBEK HAMDAMBEK O‘G‘LI</t>
  </si>
  <si>
    <t xml:space="preserve">88 451 15 99 </t>
  </si>
  <si>
    <t>AMINBAYEV KUTLIMURAD BAZARBAYEVICH</t>
  </si>
  <si>
    <t>BABAJANOVA MALIKA SADULLAYEVNA</t>
  </si>
  <si>
    <t>ALLABERGANOVA SANOBAR BABAYEVNA</t>
  </si>
  <si>
    <t xml:space="preserve">0,9 mln olindi 18 sentyabrda </t>
  </si>
  <si>
    <t>19,09,2023</t>
  </si>
  <si>
    <t>MAXMUDOV JALOLIDDIN KAMULJON O‘G‘LI</t>
  </si>
  <si>
    <t xml:space="preserve"> 97 518 60 66 xokim yordamchi 97 452 7474 </t>
  </si>
  <si>
    <t>MASHARIPOV DILSHAD KARIMBERGANOVICH</t>
  </si>
  <si>
    <t xml:space="preserve">99 284 01 80 </t>
  </si>
  <si>
    <t>TOREMURATOV AMANGELDI YELGELDIYEVICH</t>
  </si>
  <si>
    <t xml:space="preserve">Qarao`zak </t>
  </si>
  <si>
    <t>MASHARIFOV MARDONBEK MURADULLAYEVICH</t>
  </si>
  <si>
    <t xml:space="preserve">97 457 96 95 </t>
  </si>
  <si>
    <t xml:space="preserve">15 dekabrda  1500 dollar beradi  </t>
  </si>
  <si>
    <t>KADIROV DILSHOD MAXMUDOVICH</t>
  </si>
  <si>
    <t xml:space="preserve">944373724  Xokim yordamchi 94 924 88 81 </t>
  </si>
  <si>
    <t>G‘OYIBNAZAROV SHODURDI G‘OYIBNAZAR O‘G‘LI</t>
  </si>
  <si>
    <t xml:space="preserve">99 290 35 32 </t>
  </si>
  <si>
    <t>JUMANIYAZOVA SHOIRA QILICHOVNA</t>
  </si>
  <si>
    <t xml:space="preserve">95 771 28 70 </t>
  </si>
  <si>
    <t>20,09,2023</t>
  </si>
  <si>
    <t>21,09,2023</t>
  </si>
  <si>
    <t>MASHARIPOV ADILBEK ATABEK O‘G‘LI</t>
  </si>
  <si>
    <t xml:space="preserve">Usta telefon ali og`ani tanishi </t>
  </si>
  <si>
    <t xml:space="preserve">90 429 59 59 </t>
  </si>
  <si>
    <t>RAJABOVA SEVARA XUDARGANOVNA</t>
  </si>
  <si>
    <t xml:space="preserve">94 872 09 03 </t>
  </si>
  <si>
    <t>OLIMOV ZAFARBEK UMID O‘G‘LI</t>
  </si>
  <si>
    <t xml:space="preserve">Xamida apkani bolasi </t>
  </si>
  <si>
    <t xml:space="preserve"> matsakil rul kabina </t>
  </si>
  <si>
    <t>MASHARIPOV FAXRIDDIN FARXADOVICH</t>
  </si>
  <si>
    <t xml:space="preserve">romel og`a </t>
  </si>
  <si>
    <t>IBROGIMOV BEKZOD OLLANAZAR O‘G‘LI</t>
  </si>
  <si>
    <t>Samarqand Xoji buva</t>
  </si>
  <si>
    <t xml:space="preserve">99 898 77 25  99 213 33 99 </t>
  </si>
  <si>
    <t xml:space="preserve">Samarqand Oqdaryo </t>
  </si>
  <si>
    <t>YAQUBOVA ZEBO BAXTIYOROVNA</t>
  </si>
  <si>
    <t xml:space="preserve">Shokir og`a </t>
  </si>
  <si>
    <t>RAJABOV BAXODIR JUMANAZAROVICH</t>
  </si>
  <si>
    <t>Юқорижирмиз(X.Y 97 221 14 14 )</t>
  </si>
  <si>
    <t>24,09,2023</t>
  </si>
  <si>
    <t>rasm yo`q</t>
  </si>
  <si>
    <t xml:space="preserve">QURAMBOYEV DONIYOR </t>
  </si>
  <si>
    <t>25,09,2023</t>
  </si>
  <si>
    <t xml:space="preserve">97 600 22 24 </t>
  </si>
  <si>
    <t xml:space="preserve">93 752 62 20  97 361 25 87 Yusupboy Xokim yordamchi </t>
  </si>
  <si>
    <t xml:space="preserve">0,29 soliqqa pul o`tkazildi shuni beradi </t>
  </si>
  <si>
    <t>BEKTURDIYEV DILSHODBEK OZODOVICH</t>
  </si>
  <si>
    <t xml:space="preserve">Nolog bekzod og`a  97 090 88 83 </t>
  </si>
  <si>
    <t xml:space="preserve">30 mln moto </t>
  </si>
  <si>
    <t xml:space="preserve">99 466 67 63 </t>
  </si>
  <si>
    <t>O‘RINOV MAXMUD RO‘ZIBAYEVICH</t>
  </si>
  <si>
    <t xml:space="preserve">91 436 93 32 </t>
  </si>
  <si>
    <t>26,09,2023</t>
  </si>
  <si>
    <t>KOZOKOV JAMSHID YUSUPBOY O‘G‘LI</t>
  </si>
  <si>
    <t>SADULLAYEV IZZATBEK TOXIR O‘G‘LI</t>
  </si>
  <si>
    <t>O‘RAZOV RAMAT YO‘LDOSHOVICH</t>
  </si>
  <si>
    <t>DURDIYEV XUDAZAR MAVLANOVICH</t>
  </si>
  <si>
    <t>KURBANOVA MALOHAT RUZIMBAYEVNA</t>
  </si>
  <si>
    <t xml:space="preserve">quromboy muzqaymoq </t>
  </si>
  <si>
    <t xml:space="preserve">SAMANDAROV XASANBOY </t>
  </si>
  <si>
    <t xml:space="preserve">99 424 65 80 </t>
  </si>
  <si>
    <t>QUTLIMUROTOV HAMROBEK</t>
  </si>
  <si>
    <t>RO‘ZMETOVA MASHHURA DOSTONBEK QIZI</t>
  </si>
  <si>
    <t xml:space="preserve">33 mln mebel </t>
  </si>
  <si>
    <t xml:space="preserve">Baxriddin og`a </t>
  </si>
  <si>
    <t xml:space="preserve">97 526 94 96 </t>
  </si>
  <si>
    <t xml:space="preserve">Sadullayeva Mastura </t>
  </si>
  <si>
    <t xml:space="preserve">99 120 21 67 </t>
  </si>
  <si>
    <t>28,09,2023</t>
  </si>
  <si>
    <t>QURANBOYEV DASTON RAVSHANBEK</t>
  </si>
  <si>
    <t xml:space="preserve">998 88 512 02 56  88 361 90 20  Xokim yordamchi  99 676 46 00 Farrux </t>
  </si>
  <si>
    <t>JUMANIYOZOVA GULI RASHID QIZI</t>
  </si>
  <si>
    <t xml:space="preserve">yangiariq  91 433 14 80 </t>
  </si>
  <si>
    <t xml:space="preserve">AXMEDOV QOBULBEK </t>
  </si>
  <si>
    <t xml:space="preserve">94 376 94 34  G`ulom kassob </t>
  </si>
  <si>
    <t>IMOMKULOV SULAYMON ERKINJONOVICH</t>
  </si>
  <si>
    <t>29,09,2023</t>
  </si>
  <si>
    <t>SOBIROV KENJABOY SHERMATOVICH</t>
  </si>
  <si>
    <t xml:space="preserve">99 667 76 89 </t>
  </si>
  <si>
    <t xml:space="preserve">naqd 97 401 23 70 </t>
  </si>
  <si>
    <t xml:space="preserve">SAMANDAROVA MUQADDAS </t>
  </si>
  <si>
    <t>RO‘ZMATOVA NASIBA UMIDBEK QIZI</t>
  </si>
  <si>
    <t xml:space="preserve">to`pchi </t>
  </si>
  <si>
    <t xml:space="preserve">Obod Motors </t>
  </si>
  <si>
    <t xml:space="preserve">armada motors market </t>
  </si>
  <si>
    <t xml:space="preserve">Gulshan Armada house </t>
  </si>
  <si>
    <t xml:space="preserve">Yuksal Armada </t>
  </si>
  <si>
    <t xml:space="preserve">Ashxobod Budi motors </t>
  </si>
  <si>
    <t xml:space="preserve">Oltinqum moto salon </t>
  </si>
  <si>
    <t xml:space="preserve">Gulshan sho`ra buva  15 mln oib ketdilar </t>
  </si>
  <si>
    <t xml:space="preserve">BOBOJONOVA MUHAYYO </t>
  </si>
  <si>
    <t xml:space="preserve">33 mln moto </t>
  </si>
  <si>
    <t>MARKSOV JASURBEK ULUG‘BEK O‘G‘LI</t>
  </si>
  <si>
    <t xml:space="preserve">Gulshan  23 mln moto </t>
  </si>
  <si>
    <t xml:space="preserve">Jibbi og`a 99 079 09 41   99 286  39 39 </t>
  </si>
  <si>
    <t>01,10,2023</t>
  </si>
  <si>
    <t>MASHARIPOVA TO‘XTAGUL IKROM QIZI</t>
  </si>
  <si>
    <t xml:space="preserve">XUDOYBERGANOVA NODIRA </t>
  </si>
  <si>
    <t xml:space="preserve">qahramon og`ani jo`rasi </t>
  </si>
  <si>
    <t>YULDASHEV RUFAT XAMRAYEVICH</t>
  </si>
  <si>
    <t xml:space="preserve">91 422 21 95 </t>
  </si>
  <si>
    <t xml:space="preserve">KARAMATOV ABDIG‘OFFOR </t>
  </si>
  <si>
    <t xml:space="preserve">Ko`kdala </t>
  </si>
  <si>
    <t>KARIMOVA TURSUNOY SUYUNOVNA</t>
  </si>
  <si>
    <t>OTAJONOV UMID KAMILOVICH</t>
  </si>
  <si>
    <t xml:space="preserve">oqtepa </t>
  </si>
  <si>
    <t>Bog`iston 93 236 43 97    94 670 09 69</t>
  </si>
  <si>
    <t xml:space="preserve">90 648 19 64 </t>
  </si>
  <si>
    <t>MASHARIPOVA GULZOR LATIPBOY QIZI</t>
  </si>
  <si>
    <t xml:space="preserve">munis </t>
  </si>
  <si>
    <t>RO‘ZIBOYEVA SUMBULJON ZARIPOVNA</t>
  </si>
  <si>
    <t>QAZAQOV OTABEK YANGIBOYEVICH</t>
  </si>
  <si>
    <t>XODJABEKOVA BAZARKUL ABISHOVNA</t>
  </si>
  <si>
    <t>Қизилқалъа ОФЙ</t>
  </si>
  <si>
    <t xml:space="preserve"> Палваш МФЙ</t>
  </si>
  <si>
    <t>MAMUTOVA KUMUSH MUMINOVNA</t>
  </si>
  <si>
    <t>Ибн-Сино МФЙ</t>
  </si>
  <si>
    <t>AXIMBETOVA VENERA DUYSENBAYEVNA</t>
  </si>
  <si>
    <t>BABADJANOVA NILUFAR NARBAYEVNA</t>
  </si>
  <si>
    <t>JUPXODJAYEV AMANGELDI SEYDABULLAYEVICH</t>
  </si>
  <si>
    <t>ISMAILOV MAXMUD MURATBAYEVICH</t>
  </si>
  <si>
    <t>Лолазор МФЙ</t>
  </si>
  <si>
    <t>Навоий МФЙ</t>
  </si>
  <si>
    <t>DJUMANIYAZOVA GULJAXAN KABULOVNA</t>
  </si>
  <si>
    <t>SAPAROVA OYIMGUL KURALBAYEVNA</t>
  </si>
  <si>
    <t xml:space="preserve">Sabirova Xafiza </t>
  </si>
  <si>
    <t xml:space="preserve">Parol xato </t>
  </si>
  <si>
    <t>ALLAMBERGENOVA SHOXISTA VAXOBJONOVNA</t>
  </si>
  <si>
    <t xml:space="preserve">99 224 27 25 </t>
  </si>
  <si>
    <t xml:space="preserve">99 290 65 89 </t>
  </si>
  <si>
    <t xml:space="preserve">99 379 86 57 </t>
  </si>
  <si>
    <t xml:space="preserve">93 091 72 74 </t>
  </si>
  <si>
    <t xml:space="preserve">33 115 77 83 </t>
  </si>
  <si>
    <t xml:space="preserve">OTAJONOVA RAYXON </t>
  </si>
  <si>
    <t xml:space="preserve">Axmed Bux Mebel jihoz </t>
  </si>
  <si>
    <t>MASHARIPOVA DILNOZA</t>
  </si>
  <si>
    <t>05,10,2023</t>
  </si>
  <si>
    <t>tayyor  Хоразм вилояти Янгиариқ тумани Каттабоғ маҳалла (ҳоким ёрдамчиси: RAJABOV XURSAND ATABAYEVICH тел: 998973636416)</t>
  </si>
  <si>
    <t>BALTABAYEV DADAXON MURODJONOV</t>
  </si>
  <si>
    <t xml:space="preserve">99 684 98 02 </t>
  </si>
  <si>
    <t xml:space="preserve">99 949 96 78 </t>
  </si>
  <si>
    <t xml:space="preserve"> Ilhomov G`ulom (QURYOZOV RASULBEK ILHAMOVICH)</t>
  </si>
  <si>
    <t xml:space="preserve">24 mln chiqdi </t>
  </si>
  <si>
    <t>QO‘SHNAZAROV SAN’ATJON TOJIBOYEVICH( Qo`shnazarova Dilfruz)</t>
  </si>
  <si>
    <t xml:space="preserve">   Ro`zmetova Nasiba Quryozova Iroda ( Ilhom birgada )</t>
  </si>
  <si>
    <t>250 soliq qarz</t>
  </si>
  <si>
    <t xml:space="preserve">XUDAYBERGANOVA AYSHA </t>
  </si>
  <si>
    <t xml:space="preserve"> 998 97 858 53 59</t>
  </si>
  <si>
    <t>QARRIYEVA NAZOKAT QO‘ZIBOYEVNA</t>
  </si>
  <si>
    <t xml:space="preserve">Navbahor </t>
  </si>
  <si>
    <t xml:space="preserve">xokim yordamchi navbaxor </t>
  </si>
  <si>
    <t>DAVLATOV RAXIMBOY OTANAZAROVICH</t>
  </si>
  <si>
    <t xml:space="preserve">97 404 06 96 </t>
  </si>
  <si>
    <t xml:space="preserve">95 388 14 94 </t>
  </si>
  <si>
    <t xml:space="preserve">94 827 85 25   </t>
  </si>
  <si>
    <t xml:space="preserve">bir matsakil bilan Zaryatchik olib ketdi </t>
  </si>
  <si>
    <t xml:space="preserve">Navbaxor 88 457 18 00  88 451 30 56 </t>
  </si>
  <si>
    <t>YUSUPOVA SHOXISTA HAYITBAYEVNA</t>
  </si>
  <si>
    <t>MASHARIPOVA SHAIRA NURADDINOVNA</t>
  </si>
  <si>
    <t xml:space="preserve">Naqd beradi </t>
  </si>
  <si>
    <t>KENJAYEV AZAMAT QORRIBOYEVICH</t>
  </si>
  <si>
    <t>YOQUBOV SARVARBEK BAHODIROVICH</t>
  </si>
  <si>
    <t>ABDULLAYEVA LAYLO BAXTIYOROVNA</t>
  </si>
  <si>
    <t>MADRIMOVA O‘RINGUL YULDASHOVNA</t>
  </si>
  <si>
    <t>RUZIBAYEV JAMSHID IKROMOVICH</t>
  </si>
  <si>
    <t>RAXIMOV SA’DULLA EGAMBERDIYEVICH</t>
  </si>
  <si>
    <t>XUDAYBERGANOV TO‘RABEK OTABEKOVICH</t>
  </si>
  <si>
    <t xml:space="preserve">kluch Xursand og`a </t>
  </si>
  <si>
    <t>HUSAINOVA NARGIZA QADAMBOYEVNA</t>
  </si>
  <si>
    <t>UTEYEVA RA’NO MAXMUDOVNA</t>
  </si>
  <si>
    <t>XUDOYBERGANOV UMRBEK RASHIDOVICH</t>
  </si>
  <si>
    <t>QALANDAROVA NIYOZJON XUSAINOVNA</t>
  </si>
  <si>
    <t>ANNAMUROTOVA NILUFAR RO‘ZMETOVNA</t>
  </si>
  <si>
    <t>POLVONOVA SOHIBA OLIMBOYEVNA</t>
  </si>
  <si>
    <t>KAMOLADDINOV A’ZAMJON TO‘LQINOVICH</t>
  </si>
  <si>
    <t>XO‘JANIYAZOV SUXROBBEK SHONAZAROVICH</t>
  </si>
  <si>
    <t>YUSUPBAYEVA SALOMAT OYBEKOVNA</t>
  </si>
  <si>
    <t xml:space="preserve">Naqd beradi Noyabrdan oldin </t>
  </si>
  <si>
    <t>TOXIROV JAMOLBEK BOTIROVICH</t>
  </si>
  <si>
    <t>998 99 128 93 43</t>
  </si>
  <si>
    <t>ERNAZAROV RUSLON OLIMBOYEVICH</t>
  </si>
  <si>
    <t xml:space="preserve">99 119 01 04 </t>
  </si>
  <si>
    <t xml:space="preserve">99 335 55 23  95 330 27 89 </t>
  </si>
  <si>
    <t>POLIMETOV HAMID TO‘XTABOYEVICH</t>
  </si>
  <si>
    <t xml:space="preserve">97 605 17 80  99 563 22 80 </t>
  </si>
  <si>
    <t xml:space="preserve">99 673 92 78 </t>
  </si>
  <si>
    <t>KURYOZOV INOMJON KURONBOYEVICH</t>
  </si>
  <si>
    <t xml:space="preserve">motoblok  15 mln </t>
  </si>
  <si>
    <t xml:space="preserve">Qajaliqala shokir og` a </t>
  </si>
  <si>
    <t>09,10,2023</t>
  </si>
  <si>
    <t>HAJIYEV BEKZOD ATABOYEVICH</t>
  </si>
  <si>
    <t>97 299 32 92</t>
  </si>
  <si>
    <t>RO‘ZIMOV ADILBEK SAFAROVICH</t>
  </si>
  <si>
    <t xml:space="preserve">99 079 29 76 </t>
  </si>
  <si>
    <t>SOBIROVA SADOQAT RAXIMOVNA</t>
  </si>
  <si>
    <t>88 500 22 52</t>
  </si>
  <si>
    <t>ALLABERGANOV BAHROM POLVONOVICH</t>
  </si>
  <si>
    <t>95 350 10 83</t>
  </si>
  <si>
    <t xml:space="preserve">93 616 82 03   </t>
  </si>
  <si>
    <t xml:space="preserve">99 504 12 40  99 755 08 90 </t>
  </si>
  <si>
    <t>NURMETOVA GULI QOSIMBOYEVNA</t>
  </si>
  <si>
    <t>ISKANDAROVA GULLOLA KUVONDIKOVNA</t>
  </si>
  <si>
    <t xml:space="preserve">99 500 30 15   93 065 92 94 </t>
  </si>
  <si>
    <t>XONYAROVA GULYOR ERGASHOVNA</t>
  </si>
  <si>
    <t xml:space="preserve">99 297 23 89 </t>
  </si>
  <si>
    <t>XONYAROVA AZIZA ERGASHOVNA</t>
  </si>
  <si>
    <t xml:space="preserve">97 601 86 90 </t>
  </si>
  <si>
    <t>SABIROV SAN’AT ISKANDAROVICH</t>
  </si>
  <si>
    <t xml:space="preserve">95 757 82 11 </t>
  </si>
  <si>
    <t>JUMANIYAZOV NURBEK QAHRAMON O‘G‘LI</t>
  </si>
  <si>
    <t>RAXIMOV DILSHOD IKROMOVICH</t>
  </si>
  <si>
    <t xml:space="preserve">IBODULLAYEV ORTIQBOY NURADDIN </t>
  </si>
  <si>
    <t xml:space="preserve">88 201 18 16 </t>
  </si>
  <si>
    <t xml:space="preserve">Tozabazor </t>
  </si>
  <si>
    <t xml:space="preserve">97 527 98 88 yo`ldosh moloiyani bolasi </t>
  </si>
  <si>
    <t>ABDULLAYEVA OYSANAM KAMULOVNA</t>
  </si>
  <si>
    <t xml:space="preserve">95 230 68 90 </t>
  </si>
  <si>
    <t>MASHARIPOV DAVLATBOY QILICHOVICH</t>
  </si>
  <si>
    <t xml:space="preserve">99 548 03 70 </t>
  </si>
  <si>
    <t>TO‘XTABOYEV ANVARJON RO‘ZIMOVICH</t>
  </si>
  <si>
    <t xml:space="preserve">95 708 09 88 </t>
  </si>
  <si>
    <t xml:space="preserve">93 750 60 14 </t>
  </si>
  <si>
    <t xml:space="preserve">  MAXMUDOVA AMBAR NAZARBAYEVNA</t>
  </si>
  <si>
    <t>IBODULLAYEVA MUKADDAS RAJAB</t>
  </si>
  <si>
    <t>Qulonqorabog`</t>
  </si>
  <si>
    <t>11,10,2023</t>
  </si>
  <si>
    <t xml:space="preserve"> RAXIMOVA RO‘ZAXON QADAMBOY QIZI ( SA’DULLAYEV OLLABERGAN RAHIMOVICH )</t>
  </si>
  <si>
    <t>44827608 (45241571)</t>
  </si>
  <si>
    <t xml:space="preserve">nurafshon </t>
  </si>
  <si>
    <t>ZARIBOV JALOLADDIN MUZAFFAR O‘G‘LI</t>
  </si>
  <si>
    <t xml:space="preserve">sms olish kerak </t>
  </si>
  <si>
    <t xml:space="preserve"> SULTONBAYEVA SABAXOT ULUG‘BEKOVNA   (JUMANIYAZOV MURODBEK QILICHEVICH 67076462  ) </t>
  </si>
  <si>
    <t>XUDAYBERGANOVA GULZIRA XUDAYOR QIZI (XO‘JAMUROTOV BOTIR RO‘ZIBOYEVICH 54129319 )</t>
  </si>
  <si>
    <t>IBRAGIMOVA NODIRA SAPAYEVNA</t>
  </si>
  <si>
    <t xml:space="preserve">  o`zini kluchini olib keladi naqd pul beradi  ( noyabr  20 mln beradi )</t>
  </si>
  <si>
    <t>OTAYEV MUXAMMADYUSUF OLLABERGA</t>
  </si>
  <si>
    <t xml:space="preserve">94 272 96 73 </t>
  </si>
  <si>
    <t xml:space="preserve">88 792 10 12  </t>
  </si>
  <si>
    <t>ABDALOVA MAXSUDA SADULLAYEVNA</t>
  </si>
  <si>
    <t>GANJAYEVA DONOXON RAJABBOYEVNA</t>
  </si>
  <si>
    <t>MATMURATOV BAHROMBOY SADU</t>
  </si>
  <si>
    <t xml:space="preserve">77 096 90 06 </t>
  </si>
  <si>
    <t>DEVANOV ABDULLA NURADDINOVICH</t>
  </si>
  <si>
    <t xml:space="preserve">97 776 28 65 </t>
  </si>
  <si>
    <t xml:space="preserve">93 282 06 77 </t>
  </si>
  <si>
    <t>SULTONOVA NASIBA RO‘ZIBOYEVNA</t>
  </si>
  <si>
    <t>99 577 36 76</t>
  </si>
  <si>
    <t xml:space="preserve">90 558 85 41 </t>
  </si>
  <si>
    <t xml:space="preserve">93 005 41 64 </t>
  </si>
  <si>
    <t>TAJIYEVA SHAHNOZA NARIMAN QIZI</t>
  </si>
  <si>
    <t xml:space="preserve">rasm yo`q  </t>
  </si>
  <si>
    <t>12,10,2023</t>
  </si>
  <si>
    <t>RAJABBOYEV SOBIRJON ILXOMBOYEVICH</t>
  </si>
  <si>
    <t>XUDAKOV XAYRULLA XOLMURATOVICH</t>
  </si>
  <si>
    <t>99 673 82 46</t>
  </si>
  <si>
    <t>94 310 86 76</t>
  </si>
  <si>
    <t xml:space="preserve">BEKCHANOVA SHOXSANAM </t>
  </si>
  <si>
    <t xml:space="preserve">22 mln </t>
  </si>
  <si>
    <t>VAFAYEV RASULBEK QUTLIMURATOVIC</t>
  </si>
  <si>
    <t>SADIQOV MUZAFFAR ILHOM O‘G‘LI</t>
  </si>
  <si>
    <t>MASHARIBOVA RAYXON QADAMBOY QIZI</t>
  </si>
  <si>
    <t xml:space="preserve"> bank qaytargan </t>
  </si>
  <si>
    <t>XUDAYBERGANOV MURODBEK QALA</t>
  </si>
  <si>
    <t xml:space="preserve">94 232 25 81 </t>
  </si>
  <si>
    <t>QALANDAROV NODIRBEK YOKUBBOYEV</t>
  </si>
  <si>
    <t>SOLAYEV ERKINBAY LATIBBAYEVICH</t>
  </si>
  <si>
    <t>JUMATOV DOSTONBEK IKROM O‘G‘LI</t>
  </si>
  <si>
    <t xml:space="preserve">O`rozmat </t>
  </si>
  <si>
    <t xml:space="preserve"> 33 mln </t>
  </si>
  <si>
    <t xml:space="preserve">ashxobod 33 mln </t>
  </si>
  <si>
    <t>ISKANDAROVA SABOXAT KUPALOVNA</t>
  </si>
  <si>
    <t>51157683</t>
  </si>
  <si>
    <t>MATNIYAZOVA DILNOZA XUDAYAROVNA</t>
  </si>
  <si>
    <t>BABAJANOVA MUNIRA BAYNAZAROVNA</t>
  </si>
  <si>
    <t>77 036 61 01   998 99 268 61 10</t>
  </si>
  <si>
    <t>NURIMBETOV JURABEK RUZMATOVICH</t>
  </si>
  <si>
    <t xml:space="preserve">Bog`iston 99 500 59 04   93 090 01 84 qo`shnisi Shuxrat og`a </t>
  </si>
  <si>
    <t xml:space="preserve">Bog`iston 88 299 40 00    97 516 18 16 </t>
  </si>
  <si>
    <t xml:space="preserve">Bog`iston  94 685 54 53    99 947 12 75 </t>
  </si>
  <si>
    <t>UTEMURATOVA AMANGUL NURATDINOVNA</t>
  </si>
  <si>
    <t>YUSUPOVA INOBAT OZODOVNA</t>
  </si>
  <si>
    <t xml:space="preserve">93 282 71 12 </t>
  </si>
  <si>
    <t>DAVLETOVA NAZOKAT YUSUFOVNA</t>
  </si>
  <si>
    <t xml:space="preserve">99 201 62 11  97 364 39 20 </t>
  </si>
  <si>
    <t>XONYOROV JASURBEK QO‘SH</t>
  </si>
  <si>
    <t xml:space="preserve">99 554 13 85 </t>
  </si>
  <si>
    <t xml:space="preserve">99 023 20 86  99 554 93 86 </t>
  </si>
  <si>
    <t>KAZAKOVA OKSANA RAMONBERDI QIZI</t>
  </si>
  <si>
    <t xml:space="preserve">99 135 74 64 </t>
  </si>
  <si>
    <t xml:space="preserve">97 512 18 67    33 706 90 92 </t>
  </si>
  <si>
    <t>JUMANIYAZOVA ERKINOY O‘KTAMOVNA</t>
  </si>
  <si>
    <t xml:space="preserve">93 478 38 18 </t>
  </si>
  <si>
    <t>13,10,2023</t>
  </si>
  <si>
    <t>MATNIYAZOV DIYORBEK MIRZA O‘G‘LI</t>
  </si>
  <si>
    <t xml:space="preserve"> 97 505 72 14   Xokim yor  97 358 39 44 </t>
  </si>
  <si>
    <t>SHOMURATOV JUMANAZAR XXX</t>
  </si>
  <si>
    <t xml:space="preserve">91 275 53 05   95 383 27 01 </t>
  </si>
  <si>
    <t>IBADULLAYEV ATABEK MASHARIPOVICH</t>
  </si>
  <si>
    <t xml:space="preserve">qo`shko`pir Xumoyun </t>
  </si>
  <si>
    <t>YESCHANOV ABROR KARRIBAYEVICH</t>
  </si>
  <si>
    <t xml:space="preserve">23 mln  Jo`rabek </t>
  </si>
  <si>
    <t>KENJAYEV SHERXON ROZUMBAYEVICH</t>
  </si>
  <si>
    <t xml:space="preserve">24 mln  Jo`rabek </t>
  </si>
  <si>
    <t>ESHAQOV DAVLATBOY QALANDAROVICH</t>
  </si>
  <si>
    <t>YODGOROV OTAXON SHAVKATOVICH</t>
  </si>
  <si>
    <t>BOBOJONOVA BARNO MATYAQUBOVNA</t>
  </si>
  <si>
    <t xml:space="preserve">24,5 mln Xumoyun </t>
  </si>
  <si>
    <t>RO‘ZIBOYEVA QUNDUZ AZADOVNA</t>
  </si>
  <si>
    <t xml:space="preserve">99 061 06 16  99 382 18 58 </t>
  </si>
  <si>
    <t>BEKNIYOZOV ALISHER RAVSHANBEK O‘G‘LI</t>
  </si>
  <si>
    <t xml:space="preserve">88 601 66 88    88 360 02 75 </t>
  </si>
  <si>
    <t>SULTANOV RAVSHANBEK BABAJANOVICH</t>
  </si>
  <si>
    <t xml:space="preserve">99 064 05 83 99 098 69 84 </t>
  </si>
  <si>
    <t>Navbaxor  94 408 10 11   99 389 87 73</t>
  </si>
  <si>
    <t xml:space="preserve">tez </t>
  </si>
  <si>
    <t>JUMABOYEV SHAXRIYOR ULUG‘BEKOVICH</t>
  </si>
  <si>
    <t>JUMANIYAZOVA ZUBAYDA DUSHAMOVNA</t>
  </si>
  <si>
    <t>RO‘ZIBAYEV RASULBEK KURANBAYEVICH</t>
  </si>
  <si>
    <t>ABDULLAYEVA KOMILA ILXOMBOY QIZI</t>
  </si>
  <si>
    <t>ISMOILOV ISLOM AZADOVICH</t>
  </si>
  <si>
    <t>RO‘ZIMOV ELOMON OTABOYEVICH</t>
  </si>
  <si>
    <t xml:space="preserve">97 362 08 01  </t>
  </si>
  <si>
    <t xml:space="preserve">smsni olish kerak </t>
  </si>
  <si>
    <t xml:space="preserve">Akrom  99 770 11 21 </t>
  </si>
  <si>
    <t>16,10,2023</t>
  </si>
  <si>
    <t xml:space="preserve">akmulyarit </t>
  </si>
  <si>
    <t>JABBOROV KUDRAT GAYRATOVICH</t>
  </si>
  <si>
    <t>odilbek gai 995002700</t>
  </si>
  <si>
    <t>QAZAQOV MA’RUFJON JUMAZAROVICH</t>
  </si>
  <si>
    <t>RAXIMOV NAVOIY ERKINOVICH</t>
  </si>
  <si>
    <t>NAZAROV O‘RINBOY AZIMBOYEVICH</t>
  </si>
  <si>
    <t xml:space="preserve">Yangiariq Oq Machit </t>
  </si>
  <si>
    <t>88 360 07 05   Xokim yordamchi  993480443</t>
  </si>
  <si>
    <t xml:space="preserve">ABDURAXMANOV ABDURAHMON </t>
  </si>
  <si>
    <t>RAXMANOVA NIGORA SULTANBAYEVNA</t>
  </si>
  <si>
    <t>ATAJANOV AKMAL IKRAMBAYEVICH</t>
  </si>
  <si>
    <t xml:space="preserve">shokir of`amni jo`rasi 91 433 74 76 </t>
  </si>
  <si>
    <t>RAJABOV HAMZA RO‘ZIMOVICH</t>
  </si>
  <si>
    <t>88 458 10 06</t>
  </si>
  <si>
    <t xml:space="preserve"> Soxibkor 99 571 64 65  Fermer Isuzu </t>
  </si>
  <si>
    <t>RAJAPOVA NAVRUZA KUKLANOVNA</t>
  </si>
  <si>
    <t xml:space="preserve">urazmat </t>
  </si>
  <si>
    <t>BAZARBAYEVA NARGIZA BAXTIYAROVNA</t>
  </si>
  <si>
    <t>O‘ROZBOYEVA NARGIZA RAJAB QIZI</t>
  </si>
  <si>
    <t>KOKLENOVA SHOIRA MAXMUDOVNA</t>
  </si>
  <si>
    <t xml:space="preserve">motoblok va jatki </t>
  </si>
  <si>
    <t>RAXIMOV ULUG‘BEK ATAJANOVICH</t>
  </si>
  <si>
    <t xml:space="preserve">sohibkor </t>
  </si>
  <si>
    <t>JUMAQOV AZAMAT IBODULLA O‘G‘LI</t>
  </si>
  <si>
    <t xml:space="preserve">Beruniy MFY </t>
  </si>
  <si>
    <t xml:space="preserve">90 430 05 97 </t>
  </si>
  <si>
    <t>RO‘ZIMOV ASROR SHUXRAT O‘G‘LI</t>
  </si>
  <si>
    <t xml:space="preserve">99 166 96 66    97 363 91 73 </t>
  </si>
  <si>
    <t xml:space="preserve">94 639 70 58   93 619 67 87 </t>
  </si>
  <si>
    <t>TO‘RAYEV ODILBEK OTABOY O‘G‘LI</t>
  </si>
  <si>
    <t xml:space="preserve">97 360 06 92   93 213 10 60 </t>
  </si>
  <si>
    <t>SHARIPOVA TUXTAGUL TAJIBOYEVNA</t>
  </si>
  <si>
    <t xml:space="preserve">94 313 09 73 </t>
  </si>
  <si>
    <t xml:space="preserve">94 872 86 26 </t>
  </si>
  <si>
    <t>ODAMBOYEV O‘LMASBEK NURMAMAT O‘G‘LI</t>
  </si>
  <si>
    <t>AXMEDOV SODIQJON G‘AYRATOVICH</t>
  </si>
  <si>
    <t xml:space="preserve">oq Oltin Sodiq </t>
  </si>
  <si>
    <t>NURMETOV QUVONCHBEK QURBONBOYEVICH</t>
  </si>
  <si>
    <t>17,10,2023</t>
  </si>
  <si>
    <t xml:space="preserve">99 564 48 58   </t>
  </si>
  <si>
    <t xml:space="preserve">MADULIN SHERZODBEK ALLABERGAN </t>
  </si>
  <si>
    <t>99 961 02 65   99 360 2155</t>
  </si>
  <si>
    <t xml:space="preserve">Navro`z 99 063 10 84  90 077 79 92 </t>
  </si>
  <si>
    <t>ABJABBAROV ALISHER QADIROVICH</t>
  </si>
  <si>
    <t xml:space="preserve">94 473 69 77   94 114 15 60 </t>
  </si>
  <si>
    <t xml:space="preserve">99 606 11 68  88 364 03 90 </t>
  </si>
  <si>
    <t>AQNAZAROV XURSAND IBADULLAYEVICH</t>
  </si>
  <si>
    <t xml:space="preserve">Rahmatjon darcha </t>
  </si>
  <si>
    <t>NURMETOV ZOYIR QURONBOYEVICH</t>
  </si>
  <si>
    <t xml:space="preserve">Galaba  </t>
  </si>
  <si>
    <t xml:space="preserve">77 003 01 91  99 087 96 96 </t>
  </si>
  <si>
    <t xml:space="preserve">Surxondaryo </t>
  </si>
  <si>
    <t>SAFAROVA SHARAFAT ABDIRASHITOVNA</t>
  </si>
  <si>
    <t xml:space="preserve">ko`kdala </t>
  </si>
  <si>
    <t>PANAYEVA SHAHNOZA SHAVKATOVNA</t>
  </si>
  <si>
    <t xml:space="preserve">Qorabog` </t>
  </si>
  <si>
    <t xml:space="preserve">93 347 84 11   93 865 64 84 11 </t>
  </si>
  <si>
    <t>SOBIROVA NOZIMA DILMUROD QIZI</t>
  </si>
  <si>
    <t>OLLASHKUROV NE’MATJON OYBEK O‘G‘LI</t>
  </si>
  <si>
    <t>TO‘XTABAYEV BUNYOD USMANOVICH</t>
  </si>
  <si>
    <t>BEKNIYAZOV SETMURAT XASANOVICH</t>
  </si>
  <si>
    <t>TILLAYEVA MUQADDAS ISMOILOVNA</t>
  </si>
  <si>
    <t xml:space="preserve">Xazarasp sherni jo`rasi </t>
  </si>
  <si>
    <t xml:space="preserve">97 737 49 19 </t>
  </si>
  <si>
    <t>YAXSHIMURATOV ELYORBEK MATRASULOVICH</t>
  </si>
  <si>
    <t xml:space="preserve">motoblok 22,5  jo`shqin oga </t>
  </si>
  <si>
    <t>SAIDOVA GAVXAR XASANOVNA</t>
  </si>
  <si>
    <t xml:space="preserve">motoblok 25  jo`shqin oga </t>
  </si>
  <si>
    <t>JUMANIYOZOV ALIJON AMINBOYEVICH</t>
  </si>
  <si>
    <t xml:space="preserve">Madaniyuat </t>
  </si>
  <si>
    <t xml:space="preserve">97 201 28 88 </t>
  </si>
  <si>
    <t>DUSHAMOV SANJAR SHAVKATOVICH</t>
  </si>
  <si>
    <t>18,10,2023</t>
  </si>
  <si>
    <t xml:space="preserve">94 110 50 02   97 457 87 11 </t>
  </si>
  <si>
    <t>SULTANOV OBOD YARASHBOYEVICH</t>
  </si>
  <si>
    <t>Sohibkor   88 858 68 11 93 708 68 11   94 117 04 56</t>
  </si>
  <si>
    <t xml:space="preserve">ALLABERGANOVA MUXABBAT </t>
  </si>
  <si>
    <t>RAXIMOV IKROM QOSIMOVICH</t>
  </si>
  <si>
    <t xml:space="preserve">99 486 14 16   </t>
  </si>
  <si>
    <t>ABDULLAYEV SOBIRJON QODIRBERGAN O‘G‘LI</t>
  </si>
  <si>
    <t xml:space="preserve">Yangi ariq G`ulom </t>
  </si>
  <si>
    <t xml:space="preserve">88 516 52 02 </t>
  </si>
  <si>
    <t>XUDAYBERGANOV DILSHOD IKROMOVICH</t>
  </si>
  <si>
    <t xml:space="preserve">97 451 89 29 </t>
  </si>
  <si>
    <t>OTAJONOV JASUR OTABEKOVICH</t>
  </si>
  <si>
    <t xml:space="preserve">97 600 60 07 </t>
  </si>
  <si>
    <t xml:space="preserve">kontener </t>
  </si>
  <si>
    <t>BOTIROVA NAVBAHOR FARHODBOYEVNA</t>
  </si>
  <si>
    <t>SETMETOVA MOHIRA ERGASHOVNA</t>
  </si>
  <si>
    <t xml:space="preserve">33 199 39 30  99 079 25 75 </t>
  </si>
  <si>
    <t xml:space="preserve">97 859 62 79 </t>
  </si>
  <si>
    <t xml:space="preserve">JUMANIYAZOV RUSTAMBOY </t>
  </si>
  <si>
    <t xml:space="preserve">shokir og`ami jojasi </t>
  </si>
  <si>
    <t>QO‘SHAYEV MURODJON G‘AYRATOVICH</t>
  </si>
  <si>
    <t xml:space="preserve">24 moto </t>
  </si>
  <si>
    <t xml:space="preserve">77 060 47 57 </t>
  </si>
  <si>
    <t>XOLMATOV XAKIM SHAROFOVICH</t>
  </si>
  <si>
    <t>ALLABERGANOVA ROZA ZARIPBAYEVNA</t>
  </si>
  <si>
    <t xml:space="preserve">To`pchi 95 230 50 69  </t>
  </si>
  <si>
    <t>QADIROV RASHIDBEK RAJABOVICH</t>
  </si>
  <si>
    <t xml:space="preserve">Tozabozor motoblok </t>
  </si>
  <si>
    <t xml:space="preserve">97 529 04 75 </t>
  </si>
  <si>
    <t>YAQUBOV YUSUFBOY TOXIROVICH</t>
  </si>
  <si>
    <t>ANNAMURATOVA INTIZOR SAP</t>
  </si>
  <si>
    <t>ROZIMOVA ALMAXAN ZARIPBAYEVNA</t>
  </si>
  <si>
    <t xml:space="preserve">qaraqalpoq  moto yo yerc suradigan </t>
  </si>
  <si>
    <t>MAVLONOVA NURJON RAZZOQBERDI QIZI</t>
  </si>
  <si>
    <t xml:space="preserve">94 235 16 94 </t>
  </si>
  <si>
    <t>KARIMOVA MAR’YAM ROZUMOVNA</t>
  </si>
  <si>
    <t xml:space="preserve">99 753 09 75 </t>
  </si>
  <si>
    <t>SULTONOVA GULBAXOR YUSUPOVNA</t>
  </si>
  <si>
    <t xml:space="preserve">95 777 09 18   </t>
  </si>
  <si>
    <t>MIRZAYEVA KAROMAT MATNAZAR QIZI</t>
  </si>
  <si>
    <t xml:space="preserve">99 125 77 68   95 171 73 79 </t>
  </si>
  <si>
    <t>ISKANDAROV BOZORBOY SAMANDAROVICH</t>
  </si>
  <si>
    <t xml:space="preserve">99 249 55 57 </t>
  </si>
  <si>
    <t xml:space="preserve">Pulini qaytarish kerak </t>
  </si>
  <si>
    <t>JUMANIYOZOVA SHAHODAT MATCHANOVNA</t>
  </si>
  <si>
    <t xml:space="preserve">99 312 69 71 </t>
  </si>
  <si>
    <t xml:space="preserve">93 186 04 23 </t>
  </si>
  <si>
    <t>20,10,2023</t>
  </si>
  <si>
    <t>TAJIMOV OMONKELDI BAXTIYOROVICH</t>
  </si>
  <si>
    <t xml:space="preserve">99 570 60 97  93 049 01 38 </t>
  </si>
  <si>
    <t>ALLAMOVA ZEBO DAVLATOVNA</t>
  </si>
  <si>
    <t xml:space="preserve">99 449 34 07   99 947 61 21 </t>
  </si>
  <si>
    <t xml:space="preserve">QALANDAROVA FAZILAT SHOKIRJANOVNA </t>
  </si>
  <si>
    <t xml:space="preserve">97 092 19 77  </t>
  </si>
  <si>
    <t xml:space="preserve">99 029 71 09  93 136 74 09 </t>
  </si>
  <si>
    <t>KARIMOVA YULDUZ EGAMBERDI QIZI</t>
  </si>
  <si>
    <t xml:space="preserve">93 755 88 67  94 114 60 64 </t>
  </si>
  <si>
    <t xml:space="preserve">26 tushgan - 23 mln  qoldiq  3 mln </t>
  </si>
  <si>
    <t>ALIMOVA MUNIRA UMRBEK QIZI</t>
  </si>
  <si>
    <t>ALIMOV ANVARBEK UMRBEK O‘G‘LI</t>
  </si>
  <si>
    <t xml:space="preserve">Ulug`bek og`a Xalq Banki  kontener </t>
  </si>
  <si>
    <t xml:space="preserve">99 131 22 92 </t>
  </si>
  <si>
    <t>MAVLONOV SAFARBOY BOLTABOYEVICH</t>
  </si>
  <si>
    <t xml:space="preserve">94 248 81 44  </t>
  </si>
  <si>
    <t>RAIMOVA RO‘ZA RAVSHONBEKOVNA  ( NURULLAYEV HABIBULLA BAXODIROVICH)</t>
  </si>
  <si>
    <t>XO‘JABAYEV BABAMURAT URAZDURDIYEVICH</t>
  </si>
  <si>
    <t xml:space="preserve"> Qalajiqala  88 453 81 00  16,5 matsakil </t>
  </si>
  <si>
    <t>ALLASHUKUROV SHERZOD SAPARBOYEVICH</t>
  </si>
  <si>
    <t xml:space="preserve">xurriyat frezer aparat  25 mln </t>
  </si>
  <si>
    <t xml:space="preserve">91 420 43 12 </t>
  </si>
  <si>
    <t xml:space="preserve">99 747 32 66  97 792 62 99 </t>
  </si>
  <si>
    <t xml:space="preserve">33 582 51 80   97 512 25 75 </t>
  </si>
  <si>
    <t>23,10,2023</t>
  </si>
  <si>
    <t xml:space="preserve"> ARABOVA SARVINOZ TO‘LQINBOY QIZI</t>
  </si>
  <si>
    <t>MATYAQUBOV O‘LMASBEK RAJ</t>
  </si>
  <si>
    <t>MASHARIPOV JAMSHIDBEK ERKINOVICH</t>
  </si>
  <si>
    <t>IBRAGIMOVA ZULXUMOR SAMANDAROVNA</t>
  </si>
  <si>
    <t xml:space="preserve">Nodir og`a elektraset </t>
  </si>
  <si>
    <t xml:space="preserve">o`zbekiston </t>
  </si>
  <si>
    <t>SAPAYEV ILXOM SOBUROVICH</t>
  </si>
  <si>
    <t>RAXIMOV NE’MATJON XUDAYBE</t>
  </si>
  <si>
    <t>97 510 64 04</t>
  </si>
  <si>
    <t xml:space="preserve">94 072 23 83  Namangan  Xokim yordamchi 94 040 8777   bank 94 513 20 22  88 370 00 89   95 087 50 40  94 270 01 10 </t>
  </si>
  <si>
    <t xml:space="preserve">99 572 66 06 </t>
  </si>
  <si>
    <t>BEKCHONOV NODIRBEK ATOBAY</t>
  </si>
  <si>
    <t xml:space="preserve">33 427 00 81 </t>
  </si>
  <si>
    <t xml:space="preserve">93 475 79 76  99 154 97 11  Welomax Shapkali </t>
  </si>
  <si>
    <t>XUDOYBERGANOVA MOHIRA RAJABOVNA</t>
  </si>
  <si>
    <t>OLLANAZAROV RAVSHONBEK JUMABOYEVICH</t>
  </si>
  <si>
    <t>DAVLETOV BAXTIYOR XASANOVICH</t>
  </si>
  <si>
    <t xml:space="preserve">akfa stanok  Madaniyat </t>
  </si>
  <si>
    <t xml:space="preserve">97 362 40 20 </t>
  </si>
  <si>
    <t>ARTIQOV ARZUBOY PO‘LATOVICH</t>
  </si>
  <si>
    <t>MARATOV ARSLON SADULLAYEVICH</t>
  </si>
  <si>
    <t xml:space="preserve">Jummi ena </t>
  </si>
  <si>
    <t>ALLAQULOV FARXOD ATAXONOVICH</t>
  </si>
  <si>
    <t>XUDAYBERGANOV AZIZBEK RAISOVICH</t>
  </si>
  <si>
    <t>QO‘SHNAZAROV BOBURJON G‘AYRAT</t>
  </si>
  <si>
    <t xml:space="preserve">97 856 26 27 </t>
  </si>
  <si>
    <t>RAZZOQOVA ROHILA UMORBEK QIZI</t>
  </si>
  <si>
    <t>25,10,2023</t>
  </si>
  <si>
    <t>SALIMOVA MINSARA DINISLAMOVNA</t>
  </si>
  <si>
    <t xml:space="preserve">Jonibek </t>
  </si>
  <si>
    <t>GAYTULOV UMIDJON AXMETOVICH</t>
  </si>
  <si>
    <t xml:space="preserve">Madaniyat jo`shqin oga` </t>
  </si>
  <si>
    <t>MATKARIMOVA KAROMAT RO‘ZMATOVN</t>
  </si>
  <si>
    <t>916441990  Xokim yordamchi  91 644 19 90  94 291 90 10</t>
  </si>
  <si>
    <t>NURMETOVA SAYYORA YO‘LDOSHBOYEVN</t>
  </si>
  <si>
    <t xml:space="preserve">go`sht  maydalagich  muzlatkich </t>
  </si>
  <si>
    <t>IBADULLAYEV DONIYOR G‘ULOMOVI</t>
  </si>
  <si>
    <t xml:space="preserve">ezoz dukon </t>
  </si>
  <si>
    <t xml:space="preserve">91 984 70 70 </t>
  </si>
  <si>
    <t>t</t>
  </si>
  <si>
    <t>RAXIMOV ODAMBOY AXMEDOVICH</t>
  </si>
  <si>
    <t xml:space="preserve">95 779 89 72  97 792 89 72 </t>
  </si>
  <si>
    <t>YAQUBBOYEV SARVARBEK SHAVKAT O‘G‘</t>
  </si>
  <si>
    <t xml:space="preserve">99 755 48 47 </t>
  </si>
  <si>
    <t>MAMAZIYAYEVA GULCHIRA JUMABAYEVN</t>
  </si>
  <si>
    <t>25,10,203</t>
  </si>
  <si>
    <t>26,10,2023</t>
  </si>
  <si>
    <t>tayyor</t>
  </si>
  <si>
    <t>AHMEDOVA NILUFAR MAQSUDOVNA</t>
  </si>
  <si>
    <t xml:space="preserve">Sherzod Buxgalter </t>
  </si>
  <si>
    <t>8509001009000000</t>
  </si>
  <si>
    <t>MATYAKUBOVA MERIXAN MAXMUDOVNA</t>
  </si>
  <si>
    <t>SADULLAYEVA HILOLA QURBONDURDI QIZI</t>
  </si>
  <si>
    <t xml:space="preserve">93 984 75 59 </t>
  </si>
  <si>
    <t>YUSUPOVA IQBOLXON ZARIBOVNA</t>
  </si>
  <si>
    <t xml:space="preserve">94 119 15 81 </t>
  </si>
  <si>
    <t>BERDIYOROVA OLIYA HUSAN QIZ</t>
  </si>
  <si>
    <t xml:space="preserve">99 564 28 97 </t>
  </si>
  <si>
    <t>AVEZOV DAVRONBEK RUSTAMOVICH</t>
  </si>
  <si>
    <t xml:space="preserve">95 585 22 86 </t>
  </si>
  <si>
    <t>27,10,2023</t>
  </si>
  <si>
    <t>BABAJONOVA FERUZA ELAMANOVNA</t>
  </si>
  <si>
    <t xml:space="preserve">93 674 12 86 </t>
  </si>
  <si>
    <t>O‘RINBOYEV DOSTONBEK RUSLON O‘G‘LI</t>
  </si>
  <si>
    <t>IBADULLAYEVA ROZA QURBANDURDIYEVNA</t>
  </si>
  <si>
    <t xml:space="preserve">Madaniyat baxodir </t>
  </si>
  <si>
    <t>ATAJANOV DAVRONBEK YARASHBOYEVICH</t>
  </si>
  <si>
    <t xml:space="preserve">yangiqadam </t>
  </si>
  <si>
    <t>KARIMOV O‘RINBAY BEGMURATOVICH</t>
  </si>
  <si>
    <t xml:space="preserve">Qalajiqalla shokir og`a </t>
  </si>
  <si>
    <t>ARMADA ENERGIYA GULZOR MCHJ</t>
  </si>
  <si>
    <t>28,10,2023</t>
  </si>
  <si>
    <t xml:space="preserve">Eshchonov Abror </t>
  </si>
  <si>
    <t>SULTANOVA GAVXAR QABULOVNA</t>
  </si>
  <si>
    <t>29,10,2023</t>
  </si>
  <si>
    <t>TAJIYEVA GO‘ZAL ALIMBOYEVNA</t>
  </si>
  <si>
    <t xml:space="preserve">99 901 11 87 </t>
  </si>
  <si>
    <t xml:space="preserve">tayor </t>
  </si>
  <si>
    <t>MATCHANOVA SALOMAT OLLAYOROVNA</t>
  </si>
  <si>
    <t>77 027 52 42</t>
  </si>
  <si>
    <t>AXMEDOVA GULSHODA ODILBEKOVNA</t>
  </si>
  <si>
    <t xml:space="preserve">Bog`zor qudrat og`a </t>
  </si>
  <si>
    <t>SAPARBAYEV UMRBEK AZAMAT O‘G‘LI</t>
  </si>
  <si>
    <t xml:space="preserve">Qalajiqala  </t>
  </si>
  <si>
    <t>998 99 540 37 10</t>
  </si>
  <si>
    <t>SULTANOVA MUAZZAMXON UMRBEKOVNA</t>
  </si>
  <si>
    <t>JUMANIYAZOV KUVONDIQ KURBANBAYEVICH</t>
  </si>
  <si>
    <t xml:space="preserve">99 032 42 90 </t>
  </si>
  <si>
    <t>RAHMONOVA MUXTARAMA ALLAYAROVNA</t>
  </si>
  <si>
    <t xml:space="preserve">97 858 01 25 </t>
  </si>
  <si>
    <t>YUSUPOVA DILDORA URUNBOYEVNA</t>
  </si>
  <si>
    <t xml:space="preserve">99 709 07 65 </t>
  </si>
  <si>
    <t>SABIROV DAVRONBEK SETMUROTOVICH</t>
  </si>
  <si>
    <t xml:space="preserve">99 026 08 71 </t>
  </si>
  <si>
    <t>XO‘JAQOV TO‘XTABOY O‘KTAMBOYEVICH</t>
  </si>
  <si>
    <t xml:space="preserve">Bog`zor  </t>
  </si>
  <si>
    <t xml:space="preserve">88 362 22 11 </t>
  </si>
  <si>
    <t>ROXIMOVA SHOXNOZA EGAMBERDIYEVNA</t>
  </si>
  <si>
    <t xml:space="preserve">Rustam og`a </t>
  </si>
  <si>
    <t>QO‘SHNAZAROV MAQSUD OTANAZAROVICH</t>
  </si>
  <si>
    <t xml:space="preserve">15 mln moto </t>
  </si>
  <si>
    <t>MASHARIPOVA SHAHLO KOMULJONOVNA</t>
  </si>
  <si>
    <t xml:space="preserve">Shuhrat moyka </t>
  </si>
  <si>
    <t>SHODURDIYEV SIROJBEK O‘KTAM O‘G‘LI</t>
  </si>
  <si>
    <t>JUMANAZAROV ZUFARBEK FAXRADDIN O‘G‘LI</t>
  </si>
  <si>
    <t xml:space="preserve">Xurriyat Kontener </t>
  </si>
  <si>
    <t>RAXMANOVA GULANDOM KARIMBERDIYEVNA</t>
  </si>
  <si>
    <t>BEKCHANOV SARDOR RUSTAMBOYEVICH</t>
  </si>
  <si>
    <t xml:space="preserve">qalajiqala Shokir og`a </t>
  </si>
  <si>
    <t>SAMANDAROV AZIMBOY SHUXRATOVICH</t>
  </si>
  <si>
    <t xml:space="preserve">93 731 18 93  </t>
  </si>
  <si>
    <t>QURBANOVA KAROMAT SAMANDAROVNA</t>
  </si>
  <si>
    <t xml:space="preserve">93 747 62 70 </t>
  </si>
  <si>
    <t>SARIYEVA FERUZA SADULLAYEVNA</t>
  </si>
  <si>
    <t xml:space="preserve">93 741 09 08  97 516 72 04 </t>
  </si>
  <si>
    <t>BABAJANOV NARIMON RO‘ZIMBOYEVICH</t>
  </si>
  <si>
    <t xml:space="preserve">99 029 04 75  99 509 13 38 </t>
  </si>
  <si>
    <t>IBRAGIMOV IXTIYOR BAXTIYOROVICH</t>
  </si>
  <si>
    <t xml:space="preserve">kichkina </t>
  </si>
  <si>
    <t>03,11,2023</t>
  </si>
  <si>
    <t>ALLABERGANOVA RAYXON MUXAMATOVNA</t>
  </si>
  <si>
    <t>QALANDAROV ALLAYOR SAMANDAROVICH</t>
  </si>
  <si>
    <t>01121993</t>
  </si>
  <si>
    <t>G‘AYIBOVA MANZURA YULDASHEVNA</t>
  </si>
  <si>
    <t xml:space="preserve">998 99 733 78 81  Yosh O`smir 95 554 23 53  99 964 02 78 </t>
  </si>
  <si>
    <t>998 95 050 03 97</t>
  </si>
  <si>
    <t>XALIQOV JO‘RABEK TURSUNBAYEVICH</t>
  </si>
  <si>
    <t>02,11,2023</t>
  </si>
  <si>
    <t>MATYOQUBOV MATYOQUB KOMIL O‘G‘LI</t>
  </si>
  <si>
    <t xml:space="preserve">93 377 99 16   </t>
  </si>
  <si>
    <t>MADRIMOV XUSHNUDBEK BOTIROVICH</t>
  </si>
  <si>
    <t xml:space="preserve">99 258 05 82   94 232 50 82 </t>
  </si>
  <si>
    <t>QO‘CHQAROV UMARBEK RAZZAQOVICH</t>
  </si>
  <si>
    <t xml:space="preserve"> 50 552 00 53 </t>
  </si>
  <si>
    <t>UDOYBERGANOVA BARCHINOY MAQSUDOVNA</t>
  </si>
  <si>
    <t>qalajiqala donyor 33 55</t>
  </si>
  <si>
    <t>NARMETOV ASROR BAXTIYOR O‘G‘LI</t>
  </si>
  <si>
    <t xml:space="preserve">quromboy chuvalchang </t>
  </si>
  <si>
    <t>JUMABAYEV TOLIBJON HAMDAMBOYEVICH</t>
  </si>
  <si>
    <t xml:space="preserve">gulshan mikser pechka </t>
  </si>
  <si>
    <t>BEGALIYEV ELDORJON NORQO‘ZIYEVICH</t>
  </si>
  <si>
    <t xml:space="preserve">Toshkent chiniz </t>
  </si>
  <si>
    <t xml:space="preserve">94 437 37 24 </t>
  </si>
  <si>
    <t xml:space="preserve">kredit qiladi </t>
  </si>
  <si>
    <t>QUTLIYEVA ROHAT RAYIMBOYEVNA</t>
  </si>
  <si>
    <t xml:space="preserve">88 299 02 24 </t>
  </si>
  <si>
    <t>ARMADA ENERGIYA MOTORS</t>
  </si>
  <si>
    <t>QURBANBOYEV RUSLON XXX</t>
  </si>
  <si>
    <t>ISKANDAROVA ADIBA SATIMBOYEVNA</t>
  </si>
  <si>
    <t>08071985</t>
  </si>
  <si>
    <t>ABIYEV BEKMIRZA NURULLAYEVICH</t>
  </si>
  <si>
    <t>99 555 31 66</t>
  </si>
  <si>
    <t>04,11,2023</t>
  </si>
  <si>
    <t xml:space="preserve">tez muammo soliq qarz 200 ming </t>
  </si>
  <si>
    <t>SOTIBOLDIYEVA MUNIRA PO‘LAT QIZI</t>
  </si>
  <si>
    <t>99 958 99 17</t>
  </si>
  <si>
    <t xml:space="preserve">99 50 009 44 55 </t>
  </si>
  <si>
    <t>EGAMBERDIYEV AZAMAT ULUG‘BEK</t>
  </si>
  <si>
    <t xml:space="preserve">Xonqa Ilg`or </t>
  </si>
  <si>
    <t xml:space="preserve">99 281 62 42  99 689 73 94 </t>
  </si>
  <si>
    <t>HO‘SINBAYEV AZIMBOY TO‘RABOY O‘G‘LI</t>
  </si>
  <si>
    <t xml:space="preserve">Rahmatjon kasastr </t>
  </si>
  <si>
    <t>06,11,2023</t>
  </si>
  <si>
    <t>PINYOZOV SOBIR JUMANAZAROVICH</t>
  </si>
  <si>
    <t xml:space="preserve">93 091 58 38  </t>
  </si>
  <si>
    <t>QILICHOV YANGIBOY TAGANOVICH</t>
  </si>
  <si>
    <t>97 600 18 70</t>
  </si>
  <si>
    <t>ABUBAKIROVA FERUZA SAIDOBOD QIZI</t>
  </si>
  <si>
    <t xml:space="preserve">33 203 94 33 </t>
  </si>
  <si>
    <t>YAKUBOV KUDRAT ABDULLAYEVICH</t>
  </si>
  <si>
    <t>ATAJONOV MANSURBEK EGAMBERDIYEVICH</t>
  </si>
  <si>
    <t xml:space="preserve">77 090 08 89 </t>
  </si>
  <si>
    <t>SETNAZAROVA MARXABO OLLASHKUR QIZI</t>
  </si>
  <si>
    <t xml:space="preserve">93 745 86 01 </t>
  </si>
  <si>
    <t>NURMETOV PO‘LAT OTABOYEVICH</t>
  </si>
  <si>
    <t>ABDULLAYEV MANSURBEK MAXMUD O‘G‘LI</t>
  </si>
  <si>
    <t xml:space="preserve">oq Oltin </t>
  </si>
  <si>
    <t>DURDIYEVA UMIDA MATKARIMOVNA</t>
  </si>
  <si>
    <t>XUDAYBERGANOV G‘AYRAT QO‘SHAYEVICH</t>
  </si>
  <si>
    <t>94 102 62 12  93 248 76 60</t>
  </si>
  <si>
    <t>ALLABERGANOV MARLEN RUZMAMATOVICH</t>
  </si>
  <si>
    <t xml:space="preserve">97 221 01 79 </t>
  </si>
  <si>
    <t>YAQUBOV HAMIDJON QO‘CHQOROVICH</t>
  </si>
  <si>
    <t xml:space="preserve">93 411 91 71 </t>
  </si>
  <si>
    <t>MADRAXIMOVA MALIKA NARBAYEVNA</t>
  </si>
  <si>
    <t>94 005 73 93</t>
  </si>
  <si>
    <t>GOLD MOTOROLLER</t>
  </si>
  <si>
    <t xml:space="preserve">93 289 29 74  </t>
  </si>
  <si>
    <t>08,11,2023</t>
  </si>
  <si>
    <t xml:space="preserve">77 033 03 67   </t>
  </si>
  <si>
    <t>MASHARIPOV BAXROM ALIMOVICH</t>
  </si>
  <si>
    <t>GANJAYEV SHERZOD RUSTAMOVICH</t>
  </si>
  <si>
    <t xml:space="preserve">99 870 55 35  99 679 55 35 </t>
  </si>
  <si>
    <t>SULTANOV RASULBEK BABAJANOVICH</t>
  </si>
  <si>
    <t xml:space="preserve">93 002 99 68  99 445 99 68 </t>
  </si>
  <si>
    <t xml:space="preserve">88 456 90 98   </t>
  </si>
  <si>
    <t>RAVSHANOV UMID ANVAROVICH</t>
  </si>
  <si>
    <t>09,11,2023</t>
  </si>
  <si>
    <t xml:space="preserve">Samarqand Loyish </t>
  </si>
  <si>
    <t xml:space="preserve">95 777 67 29 </t>
  </si>
  <si>
    <t>BEG‘AMOV IKROM SHAVKAT O‘G‘LI</t>
  </si>
  <si>
    <t>JUMANAZAROV JAVLONBEK NISHONBOYEVICH</t>
  </si>
  <si>
    <t>ATABOYEVA NARGIZA FARXODOVNA</t>
  </si>
  <si>
    <t>NURULLAYEV DIYORBEK ROZIMBOY O‘G‘LI</t>
  </si>
  <si>
    <t xml:space="preserve">88 167 05 05 </t>
  </si>
  <si>
    <t>QURYOZOVA NILUFAR RAJABBOYEVNA</t>
  </si>
  <si>
    <t xml:space="preserve">Oq oltin </t>
  </si>
  <si>
    <t>Sodiqjon 99 927 1993</t>
  </si>
  <si>
    <t xml:space="preserve">Muxtor qo`tir </t>
  </si>
  <si>
    <t xml:space="preserve">Maxmud zabxo`z </t>
  </si>
  <si>
    <t>ALLAYAROVA GULMIRA AXMEDOVNA</t>
  </si>
  <si>
    <t xml:space="preserve">To`pchi xursand og`a </t>
  </si>
  <si>
    <t>ALLAYAROV UMIDJON AXMADJONOVICH</t>
  </si>
  <si>
    <t xml:space="preserve">qaselka </t>
  </si>
  <si>
    <t>SAPAYEV SHARAFJON XAKIMOVICH</t>
  </si>
  <si>
    <t xml:space="preserve">99 099 29 86 kabian </t>
  </si>
  <si>
    <t>SAIDOVA MANZURA ILXAMBAYEVNA</t>
  </si>
  <si>
    <t xml:space="preserve"> 93 310 90 80    93 090 30 48 </t>
  </si>
  <si>
    <t>RAXMONOV HAMID RAYIMBERDIYEVICH</t>
  </si>
  <si>
    <t xml:space="preserve">93 156 01 55 </t>
  </si>
  <si>
    <t>QURANBAYEVA SHAHNOZA RO‘ZIBAYEVNA</t>
  </si>
  <si>
    <t xml:space="preserve">Yaqubov Baxtiyor 93 741 45 60 </t>
  </si>
  <si>
    <t xml:space="preserve">Armada gold Salon </t>
  </si>
  <si>
    <t xml:space="preserve">Armada moto Stayl </t>
  </si>
  <si>
    <t>ATAJANOV ATAJAN KURBANDURDIYEVICH</t>
  </si>
  <si>
    <t>RAJABOV RO‘ZMAT XO‘SINOVICH</t>
  </si>
  <si>
    <t>YARASHOV YARASH ATABEK O‘G‘LI</t>
  </si>
  <si>
    <t>88 203 11 31</t>
  </si>
  <si>
    <t>SAMANDAROVA GO‘ZAL BAKBERGANOVN</t>
  </si>
  <si>
    <t>97 600 86 06</t>
  </si>
  <si>
    <t>YAXSHIMURATOV DILMUROD FARXODOVICH</t>
  </si>
  <si>
    <t>SHOMURATOVA BORCHINOY OTANAZAROVNA</t>
  </si>
  <si>
    <t>MATYOQUBOV JUMANAZAR BOBONAZAROVICH</t>
  </si>
  <si>
    <t xml:space="preserve">97 528 19 69 </t>
  </si>
  <si>
    <t>12,11,2023</t>
  </si>
  <si>
    <t>ABDULLAYEV MA’RUFBEK NURADDINOVICH</t>
  </si>
  <si>
    <t xml:space="preserve">93 053 91 98 </t>
  </si>
  <si>
    <t xml:space="preserve">rasm qo`shilmagan  tez topish kerak </t>
  </si>
  <si>
    <t>TOJIYEV RAXIMBERDI OLIMBOYEVICH</t>
  </si>
  <si>
    <t xml:space="preserve">94 571 00 22 </t>
  </si>
  <si>
    <t>13,11,2023</t>
  </si>
  <si>
    <t>PINYAZOV YARASHBEK XAYITBOYEVICH</t>
  </si>
  <si>
    <t xml:space="preserve">sahovat  </t>
  </si>
  <si>
    <t>SHONAZAROV DILMUROD RASHIDOVICH</t>
  </si>
  <si>
    <t>95 405 64 74</t>
  </si>
  <si>
    <t>94 113 49 11</t>
  </si>
  <si>
    <t xml:space="preserve">Navbaxor 88 459 85 55 </t>
  </si>
  <si>
    <t>BAGBEKOV SARDORBEK KAMILOVICH</t>
  </si>
  <si>
    <t>JABBORBERGANOVA DINORA OLIMBOY QIZI</t>
  </si>
  <si>
    <t>USMANOV XOLIKJON ESHONQULOVICH</t>
  </si>
  <si>
    <t xml:space="preserve">samarqand </t>
  </si>
  <si>
    <t>YO‘LDASHOV SANJAR O‘KTAMBOY O‘G‘LI</t>
  </si>
  <si>
    <t>SAFAROVA OYDIN ISMAILOVNA</t>
  </si>
  <si>
    <t>90 032 40 87</t>
  </si>
  <si>
    <t>14,11,2023</t>
  </si>
  <si>
    <t>QURAMBAYEVA DURDONAXON ZAFARBEK QIZ</t>
  </si>
  <si>
    <t xml:space="preserve">qalajiqala  </t>
  </si>
  <si>
    <t xml:space="preserve">donyor </t>
  </si>
  <si>
    <t xml:space="preserve">94 072 95 35   </t>
  </si>
  <si>
    <t>SAIDNIYOZOVA INTIZOR QALANDAROVNA</t>
  </si>
  <si>
    <t>99 622 73 43    33 913 19 80</t>
  </si>
  <si>
    <t>ONNAYEV AZIMBOY RO‘ZIBAYEVICH</t>
  </si>
  <si>
    <t>ABDUKARIMOVA QURVONOY XALILSULTANOVNA</t>
  </si>
  <si>
    <t>88 188 17 86</t>
  </si>
  <si>
    <t>RO‘ZIBOYEVA YORQINOY MUXTORBEK QIZ</t>
  </si>
  <si>
    <t>MASHARIPOV DONIYORBEK QUVONDIQ</t>
  </si>
  <si>
    <t xml:space="preserve">Tozabozor 94 661 35 10   97 607 00 30  88 512 00 03 </t>
  </si>
  <si>
    <t xml:space="preserve">alo </t>
  </si>
  <si>
    <t>EGAMBERDIYEV YADGORBEK SHARIPBAYEVICH</t>
  </si>
  <si>
    <t xml:space="preserve">Jizzax </t>
  </si>
  <si>
    <t>MASHARIBOVA GULSANAM SHONAZAROVNA</t>
  </si>
  <si>
    <t>97 856 00 68</t>
  </si>
  <si>
    <t>RAXIMOV ULUG‘BEK JUMANAZAROVICH</t>
  </si>
  <si>
    <t xml:space="preserve">Paxtaobod  </t>
  </si>
  <si>
    <t>RAZZOQOVA ZEBOXON OTAXONOVNA</t>
  </si>
  <si>
    <t>50 703 53 96  93 460 19 53</t>
  </si>
  <si>
    <t>YUSUPOV BEKZOD RAMATOVICH</t>
  </si>
  <si>
    <t xml:space="preserve">97 603 19 57 </t>
  </si>
  <si>
    <t>XO‘JANIYOZOVA DILNOZA TO‘RABOYEVNA</t>
  </si>
  <si>
    <t xml:space="preserve">99 558 21 53 </t>
  </si>
  <si>
    <t>RO‘ZMETOVA ZULFIYA YO‘LDOSHOVNA</t>
  </si>
  <si>
    <t xml:space="preserve">qalajiqala </t>
  </si>
  <si>
    <t>YAZILOV MAHMUDBEK MAQSUD O‘G‘LI</t>
  </si>
  <si>
    <t xml:space="preserve">qo`shko`pir </t>
  </si>
  <si>
    <t>RO‘ZMATOV USMON XUDARGANOVICH</t>
  </si>
  <si>
    <t>BEKCHANOV KURBONNAZAR SHIXNAZAROVICH</t>
  </si>
  <si>
    <t>97 211 19 72</t>
  </si>
  <si>
    <t xml:space="preserve">G`alaba  </t>
  </si>
  <si>
    <t>17,11,2023</t>
  </si>
  <si>
    <t xml:space="preserve">88 202 40 45 </t>
  </si>
  <si>
    <t>AXMEDOVA GULSARA KARIMOVNA</t>
  </si>
  <si>
    <t>94 235 19 55</t>
  </si>
  <si>
    <t>O‘ROZMETOV ELSHODBEK RO‘ZMATOVIC</t>
  </si>
  <si>
    <t>99 243 62 22</t>
  </si>
  <si>
    <t>18,11,2023</t>
  </si>
  <si>
    <t xml:space="preserve">bank qaytargan rasm qo`shish kerak </t>
  </si>
  <si>
    <t xml:space="preserve">rasm yuklanmagan </t>
  </si>
  <si>
    <t>OLIMBAYEV SUHROB HAMID O‘G‘LI</t>
  </si>
  <si>
    <t>RABBANAQULOV OBIDXON NIGMATOVICH</t>
  </si>
  <si>
    <t xml:space="preserve">97 453 53 57 </t>
  </si>
  <si>
    <t>20,11,2023</t>
  </si>
  <si>
    <t>SHONAZAROVA DONOJON BOTIR QIZI</t>
  </si>
  <si>
    <t>97 601 10 62</t>
  </si>
  <si>
    <t>BOBOJONOVA GULSHODA SOPORBOY</t>
  </si>
  <si>
    <t>RO‘ZMETOVA AZIZA ISLOMBOY QIZI</t>
  </si>
  <si>
    <t>21,11,2023</t>
  </si>
  <si>
    <t>ESHCHANOV MANSURBEK SAPARMETOVICH</t>
  </si>
  <si>
    <t>RAXMANOV QUDRAT HAMDAM O‘G‘</t>
  </si>
  <si>
    <t xml:space="preserve">Mexnatguli </t>
  </si>
  <si>
    <t xml:space="preserve">99 357 26 54 </t>
  </si>
  <si>
    <t>22,11,2023</t>
  </si>
  <si>
    <t>SADULLAYEV FARXOD ALLAMBERDIYEVICH</t>
  </si>
  <si>
    <t>88 518 11 71</t>
  </si>
  <si>
    <t>QURBANOVA SULTANPOSHSHA OLIMBOYEVNA</t>
  </si>
  <si>
    <t xml:space="preserve">kumush apka </t>
  </si>
  <si>
    <t>23,11,2023</t>
  </si>
  <si>
    <t>SHAMURATOV MANSUR OLIMOVICH</t>
  </si>
  <si>
    <t xml:space="preserve">Nurli xayot </t>
  </si>
  <si>
    <t xml:space="preserve">javlon og`a </t>
  </si>
  <si>
    <t>ZARIBOV FARRUX SHONAZAR O‘G‘LI</t>
  </si>
  <si>
    <t>RAJABOV JAHONGIR KARIMBOY O‘G‘LI</t>
  </si>
  <si>
    <t xml:space="preserve">Tozabozr </t>
  </si>
  <si>
    <t xml:space="preserve">Yamg`urov </t>
  </si>
  <si>
    <t>JUMANAZAROV SHERALI QURBONNAZAR O‘G‘LI</t>
  </si>
  <si>
    <t xml:space="preserve">sahovat </t>
  </si>
  <si>
    <t>88 360 27 71</t>
  </si>
  <si>
    <t>YAKUBOVA IQBOLOY ODILBEK QIZI</t>
  </si>
  <si>
    <t xml:space="preserve">To`pchi Xursand Og`a  Samandarov Yodgorbek  94 024 03 92   99 344 65 84 </t>
  </si>
  <si>
    <t>SATIMOVA DILNOZA SHERMATBAYEVNA</t>
  </si>
  <si>
    <t>27,11,2023</t>
  </si>
  <si>
    <t>BOBOJONOVA MOMOGUL ATAJANOVNA</t>
  </si>
  <si>
    <t>99 544 80 75</t>
  </si>
  <si>
    <t>XO‘JAMUROTOV SHODLIK ATAXONOVICH</t>
  </si>
  <si>
    <t>97 360 43 69</t>
  </si>
  <si>
    <t xml:space="preserve">tozabozor </t>
  </si>
  <si>
    <t>DAVLETOVA SHOIRA YO‘MUT QIZI</t>
  </si>
  <si>
    <t xml:space="preserve">99 410 54 40 Юқорижирмиз  998 99 418 23 76  97 221 14 14 Xokim yordamchi </t>
  </si>
  <si>
    <t>01,01,2023</t>
  </si>
  <si>
    <t>SAIDOV HO‘SANBOY SULTANOVICH</t>
  </si>
  <si>
    <t>29,11,2023</t>
  </si>
  <si>
    <t xml:space="preserve"> 97 632 48 86   97 312 16 17 Jahongir   Mikrabank     916441990  Xokim yordamchi  91 644 19 90  94 291 90 10</t>
  </si>
  <si>
    <t>RASULOVA ROBIYA MUXAMATOVNA</t>
  </si>
  <si>
    <t>30,11,2023</t>
  </si>
  <si>
    <t>VAISOVA URINGUL REYMBAYEVNA</t>
  </si>
  <si>
    <t xml:space="preserve">motoblok </t>
  </si>
  <si>
    <t xml:space="preserve">33 mln jo`rabek jo`rasi </t>
  </si>
  <si>
    <t>KALANDAROV ILXAM MAXMUDJANOVICH</t>
  </si>
  <si>
    <t>RADJAPOVA SAIDA FARXADOVNA</t>
  </si>
  <si>
    <t>AA6955739</t>
  </si>
  <si>
    <t xml:space="preserve">Dexqonobod </t>
  </si>
  <si>
    <t xml:space="preserve">99 508 40 89  </t>
  </si>
  <si>
    <t>ZARIBOVA GULRUX SHON</t>
  </si>
  <si>
    <t xml:space="preserve">93 751 91 94   93 658 66 67 </t>
  </si>
  <si>
    <t xml:space="preserve">97 858 57 52  97 517 57 52 </t>
  </si>
  <si>
    <t>ISAQOVA SANOBAR SALIYEVNA</t>
  </si>
  <si>
    <t xml:space="preserve">bog`ibek og`a </t>
  </si>
  <si>
    <t>MADRAXIMOVA GAVHARJON NARBAYEVNA</t>
  </si>
  <si>
    <t xml:space="preserve">94 237 10 68   93 799 06 69 </t>
  </si>
  <si>
    <t>RADJAPOV BAXRAM ROZUMMATOVICH</t>
  </si>
  <si>
    <t xml:space="preserve">Romel og`a </t>
  </si>
  <si>
    <t>ARMADA PREIMIUM MOTORS MCHJ</t>
  </si>
  <si>
    <t>05,12,2023</t>
  </si>
  <si>
    <t xml:space="preserve">rasm yo`q  kerak </t>
  </si>
  <si>
    <t xml:space="preserve">rasm qo`shish kerak </t>
  </si>
  <si>
    <t>QUTLIMUROTOVA XALIMA BEKTURDI QIZI</t>
  </si>
  <si>
    <t>97 510 95 90</t>
  </si>
  <si>
    <t xml:space="preserve">99 771 66 51 </t>
  </si>
  <si>
    <t>JUMANIYOZOV ROZZOQBERDI NURMETOVICH</t>
  </si>
  <si>
    <t>06,12,2023</t>
  </si>
  <si>
    <t>JUMANIYOZOVA RO‘ZIGUL SHIXNAZAR QIZI</t>
  </si>
  <si>
    <t>MATKARIMOV QUVONCHBEK TO‘XTABAYEVICH</t>
  </si>
  <si>
    <t>94 726 58 88</t>
  </si>
  <si>
    <t>AMINOV AZAMAT ATANAZAROVICH</t>
  </si>
  <si>
    <t>99 744 96 16</t>
  </si>
  <si>
    <t>URAZBAYEVA NASIBA XXX</t>
  </si>
  <si>
    <t>XASANOVA ZEBO XASANBAYEVNA</t>
  </si>
  <si>
    <t>07,12,2023</t>
  </si>
  <si>
    <t>XAKNAZAROV RUXSATBEK QADAMBOYEVICH</t>
  </si>
  <si>
    <t>99 229 09 39</t>
  </si>
  <si>
    <t>RO‘ZMETOVA CHAMANGUL G‘AYRATOVNA</t>
  </si>
  <si>
    <t xml:space="preserve">tayyotr </t>
  </si>
  <si>
    <t>VALIYEV LAZIZBEK ZAYNIDDIN O‘G‘LI</t>
  </si>
  <si>
    <t>MATQURBANOVA ZUXRA SABIROVNA</t>
  </si>
  <si>
    <t xml:space="preserve">mamviyat </t>
  </si>
  <si>
    <t>MATNIYOZOVA MAQSUDA</t>
  </si>
  <si>
    <t xml:space="preserve">manaviyat </t>
  </si>
  <si>
    <t xml:space="preserve">99 564 75 31 </t>
  </si>
  <si>
    <t xml:space="preserve">91 093 13 23 </t>
  </si>
  <si>
    <t>RAXIMOV OMON KARIMBERDIYEVICH</t>
  </si>
  <si>
    <t>QURBONOV NABIJON OTABEKOVICH</t>
  </si>
  <si>
    <t xml:space="preserve">99 504 31 74   95 223 30 23 </t>
  </si>
  <si>
    <t xml:space="preserve">ab 8312481 </t>
  </si>
  <si>
    <t>12,08,1967</t>
  </si>
  <si>
    <t xml:space="preserve">88 518 09 67   97 518 64 04  xy 97 197 34 32 </t>
  </si>
  <si>
    <t>NURMETOVA INOBAT SAPADURDIYEVNA</t>
  </si>
  <si>
    <t>MAXMUDOV MAXMUDJON ORTIKBOYEVICH</t>
  </si>
  <si>
    <t>KURAMBAYEV IXTIYOR ULUG‘BEKOVICH</t>
  </si>
  <si>
    <t xml:space="preserve">qoraqalpoq </t>
  </si>
  <si>
    <t xml:space="preserve">2,3 mln soliq qarz </t>
  </si>
  <si>
    <t xml:space="preserve">beruniy   99 031 68 81   99 571 55 04  Rashid  88 348 99 55 Bank Baxrom og`a </t>
  </si>
  <si>
    <t>ALLABERGANOV DADAXON QODIRBERDI O‘G‘LI</t>
  </si>
  <si>
    <t>MATKARIMOV RAVSHANBEK SOBIROVICH</t>
  </si>
  <si>
    <t>MADRIMOVA DARMONJON NURULLAYEVNA</t>
  </si>
  <si>
    <t>12,12,2023</t>
  </si>
  <si>
    <t>ARMADA BEST MOTORS MCHJ</t>
  </si>
  <si>
    <t>QURAMBOYEVA MUQADDAS QO‘SHNAZAR QIZI</t>
  </si>
  <si>
    <t>XO‘JANIYOZOVA MUSHTARIY SHERMATOVNA</t>
  </si>
  <si>
    <t xml:space="preserve">Sodiqjon </t>
  </si>
  <si>
    <t>ESHMURODOVA MANZURA AZIM QIZI</t>
  </si>
  <si>
    <t>SAPOBOYEV DOSTON SHERALI O‘G‘LI</t>
  </si>
  <si>
    <t>RAJABOVA OZODA KAMILJANOVNA</t>
  </si>
  <si>
    <t xml:space="preserve">94 171 47 72 </t>
  </si>
  <si>
    <t>YUSUPOVA DILRABO SAMANDAR QIZI</t>
  </si>
  <si>
    <t xml:space="preserve">gulshan </t>
  </si>
  <si>
    <t>BOBOXANOVA TABASSUM ODILBEKOVNA</t>
  </si>
  <si>
    <t xml:space="preserve">motokultvator </t>
  </si>
  <si>
    <t>RUZMETOV ABDULLA AZADOVICH</t>
  </si>
  <si>
    <t>KURYOZOVA DILDORA ILXOMOVNA</t>
  </si>
  <si>
    <t xml:space="preserve">mataskil </t>
  </si>
  <si>
    <t>KENJAYEVA MATLUBA ERGASH QIZI</t>
  </si>
  <si>
    <t xml:space="preserve">OTAXONOV QODIRBEK FAXRIDDIN O‘G‘LI </t>
  </si>
  <si>
    <t xml:space="preserve">quromboy xitoy guldoni </t>
  </si>
  <si>
    <t>ILHAMOV JAVLONBEK RASULBEK O‘G‘LI</t>
  </si>
  <si>
    <t xml:space="preserve">matsakil </t>
  </si>
  <si>
    <t>MOXMUDOV JO‘RABEK ORTIQOVICH</t>
  </si>
  <si>
    <t xml:space="preserve">kasilka </t>
  </si>
  <si>
    <t>14,12,2023</t>
  </si>
  <si>
    <t>QILICHOV NABIJON XAYRULLA O‘G‘LI</t>
  </si>
  <si>
    <t xml:space="preserve">91 422 14 76 </t>
  </si>
  <si>
    <t>RAXIMOVA ELMIRA IKROMOVNA</t>
  </si>
  <si>
    <t>ERNAZAROV QUVONCHBEK OLIMOVICH</t>
  </si>
  <si>
    <t xml:space="preserve">88 201 04 62  99 117 01 04 </t>
  </si>
  <si>
    <t>SAPAYEVA SANOBAR QALANDAROVNA</t>
  </si>
  <si>
    <t>XO‘JANIYOZOV YUNUS BAXTIYOROVICH</t>
  </si>
  <si>
    <t>QALANDAROV RUSTAM QUROMBOYEVICH</t>
  </si>
  <si>
    <t>99 155 18 90</t>
  </si>
  <si>
    <t xml:space="preserve">99 062 12 72   </t>
  </si>
  <si>
    <t>SADULLAYEVA SHIRIN ALLAMBERDIYEVNA</t>
  </si>
  <si>
    <t xml:space="preserve">navbaxor </t>
  </si>
  <si>
    <t>ROMONBERDIYEVA OLTINOY UMIDJON QIZI</t>
  </si>
  <si>
    <t>ABDIRIMOVA MARG‘UBA SHOKIROVNA</t>
  </si>
  <si>
    <t xml:space="preserve">Kunabirashuv </t>
  </si>
  <si>
    <t xml:space="preserve">93 271 80 22 </t>
  </si>
  <si>
    <t>QURBONOV MAQSUD AMINOVICH</t>
  </si>
  <si>
    <t>QURAMBOYEVA ZILOLAXON UMIDJON QIZI</t>
  </si>
  <si>
    <t>RAJABOV XURSANDBEK SHARIFOVICH</t>
  </si>
  <si>
    <t>HASANOV DURDIBEK ADAMBAY O‘G‘LI</t>
  </si>
  <si>
    <t xml:space="preserve">94 119 02 74 </t>
  </si>
  <si>
    <t>21,12,2023</t>
  </si>
  <si>
    <t>ADAMBOYEVA KUMUSHJON KARIM</t>
  </si>
  <si>
    <t>94 233 25 91</t>
  </si>
  <si>
    <t>XUDASHKUROVA IRODA RAXMANOVNA</t>
  </si>
  <si>
    <t xml:space="preserve">allaberganov Qodir 19 mln qaytarish kerak </t>
  </si>
  <si>
    <t xml:space="preserve">Shokir qarindoshi Asadni kluchi </t>
  </si>
  <si>
    <t xml:space="preserve">RAXIMBAYEV YO‘LDOSH IBADULLAYEVICH   kluchi kerak </t>
  </si>
  <si>
    <t>SULTANOVA GULMIRA FARHADOVNA</t>
  </si>
  <si>
    <t xml:space="preserve">88 456 92 91  Cavalo </t>
  </si>
  <si>
    <t>TOHIROVA SHODIYA FARHODOVNA</t>
  </si>
  <si>
    <t xml:space="preserve">95 937 81 85 </t>
  </si>
  <si>
    <t>01010101</t>
  </si>
  <si>
    <t xml:space="preserve">94 236 01 78 </t>
  </si>
  <si>
    <t>ESHMURATOV XAYRULLA EGAMBERDIYEVICH</t>
  </si>
  <si>
    <t>ARMADA EVRO 777</t>
  </si>
  <si>
    <t>BEKTURDIYEV ERKABOY QADAMBAYEVICH</t>
  </si>
  <si>
    <t xml:space="preserve">nurli hayot </t>
  </si>
  <si>
    <t>QUTLIMUROTOVA XALIMA BEKTURDI QIZ</t>
  </si>
  <si>
    <t>MATNAZAROV MUSLIMBEK YARASH</t>
  </si>
  <si>
    <t xml:space="preserve">88 602 30 06 </t>
  </si>
  <si>
    <t xml:space="preserve">97 606 15 74 </t>
  </si>
  <si>
    <t>KALYOSA MCHJ</t>
  </si>
  <si>
    <t xml:space="preserve">50 108 10 62  Xolmurod og`a klient </t>
  </si>
  <si>
    <t>Ariza korilmagan</t>
  </si>
  <si>
    <t>DAVLATOV AZAMAT MATKARIMOVICH</t>
  </si>
  <si>
    <t xml:space="preserve">Dilmurod </t>
  </si>
  <si>
    <t>Azamat qo`shni</t>
  </si>
  <si>
    <t>bazadan qaytib turibdi 5</t>
  </si>
  <si>
    <t>XUDAYBERGANOV JUMANAZAR VAISOVICH</t>
  </si>
  <si>
    <t>91 999 99 31</t>
  </si>
  <si>
    <t>BOBOJONOVA RAYXON YARASHOVNA</t>
  </si>
  <si>
    <t xml:space="preserve">99 193 90 87 </t>
  </si>
  <si>
    <t>SHONAZAROVA DILOBAR RO‘ZIBOY</t>
  </si>
  <si>
    <t xml:space="preserve">BABAJANOVA JUMAGUL ESHBEKOVNA </t>
  </si>
  <si>
    <t xml:space="preserve">Kunabirlashuv </t>
  </si>
  <si>
    <t xml:space="preserve">94 117 58 51 </t>
  </si>
  <si>
    <t xml:space="preserve">20,5 mln beradi </t>
  </si>
  <si>
    <t>AXMEDOV QAHRAMON SOBIROVICH</t>
  </si>
  <si>
    <t xml:space="preserve">Sanjar og`a </t>
  </si>
  <si>
    <t>KARIMOVA ZUXRA RO‘ZIMBOYEVNA</t>
  </si>
  <si>
    <t>TO‘RAYEV NURBEK DAVLATMUROT O‘G‘LI</t>
  </si>
  <si>
    <t xml:space="preserve">93 826 64 61 </t>
  </si>
  <si>
    <t>AZADOV ISO AZAD O‘G‘LI</t>
  </si>
  <si>
    <t xml:space="preserve">150 ming soliqqa t`olandi </t>
  </si>
  <si>
    <t xml:space="preserve">99 738 36 56 </t>
  </si>
  <si>
    <t>QO‘ZIYEV SHERMAT AZADOVICH</t>
  </si>
  <si>
    <t>RAXIMOVA FAZILAT SAPABAYEVNA</t>
  </si>
  <si>
    <t>ALLAQULIYEV TO‘RABOY HO‘SINBAYEVICH</t>
  </si>
  <si>
    <t>TASHPULATOVA SHOXSANAM NUMANJONOVNA</t>
  </si>
  <si>
    <t xml:space="preserve">Motoblok </t>
  </si>
  <si>
    <t xml:space="preserve">Reyimboyeva Gulasal </t>
  </si>
  <si>
    <t xml:space="preserve">88 518 79 79 </t>
  </si>
  <si>
    <t>ATAMUROTOVA GULORA YULDASHOVNA</t>
  </si>
  <si>
    <t>DAVLATOVA GAVHAR MATKARIMOVNA</t>
  </si>
  <si>
    <t xml:space="preserve">94 233 38 67 </t>
  </si>
  <si>
    <t>XUDAYBERGANOV RUSLAN RUSTAMOVICH</t>
  </si>
  <si>
    <t>MADAMINOVA RUXIYA IXTIYOR QIZI</t>
  </si>
  <si>
    <t xml:space="preserve">Bunyod </t>
  </si>
  <si>
    <t>AMATOVA SORA ABDULLAYEVNA</t>
  </si>
  <si>
    <t xml:space="preserve">Murodjon </t>
  </si>
  <si>
    <t>14,02,2024</t>
  </si>
  <si>
    <t>ABDULLAYEV NURBEK BARGANOVICH</t>
  </si>
  <si>
    <t>15,02,2024</t>
  </si>
  <si>
    <t xml:space="preserve">99 029 41 71   99 149 71 97 </t>
  </si>
  <si>
    <t>ABDULLAYEV ERKINBOY NURULLAYEVICH</t>
  </si>
  <si>
    <t xml:space="preserve">Armada Stage motors </t>
  </si>
  <si>
    <t>armada kabinali  15,02,2024</t>
  </si>
  <si>
    <t>SHAMURATOVA ADOLAT SHARIFBOY QIZI</t>
  </si>
  <si>
    <t xml:space="preserve">Urozmat </t>
  </si>
  <si>
    <t>YOVBOSAROV SIROJBEK ERKINBAYEVICH</t>
  </si>
  <si>
    <t xml:space="preserve">ALLABERGANOV QAHROMON KOMILOVICH </t>
  </si>
  <si>
    <t>QO‘ZIYEV AZIZBEK AZADOVICH</t>
  </si>
  <si>
    <t>16,02,2024</t>
  </si>
  <si>
    <t>MATKURBANOV ILXAM JUMAMURATOVICH</t>
  </si>
  <si>
    <t>QO‘CHQAROV SHERALI JUMABAYEVICH</t>
  </si>
  <si>
    <t xml:space="preserve">94 145 88 03 </t>
  </si>
  <si>
    <t>MAVLANOVA NASIBA YULDASHEVNA</t>
  </si>
  <si>
    <t>QARRIYEV JAMOLBEK BARHAMBOYEVICH</t>
  </si>
  <si>
    <t xml:space="preserve">1230 kavalo </t>
  </si>
  <si>
    <t xml:space="preserve">97 608 02 07    88 033 73 11 </t>
  </si>
  <si>
    <t>RAJABOV XUDARGAN YO‘LDOSH O‘G‘LI</t>
  </si>
  <si>
    <t>SABIROV G‘ULOMJON YUSUPBOYEVICH</t>
  </si>
  <si>
    <t>93 359 41 80</t>
  </si>
  <si>
    <t xml:space="preserve">klonka 99 422 83 14 </t>
  </si>
  <si>
    <t>MATYAZOVA GULSHAN FAYZULLAYEVNA</t>
  </si>
  <si>
    <t xml:space="preserve">G`ofur bidi </t>
  </si>
  <si>
    <t>MATYAKUBOV BABAMUROD ABDULLAYEVICH</t>
  </si>
  <si>
    <t xml:space="preserve">Polvon  91 913 15 12  77 030 36 21 </t>
  </si>
  <si>
    <t>SAMANDAROVA ADOLAT NURULLAYEVNA</t>
  </si>
  <si>
    <t xml:space="preserve">Pechka </t>
  </si>
  <si>
    <t>RO‘ZMATOVA NODIRA YAQUBBAYEVNA</t>
  </si>
  <si>
    <t xml:space="preserve">Tikish mashin </t>
  </si>
  <si>
    <t xml:space="preserve">Lider tadbirkor </t>
  </si>
  <si>
    <t>LATIPOV DILSHOD KUROMBAYEVICH</t>
  </si>
  <si>
    <t>MADAMINOVA ZUXRA AMINBOYEVNA</t>
  </si>
  <si>
    <t>97 361 00 09</t>
  </si>
  <si>
    <t>20,02,2024</t>
  </si>
  <si>
    <t xml:space="preserve">1600 kabina kavalo </t>
  </si>
  <si>
    <t>BEKMETOV NURULLA AXMEDOVICH</t>
  </si>
  <si>
    <t xml:space="preserve">91 577 18 71 </t>
  </si>
  <si>
    <t>21,10,2024</t>
  </si>
  <si>
    <t>21,02,2024</t>
  </si>
  <si>
    <t>SETMATOV SAYRAMBEK ALLABERGANOVICH</t>
  </si>
  <si>
    <t xml:space="preserve">93 744 65 98 </t>
  </si>
  <si>
    <t>QALANDAROV SARDORBEK YARLIQOB O‘G‘LI</t>
  </si>
  <si>
    <t xml:space="preserve">Xokim yodramchiniki </t>
  </si>
  <si>
    <t xml:space="preserve">Kredit shartnoma </t>
  </si>
  <si>
    <t>YUSUPOV DAVRONBEK O‘RINBOYEVICH</t>
  </si>
  <si>
    <t>SADULLAYEV UMIDJON HASAN O‘G‘LI</t>
  </si>
  <si>
    <t>23,02,2024</t>
  </si>
  <si>
    <t xml:space="preserve">Uragan </t>
  </si>
  <si>
    <t>97 608 28 65</t>
  </si>
  <si>
    <t xml:space="preserve">Texnika Texnologiya 777 </t>
  </si>
  <si>
    <t>RAXANOV AKMALJAN YULDASHOVICH</t>
  </si>
  <si>
    <t>97 356 47 04</t>
  </si>
  <si>
    <t>XOLMUMINOV SHUXRAT BOZOROVICH</t>
  </si>
  <si>
    <t>ISKANDAROV RASULBEK BAXTIYOROVICH</t>
  </si>
  <si>
    <t>BABAJANOVA YULDUZ XUDAYOROVNA</t>
  </si>
  <si>
    <t>YULDASHEVA MA'RIFAT KURYAZOVNA</t>
  </si>
  <si>
    <t xml:space="preserve">tikish mashin </t>
  </si>
  <si>
    <t>RAXMONOV AHMADJON ADAMBAYEVICH</t>
  </si>
  <si>
    <t xml:space="preserve">94 517 02 89 </t>
  </si>
  <si>
    <t xml:space="preserve">1230 Kavalo Metan </t>
  </si>
  <si>
    <t>1400 armada Berdan</t>
  </si>
  <si>
    <t xml:space="preserve">1550 katta Metan </t>
  </si>
  <si>
    <t>RO‘ZIBOYEV ANVARJON SHERMAT O‘G‘LI </t>
  </si>
  <si>
    <t xml:space="preserve">odilbek og`a </t>
  </si>
  <si>
    <t>29,02,2024</t>
  </si>
  <si>
    <t xml:space="preserve">Moltopli Qahramon </t>
  </si>
  <si>
    <t xml:space="preserve">Alimboyev Xusain </t>
  </si>
  <si>
    <t xml:space="preserve">93 287 53 22 </t>
  </si>
  <si>
    <t>1,03,2024</t>
  </si>
  <si>
    <t>ARMADA MOTORS STARQ 111</t>
  </si>
  <si>
    <t>ALLANAZAROV YODGOR ERKINBAYEVICH</t>
  </si>
  <si>
    <t xml:space="preserve">Nurli Hayot </t>
  </si>
  <si>
    <t xml:space="preserve">Qabulov Quvondiq </t>
  </si>
  <si>
    <t>NEMATOV NODIR AHMEDOVICH</t>
  </si>
  <si>
    <t>HAMRAYEV OTABEK DUSHAMBOYEVICH</t>
  </si>
  <si>
    <t xml:space="preserve">maygacha 18 mln beradi </t>
  </si>
  <si>
    <t>04,03,2024</t>
  </si>
  <si>
    <t>MAVLONOVA MUQADDAS SHOKIROVNA</t>
  </si>
  <si>
    <t>1400 armada Metan</t>
  </si>
  <si>
    <t>88 203 89 85</t>
  </si>
  <si>
    <t>ARTIKOVA GULJAXON TOSHPULATOVNA</t>
  </si>
  <si>
    <t>IBADULLAYEVA SURAYYO QOBULJON QIZI</t>
  </si>
  <si>
    <t>99 059 02 69</t>
  </si>
  <si>
    <t>JUMABAYEV BUNYOD FARHOD O‘G‘LI</t>
  </si>
  <si>
    <t xml:space="preserve">ashxabod  </t>
  </si>
  <si>
    <t xml:space="preserve">99 966 39 25 </t>
  </si>
  <si>
    <t>RAZZAKOVA MUXABBAT NURULLAYEVNA</t>
  </si>
  <si>
    <t xml:space="preserve">Qalajiqlala </t>
  </si>
  <si>
    <t>SAPAYEV SAN’ATBEK MAQSUDOVICH</t>
  </si>
  <si>
    <t xml:space="preserve">ari </t>
  </si>
  <si>
    <t>09,03,2024</t>
  </si>
  <si>
    <t>IRISOVA QIZLARSORA TUGANBOYEVNA</t>
  </si>
  <si>
    <t>RO‘ZMETOV ODAMBOY MADRAXIMOVICH</t>
  </si>
  <si>
    <t>SARDOROVA MALOXAT ABDULLAYEVNA</t>
  </si>
  <si>
    <t xml:space="preserve">Jamshid kadastr </t>
  </si>
  <si>
    <t>ANNAMURATOV MADIYOR SAPARBAY O‘G‘LI</t>
  </si>
  <si>
    <t>ARMADA MOTORS 888</t>
  </si>
  <si>
    <t>13,03,2024</t>
  </si>
  <si>
    <t xml:space="preserve">88 602 15 70 </t>
  </si>
  <si>
    <t>93 102 72 68</t>
  </si>
  <si>
    <t xml:space="preserve">QUTLIMURATOV HAMRO SHONAZAROVICH </t>
  </si>
  <si>
    <t xml:space="preserve">99 361 40 73 </t>
  </si>
  <si>
    <t>OTAMUROTOVA OYIMJON G‘AFURBOYEVNA</t>
  </si>
  <si>
    <t xml:space="preserve">issiqxona </t>
  </si>
  <si>
    <t>SATIBOLDIYEV AHMAD RAXMATULLAYEVICH</t>
  </si>
  <si>
    <t xml:space="preserve">Ro`ziboyev Muxtorni o`rniga </t>
  </si>
  <si>
    <t xml:space="preserve">nayman </t>
  </si>
  <si>
    <t xml:space="preserve">1400 berdan </t>
  </si>
  <si>
    <t xml:space="preserve">1550 berdan </t>
  </si>
  <si>
    <t>99 707 74 60</t>
  </si>
  <si>
    <t>QURYAZOVA SAXIBA SABIROVNA</t>
  </si>
  <si>
    <t>MATYAQUBOVA GO‘ZALXAN SADULLAYEVNA</t>
  </si>
  <si>
    <t>SABUROVA NAZOKAT ANNAMURATOVNA</t>
  </si>
  <si>
    <t>QALANDAROV SHERALI BERDIBOYEVICH</t>
  </si>
  <si>
    <t>SOBIROV SAID OLLABERGANOVICH</t>
  </si>
  <si>
    <t>MATMUROTOV JALOLIDDIN SOTIMBOYEVICH</t>
  </si>
  <si>
    <t>QURBANDURDIYEVA DILDOR</t>
  </si>
  <si>
    <t xml:space="preserve">jonibek og`a </t>
  </si>
  <si>
    <t>QO‘CHQAROVA MO‘TABAR ODILBEKOVNA</t>
  </si>
  <si>
    <t>ESHMURATOV MAQSUDBEK ZARIPBOYEVICH</t>
  </si>
  <si>
    <t>88 451 80 89</t>
  </si>
  <si>
    <t>20,03,2024</t>
  </si>
  <si>
    <t>LIGHT HOUSING MOTORS MCHJ</t>
  </si>
  <si>
    <t xml:space="preserve">97 453 85 80 </t>
  </si>
  <si>
    <t xml:space="preserve">Davletov Davlat </t>
  </si>
  <si>
    <t xml:space="preserve">99 509 00 80 </t>
  </si>
  <si>
    <t xml:space="preserve">Saidov Sohib </t>
  </si>
  <si>
    <t xml:space="preserve">97 791 47 03 </t>
  </si>
  <si>
    <t>ISMOILOV DAVRONBEK AG‘ABOYEVICH</t>
  </si>
  <si>
    <t>23,03,2024</t>
  </si>
  <si>
    <t xml:space="preserve">99 937 79 02 </t>
  </si>
  <si>
    <t xml:space="preserve"> 30  mln Cavalo akbar  </t>
  </si>
  <si>
    <t xml:space="preserve">99 625 75 80 </t>
  </si>
  <si>
    <t>OCHILOVA MAXBUBA XALIL QIZI</t>
  </si>
  <si>
    <t xml:space="preserve">77 022 96 79 </t>
  </si>
  <si>
    <t xml:space="preserve">35 mln New star 2 mln berdi 33 mln chiqariladi </t>
  </si>
  <si>
    <t>SEYTNAZAROV NAJMADDIN JAMOLADDINOVICH</t>
  </si>
  <si>
    <t>YARLIQOV HO‘SIN OTAXONOVICH</t>
  </si>
  <si>
    <t xml:space="preserve">94 732 00 75 </t>
  </si>
  <si>
    <t>OLLABERGANOV SAN’AT BEKNAZAROVICH</t>
  </si>
  <si>
    <t xml:space="preserve">97 510 59 26 </t>
  </si>
  <si>
    <t xml:space="preserve">33 mln New stra  </t>
  </si>
  <si>
    <t>MATKARIMOV XUSIN JUMANIYAZOVICH</t>
  </si>
  <si>
    <t>97 525 13 67</t>
  </si>
  <si>
    <t xml:space="preserve">Kavalo yangidan </t>
  </si>
  <si>
    <t>26,03,2024</t>
  </si>
  <si>
    <t xml:space="preserve">99 552 15 87 </t>
  </si>
  <si>
    <t xml:space="preserve">99 709 46 78  qo`ziqorin </t>
  </si>
  <si>
    <t>XAKIMOVA SHAHNOZA BAZARBAYEVNA</t>
  </si>
  <si>
    <t>YAXSHIMUROTOV ODILBEK SAPARBOY O‘G‘LI</t>
  </si>
  <si>
    <t xml:space="preserve">Elyor </t>
  </si>
  <si>
    <t>XUDAYBERGANOV ARTIQ IBADULLAYEVICH</t>
  </si>
  <si>
    <t>SHERIPBAYEV ZAFARBEK ULUG‘BEK O‘G‘LI</t>
  </si>
  <si>
    <t xml:space="preserve">beruniy ulug`bek og`a </t>
  </si>
  <si>
    <t xml:space="preserve"> 1 aprelga 1600 dollar beradi  04,03,2024 da 600 Dollar berib ketdilar  26,03,2024   500 dollar berdi </t>
  </si>
  <si>
    <t>ISMATOV XUSNIDDIN MUZAFAROVICH</t>
  </si>
  <si>
    <t>YARLIQOV OTABEK QASIMOVICH</t>
  </si>
  <si>
    <t xml:space="preserve">94 073 07 82 </t>
  </si>
  <si>
    <t>27,03,2024</t>
  </si>
  <si>
    <t>28,03,2024</t>
  </si>
  <si>
    <t>JUMABAYEV ALLABERGAN SATIMBAYEVICH</t>
  </si>
  <si>
    <t>BEKMETOV KUVONDIQ SA’DULLAYEVICH</t>
  </si>
  <si>
    <t>MATYAKUBOVA XASIYATJON OLIMOVNA</t>
  </si>
  <si>
    <t xml:space="preserve">97 857 50 80 </t>
  </si>
  <si>
    <t xml:space="preserve">1400 Armada </t>
  </si>
  <si>
    <t>QALANDAROV VAHOB XUSAINBAYEVICH</t>
  </si>
  <si>
    <t>99 447 97 82</t>
  </si>
  <si>
    <t xml:space="preserve">33 mln New Star </t>
  </si>
  <si>
    <t>SHAMURATOVA KAROMAT XUDAYBERDIYEVNA</t>
  </si>
  <si>
    <t>MATNAZAROVA GULCHEHRA TO‘XTABOYEVNA</t>
  </si>
  <si>
    <t>DAVLETOV UMRBEK IBODULLAYEVICH</t>
  </si>
  <si>
    <t>ESHMURATOVA LAYLO RAXIMBERDIYEVNA</t>
  </si>
  <si>
    <t xml:space="preserve">77 121 81 84 </t>
  </si>
  <si>
    <t xml:space="preserve">1400 armada </t>
  </si>
  <si>
    <t>SABIROV DAVRONBEK RAXIMOVICH</t>
  </si>
  <si>
    <t xml:space="preserve">kartasi bor </t>
  </si>
  <si>
    <t>29,03,2024</t>
  </si>
  <si>
    <t xml:space="preserve">Armada Won Motors </t>
  </si>
  <si>
    <t>RO‘ZIMOV XURSANDBEK SAFARBAYEVICH</t>
  </si>
  <si>
    <t>95 390 30 98</t>
  </si>
  <si>
    <t xml:space="preserve">1550 Armada </t>
  </si>
  <si>
    <t>YO‘LDOSHOV FAYZULLA BAHODIR O‘G‘LI</t>
  </si>
  <si>
    <t>2 dona muzlatkich 2 dona kondi</t>
  </si>
  <si>
    <t>SAPAYEVA DILOROM JUMABOYEVNA</t>
  </si>
  <si>
    <t xml:space="preserve"> Dilli Opa Cho`lli </t>
  </si>
  <si>
    <t>KENJAYEVA XAVVAJON ATANAZAROVNA</t>
  </si>
  <si>
    <t xml:space="preserve">97 090 72 98 </t>
  </si>
  <si>
    <t>BEKTURDIYEV MUHAMMATJON ALIMBAYEVICH</t>
  </si>
  <si>
    <t xml:space="preserve">88 090 04 45 </t>
  </si>
  <si>
    <t>95 433 01 73</t>
  </si>
  <si>
    <t xml:space="preserve">Alp 2700 lik  37 mln - 3 mln = 34 qoldi </t>
  </si>
  <si>
    <t>93 256 51 94</t>
  </si>
  <si>
    <t>SETMURATOV RUSTAM OTANAZAROVICH</t>
  </si>
  <si>
    <t>BOBOJONOV YULDOSHBOY BAHODIR O‘G‘LI</t>
  </si>
  <si>
    <t xml:space="preserve">22 mln motoblok </t>
  </si>
  <si>
    <t>KARABAYEVA MUSLIMA NAZARBAY QIZI</t>
  </si>
  <si>
    <t>01,04,2024</t>
  </si>
  <si>
    <t xml:space="preserve">Qo`ng`irot </t>
  </si>
  <si>
    <t xml:space="preserve">93 777 55 85  93 707 40 70   Xokim yotdamchi </t>
  </si>
  <si>
    <t>QURAMBOYEV ANVARBEK JUMAYOZOVICH</t>
  </si>
  <si>
    <t xml:space="preserve">Ari </t>
  </si>
  <si>
    <t xml:space="preserve">Wudi Market 111 mchj </t>
  </si>
  <si>
    <t>MOB004910969</t>
  </si>
  <si>
    <t>MOB004910968</t>
  </si>
  <si>
    <t>MOB004910940</t>
  </si>
  <si>
    <t>JUMANIYOZOVA SANOBAR SABIROVNA</t>
  </si>
  <si>
    <t xml:space="preserve">99 587 04 71 </t>
  </si>
  <si>
    <t xml:space="preserve">1500 armada </t>
  </si>
  <si>
    <t>QODIROV SHERZOD AZADOVICH</t>
  </si>
  <si>
    <t xml:space="preserve">2000 lik alp  32 mln </t>
  </si>
  <si>
    <t xml:space="preserve">99 564 11 04 </t>
  </si>
  <si>
    <t>XO‘JABOYEV DILMUROD QUVONDIQOVICH</t>
  </si>
  <si>
    <t xml:space="preserve">93 723 57 71 </t>
  </si>
  <si>
    <t xml:space="preserve">Xursand og`ani o`zi </t>
  </si>
  <si>
    <t>RO‘ZMETOVA TURDIGUL SAIDNIYAZOVNA</t>
  </si>
  <si>
    <t xml:space="preserve">Namuna armada texno </t>
  </si>
  <si>
    <t>03,04,2024</t>
  </si>
  <si>
    <t>KUDIYAROV TURGANBAY JAMALATDINOVICH</t>
  </si>
  <si>
    <t>IBODULLAYEV MAQSADBEK BOTIR O‘G‘LI</t>
  </si>
  <si>
    <t xml:space="preserve">Matsakil Maxmudjon </t>
  </si>
  <si>
    <t>BURYAZOVA INOYAT SHONAZAROVNA</t>
  </si>
  <si>
    <t>RAZZAQOV XOSHIMJON SHERJONOVICH</t>
  </si>
  <si>
    <t>NAFASOV BAXROM RUSTAMOVICH</t>
  </si>
  <si>
    <t xml:space="preserve">Matsakil </t>
  </si>
  <si>
    <t>JUMABAYEV SATTORBEK ATABAYEVICH</t>
  </si>
  <si>
    <t xml:space="preserve">1550 armada </t>
  </si>
  <si>
    <t>SOBIROVA DILBAR OTANAZAR QIZI</t>
  </si>
  <si>
    <t xml:space="preserve">Jonibek tikish mashin </t>
  </si>
  <si>
    <t>AVEZOV SHERMAT SADULLAYEVICH</t>
  </si>
  <si>
    <t xml:space="preserve">97 201 01 79 </t>
  </si>
  <si>
    <t>XUDOSHUKUROV MAQSADJON MURATBOY O‘G‘LI</t>
  </si>
  <si>
    <t xml:space="preserve">1400 armada  300 lik skuter </t>
  </si>
  <si>
    <t xml:space="preserve">77 138 73 74 </t>
  </si>
  <si>
    <t xml:space="preserve">94 322 24 15 </t>
  </si>
  <si>
    <t xml:space="preserve">99 962 55 37 </t>
  </si>
  <si>
    <t xml:space="preserve">Alp 2300 lik 34 mln qo`shabalon </t>
  </si>
  <si>
    <t>88 498 09 21</t>
  </si>
  <si>
    <t>RO‘ZMATOVA SO‘NAJON QURBANBAYEVNA</t>
  </si>
  <si>
    <t xml:space="preserve">Sovutkich </t>
  </si>
  <si>
    <t>YAXSHIMURATOVA NASIBA YO‘LDASHOVNA</t>
  </si>
  <si>
    <t>BOBOJONOV KOMIL SA’DULLAYEVICH</t>
  </si>
  <si>
    <t xml:space="preserve">BOBOJONOV ODAMBOY KOMIL O‘G‘LI </t>
  </si>
  <si>
    <t>RO‘ZMETOVA RO‘ZIGUL SULTONOVNA</t>
  </si>
  <si>
    <t>SAPAYEV QUTLIMUROT QURAMBOYEVICH</t>
  </si>
  <si>
    <t>BOLTAYEVA DIYONA AXMAD QIZI</t>
  </si>
  <si>
    <t xml:space="preserve">Ozod bo`s </t>
  </si>
  <si>
    <t>BEKTURDIYEV MO‘MINBOY SHOMURATOVICH</t>
  </si>
  <si>
    <t xml:space="preserve">94 239 42 58 </t>
  </si>
  <si>
    <t>MOB004910998</t>
  </si>
  <si>
    <t>JUMABAYEV O‘KTAMBOY JUMADURDIYEVICH</t>
  </si>
  <si>
    <t>QURONBOYEV JAMSHIDBEK SHARIPBOY O‘G‘LI</t>
  </si>
  <si>
    <t xml:space="preserve">quromboy </t>
  </si>
  <si>
    <t xml:space="preserve">mishalka </t>
  </si>
  <si>
    <t>QOLANDAROV JAVLON SODULLAYEVICH</t>
  </si>
  <si>
    <t xml:space="preserve">88 517 84 30 </t>
  </si>
  <si>
    <t>BOBAJANOV JAMOLBEK SHAVKAT O‘G‘LI</t>
  </si>
  <si>
    <t>KARIMOV BEHZOD SAMANDAROVICH</t>
  </si>
  <si>
    <t>APTIKARIMOV ALIJON IBODULLAYEVICH</t>
  </si>
  <si>
    <t>07111987</t>
  </si>
  <si>
    <t>OTAJONOV SHOXRUX ERGASH O‘G‘LI</t>
  </si>
  <si>
    <t>QURBONOV DILSHODBEK ZIYADBOYEVICH</t>
  </si>
  <si>
    <t xml:space="preserve">93 288 41 24 </t>
  </si>
  <si>
    <t xml:space="preserve">Alp 1900 lik  30 mln </t>
  </si>
  <si>
    <t>RO‘ZMETOV FURQAT MADAMINOVICH</t>
  </si>
  <si>
    <t>ISMAYILOVA NILUFAR SAMANDAROVNA</t>
  </si>
  <si>
    <t xml:space="preserve">tegirmon 33 mln </t>
  </si>
  <si>
    <t>parol o`zida</t>
  </si>
  <si>
    <t xml:space="preserve">33 mln  to`pchi </t>
  </si>
  <si>
    <t>ABDULLAYEV BAXROM BOXTIYOROVICH</t>
  </si>
  <si>
    <t>07,04,2024</t>
  </si>
  <si>
    <t xml:space="preserve">88 763 22 30 </t>
  </si>
  <si>
    <t xml:space="preserve">Bekzod nolog </t>
  </si>
  <si>
    <t xml:space="preserve">95 167 02 12 </t>
  </si>
  <si>
    <t xml:space="preserve">Xunhi 200 lik  33 mln </t>
  </si>
  <si>
    <t xml:space="preserve">Alp qo`shabalon 33,5 mln - 0,5 mln </t>
  </si>
  <si>
    <t>MASHARIPOV UMIDBEK SHONAZAROVICH</t>
  </si>
  <si>
    <t xml:space="preserve">19 mln matsakil xofiz  99 506 76 66 </t>
  </si>
  <si>
    <t>ONNAMUROTOV ALISHER RUSTAM O‘G‘LI</t>
  </si>
  <si>
    <t>XUDOYOROV SHOHZOD FAZILOVICH</t>
  </si>
  <si>
    <t xml:space="preserve">Alini odamlari </t>
  </si>
  <si>
    <t>ODILOVA SHOHISTA FOZILJON QIZI</t>
  </si>
  <si>
    <t xml:space="preserve">Fozil og`a  rover uskuna </t>
  </si>
  <si>
    <t>YUSUPOV ANVAR NORMATOVICH</t>
  </si>
  <si>
    <t>KENJAYEV SUR’ATJON SHUXRATOVICH</t>
  </si>
  <si>
    <t xml:space="preserve">33 mln matsakil </t>
  </si>
  <si>
    <t xml:space="preserve">matsakil 33 ari </t>
  </si>
  <si>
    <t>TO‘LIBAYEVA DILDORA AXMADBOY QIZI</t>
  </si>
  <si>
    <t xml:space="preserve">ko`chat </t>
  </si>
  <si>
    <t>ALLABERGANOV ATABEK SULTANOVICH</t>
  </si>
  <si>
    <t>UDANOV MIRZO SULTANOVICH</t>
  </si>
  <si>
    <t>94 331 20 22</t>
  </si>
  <si>
    <t>08,04,2024</t>
  </si>
  <si>
    <t>OLLANAZAROV PO‘LAT QO‘ZIBOYEVICH</t>
  </si>
  <si>
    <t xml:space="preserve">99 526 40 67 </t>
  </si>
  <si>
    <t>SADULLAYEV SHOKIRBOY KARIMOVICH</t>
  </si>
  <si>
    <t xml:space="preserve">97 606 75 79 </t>
  </si>
  <si>
    <t>ABDIKARIMOV RUSLON QALANDAROVICH</t>
  </si>
  <si>
    <t xml:space="preserve">97 750 17 86 </t>
  </si>
  <si>
    <t xml:space="preserve">MAVLANOV BOLTABOY MADAMINOVICH </t>
  </si>
  <si>
    <t xml:space="preserve">93 474 90 89 </t>
  </si>
  <si>
    <t xml:space="preserve">Kavalo 32 mln </t>
  </si>
  <si>
    <t xml:space="preserve">yana yuborish kerak </t>
  </si>
  <si>
    <t>tayyor 1</t>
  </si>
  <si>
    <t>RO‘ZMETOV AMINBOY RINAT O‘G‘LI</t>
  </si>
  <si>
    <t>25 mln moto 99 639 03 73</t>
  </si>
  <si>
    <t>15,04,2024</t>
  </si>
  <si>
    <t xml:space="preserve">Yangi Qadam Techno World </t>
  </si>
  <si>
    <t>MOB004915004</t>
  </si>
  <si>
    <t>White Gold Texnology 111</t>
  </si>
  <si>
    <t>MOB004915005</t>
  </si>
  <si>
    <t>WHITE GOLD DISTRICT</t>
  </si>
  <si>
    <t>ISKANDAROV ZARIPBOY SAIDABDULLAYEVICH</t>
  </si>
  <si>
    <t xml:space="preserve">Mananiyat </t>
  </si>
  <si>
    <t xml:space="preserve">20 mln motoblok  97 512 73 28 </t>
  </si>
  <si>
    <t>SAPAYEV ELMUROD DILMUROD O‘G‘LI</t>
  </si>
  <si>
    <t xml:space="preserve">99 445 81 61 </t>
  </si>
  <si>
    <t>QO‘ZIYEV DONIYOR RAXIMBOYEVICH</t>
  </si>
  <si>
    <t xml:space="preserve">23 mln matsakil </t>
  </si>
  <si>
    <t xml:space="preserve">88 516 20 17 </t>
  </si>
  <si>
    <t xml:space="preserve">naqd </t>
  </si>
  <si>
    <t xml:space="preserve">1500 lik </t>
  </si>
  <si>
    <t xml:space="preserve">Alp 38 mln - 1 - 4 mln  Kattadan </t>
  </si>
  <si>
    <t xml:space="preserve">94 883 56 06 </t>
  </si>
  <si>
    <t xml:space="preserve">1400 lik </t>
  </si>
  <si>
    <t xml:space="preserve">99 953 06 03 </t>
  </si>
  <si>
    <t xml:space="preserve">95 750 23 25 </t>
  </si>
  <si>
    <t xml:space="preserve">99 564 44 93 </t>
  </si>
  <si>
    <t>1550 lik</t>
  </si>
  <si>
    <t xml:space="preserve">naqd Sanjar </t>
  </si>
  <si>
    <t xml:space="preserve">1800 lik kavalo </t>
  </si>
  <si>
    <t xml:space="preserve">97 299 71 19 </t>
  </si>
  <si>
    <t xml:space="preserve">1800 lik kavalo 34 mln 1 - mln berdi </t>
  </si>
  <si>
    <t xml:space="preserve">Rajabov Jumazar </t>
  </si>
  <si>
    <t xml:space="preserve">99 103 12 76 </t>
  </si>
  <si>
    <t xml:space="preserve">95 330 40 88 </t>
  </si>
  <si>
    <t xml:space="preserve">88 751 00 81 </t>
  </si>
  <si>
    <t xml:space="preserve">alp naqd pulga 29 mln ga  2200 dollar </t>
  </si>
  <si>
    <t xml:space="preserve">Alp naqd Qolyaga 2000 </t>
  </si>
  <si>
    <t xml:space="preserve">moto oladi 32 mln </t>
  </si>
  <si>
    <t>JUMANAZAROV MATYOQUB ALLANAZAROVICH</t>
  </si>
  <si>
    <t xml:space="preserve">Matyoqiub og`a 97 363 02 10 </t>
  </si>
  <si>
    <t xml:space="preserve">Palvanov G`ulom </t>
  </si>
  <si>
    <t xml:space="preserve">gaplashish kerak </t>
  </si>
  <si>
    <t>AXMEDOV QO‘ZIBOY RAZZAQOVICH</t>
  </si>
  <si>
    <t xml:space="preserve">99 072 30 70 </t>
  </si>
  <si>
    <t>G‘OYIBOV OVOTBOY QO‘CHQOROVICH</t>
  </si>
  <si>
    <t>MATYOQUBOV QAXRAMON QUZIBOYEVICH</t>
  </si>
  <si>
    <t>SOBIROVA ZUMRAD BOBOXONOVNA</t>
  </si>
  <si>
    <t xml:space="preserve"> 100 soliq qarz </t>
  </si>
  <si>
    <t xml:space="preserve">sardor qutlimurotov </t>
  </si>
  <si>
    <t>rajabov Umrbek</t>
  </si>
  <si>
    <t xml:space="preserve">Naqd Ulug` cho`lli </t>
  </si>
  <si>
    <t>1500 armada</t>
  </si>
  <si>
    <t xml:space="preserve">pasportga </t>
  </si>
  <si>
    <t xml:space="preserve">pasport </t>
  </si>
  <si>
    <t xml:space="preserve">pasport bor </t>
  </si>
  <si>
    <t xml:space="preserve">500 soliq qarz </t>
  </si>
  <si>
    <t>YUSUPOVA KAROMATJON ERNAZAROVNA</t>
  </si>
  <si>
    <t xml:space="preserve">Ali Ustalar </t>
  </si>
  <si>
    <t xml:space="preserve">motoblok 15 Jatki 18 </t>
  </si>
  <si>
    <t>ESHMURATOV ERKINBOY SETMURATOVICH</t>
  </si>
  <si>
    <t>RAXIMOVA GULNORA XALMURATOVNA</t>
  </si>
  <si>
    <t xml:space="preserve">ari  97 515 98 21 </t>
  </si>
  <si>
    <t>XUDAYBERGANOVA BARNO YARASHBOYEVNA</t>
  </si>
  <si>
    <t xml:space="preserve">88 527 88 91 </t>
  </si>
  <si>
    <t xml:space="preserve">alp </t>
  </si>
  <si>
    <t xml:space="preserve">99 973 05 14 </t>
  </si>
  <si>
    <t xml:space="preserve">99 540 52 35 </t>
  </si>
  <si>
    <t xml:space="preserve">Uragan Urozmat </t>
  </si>
  <si>
    <t xml:space="preserve">naqd Alisher lelin </t>
  </si>
  <si>
    <t>JABBAROV BAXODIR SHAMURATOVICH</t>
  </si>
  <si>
    <t>DUSCHANOV RUSTAM BOLTAYEVICH</t>
  </si>
  <si>
    <t>SABIROV NURBEK ISKANDOROVICH</t>
  </si>
  <si>
    <t>ADAMOVA MAQSUDA TURSUNBAYEVNA</t>
  </si>
  <si>
    <t xml:space="preserve">Gurlan  ari </t>
  </si>
  <si>
    <t>MATKARIMOV RAVSHONBEK ASQAR O‘G‘LI</t>
  </si>
  <si>
    <t xml:space="preserve">1,5 mlndan ari </t>
  </si>
  <si>
    <t>RAXIMOV ELYOR BAXODIROVICH</t>
  </si>
  <si>
    <t xml:space="preserve">Ozgarish </t>
  </si>
  <si>
    <t xml:space="preserve">30 mln tamirlash jihozlari </t>
  </si>
  <si>
    <t>YANGI QADAM TEXNO 777 MCHJ</t>
  </si>
  <si>
    <t>18,04,2024</t>
  </si>
  <si>
    <t xml:space="preserve">Nurafshon   93 922 10 41   77 033 91 01  karuch zavod </t>
  </si>
  <si>
    <t>Umid og`a bux</t>
  </si>
  <si>
    <t>EGAMOV SHUXRAT BEKCHANOVICH</t>
  </si>
  <si>
    <t>33 923 75 75</t>
  </si>
  <si>
    <t>20,04,2024</t>
  </si>
  <si>
    <t xml:space="preserve">1500 lik armada </t>
  </si>
  <si>
    <t xml:space="preserve">99 069 23 56 </t>
  </si>
  <si>
    <t xml:space="preserve">97 457 63 73 </t>
  </si>
  <si>
    <t xml:space="preserve">99 914 72 01 </t>
  </si>
  <si>
    <t>50 881 31 33</t>
  </si>
  <si>
    <t xml:space="preserve">Cavalo kabina 1600  26 mln  </t>
  </si>
  <si>
    <t xml:space="preserve">Cavalo kabina 1600  33 mln </t>
  </si>
  <si>
    <t>99 059 03 03</t>
  </si>
  <si>
    <t xml:space="preserve">Alp 31 mln ga berildi </t>
  </si>
  <si>
    <t>ISMAILOVA AQILJON AG‘ABAYEVNA</t>
  </si>
  <si>
    <t>XUDARGANOVA XANIFA ALIMOVNA</t>
  </si>
  <si>
    <t>SOPORBOYEV FURQATBEK XASANOVICH</t>
  </si>
  <si>
    <t>qq</t>
  </si>
  <si>
    <t xml:space="preserve">xokim yordamchi rasm qo`shmagan </t>
  </si>
  <si>
    <t>22,04,2024</t>
  </si>
  <si>
    <t>naqd beradi 22,04,2024</t>
  </si>
  <si>
    <t xml:space="preserve">Kavalo 1800 lik 31,5 mln 0,5 mln soliqqa tulandi </t>
  </si>
  <si>
    <t>IBROGIMOV MAQSADJON RO‘ZMATOVICH</t>
  </si>
  <si>
    <t>RO‘ZMETOV DONIYOR BOLTABOYEVICH</t>
  </si>
  <si>
    <t xml:space="preserve">1400 armda </t>
  </si>
  <si>
    <t xml:space="preserve">97 092 96 20 </t>
  </si>
  <si>
    <t xml:space="preserve">88 054 27 67 </t>
  </si>
  <si>
    <t>SAVINOVA BARNO BEYMAMATOVNA</t>
  </si>
  <si>
    <t>XUDAYBERGANOV AZAMAT YUSUPOVICH</t>
  </si>
  <si>
    <t xml:space="preserve">ari  33 mln </t>
  </si>
  <si>
    <t>SETMURATOV O‘KTAMBOY QALANDAROVICH</t>
  </si>
  <si>
    <t xml:space="preserve">25 mln matsakil </t>
  </si>
  <si>
    <t xml:space="preserve">WHITE GOLD TEXNOLIGHT MCHJ </t>
  </si>
  <si>
    <t>23,04,2024</t>
  </si>
  <si>
    <t>"HAMKOR IPEX TRADE" MCHJ</t>
  </si>
  <si>
    <t>MOB0049101024</t>
  </si>
  <si>
    <t>ACHILOV YASHNAR SHOKIROVICH</t>
  </si>
  <si>
    <t xml:space="preserve">Yashnarbek 28 mln matsakil </t>
  </si>
  <si>
    <t>QURYOZOV MUXTORBEK ILHOMOVICH</t>
  </si>
  <si>
    <t>GAIPOV SHERMAT MASHARIPOVICH</t>
  </si>
  <si>
    <t xml:space="preserve">Nurli Maskan  </t>
  </si>
  <si>
    <t xml:space="preserve">99 707 34 27 </t>
  </si>
  <si>
    <t xml:space="preserve">Uragan  94 002 35 55   93 286 30 85 </t>
  </si>
  <si>
    <t xml:space="preserve">biogumus  97 525 19 69 </t>
  </si>
  <si>
    <t>24,04,2024</t>
  </si>
  <si>
    <t>XO‘JANIYOZOVA MUHAYYO TO‘XTASINOVNA</t>
  </si>
  <si>
    <t xml:space="preserve"> Pechka </t>
  </si>
  <si>
    <t>XUDASHKUROVA ZARINABONU ERKINBOY QIZI</t>
  </si>
  <si>
    <t xml:space="preserve">Tuproqala </t>
  </si>
  <si>
    <t xml:space="preserve">Jonibek Jack  5 lik va 7,1 </t>
  </si>
  <si>
    <t xml:space="preserve">25 matsakil </t>
  </si>
  <si>
    <t>TURAYEV QUVONDIQ YULDASHEVICH</t>
  </si>
  <si>
    <t xml:space="preserve">32,5 mln </t>
  </si>
  <si>
    <t>SADULLAYEVA RO‘ZAJON ALISHEROVNA</t>
  </si>
  <si>
    <t xml:space="preserve">Quromboy Ari </t>
  </si>
  <si>
    <t xml:space="preserve">33 mln ari </t>
  </si>
  <si>
    <t>MOB0049101032</t>
  </si>
  <si>
    <t xml:space="preserve">Namuna Impex mchj </t>
  </si>
  <si>
    <t>MOB0049101036</t>
  </si>
  <si>
    <t>BAKIYEVA XOLISXON MADIYOR QIZI</t>
  </si>
  <si>
    <t xml:space="preserve">suv aparat  88 514 45 43 </t>
  </si>
  <si>
    <t>MOB0049101037</t>
  </si>
  <si>
    <t xml:space="preserve">Yusupov Baxrom </t>
  </si>
  <si>
    <t xml:space="preserve">97 457 07 11 </t>
  </si>
  <si>
    <t xml:space="preserve">Alp 2000 lik  31 mln </t>
  </si>
  <si>
    <t>XAJIYEV UMIRBEK KAMILJAN O‘G‘LI</t>
  </si>
  <si>
    <t>BAYDULLOYEV DIYORBEK TO‘XTAMUROD O‘G‘LI</t>
  </si>
  <si>
    <t xml:space="preserve">Piskent 99 863 03 03 </t>
  </si>
  <si>
    <t>SAIDOV AZAMAT ISLOMOVICH</t>
  </si>
  <si>
    <t>IBRAGIMOV NE’MAT BATIROVICH</t>
  </si>
  <si>
    <t xml:space="preserve">97 606 30 15 </t>
  </si>
  <si>
    <t>YAQUBOVA DILFUZA XUDAYBERGANOVNA</t>
  </si>
  <si>
    <t>SAPAYEVA OLMAXON RUZMETOVNA</t>
  </si>
  <si>
    <t xml:space="preserve">Ulug`bek jura </t>
  </si>
  <si>
    <t xml:space="preserve">88 606 79 39 </t>
  </si>
  <si>
    <t>SOBIROVA SHAHLOJON O‘RINBOYEVNA</t>
  </si>
  <si>
    <t xml:space="preserve">Gurlan  tikish mashin </t>
  </si>
  <si>
    <t>ISKANDAROV ASQARBEK YULDASHBOYEVICH</t>
  </si>
  <si>
    <t>SAIDMURATOVA ZUXRAJAN BALTABAYOVNA</t>
  </si>
  <si>
    <t>RO‘ZMATOV G‘AYRAT MADAMINOVICH</t>
  </si>
  <si>
    <t xml:space="preserve">18 mln matsakil </t>
  </si>
  <si>
    <t xml:space="preserve">99 227 12 27 </t>
  </si>
  <si>
    <t xml:space="preserve">kabina Armada </t>
  </si>
  <si>
    <t>ISMOILOVA NIGORA ISMOILOVNA</t>
  </si>
  <si>
    <t>XurriyT</t>
  </si>
  <si>
    <t xml:space="preserve">USILITR  99 540 45 42 </t>
  </si>
  <si>
    <t xml:space="preserve">qaytadan yuborish kerak </t>
  </si>
  <si>
    <t xml:space="preserve">27,04,2024 Bolasi olib ketdi </t>
  </si>
  <si>
    <t>RAVSHONBEKOV SHERZODBEK RAVSHONBEK O‘G‘LI</t>
  </si>
  <si>
    <t xml:space="preserve">Alp qo`sha bolon  2300 lik 36 mln </t>
  </si>
  <si>
    <t>SHARIPOVA NAFOSAT TILLA QIZI</t>
  </si>
  <si>
    <t xml:space="preserve">99 960 98 82 </t>
  </si>
  <si>
    <t xml:space="preserve">Alp </t>
  </si>
  <si>
    <t>ALLAMOV ELYOR ISMOILOVICH</t>
  </si>
  <si>
    <t>29,04,2024</t>
  </si>
  <si>
    <t xml:space="preserve">Madaniyat Gold Distirkt </t>
  </si>
  <si>
    <t>30,04,2024</t>
  </si>
  <si>
    <t xml:space="preserve">Xorazm biznec Xolding </t>
  </si>
  <si>
    <t xml:space="preserve">5 chida Xunjiga tushgan </t>
  </si>
  <si>
    <t>PALVANOVA RA’NO ABDULLAYEVNA</t>
  </si>
  <si>
    <t xml:space="preserve">Olijon Marojiniy 15 mln </t>
  </si>
  <si>
    <t>PALVANOV GULOM KURBANDURDIYEVICH</t>
  </si>
  <si>
    <t xml:space="preserve">23 mln mototexnika </t>
  </si>
  <si>
    <t>SALAYEVA MOHIGUL MAHMUD QIZI</t>
  </si>
  <si>
    <t xml:space="preserve">asalari </t>
  </si>
  <si>
    <t>YUSUPOVA BARNO IBRAGIMOVNA</t>
  </si>
  <si>
    <t xml:space="preserve">20 mln pechka  islom og`a palata </t>
  </si>
  <si>
    <t>NURMURODOV BEKZOD SAYDULLAYEVICH</t>
  </si>
  <si>
    <t xml:space="preserve">Samatqand </t>
  </si>
  <si>
    <t xml:space="preserve">UMIROV SIROJIDDIN MAXMUD O‘G‘LI </t>
  </si>
  <si>
    <t>EGAMQULOV VALIJON SOBIRJONOVICH</t>
  </si>
  <si>
    <t>TILOVOV MA’MURIDDIN FOZILIDDIN O‘G‘LI</t>
  </si>
  <si>
    <t>TURAYEV OBIDJON AMANJONOVICH</t>
  </si>
  <si>
    <t>MAVLYANOV USMON ABILOVICH</t>
  </si>
  <si>
    <t xml:space="preserve">99 759 27 55 </t>
  </si>
  <si>
    <t xml:space="preserve">99 526 61 57 </t>
  </si>
  <si>
    <t>93 337 28 63</t>
  </si>
  <si>
    <t>NAVRUZOV QAMAT XO‘JAMUROTOVICH</t>
  </si>
  <si>
    <t>SABIROV ISLOM IBRAGIMOVICH</t>
  </si>
  <si>
    <t>RO‘ZMETOVA GULCHEXRA MATNAZAROVNA</t>
  </si>
  <si>
    <t>BABAJANOV HAMDAMBEK OLLABERGANOVICH</t>
  </si>
  <si>
    <t>MAXMUDOV G‘ANIJON FARXADOVICH</t>
  </si>
  <si>
    <t>88 299 03 66  97 1099192</t>
  </si>
  <si>
    <t xml:space="preserve">Alp kredit 31 mln </t>
  </si>
  <si>
    <t xml:space="preserve">88 054 58 85 </t>
  </si>
  <si>
    <t xml:space="preserve">93 923 57 71 </t>
  </si>
  <si>
    <t>RAMANOV SHERMAT SAPARBAYEVICH</t>
  </si>
  <si>
    <t xml:space="preserve">22 mln Matsakil </t>
  </si>
  <si>
    <t xml:space="preserve">xonqa akbar </t>
  </si>
  <si>
    <t>BABAJONOVA MUXABBAT SAPOYEVNA</t>
  </si>
  <si>
    <t xml:space="preserve">15 mln parranda 97 453 70 66 </t>
  </si>
  <si>
    <t>ERNAZAROV ELDOR ULUG‘BEK O‘G‘LI</t>
  </si>
  <si>
    <t>RO‘ZMETOVA HOSIYAT MURATOVNA</t>
  </si>
  <si>
    <t xml:space="preserve">25 mln matabolk </t>
  </si>
  <si>
    <t>OTAJANOVA SHOIRA MAKSUDBEKOVNA</t>
  </si>
  <si>
    <t xml:space="preserve">33 mln tikish mashin 6,6 mlndan Jonibek jack </t>
  </si>
  <si>
    <t>SOBIROVA BARCHINOY QODIRBERDIYEVNA</t>
  </si>
  <si>
    <t xml:space="preserve">12,3 mln 5,1 + 7,2  Jonibek Jack </t>
  </si>
  <si>
    <t xml:space="preserve">tikish mashin  6,2*4 +8,2  33 mln </t>
  </si>
  <si>
    <t>BABAJANOVA MUBARAK SAPARBOYOVNA</t>
  </si>
  <si>
    <t>33 294 05 02</t>
  </si>
  <si>
    <t>NURMETOVA DO‘NDI OTABOYEVNA</t>
  </si>
  <si>
    <t>NAFASOV ILHOM RUSTAMOVICH</t>
  </si>
  <si>
    <t xml:space="preserve">28 mln matsakil 94 103 86 80 </t>
  </si>
  <si>
    <t>OTANAZAROVA XUSNIYA SHOHNAZAR QIZI</t>
  </si>
  <si>
    <t>XUDAYBERGANOVA GULSARA BEKTURDIYEVNA</t>
  </si>
  <si>
    <t xml:space="preserve"> 24 mln murodjon </t>
  </si>
  <si>
    <t>ESHMURATOVA GULXUMOR KENJAYEVNA</t>
  </si>
  <si>
    <t>MASHARIPOV RUSLAN RAXMONOVICH</t>
  </si>
  <si>
    <t>MAMATOVA ROHATOY QABULOVNA</t>
  </si>
  <si>
    <t>MOB0049101053</t>
  </si>
  <si>
    <t>MOB0049101052</t>
  </si>
  <si>
    <t xml:space="preserve">94 060 56 95 </t>
  </si>
  <si>
    <t xml:space="preserve">93 134 51 90 </t>
  </si>
  <si>
    <t xml:space="preserve">93 987 20 90 </t>
  </si>
  <si>
    <t xml:space="preserve">99 508 92 46 </t>
  </si>
  <si>
    <t>EGAMBERDIYEVA DINORA RAXIMBOYEVNA</t>
  </si>
  <si>
    <t xml:space="preserve">Ari 28 mln Reim cho`mmak 88 453 11 02 </t>
  </si>
  <si>
    <t>ISMAILOVA ROHATJON MADRAXIMOVNA</t>
  </si>
  <si>
    <t>ISKANDAROV ISTARISBEK ALLAQULOVICH</t>
  </si>
  <si>
    <t>RAXIMOVA BARCHINOY RAVSHANBEK QIZI</t>
  </si>
  <si>
    <t>AVEZOV MUXTOR JUMANAZAROVICH</t>
  </si>
  <si>
    <t>XAYITOVA MAQSUDA MADIRIMOVNA</t>
  </si>
  <si>
    <t xml:space="preserve">97 015 09 60  Jamshid axran </t>
  </si>
  <si>
    <t>04,05,2024</t>
  </si>
  <si>
    <t xml:space="preserve">10 mln tikish mashin 2 dona </t>
  </si>
  <si>
    <t>06,05,2024</t>
  </si>
  <si>
    <t>AXMEDOVA SABOXAT ODAMBOYEVNA</t>
  </si>
  <si>
    <t xml:space="preserve">95 770 55 95 </t>
  </si>
  <si>
    <t>ALLAMOV SHERMAT IBRAGIMOVICH</t>
  </si>
  <si>
    <t xml:space="preserve">99 342 95 66 </t>
  </si>
  <si>
    <t xml:space="preserve">Alp 200 lik 31 mln </t>
  </si>
  <si>
    <t>JUMABOYEV MADIYOR QADAMOVICH</t>
  </si>
  <si>
    <t xml:space="preserve">97 363 71 52 </t>
  </si>
  <si>
    <t xml:space="preserve">Jumaniyozov Bazirgon </t>
  </si>
  <si>
    <t xml:space="preserve">99 273 12 23 </t>
  </si>
  <si>
    <t xml:space="preserve">93 090 21 70 </t>
  </si>
  <si>
    <t>RAJABOVA YORQINOY YAKUBBOYEVNA</t>
  </si>
  <si>
    <t xml:space="preserve">20 mln matsakil </t>
  </si>
  <si>
    <t>MATMURATOVA MAXSUDA QODIROVNA</t>
  </si>
  <si>
    <t>rasm yo`q 07,05,2024</t>
  </si>
  <si>
    <t xml:space="preserve">PROFESSIONAL SERVICE TRADE 111 </t>
  </si>
  <si>
    <t>01,05,2024</t>
  </si>
  <si>
    <t>RO‘ZMETOVA MOHINA SHERALI QIZI</t>
  </si>
  <si>
    <t xml:space="preserve">33 mln mamoy </t>
  </si>
  <si>
    <t>cav</t>
  </si>
  <si>
    <t>akbar</t>
  </si>
  <si>
    <t>JUMABAYEVA QUVONCH XUDAYBERDIYEVNA</t>
  </si>
  <si>
    <t xml:space="preserve">99 260 20 70 </t>
  </si>
  <si>
    <t>RO‘ZIBAYEV MAQSADBEK XUSHNUDOVICH</t>
  </si>
  <si>
    <t xml:space="preserve">99 155 29 45 </t>
  </si>
  <si>
    <t>RAJAPOV IBRATJON IBROHIM O‘G‘LI</t>
  </si>
  <si>
    <t xml:space="preserve">33 926 85 85 </t>
  </si>
  <si>
    <t>TAYIROV OLLABERGAN JUMABOYEVICH</t>
  </si>
  <si>
    <t xml:space="preserve">31 mln issiqxona </t>
  </si>
  <si>
    <t>FAYZULLAYEV MUHAMMAD RAMATOVICH</t>
  </si>
  <si>
    <t xml:space="preserve">33 mln issiqxona </t>
  </si>
  <si>
    <t>IBRAGIMOVA TOJIGUL RUSTAMOVNA</t>
  </si>
  <si>
    <t>IBRAGIMOV MUZAFFAR RUSTAMOVICH</t>
  </si>
  <si>
    <t>ABDULLAYEVA JUMAGULJON KOMILOVNA</t>
  </si>
  <si>
    <t xml:space="preserve">33 mln muzlatkich </t>
  </si>
  <si>
    <t>RUSTAMOV POLVONNAZAR OCHIL O‘G‘LI</t>
  </si>
  <si>
    <t>33 mln matsakil  99 921 23 2 7</t>
  </si>
  <si>
    <t>RUZMETOVA SANAM OLLAYOROVNA</t>
  </si>
  <si>
    <t xml:space="preserve">12,2 mln tikish mashin </t>
  </si>
  <si>
    <t>BEKCHANOVA XAMIDA AMINBOYEVNA</t>
  </si>
  <si>
    <t>Xonq a</t>
  </si>
  <si>
    <t xml:space="preserve">7,5 mlndan 4 tikish mashina 30 mln Quromboy </t>
  </si>
  <si>
    <t>MOB0049101065</t>
  </si>
  <si>
    <t>INDITEX MCHJ</t>
  </si>
  <si>
    <t>08,05,2024</t>
  </si>
  <si>
    <t xml:space="preserve"> TO‘RAYEVA NARGIZA SHERIPBOYEVNA</t>
  </si>
  <si>
    <t>95 776 98 26</t>
  </si>
  <si>
    <t>QURBANBAYEVA GULASAL XUDAZAROVNA</t>
  </si>
  <si>
    <t xml:space="preserve">27 mln matsakil 90 013 02 97 </t>
  </si>
  <si>
    <t xml:space="preserve">99 563 61 81 </t>
  </si>
  <si>
    <t xml:space="preserve">99 193 28 67 </t>
  </si>
  <si>
    <t xml:space="preserve">94 844 43 24 </t>
  </si>
  <si>
    <t>11,05,2024</t>
  </si>
  <si>
    <t xml:space="preserve">91 425 30 21 </t>
  </si>
  <si>
    <t>JUMANIYOZOVA MUQADDAS SAMANDAROVNA</t>
  </si>
  <si>
    <t>XALMANOVA DILRABO ABDULLAYEVNA</t>
  </si>
  <si>
    <t xml:space="preserve">11 mln </t>
  </si>
  <si>
    <t>XUDAYBERGANOV KARIMBAY RAJAPOVICH</t>
  </si>
  <si>
    <t xml:space="preserve">12 mln </t>
  </si>
  <si>
    <t xml:space="preserve">G`ulom yangiariq Aka si Yoqub pakarni 97 601 95 95 </t>
  </si>
  <si>
    <t>rasm yo`q 13,05,2024</t>
  </si>
  <si>
    <t>JUMANAZAROVA SHABNAM ALISHER QIZI</t>
  </si>
  <si>
    <t>MOB0049101080</t>
  </si>
  <si>
    <t>EGAMOVA DILRABO TOXIROVNA</t>
  </si>
  <si>
    <t xml:space="preserve">31,5 mln pechka </t>
  </si>
  <si>
    <t xml:space="preserve">95 383 21 05 </t>
  </si>
  <si>
    <t>99 746 44 55</t>
  </si>
  <si>
    <t xml:space="preserve">88 603 02 04 </t>
  </si>
  <si>
    <t xml:space="preserve">94 316 27 17 </t>
  </si>
  <si>
    <t xml:space="preserve">88 360 23 83 </t>
  </si>
  <si>
    <t xml:space="preserve">alp 1900 dollar alp skuter uchun 2,5 jami  30 mln kredit </t>
  </si>
  <si>
    <t>14,05,2024</t>
  </si>
  <si>
    <t>TEXNO BERND MCHJ</t>
  </si>
  <si>
    <t>IBODULLAYEV RAVSHONBEK ZARIPBOYEVICH</t>
  </si>
  <si>
    <t xml:space="preserve">30 mln muzlatkich 9,5*2 + 11 go`sht maydalagich </t>
  </si>
  <si>
    <t>MATNIYAZOVA NODIRA XASANOVNA</t>
  </si>
  <si>
    <t>JUMANAZAROVA OZODA ERGASH QIZ</t>
  </si>
  <si>
    <t>G‘OYIBOV SAN’AT YO‘LDOSHEVICH</t>
  </si>
  <si>
    <t>YARASHBOYEV ASADBEK IBODULLA O‘G‘LI</t>
  </si>
  <si>
    <t>SADULLAYEVA NODIRA IBODULLAYEVNA</t>
  </si>
  <si>
    <t>EGAMBERDIYEV ALIBEK AMINBAYEVICH</t>
  </si>
  <si>
    <t xml:space="preserve">65 ming soliq qarz  </t>
  </si>
  <si>
    <t xml:space="preserve"> ATANIYAZOV BEHZOD AZIMOVICH</t>
  </si>
  <si>
    <t>BOBONIYOZOV IBRAHIM TOIROVICH</t>
  </si>
  <si>
    <t xml:space="preserve">94 667 60 83 </t>
  </si>
  <si>
    <t xml:space="preserve"> 93 755 92 20 </t>
  </si>
  <si>
    <t xml:space="preserve">94 090 10 88 </t>
  </si>
  <si>
    <t xml:space="preserve">skuter 900 lik </t>
  </si>
  <si>
    <t>ADAMBOYEVA SURAYYO MUXTOR QIZI</t>
  </si>
  <si>
    <t xml:space="preserve">pechka 33 mln </t>
  </si>
  <si>
    <t>AXMEDOVA MANZURA BAHODIR QIZI</t>
  </si>
  <si>
    <t>DUSMATOV BAXTIYOR ISMOILOVICH</t>
  </si>
  <si>
    <t>JUMANIYAZOV BOG‘BEK TAXIROVICH</t>
  </si>
  <si>
    <t>15,05,2024</t>
  </si>
  <si>
    <t xml:space="preserve">Aromite Market mchj </t>
  </si>
  <si>
    <t xml:space="preserve">Erkin Texnology </t>
  </si>
  <si>
    <t xml:space="preserve">leader texnolight </t>
  </si>
  <si>
    <t>MOB0049101083</t>
  </si>
  <si>
    <t xml:space="preserve">91 859 01 20 </t>
  </si>
  <si>
    <t xml:space="preserve">94 437 25 87 </t>
  </si>
  <si>
    <t>97 512 47 44</t>
  </si>
  <si>
    <t xml:space="preserve">200 ming soliq qarz  </t>
  </si>
  <si>
    <t>SAFARBOYEV BEKZOD MAQSUD O‘G‘LI</t>
  </si>
  <si>
    <t xml:space="preserve">Urazmat </t>
  </si>
  <si>
    <t xml:space="preserve">30 mln ari  </t>
  </si>
  <si>
    <t>ATAJONOVA NIGORA YARASHBOY QIZI</t>
  </si>
  <si>
    <t xml:space="preserve">33 mln atraksion </t>
  </si>
  <si>
    <t>rasm yo`q 16,05,2024</t>
  </si>
  <si>
    <t xml:space="preserve">yarim tayyor </t>
  </si>
  <si>
    <t>rasm yo`q 15,05,2024</t>
  </si>
  <si>
    <t>JUMABOYEVA FAZILAT OTABEKOVNA</t>
  </si>
  <si>
    <t>QUTLIMURATOVA SANOBAR QUVONDIQOVNA</t>
  </si>
  <si>
    <t>JUMABOYEV KAMOLJON NURILLAYEVICH</t>
  </si>
  <si>
    <t xml:space="preserve">94 130 35 31 </t>
  </si>
  <si>
    <t xml:space="preserve">99 568 01 84 </t>
  </si>
  <si>
    <t xml:space="preserve">99 108 11 90 </t>
  </si>
  <si>
    <t xml:space="preserve">Alp 1900 lik  32 mln </t>
  </si>
  <si>
    <t>MOB0049101078</t>
  </si>
  <si>
    <t>MOB0049101086</t>
  </si>
  <si>
    <t>MOB0049101087,</t>
  </si>
  <si>
    <t xml:space="preserve">ipoteka </t>
  </si>
  <si>
    <t xml:space="preserve">izzat </t>
  </si>
  <si>
    <t xml:space="preserve">Xudash </t>
  </si>
  <si>
    <t xml:space="preserve">Bogot Any Services </t>
  </si>
  <si>
    <t>QURBONOV MUXTOR BOBOJONOVICH</t>
  </si>
  <si>
    <t xml:space="preserve">32,5 mln konterner Umid og`a </t>
  </si>
  <si>
    <t>Sahovat</t>
  </si>
  <si>
    <t xml:space="preserve">93 577 85 78 </t>
  </si>
  <si>
    <t xml:space="preserve">93 424 02 69 </t>
  </si>
  <si>
    <t>95 440 23 24</t>
  </si>
  <si>
    <t xml:space="preserve">88 525 22 82 </t>
  </si>
  <si>
    <t>ROXIMOV ELDORBEK XOKIMBOYEVICH</t>
  </si>
  <si>
    <t xml:space="preserve">99 502 87 31 </t>
  </si>
  <si>
    <t xml:space="preserve">93 313 02 92 </t>
  </si>
  <si>
    <t xml:space="preserve">uragan 2150 dollar  32 mln </t>
  </si>
  <si>
    <t>JUMANIYOZOVA OLTIN KOMILOVNA</t>
  </si>
  <si>
    <t xml:space="preserve">29 mln ari </t>
  </si>
  <si>
    <t xml:space="preserve">tasdiqlanmagan </t>
  </si>
  <si>
    <t xml:space="preserve">19,05,2024 da 900 dollar berildi 11,475 so`m bo`ldi 900 dollar </t>
  </si>
  <si>
    <t>rasm yo`q 19,05,2024</t>
  </si>
  <si>
    <t xml:space="preserve">milliy </t>
  </si>
  <si>
    <t xml:space="preserve">qahramon og`a </t>
  </si>
  <si>
    <t xml:space="preserve">Izzat </t>
  </si>
  <si>
    <t>MATYAQUBOVA GULYOR USMON QIZI</t>
  </si>
  <si>
    <t>NURMETOVA ZUBAYDA SABIROVNA</t>
  </si>
  <si>
    <t>MADAMINOV MURODBEK IXTIYOR O‘G‘LI</t>
  </si>
  <si>
    <t xml:space="preserve">32 freyzer 99 084 59 64 </t>
  </si>
  <si>
    <t>RAXIMBOYEV ASRORBEK JUMABOY O‘G‘L</t>
  </si>
  <si>
    <t xml:space="preserve">17 mln jatki </t>
  </si>
  <si>
    <t xml:space="preserve">99 284 10 93 </t>
  </si>
  <si>
    <t xml:space="preserve">88 410 58 48 </t>
  </si>
  <si>
    <t xml:space="preserve">99 310 49 92 </t>
  </si>
  <si>
    <t>MATYOQUBOVA SABINA HAYITBOY QIZI</t>
  </si>
  <si>
    <t xml:space="preserve">Tozaboy </t>
  </si>
  <si>
    <t>milliy</t>
  </si>
  <si>
    <t>aloqa</t>
  </si>
  <si>
    <t>NIKEL TECHNO MARKET MCHJ</t>
  </si>
  <si>
    <t>21,05,2024</t>
  </si>
  <si>
    <t xml:space="preserve">Turon </t>
  </si>
  <si>
    <t xml:space="preserve">98 686 28 07 </t>
  </si>
  <si>
    <t xml:space="preserve">99 939 29 39 </t>
  </si>
  <si>
    <t xml:space="preserve">97 605 05 07 </t>
  </si>
  <si>
    <t xml:space="preserve">97 511 08 06 </t>
  </si>
  <si>
    <t xml:space="preserve">94 024 90 89 </t>
  </si>
  <si>
    <t xml:space="preserve">Uragan 2000 lik 33 mln </t>
  </si>
  <si>
    <t xml:space="preserve">88 859 03 88 </t>
  </si>
  <si>
    <t>ISKANDAROV BOBOMUROD XUDAYBERGANOVICH</t>
  </si>
  <si>
    <t>YAQUBOVA SAODAT EGAMBERDIYEVNA</t>
  </si>
  <si>
    <t>SULTONOV ULUG‘BEK SOTIBOLDI O‘G‘LI</t>
  </si>
  <si>
    <t>TURUMBETOV SARVAR EGAMBERDIYEVICH</t>
  </si>
  <si>
    <t>ABDULLAYEVA MUBORAK SHAVKATOVNA</t>
  </si>
  <si>
    <t>QURAMBAYEV NARIMON SHONAZAROVICH</t>
  </si>
  <si>
    <t>BOBOMURADOVA NARGILA SHERMAMATOVNA</t>
  </si>
  <si>
    <t xml:space="preserve">1 mln berildi banisaga dedi </t>
  </si>
  <si>
    <t>22,05,2024</t>
  </si>
  <si>
    <t>88 600 18 66</t>
  </si>
  <si>
    <t xml:space="preserve">97 092 26 94 </t>
  </si>
  <si>
    <t>JUMANIYAZOV BARGAN XUDARGANOVICH</t>
  </si>
  <si>
    <t>QURBANOVA YAQUTJON NAZARBOYEVNA</t>
  </si>
  <si>
    <t>qahra</t>
  </si>
  <si>
    <t xml:space="preserve">Ikea Tex </t>
  </si>
  <si>
    <t>KENJAYEV SARDORBEK UMAR O‘G‘LI</t>
  </si>
  <si>
    <t xml:space="preserve">97 262 30 54 </t>
  </si>
  <si>
    <t>AVEZOVA SOJIDA DAVRONBEKOVNA</t>
  </si>
  <si>
    <t>SAIDOV XUDAYBERGAN MADIYAROVICH</t>
  </si>
  <si>
    <t>ABDULLAYEVA SEVARA TAJIBOYEVNA</t>
  </si>
  <si>
    <t>JUMANAZAROV SHUHRAT BEKTURDIYEVICH</t>
  </si>
  <si>
    <t>AMINOV ISMOIL OYBEK O‘G‘LI</t>
  </si>
  <si>
    <t>33 mln moto</t>
  </si>
  <si>
    <t xml:space="preserve">88 515 09 98 </t>
  </si>
  <si>
    <t>OTAJONOV HAMDAM NE’MATJONOVICH</t>
  </si>
  <si>
    <t xml:space="preserve">Uragan 1900 lik 29 mln </t>
  </si>
  <si>
    <t>1 gunadin boshqa odam topodi ukasinikam bomadi</t>
  </si>
  <si>
    <t>KULEDA SVETLANA VIKTOROVNA</t>
  </si>
  <si>
    <t xml:space="preserve">33 mln matsakil  88 459 33 44 </t>
  </si>
  <si>
    <t xml:space="preserve">matsakilni qaytargan </t>
  </si>
  <si>
    <t xml:space="preserve">77 096 91 88 </t>
  </si>
  <si>
    <t xml:space="preserve">95 393 19 05 </t>
  </si>
  <si>
    <t xml:space="preserve">Milliy </t>
  </si>
  <si>
    <t>xudash</t>
  </si>
  <si>
    <t>PIRNAPASOV G‘AYRAT QO‘ZIYEVICH</t>
  </si>
  <si>
    <t>JUMABOYEV MIRJALOL HAMIDJON O‘G‘LI</t>
  </si>
  <si>
    <t xml:space="preserve">33 mln mastaskil </t>
  </si>
  <si>
    <t xml:space="preserve">Estafa </t>
  </si>
  <si>
    <t>EGAMBERDIYEVA FAZILA PO‘LATOVNA</t>
  </si>
  <si>
    <t>29,05,2024</t>
  </si>
  <si>
    <t xml:space="preserve">"FENDI HOUSE" mchj </t>
  </si>
  <si>
    <t xml:space="preserve">"FIBBER TEX mchj </t>
  </si>
  <si>
    <t xml:space="preserve">88 090 89 69 </t>
  </si>
  <si>
    <t xml:space="preserve">alp qo`sha balon 33 mln </t>
  </si>
  <si>
    <t xml:space="preserve">33 386 96 86 </t>
  </si>
  <si>
    <t xml:space="preserve">moto </t>
  </si>
  <si>
    <t>MOB0049101122</t>
  </si>
  <si>
    <t xml:space="preserve">94 884 28 99 </t>
  </si>
  <si>
    <t>SHONAZAROVA ZEBOXON RAVSHANBEK QIZI</t>
  </si>
  <si>
    <t xml:space="preserve">Oq Oltin MFY </t>
  </si>
  <si>
    <t>QALANDAROVA NIGORA AXTAMOVNA</t>
  </si>
  <si>
    <t>PIRNAPASOV MAXSUD OMANOVICH</t>
  </si>
  <si>
    <t>31,05,2024</t>
  </si>
  <si>
    <t>SANAYEV FARRUX ELMUROD O‘G‘LI</t>
  </si>
  <si>
    <t xml:space="preserve">14,02,2024 jumanazar </t>
  </si>
  <si>
    <t xml:space="preserve">GIVENCHY SERVICES Mchj </t>
  </si>
  <si>
    <t xml:space="preserve">99 287 60 86 </t>
  </si>
  <si>
    <t>99 136 02 84</t>
  </si>
  <si>
    <t>93 876 41 44</t>
  </si>
  <si>
    <t xml:space="preserve">50 998 44 94 </t>
  </si>
  <si>
    <t xml:space="preserve">Alp qo`sha balon 33,5 mln </t>
  </si>
  <si>
    <t xml:space="preserve">1 mln </t>
  </si>
  <si>
    <t>01,06,2024</t>
  </si>
  <si>
    <t>SEYTBEKOV KAMALATDIN JAMALATDINOVICH</t>
  </si>
  <si>
    <t>DURDIYEVA FERUZA SAPARBAYEVNA</t>
  </si>
  <si>
    <t>RO‘ZMETOVA OYGUL ALLABERGANOVNA</t>
  </si>
  <si>
    <t xml:space="preserve">88 496 72 73 </t>
  </si>
  <si>
    <t>QAZAQOV KAMOLBEK AXMED O‘G‘LI</t>
  </si>
  <si>
    <t>QUTLIMURATOV HIKMAT RAMATOVICH</t>
  </si>
  <si>
    <t>02,06,2024</t>
  </si>
  <si>
    <t xml:space="preserve">99 961 96 24 </t>
  </si>
  <si>
    <t xml:space="preserve">Alp qo`sha balon 34 mln </t>
  </si>
  <si>
    <t>TURAYEV RUSLAN ANATOLEVICH</t>
  </si>
  <si>
    <t>ABDURAIMOVA DURDONA MANSUR QIZI</t>
  </si>
  <si>
    <t>MARDIQULOV DAVLATBEK ORZIQO‘L O‘G‘LI</t>
  </si>
  <si>
    <t xml:space="preserve">Alp 2300 lik 33,5 mln qo`shabalon  33 kredit tushdi 0,5 mln qoldi </t>
  </si>
  <si>
    <t xml:space="preserve">97 510 93 79 </t>
  </si>
  <si>
    <t xml:space="preserve">99 577 36 36 </t>
  </si>
  <si>
    <t>XOLMURATOV MIRZO XASANOVICH</t>
  </si>
  <si>
    <t>XUDOYBERGANOV XURSHID HAMRO O‘G‘LI</t>
  </si>
  <si>
    <t xml:space="preserve">karcher </t>
  </si>
  <si>
    <t>ABDULLAYEV MAXMUDJON MAQSUD O‘G‘LI</t>
  </si>
  <si>
    <t>RAXIMBERDIYEVA KUMUSHOY ISLOMBOY QIZI</t>
  </si>
  <si>
    <t xml:space="preserve">22,5 G`ani 94 268 67 b92 </t>
  </si>
  <si>
    <t xml:space="preserve">05,06,2024  Hokim yordamchiga ketdi </t>
  </si>
  <si>
    <t xml:space="preserve">05,06,2024 Xokim yordamchida </t>
  </si>
  <si>
    <t>93 450 96 99</t>
  </si>
  <si>
    <t>RO‘ZIBOYEV JASURBEK MANSURBEKOVICH</t>
  </si>
  <si>
    <t xml:space="preserve">99 576 06 64 </t>
  </si>
  <si>
    <t xml:space="preserve">94 115 67 80 </t>
  </si>
  <si>
    <t xml:space="preserve">alp qo`sha 32 mln </t>
  </si>
  <si>
    <t xml:space="preserve">99 129 23 73 </t>
  </si>
  <si>
    <t>ABDULLAYEVA FOTIMA ZIYADILLAYEVNA</t>
  </si>
  <si>
    <t>RAXIMOV SOHIBJON SOBIRJON O‘G‘LI</t>
  </si>
  <si>
    <t xml:space="preserve"> BOTIROV BOBOXON BAXTIYOR O‘G‘LI</t>
  </si>
  <si>
    <t xml:space="preserve">Camfort brend mchj </t>
  </si>
  <si>
    <t>MOB0049101132</t>
  </si>
  <si>
    <t>JUMANAZAROVA O‘G‘ILJON RASHIDBEK QIZI</t>
  </si>
  <si>
    <t xml:space="preserve">16 mln matsakil  99 508 27 02 </t>
  </si>
  <si>
    <t xml:space="preserve">06,06,2024 rasm qo`shilmagan </t>
  </si>
  <si>
    <t xml:space="preserve">99 446 18 35 </t>
  </si>
  <si>
    <t xml:space="preserve">94 429 10 90 </t>
  </si>
  <si>
    <t xml:space="preserve">06,06,2024 Hokim yordamchiga ketdi </t>
  </si>
  <si>
    <t xml:space="preserve">ariza tasdiqlash kerak </t>
  </si>
  <si>
    <t>RAXIMOVA MUHAYYO SHUHRATOVNA</t>
  </si>
  <si>
    <t>Ilyos metan Asqar og`a 99 968 22 32</t>
  </si>
  <si>
    <t>XO‘JANIYOZOVA ZEVAR MADAMINOVNA</t>
  </si>
  <si>
    <t xml:space="preserve">Jonibek Jack </t>
  </si>
  <si>
    <t>JUMANIYAZOV OTABEK YUSUPOVICH</t>
  </si>
  <si>
    <t>OTANAZAROVA SHAKARJON RO‘ZMETOVNA</t>
  </si>
  <si>
    <t xml:space="preserve">07,06,2024  Hokim yordamchiga ketdi </t>
  </si>
  <si>
    <t>YUSUPBOYEVA ROZIYAJON MUROD QIZI</t>
  </si>
  <si>
    <t>TAJIYEVA SHOHISTA YUSUPBAYEVNA</t>
  </si>
  <si>
    <t>ABDULLAYEV DADAXON RASHID O‘G‘LI</t>
  </si>
  <si>
    <t>JABBAROV SAIDMUROT MATMURATOVICH</t>
  </si>
  <si>
    <t xml:space="preserve">Oybek Torazoda Botirbek </t>
  </si>
  <si>
    <t>MOXMUDOV HAMDAM ORTIQOVICH</t>
  </si>
  <si>
    <t>XUDAYBERGANOV DILSHOD MOKSUDOVICH</t>
  </si>
  <si>
    <t>SOTIMOV UMRBEK AZADOVICH</t>
  </si>
  <si>
    <t>07,06,2024</t>
  </si>
  <si>
    <t xml:space="preserve">93 895 02 80 </t>
  </si>
  <si>
    <t>ILYASOVA NILUFAR FAYZULLAYEVNA</t>
  </si>
  <si>
    <t>JUMAQOV RAMAT ABDULLAYEVICH</t>
  </si>
  <si>
    <t xml:space="preserve">99 662 26 74 </t>
  </si>
  <si>
    <t>QADIRBERDIYEVA ZULAYXO RASHID QIZI</t>
  </si>
  <si>
    <t xml:space="preserve">97 452 14 72 </t>
  </si>
  <si>
    <t xml:space="preserve">26 lik 25 ga berildi </t>
  </si>
  <si>
    <t>OSKAROV QADAMBOY KARIMOVICH</t>
  </si>
  <si>
    <t>SADIQOVA GULZIRA JUMABAYEVNA</t>
  </si>
  <si>
    <t>08,06,2024</t>
  </si>
  <si>
    <t xml:space="preserve">99 056 85 87 </t>
  </si>
  <si>
    <t xml:space="preserve">alp qo`sha 2300 34 mln </t>
  </si>
  <si>
    <t xml:space="preserve">93 785 12 97 </t>
  </si>
  <si>
    <t>88 361 31 10</t>
  </si>
  <si>
    <t>RAJABOV OYBEK ULUG‘BEKOVICH</t>
  </si>
  <si>
    <t xml:space="preserve">Meros Texnika biznes </t>
  </si>
  <si>
    <t xml:space="preserve">Motolines </t>
  </si>
  <si>
    <t>QUSHNAZAROVA SHAXLOXON AZADOVNA</t>
  </si>
  <si>
    <t xml:space="preserve">bog`zor </t>
  </si>
  <si>
    <t xml:space="preserve">88 736 22 88 </t>
  </si>
  <si>
    <t>SAPOROVA LOBAR XAYRULLA QIZI</t>
  </si>
  <si>
    <t xml:space="preserve">jonibek </t>
  </si>
  <si>
    <t xml:space="preserve">Jack </t>
  </si>
  <si>
    <t>Qah</t>
  </si>
  <si>
    <t xml:space="preserve"> 93 076 07 03  Jumanazar    94 935 55 90    97 216 04 90   93 483 06 08  Xokim yordamchi 93 795 20 12 </t>
  </si>
  <si>
    <t xml:space="preserve">Braun Servises mchj </t>
  </si>
  <si>
    <t xml:space="preserve">99 564 03 19 </t>
  </si>
  <si>
    <t>99 094 33 73</t>
  </si>
  <si>
    <t xml:space="preserve">97 360 47 43 </t>
  </si>
  <si>
    <t xml:space="preserve">93 741 07 17 </t>
  </si>
  <si>
    <t xml:space="preserve">93 754 59 63 </t>
  </si>
  <si>
    <t xml:space="preserve">88 600 17 51 </t>
  </si>
  <si>
    <t xml:space="preserve">94 373 62 32 </t>
  </si>
  <si>
    <t xml:space="preserve">99 221 58 70 </t>
  </si>
  <si>
    <t xml:space="preserve">Ro`ziboyev G`ulom </t>
  </si>
  <si>
    <t xml:space="preserve">99 115 35 40 </t>
  </si>
  <si>
    <t>RAXIMOVA ZULXUMOR ALLABERGANOVNA</t>
  </si>
  <si>
    <t xml:space="preserve">77 276 07 80 </t>
  </si>
  <si>
    <t xml:space="preserve">95 331 79 09 </t>
  </si>
  <si>
    <t>97 600 81 11</t>
  </si>
  <si>
    <t xml:space="preserve">cavalo yangidan </t>
  </si>
  <si>
    <t xml:space="preserve">99 500 92 85 </t>
  </si>
  <si>
    <t xml:space="preserve">93 741 00 98 </t>
  </si>
  <si>
    <t xml:space="preserve">99 335 21 88 </t>
  </si>
  <si>
    <t xml:space="preserve">Xusinov Sulaymon </t>
  </si>
  <si>
    <t xml:space="preserve">97 857 18 66 </t>
  </si>
  <si>
    <t xml:space="preserve">99 746 99 06 </t>
  </si>
  <si>
    <t>93 102 47 04</t>
  </si>
  <si>
    <t xml:space="preserve">Texno Jahon </t>
  </si>
  <si>
    <t>NAVRUZOV ZAFARBEK XUDAYBERDIYEVICH</t>
  </si>
  <si>
    <t>JUMANIYOZOV SARDORBEK SHAVKATOVICH</t>
  </si>
  <si>
    <t>KAMALOVA MUBORAK AMINBAYEVNA</t>
  </si>
  <si>
    <t>XAKIMOV G‘AFURJON RUSTAMOVICH</t>
  </si>
  <si>
    <t>JUMANAZAROV JASURBEK QURBANBAYEVICH</t>
  </si>
  <si>
    <t>QURBONOVA TURSUNOY RAXIMOVNA</t>
  </si>
  <si>
    <t>RAJABBOYEV QUVONDIQ MATCHONOVICH</t>
  </si>
  <si>
    <t>SHOMURATOVA SHOXIDA YUSUPBOYEVNA</t>
  </si>
  <si>
    <t>QURYAZOVA GULMIRA YULDASHEVNA</t>
  </si>
  <si>
    <t>ACHILOV SHOHRUX BOXODIROVICH</t>
  </si>
  <si>
    <t>XUDAYBERGANOV O‘TKIRBEK QUTLIMUROTOVICH</t>
  </si>
  <si>
    <t>QUTLIMURADOVA BOLJON XXX</t>
  </si>
  <si>
    <t>MASHARIPOV HIKMAT SHOKIROVICH</t>
  </si>
  <si>
    <t>ALLAYOROV ILXOMBOY ADHAM O‘G‘LI</t>
  </si>
  <si>
    <t>SADULLAYEV ISMOIL JUMANAZAROVICH</t>
  </si>
  <si>
    <t xml:space="preserve">Xiva </t>
  </si>
  <si>
    <t>SOBUROV BOBURJON XAYRIDDIN O‘G‘LI</t>
  </si>
  <si>
    <t>SIDDIQOV OYBEK KAMOLADDIN O‘G‘LI</t>
  </si>
  <si>
    <t xml:space="preserve">Ramberdi oga 99 343 27 48 </t>
  </si>
  <si>
    <t xml:space="preserve">95 211 72 57 </t>
  </si>
  <si>
    <t xml:space="preserve">88 221 14 04 </t>
  </si>
  <si>
    <t>95 211 40 99</t>
  </si>
  <si>
    <t xml:space="preserve">94 385 70 19 </t>
  </si>
  <si>
    <t xml:space="preserve">99 273 61 61 </t>
  </si>
  <si>
    <t>ABDURAXMANOV BAXTIYAR MADRIMOVICH</t>
  </si>
  <si>
    <t xml:space="preserve">93 861 01 61 </t>
  </si>
  <si>
    <t xml:space="preserve">91 420 05 56 </t>
  </si>
  <si>
    <t>88 605 55 06</t>
  </si>
  <si>
    <t xml:space="preserve">93 717 87 67 </t>
  </si>
  <si>
    <t>88 299 82 81</t>
  </si>
  <si>
    <t>88 517 37 00</t>
  </si>
  <si>
    <t>RAXIMOV MUHAMMAD JUMABAYEVICH</t>
  </si>
  <si>
    <t>15,06,2024</t>
  </si>
  <si>
    <t xml:space="preserve">Uragan Puli olindi </t>
  </si>
  <si>
    <t xml:space="preserve">97 092 97 07 </t>
  </si>
  <si>
    <t xml:space="preserve">97 752 52 41 </t>
  </si>
  <si>
    <t xml:space="preserve">95 773 83 82 </t>
  </si>
  <si>
    <t xml:space="preserve">32 mln Uragan 2150 dollar </t>
  </si>
  <si>
    <t>88 732 32 42</t>
  </si>
  <si>
    <t>93 140 68 36</t>
  </si>
  <si>
    <t>94 311 56 86</t>
  </si>
  <si>
    <t>MADRIMOV DOVRUG‘BEK MADIYOROVICH</t>
  </si>
  <si>
    <t xml:space="preserve">23 mln matsakil Qalajiqala </t>
  </si>
  <si>
    <t xml:space="preserve">94 878 86 03 </t>
  </si>
  <si>
    <t xml:space="preserve">97 515 71 81 </t>
  </si>
  <si>
    <t>SHARIPOVA OYSHAJON XO‘JANAZAR QIZI</t>
  </si>
  <si>
    <t xml:space="preserve">Quromboy  24 mln ari </t>
  </si>
  <si>
    <t>MATNAZAROV QUDRAT QO‘ZIYEVICH</t>
  </si>
  <si>
    <t>RAMANOV RUSTAMBOY KARIMOVICH</t>
  </si>
  <si>
    <t>SULTANBOYEV ULUG‘BEK UMIDOVICH</t>
  </si>
  <si>
    <t>SAPAYEV AZIMBOY RAXIMOVICH</t>
  </si>
  <si>
    <t>YAKUBOV UMID YAKUBOVICH</t>
  </si>
  <si>
    <t>YULDASHEVA SHOXRUZA ESONOVNA</t>
  </si>
  <si>
    <t>TOJIBAYEVA DILNOZA SAMANDAR QIZI</t>
  </si>
  <si>
    <t>SHARIPOVA SHOXISTA BAXTIYOR QIZI</t>
  </si>
  <si>
    <t>JOBBOROVA OZODA XUDAYBERGAN</t>
  </si>
  <si>
    <t>BOBOMURODOVA SABOXAT HASANOVNA</t>
  </si>
  <si>
    <t>19,06,2024</t>
  </si>
  <si>
    <t>93 363 11 93</t>
  </si>
  <si>
    <t>TAXIROVA INTIZOR QO‘ZIBOYEVNA</t>
  </si>
  <si>
    <t>BERDIYEV SIROJ MADRIM O‘G‘LI</t>
  </si>
  <si>
    <t>QURBONOVA MAQSUDA IBADULLAYEVNA</t>
  </si>
  <si>
    <t xml:space="preserve">Xurriyta </t>
  </si>
  <si>
    <t xml:space="preserve">Boqcha mebel  32 mln </t>
  </si>
  <si>
    <t>KAMILOVA MA’MURA OMONBOY QIZI</t>
  </si>
  <si>
    <t>EGAMOVA GULORA OTABOYEVNA</t>
  </si>
  <si>
    <t xml:space="preserve">24 mln matsakil </t>
  </si>
  <si>
    <t>MATKARIMOVA ASALOY ODILBEK QIZI</t>
  </si>
  <si>
    <t>RO‘ZMETOVA RUXIYA AXMEDOVNA</t>
  </si>
  <si>
    <t>99 410 85 25</t>
  </si>
  <si>
    <t>99 185 87 90</t>
  </si>
  <si>
    <t xml:space="preserve">97 453 05 82 </t>
  </si>
  <si>
    <t>"BOGOT TEXNIKALAR DUNYOSI" MCHJ</t>
  </si>
  <si>
    <t xml:space="preserve">"BOGOT TEXNIKA mchj </t>
  </si>
  <si>
    <t>20,06,2024</t>
  </si>
  <si>
    <t>IMOMADDINOV G‘ULOMJON QOSIMBOYEVICH</t>
  </si>
  <si>
    <t>Navbahor</t>
  </si>
  <si>
    <t>88-707-04-25</t>
  </si>
  <si>
    <t>Mehnatguli</t>
  </si>
  <si>
    <t>94-981-82-19</t>
  </si>
  <si>
    <t>77-092-92-50</t>
  </si>
  <si>
    <t>94-318-02-55</t>
  </si>
  <si>
    <t>99-719-23-73</t>
  </si>
  <si>
    <t>99-570-34-30</t>
  </si>
  <si>
    <t>To`pchi</t>
  </si>
  <si>
    <t>88-600-04-94</t>
  </si>
  <si>
    <t>Nurli maskan</t>
  </si>
  <si>
    <t>93-271-90-83</t>
  </si>
  <si>
    <t>99-508-40-75</t>
  </si>
  <si>
    <t>97-510-75-69</t>
  </si>
  <si>
    <t xml:space="preserve">cavalo </t>
  </si>
  <si>
    <t xml:space="preserve">97 453 20 23 </t>
  </si>
  <si>
    <t>RAXMONOVA SANOBAR OLLAYAROVNA</t>
  </si>
  <si>
    <t>PALVANOVA RA’NO YUSUPOVNA</t>
  </si>
  <si>
    <t>ALLABERGANOVA KUMUSH MUROD QIZI</t>
  </si>
  <si>
    <t>XUDAYBERGANOVA OYSHA XUDAYBE</t>
  </si>
  <si>
    <t xml:space="preserve">grant </t>
  </si>
  <si>
    <t>RAXIMOV ELYORBEK BAXTIYOR O‘G‘LI</t>
  </si>
  <si>
    <t>RAIMOV ODOMBOY TADJIBOYEVICH</t>
  </si>
  <si>
    <t>NURULLAYEVA JUMASULTON TAJ</t>
  </si>
  <si>
    <t>MATKARIMOV XUDOYSHUKUR JUMA</t>
  </si>
  <si>
    <t>HAYITBOYEVA GULMIRA IKROMBOYEVNA</t>
  </si>
  <si>
    <t>IBRAGIMOV BOBOMUROD OMONBOY O‘G‘LI</t>
  </si>
  <si>
    <t>21,06,2024</t>
  </si>
  <si>
    <t xml:space="preserve">94 591 75 00 </t>
  </si>
  <si>
    <t xml:space="preserve">94 658 09 76 </t>
  </si>
  <si>
    <t xml:space="preserve">uragan 2150 dollar  31 mln </t>
  </si>
  <si>
    <t xml:space="preserve">97 360 38 56 </t>
  </si>
  <si>
    <t xml:space="preserve">97 600 93 30 </t>
  </si>
  <si>
    <t xml:space="preserve">alp qo`shabalon35 mln 2 mln berdi </t>
  </si>
  <si>
    <t>22,06,2024</t>
  </si>
  <si>
    <t xml:space="preserve">99 738 25 15 </t>
  </si>
  <si>
    <t xml:space="preserve">97 517 19 17 </t>
  </si>
  <si>
    <t>99 757 53 55</t>
  </si>
  <si>
    <t>JUMANOV QUVONDIQ BOTIRBOYEVICH</t>
  </si>
  <si>
    <t>AVAZOV AZIZBEK SHOMURATOVICH</t>
  </si>
  <si>
    <t xml:space="preserve">O`rozmetova Laylo </t>
  </si>
  <si>
    <t>24,06,2024</t>
  </si>
  <si>
    <t>BAGAT ELECTRIC MOTO</t>
  </si>
  <si>
    <t xml:space="preserve">99 595 77 61 </t>
  </si>
  <si>
    <t xml:space="preserve">94 093 94 55 </t>
  </si>
  <si>
    <t>93 748 75 66</t>
  </si>
  <si>
    <t xml:space="preserve">Urganch </t>
  </si>
  <si>
    <t xml:space="preserve">99 747 62 14 </t>
  </si>
  <si>
    <t xml:space="preserve">88 526 37 97 </t>
  </si>
  <si>
    <t xml:space="preserve">armada kabinali  </t>
  </si>
  <si>
    <t>MOB0049101175</t>
  </si>
  <si>
    <t>MOB0049101177</t>
  </si>
  <si>
    <t>MOB0049101178</t>
  </si>
  <si>
    <t>MOB0049101180</t>
  </si>
  <si>
    <t>QURYOZOV SARDORBEK MADAMINOVICH</t>
  </si>
  <si>
    <t xml:space="preserve">77 105 51 01 </t>
  </si>
  <si>
    <t xml:space="preserve">Garant </t>
  </si>
  <si>
    <t>Milliy</t>
  </si>
  <si>
    <t xml:space="preserve"> ISKANDAROVA SALIMA SATIBOLDIYEVNA</t>
  </si>
  <si>
    <t xml:space="preserve">33 ьдт </t>
  </si>
  <si>
    <t>JUMANIYOZOV BEKZOD O‘KTAM O‘G‘LI</t>
  </si>
  <si>
    <t xml:space="preserve">10 mln motoblok </t>
  </si>
  <si>
    <t>26,06,2024</t>
  </si>
  <si>
    <t>MATKARIMOV TO‘LQIN ERNAZAROVICH</t>
  </si>
  <si>
    <t xml:space="preserve">77 044 98 78 </t>
  </si>
  <si>
    <t xml:space="preserve">88 175 04 03 </t>
  </si>
  <si>
    <t>95 071 10 12</t>
  </si>
  <si>
    <t xml:space="preserve">99 944 48 77 </t>
  </si>
  <si>
    <t xml:space="preserve">99 367 39 54 </t>
  </si>
  <si>
    <t xml:space="preserve">95 433 57 50 </t>
  </si>
  <si>
    <t xml:space="preserve">Uragan 1900 lik 28 mln </t>
  </si>
  <si>
    <t>MOB0049101184</t>
  </si>
  <si>
    <t xml:space="preserve">88 144 01 94 </t>
  </si>
  <si>
    <t xml:space="preserve">93 424 30 87 </t>
  </si>
  <si>
    <t>ATAJONOVA MANZURA MATCHONOVNA</t>
  </si>
  <si>
    <t xml:space="preserve">Parnik 17 mln 97 362 33 99 </t>
  </si>
  <si>
    <t>DAULETMURATOV ALLAYAR JUMABAEVICH</t>
  </si>
  <si>
    <t xml:space="preserve">16,5 mln motolok </t>
  </si>
  <si>
    <t>MOB0049101189</t>
  </si>
  <si>
    <t>QOBULOVA HAFIZA RAJABOVNA</t>
  </si>
  <si>
    <t xml:space="preserve">ManaviyAT Sobirjon </t>
  </si>
  <si>
    <t xml:space="preserve">33 mln  matsakil </t>
  </si>
  <si>
    <t>ESHMETOV MAHKAMBEK XAYTIMMATOVICH</t>
  </si>
  <si>
    <t>SHOMURATOV RUSTAM HAMIDJONOVICH</t>
  </si>
  <si>
    <t xml:space="preserve"> SABIROV BEKPO‘LAT JOBBOROVICH</t>
  </si>
  <si>
    <t xml:space="preserve">88 221 23 83 </t>
  </si>
  <si>
    <t xml:space="preserve">88 135 51 00 </t>
  </si>
  <si>
    <t xml:space="preserve">95 090 55 85 </t>
  </si>
  <si>
    <t xml:space="preserve">2150 Uragan 33 mln </t>
  </si>
  <si>
    <t xml:space="preserve">33 535 07 90 </t>
  </si>
  <si>
    <t xml:space="preserve">Alp 2200 lik 33 mln </t>
  </si>
  <si>
    <t xml:space="preserve">93 284 72 96 </t>
  </si>
  <si>
    <t xml:space="preserve">2000 lik Uragan 31 mln </t>
  </si>
  <si>
    <t>qahramon</t>
  </si>
  <si>
    <t>ESHMURATOV IKROMJON EGAMBERGANOVICH</t>
  </si>
  <si>
    <t>KAMOLOVA GO‘ZAL RAJABBOYEVNA</t>
  </si>
  <si>
    <t xml:space="preserve"> BEKIMMATOVA GULRUH SOG‘INDIQ QIZI</t>
  </si>
  <si>
    <t>RAXIMBOYEV RAVSHANBEK BOTIRBAY O‘G‘LI</t>
  </si>
  <si>
    <t xml:space="preserve"> 29,06,2024rasm qo`shilmagam </t>
  </si>
  <si>
    <t xml:space="preserve">rad qilingan  sababni top </t>
  </si>
  <si>
    <t xml:space="preserve">29,06,2024 rasm yo`q </t>
  </si>
  <si>
    <t>SETMETOV DADAXON ERGASHOVICH</t>
  </si>
  <si>
    <t>skoringdan otdi</t>
  </si>
  <si>
    <t>MATVAPAYEV USMAN IBADULLAYEVICH</t>
  </si>
  <si>
    <t>99 509 54 79</t>
  </si>
  <si>
    <t>Skoringdan otgan 1 gun klyuch beradi</t>
  </si>
  <si>
    <t>MATYOQUBOV IBADULLA SAMANDAROVICH</t>
  </si>
  <si>
    <t>DAVLETOV RUSLAN BABAXANOVICH</t>
  </si>
  <si>
    <t>RAXIMOVA HILOLA MAXMUDOVNA</t>
  </si>
  <si>
    <t>BOBOJONOV ZAFARBEK OTAJON O‘G‘LI</t>
  </si>
  <si>
    <t>MATNAZAROV XUDAYBERDI REYMBOYEVICH</t>
  </si>
  <si>
    <t>Resurs uchun qaytargan</t>
  </si>
  <si>
    <t>KUTLIMURATOVA SHUKURJON BUVOXONOVNA</t>
  </si>
  <si>
    <t>SABIROV SODIQ AXMAD O‘G‘LI</t>
  </si>
  <si>
    <t>ISMOILOVA KIMYO RAIMBOYEVNA</t>
  </si>
  <si>
    <t>SADADDINOV ISLOMBEK MATRASULOVICH</t>
  </si>
  <si>
    <t>RAJABOV MOXMUD MOXSUDOVICH</t>
  </si>
  <si>
    <t>ATAJANOV OTAXON ERGASHBOYEVICH</t>
  </si>
  <si>
    <t xml:space="preserve">Tavsiyanoma Bergan </t>
  </si>
  <si>
    <t>BEKTURDIYEV IKROM XXX</t>
  </si>
  <si>
    <t>QOZOQOV MA’RUFBEK NURULLAYEVICH</t>
  </si>
  <si>
    <t>JABBAROVA SURAYYO XUDAYBERGAN QIZI</t>
  </si>
  <si>
    <t>TANGRIBERGANOV UMID ERNAFASOVICH</t>
  </si>
  <si>
    <t>JUMABOYEV MUXTOR MAXSUDOVICH</t>
  </si>
  <si>
    <t xml:space="preserve">Bekchanov Azimboy </t>
  </si>
  <si>
    <t xml:space="preserve">97 361 79 05 </t>
  </si>
  <si>
    <t xml:space="preserve">Alp 1950 31 mln </t>
  </si>
  <si>
    <t xml:space="preserve">97 740 24 77 </t>
  </si>
  <si>
    <t xml:space="preserve">50 102 31 23 </t>
  </si>
  <si>
    <t xml:space="preserve">alp 2000  32 mln - 3 mln naqd beradi </t>
  </si>
  <si>
    <t xml:space="preserve">94 566 02 83 </t>
  </si>
  <si>
    <t xml:space="preserve">Alp 2000 32 mln </t>
  </si>
  <si>
    <t>99 755 09 84</t>
  </si>
  <si>
    <t xml:space="preserve">Alp 1950  30 mln </t>
  </si>
  <si>
    <t>99 560 52 00</t>
  </si>
  <si>
    <t>97 511 61 66</t>
  </si>
  <si>
    <t xml:space="preserve">Alp 1950  31 mln </t>
  </si>
  <si>
    <t xml:space="preserve">99 165 10 30 </t>
  </si>
  <si>
    <t xml:space="preserve">Uragan 2150 lik 33 mln </t>
  </si>
  <si>
    <t>01,07,2024</t>
  </si>
  <si>
    <t>m</t>
  </si>
  <si>
    <t>ESHMURODOVA HILOLA VALIYEVNA</t>
  </si>
  <si>
    <t>RO‘ZIBAYEVA MANZURA KAMULJONOVNA</t>
  </si>
  <si>
    <t>MOB0049101194</t>
  </si>
  <si>
    <t xml:space="preserve">xudash </t>
  </si>
  <si>
    <t>QALANDAROVA BARCHINOY BOBOMUROD QIZI</t>
  </si>
  <si>
    <t xml:space="preserve">99 450 13 96 </t>
  </si>
  <si>
    <t xml:space="preserve">99 135 63 68 </t>
  </si>
  <si>
    <t xml:space="preserve">Mamatov Xusanboy </t>
  </si>
  <si>
    <t xml:space="preserve">97 364 90 06 </t>
  </si>
  <si>
    <t xml:space="preserve">93 452 12 25 </t>
  </si>
  <si>
    <t xml:space="preserve">alp 1950 lik 31 mln </t>
  </si>
  <si>
    <t xml:space="preserve">50 108 96 11 </t>
  </si>
  <si>
    <t>RAXIMOVA NAZOKAT ATANAZAROVNA</t>
  </si>
  <si>
    <t xml:space="preserve">qalajoqala </t>
  </si>
  <si>
    <t>JUMANIYOZOVA NILUFAR RO‘ZIMBOYEVNA</t>
  </si>
  <si>
    <t>MOXMUDOVA ASALPOSHSHA QOBULOVNA</t>
  </si>
  <si>
    <t xml:space="preserve">22 mln matsakil </t>
  </si>
  <si>
    <t>02,07,2024</t>
  </si>
  <si>
    <t>93 292 88 10</t>
  </si>
  <si>
    <t xml:space="preserve">99 582 02 90 </t>
  </si>
  <si>
    <t xml:space="preserve">95 226 29 59 </t>
  </si>
  <si>
    <t>JUMANIYAZOV SHERJON JUMYOZOVICH</t>
  </si>
  <si>
    <t xml:space="preserve">Jack Jonibek  33 mln matsakil </t>
  </si>
  <si>
    <t>BUNYODBEK ECO MOTO MCHJ</t>
  </si>
  <si>
    <t>03,07,2024</t>
  </si>
  <si>
    <t xml:space="preserve">
311439174</t>
  </si>
  <si>
    <t xml:space="preserve">97 774 58 98 </t>
  </si>
  <si>
    <t xml:space="preserve">93 090 37 85 </t>
  </si>
  <si>
    <t xml:space="preserve">97 360 08 65 </t>
  </si>
  <si>
    <t xml:space="preserve">33 364 84 86 </t>
  </si>
  <si>
    <t>99 382 77 04</t>
  </si>
  <si>
    <t>OLIMOVA SHOHSANAM QUVANDIQOVNA</t>
  </si>
  <si>
    <t xml:space="preserve">tut </t>
  </si>
  <si>
    <t>YUSUPOV QURAMBOY USMONOVICH</t>
  </si>
  <si>
    <t>EGAMOVA DILNOZA ERKINOVNA</t>
  </si>
  <si>
    <t>AT TEX MCHJ</t>
  </si>
  <si>
    <t>05,07,2024</t>
  </si>
  <si>
    <t xml:space="preserve">
311450494</t>
  </si>
  <si>
    <t xml:space="preserve">311448052
</t>
  </si>
  <si>
    <t>"BOGAT TEXNIKA KOMPLEKS" MCHJ</t>
  </si>
  <si>
    <t>99 967 80 85</t>
  </si>
  <si>
    <t xml:space="preserve">90 078 91 97 </t>
  </si>
  <si>
    <t>88 518 40 20</t>
  </si>
  <si>
    <t xml:space="preserve">Alp 1900 lik 31 mln </t>
  </si>
  <si>
    <t>RAXMANOV JASURBEK XUDAYNAZAROVICH</t>
  </si>
  <si>
    <t>33 123 36 08</t>
  </si>
  <si>
    <t xml:space="preserve">99 415 80 90 </t>
  </si>
  <si>
    <t xml:space="preserve">94 024 56 03 </t>
  </si>
  <si>
    <t>99 160 98 75</t>
  </si>
  <si>
    <t xml:space="preserve">91 090 06 82 </t>
  </si>
  <si>
    <t>TANGRIBERGANOVA UMIDA RAJABBOYEVNA</t>
  </si>
  <si>
    <t xml:space="preserve">33 mln ari quromboy </t>
  </si>
  <si>
    <t>08,07,2024</t>
  </si>
  <si>
    <t>JUMANAZAROVA NILUFAR UMIDJON QIZI</t>
  </si>
  <si>
    <t>TAXIROV SHERALI RAXIMOVICH</t>
  </si>
  <si>
    <t>YUSUPOVA MAVLUDA TOJIBOYEVNA</t>
  </si>
  <si>
    <t xml:space="preserve">23 mln lelin Alisher </t>
  </si>
  <si>
    <t xml:space="preserve">94 651 67 68 </t>
  </si>
  <si>
    <t xml:space="preserve">Alp cemel </t>
  </si>
  <si>
    <t xml:space="preserve">99 503 73 83 </t>
  </si>
  <si>
    <t xml:space="preserve">Uragan 2000 lik 32 mln </t>
  </si>
  <si>
    <t xml:space="preserve">93 344 83 89 </t>
  </si>
  <si>
    <t xml:space="preserve">Welomax 1800 lik </t>
  </si>
  <si>
    <t xml:space="preserve">Bog`ot X trend Biznes mchj </t>
  </si>
  <si>
    <t xml:space="preserve">94 113 53 68 </t>
  </si>
  <si>
    <t>10,07,2024</t>
  </si>
  <si>
    <t>XUDAYBERGANOVA GULSHAN SAPARBOYEVNA</t>
  </si>
  <si>
    <t>JABBOROVA SAFORGUL XUDAYBERGAN QIZI</t>
  </si>
  <si>
    <t>90 737 33 45</t>
  </si>
  <si>
    <t>MATNIYAZOVA MOHIRA MAQSUD QIZI</t>
  </si>
  <si>
    <t>MOB0049101220</t>
  </si>
  <si>
    <t>JUMANIYOZOVA MUNOJOT SOPORBAYEVNA</t>
  </si>
  <si>
    <t>MUXAMMETOVA GULNORA RUSTAMOVNA</t>
  </si>
  <si>
    <t>AJINIYAZOV MAQSUD JUMABOYEVICH</t>
  </si>
  <si>
    <t>RO‘ZMETOV ELBEK SAFARBOYEVICH</t>
  </si>
  <si>
    <t>OLLAYAROV HUSAN SHAKIROVICH</t>
  </si>
  <si>
    <t>teli ochik</t>
  </si>
  <si>
    <t>MASHARIPOVA SHAKARJON NURADDINOVNA</t>
  </si>
  <si>
    <t>SAFARBOYEV JAMSHIDBEK RASHID O‘G‘LI</t>
  </si>
  <si>
    <t>NURMETOV ULUG‘BEK RAXIMOVICH</t>
  </si>
  <si>
    <t>RO‘ZIYEV KARIMBOY BAXTIYOR O‘G‘LI</t>
  </si>
  <si>
    <t>JOBBAROVA SHOHISTA HAKIMBAYEVNA</t>
  </si>
  <si>
    <t>IBADULLAYEV BEKZOD RAMATOVICH</t>
  </si>
  <si>
    <t xml:space="preserve">99 816 31 61 </t>
  </si>
  <si>
    <t>YUSUPOVA MOHINUR QUROL QIZI</t>
  </si>
  <si>
    <t>NURMANOVA SAYYORAXON XOJIBOYEVNA</t>
  </si>
  <si>
    <t>XUSAINOVA MUQADDAS SADULLAYEVNA</t>
  </si>
  <si>
    <t>RAXMANOVA GULCHEXRA HAYITBAYEVNA</t>
  </si>
  <si>
    <t>DAVLATOVA GULNOZA JONIBEK QIZI</t>
  </si>
  <si>
    <t>RAJABOV TOXIRBEK QUVONDIQ O‘G‘LI</t>
  </si>
  <si>
    <t>SHENYOZOV ILXAM MADIRIMOVICH</t>
  </si>
  <si>
    <t>12,07,2024</t>
  </si>
  <si>
    <t>OTABAYEV OTABOY G‘AFUR O‘G‘LI</t>
  </si>
  <si>
    <t>DURDIYEVA AZIZA HAYITBOYEVNA</t>
  </si>
  <si>
    <t xml:space="preserve">93 860 33 39 </t>
  </si>
  <si>
    <t xml:space="preserve">99 114 82 78 </t>
  </si>
  <si>
    <t xml:space="preserve">99 962 11 69 </t>
  </si>
  <si>
    <t xml:space="preserve">99 312 29 80 </t>
  </si>
  <si>
    <t xml:space="preserve">88 606 90 98 </t>
  </si>
  <si>
    <t xml:space="preserve">88 857 08 01 </t>
  </si>
  <si>
    <t xml:space="preserve">50 779 49 72 </t>
  </si>
  <si>
    <t xml:space="preserve">Alp 1900 lik 28,7 mln </t>
  </si>
  <si>
    <t xml:space="preserve">Alp 2700 lik  38 mln - 3 mln = 35 qoldi - 7 berdi  28 qoldi </t>
  </si>
  <si>
    <t>NURMETOVA UMIDA SAPAYEVNA</t>
  </si>
  <si>
    <t>ABDALNIYAZOV BAXTIYOR BOLTABOYEVICH</t>
  </si>
  <si>
    <t>JUMANIYOZOVA OYIMJON MAXMUDOVNA</t>
  </si>
  <si>
    <t>SAPAYEV ULUG‘BEK AXMEDOVICH</t>
  </si>
  <si>
    <t>KENJAYEV RO‘ZIBOY XXX</t>
  </si>
  <si>
    <t>13,07,2024</t>
  </si>
  <si>
    <t xml:space="preserve">BOBOJONOV NODIRBEK MAHKAMBOY O‘G‘LI </t>
  </si>
  <si>
    <t>SHARIPBOYEVA DILRABO SHUHRAT QIZI</t>
  </si>
  <si>
    <t>RAXIMOV ILHOMBOY XAJIBAYEVICH</t>
  </si>
  <si>
    <t xml:space="preserve">sahovat ham bo`lishi mumkin </t>
  </si>
  <si>
    <t>AZIMOVA MOXICHEHRA G‘AYRAT QIZI</t>
  </si>
  <si>
    <t>ATAJANOVA SHUKURJON RUSTAMOVNA</t>
  </si>
  <si>
    <t>ALLANAZAROVA SHIRIN MATNAZAROVNA</t>
  </si>
  <si>
    <t>SULTONOV SIROJBEK BAXTIYOR O‘G‘LI</t>
  </si>
  <si>
    <t>IMOMADDINOV ALISHER QOSIMBOYEVICH</t>
  </si>
  <si>
    <t>ARABOVA O‘G‘ILJON MATYUSUPOVNA</t>
  </si>
  <si>
    <t>YULDOSHEV RAVSHANBAY ZARIPOVICH</t>
  </si>
  <si>
    <t>ALLAYOROV QUDRAT SHONAZAROVICH</t>
  </si>
  <si>
    <t xml:space="preserve">90 434 46 49 </t>
  </si>
  <si>
    <t xml:space="preserve">armada kabina </t>
  </si>
  <si>
    <t>KARIMOVA GULJAHON SHAVKAT QIZI</t>
  </si>
  <si>
    <t xml:space="preserve">10 mln   matsakil </t>
  </si>
  <si>
    <t>15,07,2024</t>
  </si>
  <si>
    <t>AZODOV SARDORBEK ATABEKOVICH</t>
  </si>
  <si>
    <t xml:space="preserve">97 202 43 13 </t>
  </si>
  <si>
    <t xml:space="preserve">aksiya </t>
  </si>
  <si>
    <t xml:space="preserve">93 287 77 64 </t>
  </si>
  <si>
    <t xml:space="preserve">33 mln ko`chat </t>
  </si>
  <si>
    <t>ORTIQOVA SHOXNOZA RAXIMBERDIYEVNA</t>
  </si>
  <si>
    <t>ATAJONOVA NAZOKAT SOLOYEVNA</t>
  </si>
  <si>
    <t>MOB0049101231</t>
  </si>
  <si>
    <t>TOHIROVA MUHABBAT EGAMBERDIYEVNA</t>
  </si>
  <si>
    <t xml:space="preserve">22 mln motomlok </t>
  </si>
  <si>
    <t>YO‘LDASHEVA NAFOSAT ULUG‘BEKOVNA</t>
  </si>
  <si>
    <t>16,07,2024</t>
  </si>
  <si>
    <t>OLLABERGANOV ARSLONBEK JUMYOZOVICH</t>
  </si>
  <si>
    <t>YAQUBOVA ZEBO O‘KTAMBOYEVNA</t>
  </si>
  <si>
    <t>XUDAKOV BATIR MAVLANOVICH</t>
  </si>
  <si>
    <t>BOBOYEV RUSTAMBOY JUMABOYEVICH</t>
  </si>
  <si>
    <t>SOBIROV UMARBEK RAVSHANBEK O‘G‘LI</t>
  </si>
  <si>
    <t>ISKANDAROV ANVARBEK BAXTIYOROVICH</t>
  </si>
  <si>
    <t>MATMURATOVA GULNORA QODIROVNA</t>
  </si>
  <si>
    <t>QURBONOV SHOXRUX MURODJON O‘G‘LI</t>
  </si>
  <si>
    <t xml:space="preserve">Ko`nabiralshuv </t>
  </si>
  <si>
    <t>94 113 93 00</t>
  </si>
  <si>
    <t xml:space="preserve">99 071 58 61 </t>
  </si>
  <si>
    <t xml:space="preserve">77 049 06 44 </t>
  </si>
  <si>
    <t>XUDAKOV XURSANDJON SOTUMBAYEVICH</t>
  </si>
  <si>
    <t xml:space="preserve">17 mln matsakil </t>
  </si>
  <si>
    <t>17,07,2024</t>
  </si>
  <si>
    <t xml:space="preserve">93 310 36 33 </t>
  </si>
  <si>
    <t xml:space="preserve">97 602 42 52 </t>
  </si>
  <si>
    <t>RO‘ZIBOYEV ELNUR MIRZABOYEVICH</t>
  </si>
  <si>
    <t>18,07,2024</t>
  </si>
  <si>
    <t xml:space="preserve">99 965 49 89 </t>
  </si>
  <si>
    <t xml:space="preserve">99 569 08 84 </t>
  </si>
  <si>
    <t xml:space="preserve">alp 2700 lik  5 mln naqd berdi </t>
  </si>
  <si>
    <t>ABDULLAYEVA DILRABO QUROMBOYEVNA</t>
  </si>
  <si>
    <t>MOB0049101238</t>
  </si>
  <si>
    <t>BEKTURDIYEVA SHODIYA SHERMAT QIZI</t>
  </si>
  <si>
    <t>JUMANIYAZOV SULTONBOY TOHIROVICH</t>
  </si>
  <si>
    <t>ABDULLAYEV ZAFARBEK SADULLAYEVICH</t>
  </si>
  <si>
    <t xml:space="preserve">99 508 81 45  </t>
  </si>
  <si>
    <t>SAIDOV O‘KTAMBOY YO‘LDOSHEVICH</t>
  </si>
  <si>
    <t>XALLIYEVA GULZODA HASANOVNA</t>
  </si>
  <si>
    <t>XUDASHKUROV RAVSHON BATIROVICH</t>
  </si>
  <si>
    <t>ODAMBOYEVA LAYLO OMONBOYEVNA</t>
  </si>
  <si>
    <t xml:space="preserve">88 092 92 85 </t>
  </si>
  <si>
    <t>IMOMADDINOV ORTIQ ESHCHANOVICH</t>
  </si>
  <si>
    <t>OLLAQULIYEV DILMUROD AZIMBAYEVICH</t>
  </si>
  <si>
    <t>QURBANOVA DILNOZA MADIYOROVNA</t>
  </si>
  <si>
    <t xml:space="preserve">JUMANIYOZOVA RAYHON QADIRBERDIYEVNA </t>
  </si>
  <si>
    <t>RAMATOVA SEVINCHOY IXTIYOR QIZI</t>
  </si>
  <si>
    <t>19,07,2024</t>
  </si>
  <si>
    <t xml:space="preserve">97 511 07 03 </t>
  </si>
  <si>
    <t xml:space="preserve">77 080 67 73 </t>
  </si>
  <si>
    <t>93 758 20 66</t>
  </si>
  <si>
    <t xml:space="preserve">50 754 00 89 </t>
  </si>
  <si>
    <t xml:space="preserve">88 362 01 81 </t>
  </si>
  <si>
    <t xml:space="preserve">93 232 31 61 </t>
  </si>
  <si>
    <t xml:space="preserve">Tank </t>
  </si>
  <si>
    <t>22,07,2024</t>
  </si>
  <si>
    <t xml:space="preserve"> YO‘LDOSHOVA MAVLUDA GULIMBOY QIZI</t>
  </si>
  <si>
    <t>XAYTBAYEV G‘ULOMJON RO‘ZIMBOYEVICH</t>
  </si>
  <si>
    <t>QUROLOV AZIZBEK OTABEK O‘G‘LI</t>
  </si>
  <si>
    <t>RAXIMOV XIMMATBEK ALISHER O‘G‘LI</t>
  </si>
  <si>
    <t xml:space="preserve">1,5 mlndan 22 dona </t>
  </si>
  <si>
    <t>GULIMMATOVA KOMILA RAVSHANBEK QIZI</t>
  </si>
  <si>
    <t>MOB0049101239</t>
  </si>
  <si>
    <t>BURAYEVA ZILOLA URALOVNA</t>
  </si>
  <si>
    <t>BEKIYEVA DILFUZA QADAMOVNA</t>
  </si>
  <si>
    <t>SABIROVA BEKPASHSHA IBADULLAYEVNA</t>
  </si>
  <si>
    <t>QO‘SHNAZAROV BEXZOD HAMDAMBEK O‘G‘LI</t>
  </si>
  <si>
    <t>XAYITOV SARVAR MARKSOVICH</t>
  </si>
  <si>
    <t>JUMANIYAZOVA FERUZA QAZAQOVNA</t>
  </si>
  <si>
    <t>BALTAYEV MANSUR JUMAZAROVICH</t>
  </si>
  <si>
    <t>YUSUPOV ZOHIDJON KURBANBOYEVICH</t>
  </si>
  <si>
    <t xml:space="preserve">88 201 31 69 </t>
  </si>
  <si>
    <t xml:space="preserve">97 221 37 78 </t>
  </si>
  <si>
    <t xml:space="preserve">full </t>
  </si>
  <si>
    <t>23,07,2024</t>
  </si>
  <si>
    <t xml:space="preserve">93 480 08 14 </t>
  </si>
  <si>
    <t>BEKTURDIYEVA SHAXNOZA OTABEK QIZI</t>
  </si>
  <si>
    <t xml:space="preserve">Daston aloqabnak </t>
  </si>
  <si>
    <t>07101417</t>
  </si>
  <si>
    <t>faxr</t>
  </si>
  <si>
    <t>07102070</t>
  </si>
  <si>
    <t>ATAJANOVA SEVARA RUSTAMOVNA</t>
  </si>
  <si>
    <t xml:space="preserve">33 mln non  pechatchi </t>
  </si>
  <si>
    <t>24,07,2024</t>
  </si>
  <si>
    <t xml:space="preserve">Nurullayev Jumaboy </t>
  </si>
  <si>
    <t xml:space="preserve">99 674 71 60 </t>
  </si>
  <si>
    <t xml:space="preserve">ful </t>
  </si>
  <si>
    <t xml:space="preserve">97 607 04 80  Ganja Mayor </t>
  </si>
  <si>
    <t>53 55</t>
  </si>
  <si>
    <t xml:space="preserve">94 235 37 82 </t>
  </si>
  <si>
    <t xml:space="preserve">99 568 85 75 </t>
  </si>
  <si>
    <t xml:space="preserve">Quramboyeva Maftunabonu </t>
  </si>
  <si>
    <t xml:space="preserve">98 880 02 19 </t>
  </si>
  <si>
    <t xml:space="preserve">88 513 21 88 </t>
  </si>
  <si>
    <t>SAIDOVA BARNO AZIMOVNA</t>
  </si>
  <si>
    <t xml:space="preserve">rad qilingan </t>
  </si>
  <si>
    <t xml:space="preserve">Vip Texnika 222   Umrbek </t>
  </si>
  <si>
    <t xml:space="preserve">IT STORY      Iuzaat </t>
  </si>
  <si>
    <t xml:space="preserve">Bog`ot imkon plus   Izzat </t>
  </si>
  <si>
    <t xml:space="preserve">Universal Texno olam Behzod </t>
  </si>
  <si>
    <t xml:space="preserve">SAXOVAT IDEAL TRADE   shirin </t>
  </si>
  <si>
    <t xml:space="preserve">NEW SERVICES TRADE Sabohat </t>
  </si>
  <si>
    <t xml:space="preserve">orif </t>
  </si>
  <si>
    <t>ALLABERGENOVA FERUZA RAXMANOVNA</t>
  </si>
  <si>
    <t xml:space="preserve">90 726 17 89 </t>
  </si>
  <si>
    <t xml:space="preserve">97 092 12 28 </t>
  </si>
  <si>
    <t xml:space="preserve">Uragan 2000 lik  32 mln </t>
  </si>
  <si>
    <t xml:space="preserve">95 580 19 83 </t>
  </si>
  <si>
    <t>SADULLAYEV UMIRBEK QUTLIMURATOVICH</t>
  </si>
  <si>
    <t>29,07,2024</t>
  </si>
  <si>
    <t xml:space="preserve">blok </t>
  </si>
  <si>
    <t>RAJABOV YOQUBBOY JUMANAZAR O‘G‘LI</t>
  </si>
  <si>
    <t>arizasi ham ketmagan 29,07,2024</t>
  </si>
  <si>
    <t xml:space="preserve">krediti bor Mikradan </t>
  </si>
  <si>
    <t>SHUKUROVA ZEBINISO ZOIR QIZI</t>
  </si>
  <si>
    <t xml:space="preserve">29,07,2024 rasm qo`shildi </t>
  </si>
  <si>
    <t>MAVLANOV SARVARBEK RAXIMBOYEVICH</t>
  </si>
  <si>
    <t xml:space="preserve">99 156 12 96 </t>
  </si>
  <si>
    <t>ESHCHANOV JAMALADDIN MATCHANOVICH</t>
  </si>
  <si>
    <t xml:space="preserve">Xurram xiva jurasi </t>
  </si>
  <si>
    <t>blok</t>
  </si>
  <si>
    <t>MOB0049101254</t>
  </si>
  <si>
    <t>MOB0049101255</t>
  </si>
  <si>
    <t xml:space="preserve">behzod </t>
  </si>
  <si>
    <t xml:space="preserve">kluchini topish kerak </t>
  </si>
  <si>
    <t>MOB0049101256</t>
  </si>
  <si>
    <t>MOB0049101257</t>
  </si>
  <si>
    <t>YULDASHEV MURODBEK SULTONBOYEVICH</t>
  </si>
  <si>
    <t xml:space="preserve">99 969 52 20 </t>
  </si>
  <si>
    <t xml:space="preserve">99 163 85 15 </t>
  </si>
  <si>
    <t xml:space="preserve">Ismoliov Diyorbek </t>
  </si>
  <si>
    <t xml:space="preserve">77 354 70 73 </t>
  </si>
  <si>
    <t xml:space="preserve">tank 100 dollar berdi </t>
  </si>
  <si>
    <t>RO‘ZMETOV NAVRO‘ZBEK JUMANAZAROVICH</t>
  </si>
  <si>
    <t>QALANDAROVA GULG‘UNCHA IBADULLAYEVNA</t>
  </si>
  <si>
    <t>SAPAYEV TURSUNBOY QOSIMOVICH</t>
  </si>
  <si>
    <t xml:space="preserve">ariza yubarish kerak </t>
  </si>
  <si>
    <t>31,07,2024</t>
  </si>
  <si>
    <t xml:space="preserve">97 601 01 63 </t>
  </si>
  <si>
    <t xml:space="preserve">97 202 30 65 </t>
  </si>
  <si>
    <t>MIRZAMUROTOV DONIYOR BAXTIYOROVICH</t>
  </si>
  <si>
    <t>01,08,2024</t>
  </si>
  <si>
    <t xml:space="preserve">99 558 08 68 </t>
  </si>
  <si>
    <t>JUMANIYOZOVA RAYXON NURULLAYEVNA</t>
  </si>
  <si>
    <t>MATYOQUBOV PO‘LAT NURULLAYEVICH</t>
  </si>
  <si>
    <t>YAKUBBAYEV NE’MAT RAMATULLAYEVICH</t>
  </si>
  <si>
    <t>MASHARIPOV SULTONBEK ERKINOVICH</t>
  </si>
  <si>
    <t>MATCHANOVA SHOXIDA IGOR QIZI</t>
  </si>
  <si>
    <t xml:space="preserve">Jasur Kredit Shartnoma </t>
  </si>
  <si>
    <t xml:space="preserve">93 485 04 74 </t>
  </si>
  <si>
    <t xml:space="preserve">94 053 29 28 </t>
  </si>
  <si>
    <t xml:space="preserve">99 708 17 73 </t>
  </si>
  <si>
    <t xml:space="preserve">Alp 2200 lik 33 mln  qo`sha balon </t>
  </si>
  <si>
    <t>USMANOVA NASIBA TURSUNBOYEVNA</t>
  </si>
  <si>
    <t xml:space="preserve">Urazmat  Mang`it </t>
  </si>
  <si>
    <t xml:space="preserve">88 456 26 71 </t>
  </si>
  <si>
    <t xml:space="preserve">1500 lik tank </t>
  </si>
  <si>
    <t xml:space="preserve">97 201 13 73 </t>
  </si>
  <si>
    <t>XOJANIYOZOV RAVSHANBEK JUMABAYEVICH</t>
  </si>
  <si>
    <t xml:space="preserve">33 mln matsakil babaddinov </t>
  </si>
  <si>
    <t>DURDIYEVA NODIRA EGAMBERDIYEVNA</t>
  </si>
  <si>
    <t xml:space="preserve">97 512 89 97 </t>
  </si>
  <si>
    <t xml:space="preserve">93 475 85 89 </t>
  </si>
  <si>
    <t xml:space="preserve">1400 full </t>
  </si>
  <si>
    <t>05,08,2024</t>
  </si>
  <si>
    <t xml:space="preserve">99 354 15 75 </t>
  </si>
  <si>
    <t>90 648 89 86</t>
  </si>
  <si>
    <t xml:space="preserve">77 255 84 64 </t>
  </si>
  <si>
    <t xml:space="preserve">Uragan 2000 lik  30 mln </t>
  </si>
  <si>
    <t xml:space="preserve">77 024 17 89 </t>
  </si>
  <si>
    <t xml:space="preserve">91 424 66 03 </t>
  </si>
  <si>
    <t>1500 ko`na 4 bo`lt</t>
  </si>
  <si>
    <t xml:space="preserve">97 528 93 91 </t>
  </si>
  <si>
    <t xml:space="preserve">Allaberganov Odamboy </t>
  </si>
  <si>
    <t xml:space="preserve">94 212 40 45 </t>
  </si>
  <si>
    <t xml:space="preserve">Uragan 2000 lik 16,5 mln </t>
  </si>
  <si>
    <t xml:space="preserve">93 363 88 92 </t>
  </si>
  <si>
    <t>KARIMOV MAXMUDJON OLLABERGAN O‘G‘LI</t>
  </si>
  <si>
    <t>ATAJANOVA BARNO OTAMURATOVNA</t>
  </si>
  <si>
    <t xml:space="preserve">19 mln matsakilo </t>
  </si>
  <si>
    <t>07,08,2024</t>
  </si>
  <si>
    <t xml:space="preserve">Kristal Market Trade mchj </t>
  </si>
  <si>
    <t>"SMART IDEAL TEX</t>
  </si>
  <si>
    <t xml:space="preserve">Furqat firmasi bilan otkaz qilish kerak </t>
  </si>
  <si>
    <t xml:space="preserve">95 910 97 01 </t>
  </si>
  <si>
    <t xml:space="preserve">Alp 1900 lik alp 30 mln </t>
  </si>
  <si>
    <t>QURBONOV RASHID ALLABERGANOVICH</t>
  </si>
  <si>
    <t>QALANDAROV OYBEK SABIROVICH</t>
  </si>
  <si>
    <t>NURMETOV HAMZA OCHILBEKOVICH</t>
  </si>
  <si>
    <t>ABDULLAYEVA NIGORA IBODULLAYEVNA</t>
  </si>
  <si>
    <t>EGAMOVA SAYYORA AMINOVNA</t>
  </si>
  <si>
    <t>ESHBOYEV IKRAM BOLTAYEVICH</t>
  </si>
  <si>
    <t>O‘KTAMOV ASADBEK XASANBOY O‘G‘LI</t>
  </si>
  <si>
    <t>RO‘ZMETOVA NAZIRA RAZZAKOVNA</t>
  </si>
  <si>
    <t>QURYOZOV QAHRAMON YO‘LDOSHOVICH</t>
  </si>
  <si>
    <t>RO‘ZMETOV YAQUBBOY KONGRADOVICH</t>
  </si>
  <si>
    <t>QALANDAROVA MOHIRA TOJIBOYEVNA</t>
  </si>
  <si>
    <t>MADAMINOVA SOHIBA ATABEK QIZI</t>
  </si>
  <si>
    <t>RAXIMOV ASADBEK BEKPO‘LATOVICH</t>
  </si>
  <si>
    <t>IBADULLAYEV BAHODIR BAXTIYOR O‘G‘LI</t>
  </si>
  <si>
    <t>LATIPOVA DILFUZA XOLMURATOVNA</t>
  </si>
  <si>
    <t xml:space="preserve">88 091 99 77 </t>
  </si>
  <si>
    <t xml:space="preserve">1350 lik </t>
  </si>
  <si>
    <t xml:space="preserve">ABDULLAYEV SHONAZAR MATVOFOYEVICH </t>
  </si>
  <si>
    <t>SOBIROVA ROXAT ATANAZAROVNA</t>
  </si>
  <si>
    <t>09,08,2024</t>
  </si>
  <si>
    <t xml:space="preserve">Sadullayeva Sanobar </t>
  </si>
  <si>
    <t xml:space="preserve">97 090 06 14 </t>
  </si>
  <si>
    <t xml:space="preserve">99 525 22 53 </t>
  </si>
  <si>
    <t>38,5-5,5 alp samasval  qo</t>
  </si>
  <si>
    <t xml:space="preserve">`sha balon </t>
  </si>
  <si>
    <t xml:space="preserve">50 579 87 11 </t>
  </si>
  <si>
    <t xml:space="preserve">1400 lik full </t>
  </si>
  <si>
    <t xml:space="preserve">94 823 61 31 </t>
  </si>
  <si>
    <t>QURBANOV RUSTAM HAJIBOYEVICH</t>
  </si>
  <si>
    <t>YULDOSHOV HUSINBOY ISMOIL O‘G‘LI</t>
  </si>
  <si>
    <t>13,08,2024</t>
  </si>
  <si>
    <t xml:space="preserve">99 941 62 69 </t>
  </si>
  <si>
    <t xml:space="preserve">otkaz </t>
  </si>
  <si>
    <t xml:space="preserve"> KURBANDURDIYEVA NARGIZA RAXIMBAYEVNA</t>
  </si>
  <si>
    <t>14,08,2024</t>
  </si>
  <si>
    <t xml:space="preserve">97 517 30 84 </t>
  </si>
  <si>
    <t xml:space="preserve">Zafar og`a Elyorni Tanishi </t>
  </si>
  <si>
    <t>BOGOT TEXNOMARKET 111</t>
  </si>
  <si>
    <t>"NEW PRODUKT HAUS</t>
  </si>
  <si>
    <t xml:space="preserve">99 212 73 78 Iqush og`a Beruniy  88 603 73 78   99 212 73 78 whatsapdan urish kerak </t>
  </si>
  <si>
    <t xml:space="preserve">99 529 44 45 </t>
  </si>
  <si>
    <t>Band qilgan</t>
  </si>
  <si>
    <t xml:space="preserve">99 529 68 48 </t>
  </si>
  <si>
    <t xml:space="preserve">O`rozova Malohat </t>
  </si>
  <si>
    <t xml:space="preserve">97 526 30 47 </t>
  </si>
  <si>
    <t xml:space="preserve">1400 lik  full </t>
  </si>
  <si>
    <t xml:space="preserve">Yo`ldoshev Toxir </t>
  </si>
  <si>
    <t xml:space="preserve">97 608 09 52 </t>
  </si>
  <si>
    <t xml:space="preserve">Ibragimov Asadbek </t>
  </si>
  <si>
    <t xml:space="preserve">97 600 06 82 </t>
  </si>
  <si>
    <t xml:space="preserve">2000 lik Alp 31 mln </t>
  </si>
  <si>
    <t xml:space="preserve">k Tozaboy </t>
  </si>
  <si>
    <t>19,08,2024</t>
  </si>
  <si>
    <t xml:space="preserve">99 301 40 95 </t>
  </si>
  <si>
    <t xml:space="preserve">2000 lik alp 30 mln </t>
  </si>
  <si>
    <t>RAXIMOVA DILFUZA KARIMOV</t>
  </si>
  <si>
    <t xml:space="preserve">32 mln mebel </t>
  </si>
  <si>
    <t xml:space="preserve">77 050 15 91 </t>
  </si>
  <si>
    <t xml:space="preserve">izzay </t>
  </si>
  <si>
    <t xml:space="preserve">  88311271   87129891</t>
  </si>
  <si>
    <t>21,08,2024</t>
  </si>
  <si>
    <t xml:space="preserve">topish kerak </t>
  </si>
  <si>
    <t>k  6254</t>
  </si>
  <si>
    <t xml:space="preserve">15 dekabrda 24 mln beradi </t>
  </si>
  <si>
    <t>MADRIMOV TOXIR ERGASH O‘G‘</t>
  </si>
  <si>
    <t>IBRAGIMOVA SHAXIDA PO‘LATOVNA</t>
  </si>
  <si>
    <t xml:space="preserve">99 961 44 58 </t>
  </si>
  <si>
    <t xml:space="preserve">1500 lik ko`na </t>
  </si>
  <si>
    <t xml:space="preserve">99 557 47 42 </t>
  </si>
  <si>
    <t xml:space="preserve">99 338 37 93 </t>
  </si>
  <si>
    <t>2000 lik uragan 31 mln</t>
  </si>
  <si>
    <t>22,08,2024</t>
  </si>
  <si>
    <t xml:space="preserve">Topish herak </t>
  </si>
  <si>
    <t xml:space="preserve">Topish kerak </t>
  </si>
  <si>
    <t>QURVONDURDIYEVA NARGIZA MATYAQUBOVNA</t>
  </si>
  <si>
    <t xml:space="preserve">IBODULLAYEV SOPORBOY GANJAYEVICH </t>
  </si>
  <si>
    <t>SAMANDAROV TO‘LQIN NURULLAYEVICH</t>
  </si>
  <si>
    <t xml:space="preserve">Jahongir boshqa odam topadi </t>
  </si>
  <si>
    <t xml:space="preserve"> 97 208 01 79   88 528 01 79 </t>
  </si>
  <si>
    <t xml:space="preserve">qaytaradi Tank </t>
  </si>
  <si>
    <t xml:space="preserve">30 avgustga 10 mln 15 sentabrga ratcho`t </t>
  </si>
  <si>
    <t>Topish kerak</t>
  </si>
  <si>
    <t>BOBOJONOV DILMUROD ANVAR O‘G‘LI</t>
  </si>
  <si>
    <t>DAVLETOVA NAZOKAT AZIMOVNA</t>
  </si>
  <si>
    <t>ESHIMBATOVA YULDUZ ANVAR QIZI</t>
  </si>
  <si>
    <t>AKNAZAROV PO‘LAT IBODULLAYEVICH</t>
  </si>
  <si>
    <t>RAXIMBOYEVA XURSHIDA MAQSUDOVNA</t>
  </si>
  <si>
    <t xml:space="preserve">0,4 soliq qarzi </t>
  </si>
  <si>
    <t xml:space="preserve">94 769 70 67 </t>
  </si>
  <si>
    <t xml:space="preserve">99 960 84 26 </t>
  </si>
  <si>
    <t xml:space="preserve">Alp Samasval 36 mln </t>
  </si>
  <si>
    <t xml:space="preserve">99 230 16 73 </t>
  </si>
  <si>
    <t xml:space="preserve">99 266 51 88 </t>
  </si>
  <si>
    <t xml:space="preserve">2200 lik 35 mln alp </t>
  </si>
  <si>
    <t xml:space="preserve">19 mln beradi sentyabrda </t>
  </si>
  <si>
    <t>QILICHOV SIROJBEK MUROD O‘G‘LI</t>
  </si>
  <si>
    <t>QODIROVA ADOLAT SADULLAYEVNA</t>
  </si>
  <si>
    <t>SAPAROVA SADOQAT XASANBOY QIZI</t>
  </si>
  <si>
    <t>NAZAROV ANVARBEK RUSTAM O‘G‘LI</t>
  </si>
  <si>
    <t>RAXMONOV JAMSHID NE’MATJONOVICH</t>
  </si>
  <si>
    <t>BEKCHANOVA ROZIYAJON O‘KTAMBOYEVNA</t>
  </si>
  <si>
    <t>XO‘JANIYOZOVA OLTIN SHOMUROTOVNA</t>
  </si>
  <si>
    <t xml:space="preserve">97 792 60 07 </t>
  </si>
  <si>
    <t>23,08,2024</t>
  </si>
  <si>
    <t xml:space="preserve">94 239 04 88 </t>
  </si>
  <si>
    <t>2000 lik uragan 30 mln</t>
  </si>
  <si>
    <t xml:space="preserve">95 052 82 20 </t>
  </si>
  <si>
    <t xml:space="preserve">2000 lik Uragan 31,5 </t>
  </si>
  <si>
    <t xml:space="preserve">88 858 13 68 </t>
  </si>
  <si>
    <t xml:space="preserve">88 299 95 92 </t>
  </si>
  <si>
    <t xml:space="preserve">31 mln 2200 lik alp </t>
  </si>
  <si>
    <t>QUTLIMURATOV RAXIMBOY KUCHKOROVICH</t>
  </si>
  <si>
    <t xml:space="preserve">0,2 mln soliq qarz </t>
  </si>
  <si>
    <t xml:space="preserve">95 989 01 88 </t>
  </si>
  <si>
    <t xml:space="preserve">1400 full + 1 dona valli </t>
  </si>
  <si>
    <t xml:space="preserve">Alp qo`sha balon 33 mln </t>
  </si>
  <si>
    <t>26,08,2024</t>
  </si>
  <si>
    <t xml:space="preserve">RAJABOVA LOBARXON KARIMOVNA      </t>
  </si>
  <si>
    <t>AXMEDOV ASADBEK MIRZA O‘G‘LI</t>
  </si>
  <si>
    <t>YUSUPOV AMIRXON NURBEK O‘G‘L</t>
  </si>
  <si>
    <t>k  5966</t>
  </si>
  <si>
    <t>MATMURATOVA MUXTABAR KAZAKBAYEVNA</t>
  </si>
  <si>
    <t>BADULLAYEVA GULASAL SAPARBA</t>
  </si>
  <si>
    <t>OTAMBOYEV ZAFARBEK BAKDURDI O‘G‘LI</t>
  </si>
  <si>
    <t xml:space="preserve">97 512 34 42 </t>
  </si>
  <si>
    <t xml:space="preserve">93 449 52 06 </t>
  </si>
  <si>
    <t xml:space="preserve">94 315 53 12 </t>
  </si>
  <si>
    <t xml:space="preserve">Uragan 2000 lik 29,5 mln </t>
  </si>
  <si>
    <t xml:space="preserve">77 120 22 72 </t>
  </si>
  <si>
    <t xml:space="preserve">Uragan 2000 lik  va 280 lik skuter  </t>
  </si>
  <si>
    <t xml:space="preserve"> ATANIYAZOVA FOTIMA BEKTURDIYEVNA</t>
  </si>
  <si>
    <t>27,08,2024</t>
  </si>
  <si>
    <t>MATKARIMOVA XATICHA QURBONBOYEVNA</t>
  </si>
  <si>
    <t xml:space="preserve">Asqar og`a </t>
  </si>
  <si>
    <t xml:space="preserve">33 mln marsakil </t>
  </si>
  <si>
    <t xml:space="preserve">baliq 100 mln </t>
  </si>
  <si>
    <t xml:space="preserve">MATNAZAROVA HILOLA BOBOXON QIZI </t>
  </si>
  <si>
    <t>BAZARBAYEVA DINORA ALIBEK QIZI</t>
  </si>
  <si>
    <t>DJUMAYEVA SHOISTA XALIMOVNA</t>
  </si>
  <si>
    <t xml:space="preserve">28 mln matsakil </t>
  </si>
  <si>
    <t xml:space="preserve">ISMOILOVA SAYYORA JONGIROVNA </t>
  </si>
  <si>
    <t>7,2 mln Tikish mashin</t>
  </si>
  <si>
    <t xml:space="preserve">93 745 58 68 </t>
  </si>
  <si>
    <t>aa</t>
  </si>
  <si>
    <t xml:space="preserve">MANGLIBAYEV FAHRIDDIN UMRBEK O‘G‘LI </t>
  </si>
  <si>
    <t>KARIMOVA GO‘ZAL YULDASHEVNA</t>
  </si>
  <si>
    <t>BEKNAZAROVA GULSHODA BAXTIYAR QIZI</t>
  </si>
  <si>
    <t>RAJABOVA NILUFAR SOTIMBOYEVNA</t>
  </si>
  <si>
    <t>28,08,2024</t>
  </si>
  <si>
    <t>RO‘ZIMOV BAXTIYOR QUDRATOVICH</t>
  </si>
  <si>
    <t xml:space="preserve">33 mln fasadniy plitka </t>
  </si>
  <si>
    <t xml:space="preserve"> RO‘ZMETOVA ZARIFA KARIMOVNA</t>
  </si>
  <si>
    <t>TILLAYEVA OYSHA QADAMBOYEVNA</t>
  </si>
  <si>
    <t xml:space="preserve">29,8 mln Suxi Pechka </t>
  </si>
  <si>
    <t>ANNAMURATOV AZIZBEK XAJIBOY O‘G‘LI</t>
  </si>
  <si>
    <t xml:space="preserve">32 mln matxsakil Akrom og`a </t>
  </si>
  <si>
    <t>BOBOJONOVA SHUKURJON IBODULLA QIZI</t>
  </si>
  <si>
    <t>HERMENS TECHNOLOGY MCHJ</t>
  </si>
  <si>
    <t>YUNUSOV RAMATJON AXMEDOVICH</t>
  </si>
  <si>
    <t xml:space="preserve">20 mln chuvalchang </t>
  </si>
  <si>
    <t>Paxtaobod</t>
  </si>
  <si>
    <t xml:space="preserve">93 908 90 20 </t>
  </si>
  <si>
    <t xml:space="preserve">2150 lik 33 mln </t>
  </si>
  <si>
    <t xml:space="preserve">99 034 57 51 </t>
  </si>
  <si>
    <t xml:space="preserve">94 116 92 95 </t>
  </si>
  <si>
    <t>29,08,2024</t>
  </si>
  <si>
    <t xml:space="preserve">BABADJANOVA RAXIMAXON FARXAD QIZI </t>
  </si>
  <si>
    <t>SAFAROVA BARNO ALIMOVNA</t>
  </si>
  <si>
    <t>RAXIMOV QADAMBAY RAJABOVICH</t>
  </si>
  <si>
    <t>MAVLONOV FARXOD EGAMBERDIYEVICH</t>
  </si>
  <si>
    <t xml:space="preserve">moto olgan </t>
  </si>
  <si>
    <t>TURSUNOVA MUKADDAS ISKANDAROVNA</t>
  </si>
  <si>
    <t>BALTAYEV TAXIR MASHARIPOVICH</t>
  </si>
  <si>
    <t xml:space="preserve">33 mln Matdsakil Behzod og`a xazarsp </t>
  </si>
  <si>
    <t>SOTIMBOYEVA YULDUZXON OZIMBOY QIZI</t>
  </si>
  <si>
    <t>MATYAQUBOVA SALOMAT RUSTAMBAYEVNA</t>
  </si>
  <si>
    <t xml:space="preserve">29 mln bog`iston </t>
  </si>
  <si>
    <t>NURULLAYEVA GULCHIROY AZIMBOY QIZI</t>
  </si>
  <si>
    <t>SADINOV ZAFAR DUSMURATOVICH</t>
  </si>
  <si>
    <t xml:space="preserve">25 mln matsakil Ko`kdala </t>
  </si>
  <si>
    <t>SAPAYEV KAMULJON ROXIMBOYEVICH</t>
  </si>
  <si>
    <t xml:space="preserve">Karimova Go`zal </t>
  </si>
  <si>
    <t xml:space="preserve">95 171 15 45 </t>
  </si>
  <si>
    <t xml:space="preserve">1400 lik ko`na </t>
  </si>
  <si>
    <t xml:space="preserve">93 749 15 73 </t>
  </si>
  <si>
    <t>MANGLIBAYEV NARIMON SAMANDAROVICH</t>
  </si>
  <si>
    <t>31,08,08,2024</t>
  </si>
  <si>
    <t>31,08,2024</t>
  </si>
  <si>
    <t xml:space="preserve">Naqd </t>
  </si>
  <si>
    <t xml:space="preserve">Nayman 88 607 33 66   Elyor Xokim yordamchi </t>
  </si>
  <si>
    <t>01,09,2024</t>
  </si>
  <si>
    <t xml:space="preserve">Safarboyeva Moxiniso </t>
  </si>
  <si>
    <t xml:space="preserve">93 872 49 07 </t>
  </si>
  <si>
    <t xml:space="preserve">2000 lik Uragan  30 mln </t>
  </si>
  <si>
    <t xml:space="preserve">Alimov Komil </t>
  </si>
  <si>
    <t xml:space="preserve">94 489 54 55 </t>
  </si>
  <si>
    <t xml:space="preserve">1550 lik </t>
  </si>
  <si>
    <t xml:space="preserve">93 343 96 85 </t>
  </si>
  <si>
    <t xml:space="preserve">Sharipov Rahmonberdi </t>
  </si>
  <si>
    <t xml:space="preserve">93 236 40 82 </t>
  </si>
  <si>
    <t xml:space="preserve">Vorisov Mirzoxid </t>
  </si>
  <si>
    <t xml:space="preserve">Abdiyev Abbos </t>
  </si>
  <si>
    <t xml:space="preserve">Xasanov Orif </t>
  </si>
  <si>
    <t xml:space="preserve">Xaydarov Sharif </t>
  </si>
  <si>
    <t xml:space="preserve">Bekkulov Shokir </t>
  </si>
  <si>
    <t xml:space="preserve">Samarqand Bo`lib to`lay </t>
  </si>
  <si>
    <t xml:space="preserve">Abdurahmonov Ixtiyor </t>
  </si>
  <si>
    <t xml:space="preserve">Yilgashev Bozorboy </t>
  </si>
  <si>
    <t xml:space="preserve">Kataev Xakim </t>
  </si>
  <si>
    <t xml:space="preserve">Qadirov Berdiqul </t>
  </si>
  <si>
    <t xml:space="preserve">Yusupov Sherali </t>
  </si>
  <si>
    <t xml:space="preserve">Arziyeva Surayyo </t>
  </si>
  <si>
    <t xml:space="preserve">Murodov Suxrob </t>
  </si>
  <si>
    <t xml:space="preserve">99 158 85 89 </t>
  </si>
  <si>
    <t xml:space="preserve">900 lik uch digilchakli skuter </t>
  </si>
  <si>
    <t xml:space="preserve">Kamolov Ravshan </t>
  </si>
  <si>
    <t>Beh</t>
  </si>
  <si>
    <t xml:space="preserve">Sabohat </t>
  </si>
  <si>
    <t xml:space="preserve">k  </t>
  </si>
  <si>
    <t>MAMATOV SHUXRAT IBRAGIMOVICH</t>
  </si>
  <si>
    <t xml:space="preserve">93 238 28 85  99 509 03 95 </t>
  </si>
  <si>
    <t xml:space="preserve">BUYUK TURON KOMPLEKS MCHJ </t>
  </si>
  <si>
    <t xml:space="preserve">
311 589 416</t>
  </si>
  <si>
    <t xml:space="preserve">93 281 27 31 </t>
  </si>
  <si>
    <t xml:space="preserve">99 419 88 81 </t>
  </si>
  <si>
    <t>1550 lik ko`Na</t>
  </si>
  <si>
    <t>77 355 76 87</t>
  </si>
  <si>
    <t xml:space="preserve">93 127 73 96 </t>
  </si>
  <si>
    <t>33 512 87 90</t>
  </si>
  <si>
    <t>SS LOGO BIZNESS 777 MCHJ</t>
  </si>
  <si>
    <t>BOGOT SMART IDEAL TRADE</t>
  </si>
  <si>
    <t>Umr</t>
  </si>
  <si>
    <t>070978440</t>
  </si>
  <si>
    <t>071006700</t>
  </si>
  <si>
    <t>SHERBOYEV DAVLATBEK SOBIROVICH</t>
  </si>
  <si>
    <t>JUMANAZAROVA OYSANAM DAVRONBEK QIZI</t>
  </si>
  <si>
    <t>HAYITOVA GULDONA YULDASHEVNA</t>
  </si>
  <si>
    <t>05,09,2024</t>
  </si>
  <si>
    <t xml:space="preserve">88 608 50 08 </t>
  </si>
  <si>
    <t xml:space="preserve">1550 lik Uragan 25 mln </t>
  </si>
  <si>
    <t xml:space="preserve">94 108 97 10 </t>
  </si>
  <si>
    <t>RAYIMBOYEV RAHIMBOY FARHOD O‘G‘LI</t>
  </si>
  <si>
    <t xml:space="preserve">Matsakil Asqar </t>
  </si>
  <si>
    <t xml:space="preserve">Temir uskuna yashin xonqa </t>
  </si>
  <si>
    <t>06,09,2024</t>
  </si>
  <si>
    <t>08,09,2024</t>
  </si>
  <si>
    <t>O‘RINOV NE’MATJON SHAVKATOVICH</t>
  </si>
  <si>
    <t>MATYOQUBOV HUSANBOY ZARIFBOY O‘G‘LI</t>
  </si>
  <si>
    <t>QURYOZOV SHAYXNAZAR G‘AFUROVICH</t>
  </si>
  <si>
    <t xml:space="preserve">Namuna brat 94 238 31 86 </t>
  </si>
  <si>
    <t xml:space="preserve">33 906 06 01 </t>
  </si>
  <si>
    <t>93 137 21 54</t>
  </si>
  <si>
    <t xml:space="preserve">1220 lik Armada </t>
  </si>
  <si>
    <t xml:space="preserve">QALANDAROV XUDAYNAZAR JUMABOYEVICH </t>
  </si>
  <si>
    <t>09,09,2024</t>
  </si>
  <si>
    <t xml:space="preserve">09,09,2024 kuch olib keladi </t>
  </si>
  <si>
    <t>BOBOJANOVA FAZILAT MADYOR QIZI</t>
  </si>
  <si>
    <t>RO‘ZMETOV G‘AYRAT ATABOYEVICH</t>
  </si>
  <si>
    <t>ABDULLAYEVA YULDUZXON EGAMBERDIYEVNA</t>
  </si>
  <si>
    <t xml:space="preserve">Tel qilib tezlashtirish kerka </t>
  </si>
  <si>
    <t>DO‘SOVA TAMARA FARXODOVNA</t>
  </si>
  <si>
    <t>LATIPOVA SAFARGUL YUSUPOVNA</t>
  </si>
  <si>
    <t>JUMANIYAZOV ALLANAZAR RAJABOVICH</t>
  </si>
  <si>
    <t>RAXIMOV ASKARBEK ATAXANOVICH</t>
  </si>
  <si>
    <t xml:space="preserve">08,09,2024  Rasm qo`shilmagan </t>
  </si>
  <si>
    <t xml:space="preserve">08,09,2024 tayyor </t>
  </si>
  <si>
    <t xml:space="preserve">08,09,2024 Rasm qo`shilmagan </t>
  </si>
  <si>
    <t xml:space="preserve">08,09,2024 rasm yo`q </t>
  </si>
  <si>
    <t xml:space="preserve">08,09,2024 rasm qo`shilmagan </t>
  </si>
  <si>
    <t>FAYZULLAYEV BAHROM G‘AFURJON O‘G‘LI</t>
  </si>
  <si>
    <t>NURADDINOV HURZOD DAVRONBEK O‘G‘LI</t>
  </si>
  <si>
    <t>RAXIMBERDIYEV SARVARBEK MUHIDDIN O‘G‘LI</t>
  </si>
  <si>
    <t xml:space="preserve"> 88  326 28 78    88 143 24 34  </t>
  </si>
  <si>
    <t xml:space="preserve">09,09,2024 keladi </t>
  </si>
  <si>
    <t>MADAMINOV ABBOS RAVSHAN O‘G‘LI</t>
  </si>
  <si>
    <t>MATNIYOZOVA RA’NO AMINBOYEVNA</t>
  </si>
  <si>
    <t>BOBOJANOV DASTONBEK ATABEK O‘G‘LI</t>
  </si>
  <si>
    <t>SETMETOVA KAROMAT ALLABERGANOVNA</t>
  </si>
  <si>
    <t xml:space="preserve">94 012 69 55 </t>
  </si>
  <si>
    <t xml:space="preserve">94 078 21 88 </t>
  </si>
  <si>
    <t xml:space="preserve">99 285 26 93 </t>
  </si>
  <si>
    <t xml:space="preserve">1550 lik kabina 1 dona Akmulyator </t>
  </si>
  <si>
    <t xml:space="preserve">53 55 </t>
  </si>
  <si>
    <t xml:space="preserve">1400 lik Armada </t>
  </si>
  <si>
    <t>VIP TECHNO OLAM MCHJ</t>
  </si>
  <si>
    <t xml:space="preserve">K sabohat  2660 </t>
  </si>
  <si>
    <t>AVEZOVA SANOBAR KOMILOVNA</t>
  </si>
  <si>
    <t>KAMILJANOVA KAMUNA QUVONDIK QIZI</t>
  </si>
  <si>
    <t xml:space="preserve">Bektosh </t>
  </si>
  <si>
    <t>10,09,2024</t>
  </si>
  <si>
    <t xml:space="preserve">88 792 11 50 </t>
  </si>
  <si>
    <t xml:space="preserve">99 520 04 44  Ortiq Mib </t>
  </si>
  <si>
    <t>ABDURAXMANOV RUZIMBOY SOBUROVICH</t>
  </si>
  <si>
    <t>OLLAMBERDIYEV MARDON ZARIPBOYEVICH</t>
  </si>
  <si>
    <t>MATNIYOZOV KENJABAY XASANOVICH</t>
  </si>
  <si>
    <t>MADAMINOVA BOXTIGUL ABDIRAMANOVNA</t>
  </si>
  <si>
    <t xml:space="preserve">10,09,2024 Ariza yubarish kera </t>
  </si>
  <si>
    <t>G‘ANISHEROV DIYORBEK G‘ANISHER O‘G‘LI</t>
  </si>
  <si>
    <t>11,09,2024</t>
  </si>
  <si>
    <t xml:space="preserve">99 123 09 46  99 652 99 89  99 426 53 95 </t>
  </si>
  <si>
    <t>QURANBAYEV SHOXZODBEK UMIRBEKOVICH</t>
  </si>
  <si>
    <t xml:space="preserve">20 Oq Oltin </t>
  </si>
  <si>
    <t xml:space="preserve">77 317 20 99 </t>
  </si>
  <si>
    <t>ATAYEVA MUHABBAT BEKTURDIYEVNA</t>
  </si>
  <si>
    <t xml:space="preserve">88 458 88 10 </t>
  </si>
  <si>
    <t>RAXIMOVA KUMUSH XASAN QIZI</t>
  </si>
  <si>
    <t xml:space="preserve">Arizasini yuborish kerak </t>
  </si>
  <si>
    <t>RAJABOV ARSLON BEKTURDIYEVICH</t>
  </si>
  <si>
    <t xml:space="preserve">Xonqa Shirin MFY </t>
  </si>
  <si>
    <t xml:space="preserve">Yaxshimurotova Dilobar </t>
  </si>
  <si>
    <t>MATNIYAZOVA SAYYORA XASANOVNA</t>
  </si>
  <si>
    <t xml:space="preserve">33 mln 2250 mln Uragan </t>
  </si>
  <si>
    <t xml:space="preserve">rasmi bor </t>
  </si>
  <si>
    <t xml:space="preserve">rasmi bor  </t>
  </si>
  <si>
    <t>TURABOV XUSAN HIKMATILLA O‘G‘LI</t>
  </si>
  <si>
    <t xml:space="preserve">Obod Sho`ra </t>
  </si>
  <si>
    <t>QURBONBOYEVA SADOQAT SHAVKAT QIZI</t>
  </si>
  <si>
    <t xml:space="preserve">Beruniy Xokim  yordamchi </t>
  </si>
  <si>
    <t>SEYITOVA SHARAFAT GULIMBAYEVNA</t>
  </si>
  <si>
    <t>ALLABERGANOV OYBEK SAIDNAZAROVICH</t>
  </si>
  <si>
    <t>SULTONOV SIROJBEK SADULLAYEVICH</t>
  </si>
  <si>
    <t xml:space="preserve">Nayman 88 732 33 53 </t>
  </si>
  <si>
    <t>MATYAKUBOVA MARXABO RO‘ZMATOVNA</t>
  </si>
  <si>
    <t xml:space="preserve">90 438 30 73 </t>
  </si>
  <si>
    <t>AMINOV BAXROM UMIRBEK O‘G‘LI</t>
  </si>
  <si>
    <t xml:space="preserve">Nayman 94 778 11 68 </t>
  </si>
  <si>
    <t>KARIMOVA MARHABO ERKIN QIZI</t>
  </si>
  <si>
    <t>MATNIYOZOVA SHOXSANAM QADAMBOYEVNA</t>
  </si>
  <si>
    <t>BOLTABOYEV HAMIDJON HASANOVICH</t>
  </si>
  <si>
    <t>O`zgarish 88 600 04 99</t>
  </si>
  <si>
    <t xml:space="preserve">Namuna Sho`ra </t>
  </si>
  <si>
    <t>BUYUK MAQSAD LEADER</t>
  </si>
  <si>
    <t>MOB0049101348</t>
  </si>
  <si>
    <t>OTANAZAROVA GULSHANOY SHOHNAZAR QIZI</t>
  </si>
  <si>
    <t xml:space="preserve">Oqtepa milliy shirinlik </t>
  </si>
  <si>
    <t>13,09,2024</t>
  </si>
  <si>
    <t>SALAYEV SHEXNAZAR RUSTAMOVICH</t>
  </si>
  <si>
    <t xml:space="preserve">Asqar og`a Xazarasp </t>
  </si>
  <si>
    <t>ay</t>
  </si>
  <si>
    <t xml:space="preserve">ay </t>
  </si>
  <si>
    <t>14,09,2004</t>
  </si>
  <si>
    <t xml:space="preserve">97 792 73 83 </t>
  </si>
  <si>
    <t xml:space="preserve">2500 lik  38 mln 4 mln berdi 34 mln qoldi </t>
  </si>
  <si>
    <t xml:space="preserve">       OLIMOVA MUXLISA IVADILLAYEVNA      ABDALNIYAZOVA SHAROFAT BOLTABAYEVNA</t>
  </si>
  <si>
    <t>94 322 02 55     33 123 36 08</t>
  </si>
  <si>
    <t xml:space="preserve">99 959 78 63 </t>
  </si>
  <si>
    <t>SOBIROVA SHOXIDA SODIQJON QIZ</t>
  </si>
  <si>
    <t xml:space="preserve">soxibkor </t>
  </si>
  <si>
    <t>QURYOZOV JONIBEK QADAMBOYEVICH</t>
  </si>
  <si>
    <t>at</t>
  </si>
  <si>
    <t xml:space="preserve">at </t>
  </si>
  <si>
    <t>MADRIMOV MUZAFFAR MUXIDDIN O‘G‘LI</t>
  </si>
  <si>
    <t xml:space="preserve">Berniy 90 090 33 55 </t>
  </si>
  <si>
    <t xml:space="preserve">Balansirovka </t>
  </si>
  <si>
    <t xml:space="preserve">94 772 52 05 </t>
  </si>
  <si>
    <t>SABIROVA DILBARJON MAQSUD QIZI</t>
  </si>
  <si>
    <t>EGAMOVA NIYAZJON SHOMUROTOVNA</t>
  </si>
  <si>
    <t>SOTIMOV AKBAR BAHROMOVICH</t>
  </si>
  <si>
    <t xml:space="preserve">Paxtaobod  33 mln </t>
  </si>
  <si>
    <t>ra</t>
  </si>
  <si>
    <t xml:space="preserve">ra </t>
  </si>
  <si>
    <t>SHONAZAROVA NOZIMA MANSURBEK QIZI</t>
  </si>
  <si>
    <t xml:space="preserve">Beruniy 99 093 76 60 </t>
  </si>
  <si>
    <t>BOBONAZAROVA ZIYODA ERGASH QIZI</t>
  </si>
  <si>
    <t>ABDULLAYEV SIROJBEK SHAVKATOVICH</t>
  </si>
  <si>
    <t>MOB0049101360</t>
  </si>
  <si>
    <t>tt</t>
  </si>
  <si>
    <t>17,09,2024</t>
  </si>
  <si>
    <t>18,09,2024</t>
  </si>
  <si>
    <t>AVEZOVA DILNOZA KARRIBAYEVNA</t>
  </si>
  <si>
    <t>RO‘ZIBOYEV RAXIMBERGAN IXTIYOROVICH</t>
  </si>
  <si>
    <t>HUSAINOV EGAMBERDI SHAMURADOVICH</t>
  </si>
  <si>
    <t>071438360</t>
  </si>
  <si>
    <t>071411580</t>
  </si>
  <si>
    <t>OCHILDIYEV ASADBEK BAXTIYOR O‘G‘LI</t>
  </si>
  <si>
    <t xml:space="preserve">Nayman 97 090 06 62 </t>
  </si>
  <si>
    <t>ABDULLAYEVA ASALXON HAMZA QIZI</t>
  </si>
  <si>
    <t>REYIMBAYEVA MADINA OYBEK QIZI</t>
  </si>
  <si>
    <t xml:space="preserve">33 Tikuvchilik </t>
  </si>
  <si>
    <t>"VIP PRODUKT HAUS" MCHJ</t>
  </si>
  <si>
    <t>MOB0049101372</t>
  </si>
  <si>
    <t>IBROGIMOV SARDORBEK BEKTURDI O‘G‘LI</t>
  </si>
  <si>
    <t xml:space="preserve">31 mln Motoblok  22 va 9 mln Bektosh </t>
  </si>
  <si>
    <t>20,09,2024</t>
  </si>
  <si>
    <t xml:space="preserve">99 016 70 86 </t>
  </si>
  <si>
    <t xml:space="preserve">1200 lik wudi </t>
  </si>
  <si>
    <t>SBS TEXNIKALAR MCHJ</t>
  </si>
  <si>
    <t xml:space="preserve">
311632576</t>
  </si>
  <si>
    <t>21,09,2024</t>
  </si>
  <si>
    <t>RO‘ZIBAYEV ALIJON G‘AYRAT O‘G‘LI</t>
  </si>
  <si>
    <t xml:space="preserve">Rasm yo`q </t>
  </si>
  <si>
    <t>22,09,2024</t>
  </si>
  <si>
    <t xml:space="preserve">Rasm tayyor </t>
  </si>
  <si>
    <t>dd</t>
  </si>
  <si>
    <t>23,09,2024</t>
  </si>
  <si>
    <t>ATAJANOVA NAZOKATXON XO‘JANIYOZOVNA</t>
  </si>
  <si>
    <t>MATJANOVA GULXAN REYIMBAYEVNA</t>
  </si>
  <si>
    <t>0918600</t>
  </si>
  <si>
    <t xml:space="preserve">Turtkul </t>
  </si>
  <si>
    <t>MASHARIPOVA DILOROM MADIYOROVNA</t>
  </si>
  <si>
    <t>24,09,2024</t>
  </si>
  <si>
    <t xml:space="preserve">1200 lik  wudi </t>
  </si>
  <si>
    <t xml:space="preserve">50 301 31 87 </t>
  </si>
  <si>
    <t xml:space="preserve">94 313 33 46 </t>
  </si>
  <si>
    <t>QALANDAROV SARVAR RAMATJON O‘G‘LI</t>
  </si>
  <si>
    <t xml:space="preserve"> 20 mln Yangiariq san texnika Xumoyun </t>
  </si>
  <si>
    <t>QURBANOV USMAN XAJIBAYEVICH</t>
  </si>
  <si>
    <t xml:space="preserve">33 mln baliq </t>
  </si>
  <si>
    <t xml:space="preserve">33 mln baliq  99 735 00 72 </t>
  </si>
  <si>
    <t>XUDAYOROVA BARCHINOY QOSIMBOY QIZI</t>
  </si>
  <si>
    <t>SAIDOV MANSURJON YULDASHEVICH</t>
  </si>
  <si>
    <t xml:space="preserve">Ashxobod  33 mln </t>
  </si>
  <si>
    <t xml:space="preserve">97 050 03 01 </t>
  </si>
  <si>
    <t xml:space="preserve">2000 lik uragan  33 mln </t>
  </si>
  <si>
    <t xml:space="preserve">99 960 78 05 </t>
  </si>
  <si>
    <t>YANGIBOYEVA KAROMAT ODIL QIZI</t>
  </si>
  <si>
    <t xml:space="preserve">31 mln mastik o`rozmat </t>
  </si>
  <si>
    <t>25,09,2024</t>
  </si>
  <si>
    <t>MAMAYEV TO‘LQIN XUSANOVICH</t>
  </si>
  <si>
    <t>SABIROVA GULXUMOR OTABEKOVNA</t>
  </si>
  <si>
    <t>JUMANAZAROV G‘OFUR OTANAZAROVICH</t>
  </si>
  <si>
    <t>ABDULLAYEV JAHONGIR IXTIYOR O‘G‘LI</t>
  </si>
  <si>
    <t xml:space="preserve">19,5 Mln Asqar og`a Pitnak </t>
  </si>
  <si>
    <t>26,09,2024</t>
  </si>
  <si>
    <t>NAZAROV JASUR BAXTIYAROVICH</t>
  </si>
  <si>
    <t xml:space="preserve">33 mln Matsakil </t>
  </si>
  <si>
    <t>SHOMURATOV MUZAFFAR XAYTJANOVICH</t>
  </si>
  <si>
    <t xml:space="preserve">33 mln parranda O`rozmat </t>
  </si>
  <si>
    <t>GIPER TEXNO HAUSE</t>
  </si>
  <si>
    <t>27,09,2024</t>
  </si>
  <si>
    <t xml:space="preserve">Siddiqov Boburjon </t>
  </si>
  <si>
    <t xml:space="preserve">99 410 45 13 </t>
  </si>
  <si>
    <t xml:space="preserve">2000 lik Uragan 33 mln </t>
  </si>
  <si>
    <t>SAPAYEV SANJAR FARXODOVICH</t>
  </si>
  <si>
    <t xml:space="preserve">10 mln moto uchaskavoy </t>
  </si>
  <si>
    <t>qah</t>
  </si>
  <si>
    <t>RAXIMOV FAYZULLA SOTIMOVICH</t>
  </si>
  <si>
    <t xml:space="preserve">2000 lik Alp 32 mln </t>
  </si>
  <si>
    <t xml:space="preserve">Rasm Tayyor </t>
  </si>
  <si>
    <t>XONGALDIYEV IN’OMJON KENJA O‘G‘LI</t>
  </si>
  <si>
    <t>ATANIYOZOV SIROJBEK RO‘ZIBOYEVICH</t>
  </si>
  <si>
    <t>01,10,2024</t>
  </si>
  <si>
    <t xml:space="preserve">99 942 77 67 </t>
  </si>
  <si>
    <t>RAXIMOVA HAYOT KOMILOVNA</t>
  </si>
  <si>
    <t xml:space="preserve">33 mln matsakil Oltinqum </t>
  </si>
  <si>
    <t>ARZUOVA RAYGUL NAJMATDINOVNA</t>
  </si>
  <si>
    <t xml:space="preserve">33 mln matsakil urozmat </t>
  </si>
  <si>
    <t>"LEADER HAUSE" MCHJ</t>
  </si>
  <si>
    <t>ATABAYEV RINAT ZAKIROVICH</t>
  </si>
  <si>
    <t xml:space="preserve">23 mln padyomnik </t>
  </si>
  <si>
    <t>SAMANDAROV OMONBOY ULUG‘BEKOVICH</t>
  </si>
  <si>
    <t xml:space="preserve">qah </t>
  </si>
  <si>
    <t xml:space="preserve">99 591 22 98 </t>
  </si>
  <si>
    <t xml:space="preserve">atkaz </t>
  </si>
  <si>
    <t>04,10,2024</t>
  </si>
  <si>
    <t>KAMOLOVA OYIMJON BOHAVADDINOVNA</t>
  </si>
  <si>
    <t xml:space="preserve">Otkaz qildi  Murodjondan qolganini olish kerak </t>
  </si>
  <si>
    <t>MOB0049101405</t>
  </si>
  <si>
    <t>Rasm Tayyor</t>
  </si>
  <si>
    <t xml:space="preserve">  50 102 57 88   88 201 79 77 </t>
  </si>
  <si>
    <t xml:space="preserve">  99 062 05 19   94 786 09 98</t>
  </si>
  <si>
    <t xml:space="preserve">94 234 01 69 </t>
  </si>
  <si>
    <t>"ZALATOY MARKET" MCHJ</t>
  </si>
  <si>
    <t xml:space="preserve">Milliy Qah </t>
  </si>
  <si>
    <t>FAYZULLAYEV FARHOD AZIMBOY O‘G‘LI</t>
  </si>
  <si>
    <t xml:space="preserve">95 960 30 09 </t>
  </si>
  <si>
    <t>071501960</t>
  </si>
  <si>
    <t xml:space="preserve">99 184 98 81 </t>
  </si>
  <si>
    <t xml:space="preserve">34 mln alp chertak 2300 lik 2 mln berdi </t>
  </si>
  <si>
    <t xml:space="preserve">2200 lik 34 mln 1 mln berdi 33 kredit Alp </t>
  </si>
  <si>
    <t>071532230</t>
  </si>
  <si>
    <t xml:space="preserve">97 517 89 99 </t>
  </si>
  <si>
    <t xml:space="preserve">94 313 01 03 </t>
  </si>
  <si>
    <t>YARASHEVA NARGIZA XUDAYBERGANOVNA</t>
  </si>
  <si>
    <t>SAIDOVA MUNOJAT G‘AYRATOVNA</t>
  </si>
  <si>
    <t>RAXIMOV KO‘PAL USMONOVICH</t>
  </si>
  <si>
    <t>RUZMETOV BAXROM MATYOZOVICH</t>
  </si>
  <si>
    <t>ESHCHANOV DAVRONBEK QURYAZOVICH</t>
  </si>
  <si>
    <t xml:space="preserve">dd </t>
  </si>
  <si>
    <t>ABDULLAYEV BAHROM SOTIMOVICH</t>
  </si>
  <si>
    <t xml:space="preserve"> 93  143 04 71  88 750 10 79 </t>
  </si>
  <si>
    <t>09,10,2024</t>
  </si>
  <si>
    <t>OTAXONOV XURSHID BOBOMUROD O‘G‘LI</t>
  </si>
  <si>
    <t>ABDULLAYEV YO‘LDOSHVOY ERGASHBOY O‘G‘LI</t>
  </si>
  <si>
    <t xml:space="preserve">   94  319 41 91  99 105 72 60 </t>
  </si>
  <si>
    <t>IBRAXIMOVA YULDUZ OYBEKOVNA</t>
  </si>
  <si>
    <t xml:space="preserve">asqar og`a </t>
  </si>
  <si>
    <t>RAJABOVA SEVARA BEKMIRZA QIZI</t>
  </si>
  <si>
    <t xml:space="preserve">Elyor Nayman </t>
  </si>
  <si>
    <t xml:space="preserve">97 452 10 14 </t>
  </si>
  <si>
    <t>95 966 66 92</t>
  </si>
  <si>
    <t>410 lik</t>
  </si>
  <si>
    <t>QURANBAYEV ZAFARBEK KARIMBAYEVICH</t>
  </si>
  <si>
    <t>11,10,2024</t>
  </si>
  <si>
    <t>HAYITBOYEV O‘KTAMBOY UMIDBEK O‘G‘LI</t>
  </si>
  <si>
    <t xml:space="preserve">99 208 03 00 </t>
  </si>
  <si>
    <t>YO‘LDOSHOVA SEVARA ANVAR QIZI</t>
  </si>
  <si>
    <t xml:space="preserve">O`rozmat Mineral o`g`it </t>
  </si>
  <si>
    <t xml:space="preserve">93 206 18 28   88 112 62 62 Xokim yordamchi  94 145 46 46  Bank xodimi </t>
  </si>
  <si>
    <t>QALANDAROV ALISHER KO‘PAL O‘G‘LI</t>
  </si>
  <si>
    <t>14,10,2024</t>
  </si>
  <si>
    <t xml:space="preserve">88 362 51 77 </t>
  </si>
  <si>
    <t xml:space="preserve">31 mln Uragan 2000 lik </t>
  </si>
  <si>
    <t>TAJIBAYEVA RO‘ZIGUL SAMANDAR QIZI</t>
  </si>
  <si>
    <t>BEKNIYAZOV JASUR TURABAYEVICH</t>
  </si>
  <si>
    <t xml:space="preserve">21 mln Jatki </t>
  </si>
  <si>
    <t xml:space="preserve">99 592 01 59  (99)509-69-69 Xokim Yordamchi   99 034 00 08  Nuraddin Elliqala bank 97 101 94 01 Elzor 
</t>
  </si>
  <si>
    <t>15,10,2024</t>
  </si>
  <si>
    <t xml:space="preserve">97 529 56 86  </t>
  </si>
  <si>
    <t>SHERMATBOYEV JUR’AT G‘ANIJON O‘G‘LI</t>
  </si>
  <si>
    <t>"HARVEST TEXNOLOGY" MCHJ</t>
  </si>
  <si>
    <t>k 5966</t>
  </si>
  <si>
    <t xml:space="preserve">93 533 59 01 </t>
  </si>
  <si>
    <t>АСМАТОВ РЎЗИБОЙ СОБИР ЎҒЛИ</t>
  </si>
  <si>
    <t>16,10,2024</t>
  </si>
  <si>
    <t>MATKARIMOV FUZAIL ALLABERGANOVICH</t>
  </si>
  <si>
    <t>ABDULLAYEVA ZEBOXON RO‘ZIBAYEVNA</t>
  </si>
  <si>
    <t xml:space="preserve">95 520 09 81 </t>
  </si>
  <si>
    <t>AZATOV JAMSHIDBEK OTANAZAROVICH</t>
  </si>
  <si>
    <t xml:space="preserve">33 mln 95 525 29 96 </t>
  </si>
  <si>
    <t xml:space="preserve">94 998 46 66 </t>
  </si>
  <si>
    <t xml:space="preserve">Pelonis  va 280 lik skuter  34,2 mln </t>
  </si>
  <si>
    <t>ABDULNIYOZOV ANVAR QADAMBOYEVICH</t>
  </si>
  <si>
    <t xml:space="preserve">27 mln matsakil  shokir og`ani jurasi </t>
  </si>
  <si>
    <t>JUMABOYEVA DILOROM ISMOILOVNA</t>
  </si>
  <si>
    <t>HO‘SINOVA MAVLUDA ERKIN QIZI</t>
  </si>
  <si>
    <t>17,10,2024</t>
  </si>
  <si>
    <t xml:space="preserve">97 510 54 64    95 221 14 24 </t>
  </si>
  <si>
    <t xml:space="preserve">99 662 01 38 </t>
  </si>
  <si>
    <t xml:space="preserve">Pelonis 30,5 mln </t>
  </si>
  <si>
    <t xml:space="preserve">94 451 45 57 </t>
  </si>
  <si>
    <t xml:space="preserve">1350 lik armada </t>
  </si>
  <si>
    <t xml:space="preserve">1200 lik wudii </t>
  </si>
  <si>
    <t>SATTOROV ZAFARBEK TO‘XTABOY O‘G‘LI</t>
  </si>
  <si>
    <t xml:space="preserve">20 mln Kamera </t>
  </si>
  <si>
    <t>MINGULOV UMARBEK JUMABOYEVICH</t>
  </si>
  <si>
    <t xml:space="preserve">20 mln Xurriyat </t>
  </si>
  <si>
    <t xml:space="preserve">97 515 91 99 </t>
  </si>
  <si>
    <t>071532300</t>
  </si>
  <si>
    <t>SABIROV MANSUR RAZZAQBERDIYEVICH</t>
  </si>
  <si>
    <t xml:space="preserve">33 mln nasos  </t>
  </si>
  <si>
    <t>KENJAYEVA MEXRIBON FARXODOVNA</t>
  </si>
  <si>
    <t xml:space="preserve">1550 lik kabina </t>
  </si>
  <si>
    <t>JUMABOYEVA ZEBINISO RAVSHANBEK QIZI</t>
  </si>
  <si>
    <t>SHONAZAROV ZOHIDJON RASHID O‘G‘LI</t>
  </si>
  <si>
    <t xml:space="preserve">11 mln jasur Oq Oltin  88 091 90 24 </t>
  </si>
  <si>
    <t>22,10,2024</t>
  </si>
  <si>
    <t xml:space="preserve">Qo`ziyeva Sabohat Ro`zmat jaqir </t>
  </si>
  <si>
    <t xml:space="preserve">280 lik </t>
  </si>
  <si>
    <t>ERA STROY OLAMI MCHJ</t>
  </si>
  <si>
    <t>"GARAND TEXNO DUNYO" MCHJ</t>
  </si>
  <si>
    <t>TAJIMURATOV FAXRIDDIN XUDASHUKUROVICH</t>
  </si>
  <si>
    <t>MASHARIPOV AZAMAT OTAXONOVICH</t>
  </si>
  <si>
    <t>JABBOROVA MAHLIYO ZARIPBOY QIZI</t>
  </si>
  <si>
    <t>23,10,2024</t>
  </si>
  <si>
    <t>AMINOVA CHAMANGUL SHERALI QIZI</t>
  </si>
  <si>
    <t xml:space="preserve">6 mln jack jonibek </t>
  </si>
  <si>
    <t xml:space="preserve">25 mln Pechka </t>
  </si>
  <si>
    <t>071590100</t>
  </si>
  <si>
    <t>24,10,2024</t>
  </si>
  <si>
    <t xml:space="preserve">XO‘JAYEVA SHUKURJON EGAMBERDIYEVNA </t>
  </si>
  <si>
    <t xml:space="preserve">33 mln asqar og`a </t>
  </si>
  <si>
    <t xml:space="preserve">Tayyor </t>
  </si>
  <si>
    <t>SOBIROV ASADBEK KOMILJON O‘G‘LI</t>
  </si>
  <si>
    <t>OTAMUROTOV OTAJON AZAMAT O‘G‘LI</t>
  </si>
  <si>
    <t xml:space="preserve">33 mln davron og`a </t>
  </si>
  <si>
    <t>SULTONOV SARVARBEK O`MRBEK O`G`L</t>
  </si>
  <si>
    <t xml:space="preserve">95 504 44 10 </t>
  </si>
  <si>
    <t>30 mln pellonis</t>
  </si>
  <si>
    <t>JABBOROV AZAD RO‘ZMATOVICH</t>
  </si>
  <si>
    <t>SHIXNAZAROVA XUSHNOZA MUZAFFAR QIZI</t>
  </si>
  <si>
    <t xml:space="preserve">33 mln matsakil  limitni qo`shtirgan pulini ham olish kerak  99 102 36 70 </t>
  </si>
  <si>
    <t>RAXIMOVA XURSHIDA ERKINOVNA</t>
  </si>
  <si>
    <t>YUSUPBOYEVA SOHIBA RAXMATJON QIZI</t>
  </si>
  <si>
    <t xml:space="preserve">33 mln matsakil  shoxrux </t>
  </si>
  <si>
    <t>93 536 13 66     88 140 01 94</t>
  </si>
  <si>
    <t xml:space="preserve">94 315 16 44 </t>
  </si>
  <si>
    <t>USMANOV HAMIDULLA MATRASULOVICH</t>
  </si>
  <si>
    <t xml:space="preserve">99 104 55 80 </t>
  </si>
  <si>
    <t xml:space="preserve">31 mln pellonis </t>
  </si>
  <si>
    <t>QURANBOYEV SHAHZODBEK FARXOD O‘G‘LI</t>
  </si>
  <si>
    <t xml:space="preserve">25 mln Matti Qah </t>
  </si>
  <si>
    <t>RAXIMOV USMONJON UMID O‘G‘LI</t>
  </si>
  <si>
    <t xml:space="preserve">30 mln matsakil Qah </t>
  </si>
  <si>
    <t>MADAMINOVA SEVINCHOY MURODJON QIZI</t>
  </si>
  <si>
    <t>RAZZAQOV G‘ANIJON SHONAZAR O‘G‘LI</t>
  </si>
  <si>
    <t xml:space="preserve">33 mln parranda 94 429 40 90 </t>
  </si>
  <si>
    <t>00105001001000000</t>
  </si>
  <si>
    <t>YO‘LDOSHEV UMORBEK YO‘LDOSHEVICH</t>
  </si>
  <si>
    <t xml:space="preserve">33 mln xaladelnik  97 528 10 01 </t>
  </si>
  <si>
    <t>TO‘RAYEV SARVAR RO‘ZIBOYEVICH</t>
  </si>
  <si>
    <t>28,10,2024</t>
  </si>
  <si>
    <t xml:space="preserve">Yo`sh o`smir </t>
  </si>
  <si>
    <t>O‘RINOV TEMURBEK QURBANDURDI O‘G‘LI</t>
  </si>
  <si>
    <t xml:space="preserve">33 mln Sartaroshxona </t>
  </si>
  <si>
    <t>BOTIROV BAXTIYOR BAHODIR O‘G‘LI</t>
  </si>
  <si>
    <t xml:space="preserve">Rover aparat 23 mln </t>
  </si>
  <si>
    <t>RAXMANOVA MUNAVVAR ALISHEROVNA</t>
  </si>
  <si>
    <t xml:space="preserve">Sartrosh </t>
  </si>
  <si>
    <t>JUMANAZAROVA ZEBO BAXTIYAR QIZI</t>
  </si>
  <si>
    <t xml:space="preserve">95 321 16 06 </t>
  </si>
  <si>
    <t xml:space="preserve">Wasat kanina 1400 lik </t>
  </si>
  <si>
    <t xml:space="preserve">Alp qo`sha balon 36,5 2550 lik </t>
  </si>
  <si>
    <t>ROZZOQOVA SHAHNOZA MATYAKUBOVNA</t>
  </si>
  <si>
    <t xml:space="preserve">97 859 97 57  93 282 77 00 </t>
  </si>
  <si>
    <t>BOGAT NEW SERVICES" MCHJ</t>
  </si>
  <si>
    <t>29,10,2024</t>
  </si>
  <si>
    <t>YAKUPOV KAMOL ALIKOVICH</t>
  </si>
  <si>
    <t xml:space="preserve">Alp 31 mln 2000 lik </t>
  </si>
  <si>
    <t xml:space="preserve">99 841 90 98 </t>
  </si>
  <si>
    <t>30,10,2024</t>
  </si>
  <si>
    <t>YARASHOV MUXAMMADJON GANJABOY O‘G‘L</t>
  </si>
  <si>
    <t xml:space="preserve">33 mln moto muxammadjon </t>
  </si>
  <si>
    <t xml:space="preserve">33 mln matsakil yaniqadam  91 371 46 23 </t>
  </si>
  <si>
    <t xml:space="preserve">Umr </t>
  </si>
  <si>
    <t>MOB0049101448</t>
  </si>
  <si>
    <t>ABULOV KOMILJON MASHARIPOVICH</t>
  </si>
  <si>
    <t>AD6334218    12.01.1990</t>
  </si>
  <si>
    <t>01,11,2024</t>
  </si>
  <si>
    <t>RAXIMOV DONIYOR G‘AYRATOVICH</t>
  </si>
  <si>
    <t xml:space="preserve">15 mln Moto  88 090 47 20 </t>
  </si>
  <si>
    <t xml:space="preserve">99 501 88 72 </t>
  </si>
  <si>
    <t xml:space="preserve">32 mlnl uragan 2000 </t>
  </si>
  <si>
    <t xml:space="preserve">93 457 24 80 </t>
  </si>
  <si>
    <t xml:space="preserve">94 027 80 40 </t>
  </si>
  <si>
    <t xml:space="preserve">34 mln Uragan 2150 </t>
  </si>
  <si>
    <t>MATCHANOV O‘TKIRBEK RAMANOVICH</t>
  </si>
  <si>
    <t>YAQUBOV TOHIR YUSUPOVICH</t>
  </si>
  <si>
    <t>DJUMABAYEV G‘ULOMBOY MUHAMMEDSAPAYEVICH</t>
  </si>
  <si>
    <t>02,11,2024</t>
  </si>
  <si>
    <t xml:space="preserve">77 023 91 79 </t>
  </si>
  <si>
    <t>03,11,2024</t>
  </si>
  <si>
    <t>RO‘ZIBOYEV NIZOMJON GANJABOYEVICH</t>
  </si>
  <si>
    <t xml:space="preserve">22 mln  moto </t>
  </si>
  <si>
    <t>QURBONBOYEV JALOLADDIN UMIDBOY O‘G‘LI</t>
  </si>
  <si>
    <t xml:space="preserve">33 mln moto 99 639 10 33 </t>
  </si>
  <si>
    <t>RAJABOVA BARNO ERKINOVNA</t>
  </si>
  <si>
    <t xml:space="preserve">30 mln Ris buva </t>
  </si>
  <si>
    <t>YULDASHEV ULUG‘BEK BAXTIYOROVICH</t>
  </si>
  <si>
    <t>ALLAMOVA DILFUZA QADIRBERDIYEVNA</t>
  </si>
  <si>
    <t xml:space="preserve">33 mln mebel  Nayman 88 525 60 06 </t>
  </si>
  <si>
    <t>SOBIROV G‘AYRAT DAVLAT O‘G‘LI</t>
  </si>
  <si>
    <t xml:space="preserve">33 mln matsakil urazmat </t>
  </si>
  <si>
    <t>NURULLAYEV JASURBEK KOMIL O‘G‘LI</t>
  </si>
  <si>
    <t xml:space="preserve">"MADANIYAT FIBBER TEX" 
</t>
  </si>
  <si>
    <t>"NURL I XAYOT OLAMI" MCHJ</t>
  </si>
  <si>
    <t>RO‘ZIBAYEV RO‘ZIBOY ATAMURAT O‘G‘LI</t>
  </si>
  <si>
    <t xml:space="preserve">33 mln matsakil  eldor </t>
  </si>
  <si>
    <t>YO‘LDOSHOV XUDOYBERGAN GULMIRZA O‘G‘LI</t>
  </si>
  <si>
    <t xml:space="preserve">33 mln matsakil O`rozmat </t>
  </si>
  <si>
    <t>BALTABAYEV ABAY UZOKBAYEVICH</t>
  </si>
  <si>
    <t>TO‘RAYEV SUXROB AZIMJON O‘G‘LI</t>
  </si>
  <si>
    <t xml:space="preserve">27 mln matsakil Otabek </t>
  </si>
  <si>
    <t xml:space="preserve">33 mln matsakil  Saidov  91 862 80 55 </t>
  </si>
  <si>
    <t>MATKARIMOVA HAJARBIBI QURBONBAYEVNA</t>
  </si>
  <si>
    <t>YUSUPOVA SARVINOZ OCHILDI QIZI</t>
  </si>
  <si>
    <t xml:space="preserve">25 matsakil  88 419 28 28 </t>
  </si>
  <si>
    <t>MOB0049101471</t>
  </si>
  <si>
    <t>MOB0049101472</t>
  </si>
  <si>
    <t xml:space="preserve">Uragan 2550 lik 38 mln 5 naqd </t>
  </si>
  <si>
    <t>JUMABOYEV UMIDBEK YARASHBOYEVICH</t>
  </si>
  <si>
    <t xml:space="preserve">33 mln Matsakil  90 436 21 20 </t>
  </si>
  <si>
    <t>09,11,2024</t>
  </si>
  <si>
    <t>BAXTIYOROV JAVOHIR XUSAYN O‘G‘LI</t>
  </si>
  <si>
    <t>BABANAZAROVA XURSHIDA QURAMBAYEVNA</t>
  </si>
  <si>
    <t xml:space="preserve">33 mln 6 tikish mashin </t>
  </si>
  <si>
    <t>SOBIROV O‘KTAMBOY MAQSUDOVICH</t>
  </si>
  <si>
    <t>YULDASHOVA ZAYNAB JUMABOYEVNA</t>
  </si>
  <si>
    <t>JUMAMURATOVA MALOHAT TINICHLIKOVNA</t>
  </si>
  <si>
    <t>"FRISBEE MARKET"  Mch j</t>
  </si>
  <si>
    <t>SADULLAYEV YIGITALI TO‘XTASINOVICH</t>
  </si>
  <si>
    <t>12,11,2024</t>
  </si>
  <si>
    <t>TEXNOLOGIK MARKET MCHJ</t>
  </si>
  <si>
    <t>MATMUROTOV RINAT OTABOYEVICH</t>
  </si>
  <si>
    <t xml:space="preserve">24 matsakil 97 515 10 11 </t>
  </si>
  <si>
    <t>NURULLAYEVA XURSHIDA SHAKIRBEK QIZI</t>
  </si>
  <si>
    <t>KUDAYBERGENOV RUSLAN JAKSÍLÍKOVICH</t>
  </si>
  <si>
    <t xml:space="preserve">30 mln matsakil </t>
  </si>
  <si>
    <t>TOJIYEVA ZUMRAD BAXTIYOROVN</t>
  </si>
  <si>
    <t xml:space="preserve">30 mln tikish mashin </t>
  </si>
  <si>
    <t>RAXMETOVA YOQUTJAN YARASHEVNA</t>
  </si>
  <si>
    <t>OTANAZAROVA ZUMRADJON OLLAYOR QIZI</t>
  </si>
  <si>
    <t xml:space="preserve">25 mln matsakil Sanjar </t>
  </si>
  <si>
    <t>BEKEZOVA BARCHINOY SHERIPBOYEVNA</t>
  </si>
  <si>
    <t xml:space="preserve">25 mln Yangiqadam </t>
  </si>
  <si>
    <t>KOMILJONOV ODAMBOY ZOKIR O‘G‘LI</t>
  </si>
  <si>
    <t xml:space="preserve">23 mln kamera </t>
  </si>
  <si>
    <t>ISAYEVA GO‘ZAL DAVRON QIZI</t>
  </si>
  <si>
    <t>OZODOV TO‘LQIN ULUG‘BEK O‘G‘LI</t>
  </si>
  <si>
    <t>14,11,2024</t>
  </si>
  <si>
    <t>ORTIQOVA SAYYORA O‘KTAMBOYEVNA</t>
  </si>
  <si>
    <t xml:space="preserve">32,8 mln maysakil Rasm </t>
  </si>
  <si>
    <t>HAYITBOYEV ZOHIDJON TOHIROVICH</t>
  </si>
  <si>
    <t xml:space="preserve">33 mln milliy shirinlik </t>
  </si>
  <si>
    <t>PRIMOV GULOM URINBAYEVICH</t>
  </si>
  <si>
    <t xml:space="preserve">33 mln parnik </t>
  </si>
  <si>
    <t>MOB0049101496</t>
  </si>
  <si>
    <t>MOB0049101497</t>
  </si>
  <si>
    <t xml:space="preserve">95 159 69 89 </t>
  </si>
  <si>
    <t xml:space="preserve">770 lik </t>
  </si>
  <si>
    <t>RO‘ZMETOVA OYGUL RUSTAM QIZI</t>
  </si>
  <si>
    <t xml:space="preserve">99 763 11 96 </t>
  </si>
  <si>
    <t xml:space="preserve">1550 lik kabina  </t>
  </si>
  <si>
    <t>MATKARIMOV O‘KTAMBOY ABDIRIMOVICH</t>
  </si>
  <si>
    <t>QO‘CHQOROV DASTON RO‘ZIBOYEVICH</t>
  </si>
  <si>
    <t>16,11,2024</t>
  </si>
  <si>
    <t>TUREYEV ELYOR BAXADIROVICH</t>
  </si>
  <si>
    <t xml:space="preserve">Urinbayev Umidjon </t>
  </si>
  <si>
    <t>BOGOT IMPEX MCHJ</t>
  </si>
  <si>
    <t>BOBOJANOVA SHUKURJON OTABEK QIZI</t>
  </si>
  <si>
    <t xml:space="preserve">88 513 88 82 </t>
  </si>
  <si>
    <t>XUDAYBERGANOV IKRAM RAMANOVICH</t>
  </si>
  <si>
    <t xml:space="preserve">97 452 10 97 </t>
  </si>
  <si>
    <t xml:space="preserve">1550 lik  25 mln </t>
  </si>
  <si>
    <t xml:space="preserve">1200 Wudi </t>
  </si>
  <si>
    <t>MADAMINOVA GULASAL DAVLATYOR QIZI</t>
  </si>
  <si>
    <t xml:space="preserve">33 mln shartnoma 33 25 25 </t>
  </si>
  <si>
    <t>MOB0049101503</t>
  </si>
  <si>
    <t xml:space="preserve">OLIMBOYEV MAQSADBEK UMAR O‘G‘LI </t>
  </si>
  <si>
    <t xml:space="preserve">23,8 mln matsakil 99 253 96 06 </t>
  </si>
  <si>
    <t>97 404 91 84</t>
  </si>
  <si>
    <t xml:space="preserve">1550 lik 26 mln </t>
  </si>
  <si>
    <t xml:space="preserve">95 174 14 24 </t>
  </si>
  <si>
    <t xml:space="preserve">2000 lik pelonis  30 mln </t>
  </si>
  <si>
    <t>BOBOJANOV MIRZA MATKARIMOVICH</t>
  </si>
  <si>
    <t>SOBIROV KAMOLADDIN MURODOVICH</t>
  </si>
  <si>
    <t>AZATOV MA’RIF OTAJON O‘G‘LI</t>
  </si>
  <si>
    <t xml:space="preserve">25 mln 93 748 57 57 </t>
  </si>
  <si>
    <t xml:space="preserve">23 mln pechka  95 067 88 70 </t>
  </si>
  <si>
    <t>QALANDAROVA GULHAYO HAMID QIZI</t>
  </si>
  <si>
    <t>ABDIKARIMOV BOTIRJON RUSTAM O‘G‘LI</t>
  </si>
  <si>
    <t xml:space="preserve">24 mln o`rozmat </t>
  </si>
  <si>
    <t>SAPAYEV SADULLA ABDULLA O‘G‘LI</t>
  </si>
  <si>
    <t>SAPABOYEV QUDRATBEK XUDAYBERDI O‘G‘LI</t>
  </si>
  <si>
    <t>ISKANDAROV IXTIYOR BAXTIYOROVICH</t>
  </si>
  <si>
    <t>RAXIMOV JONIBEK BOLTABAYEVICH</t>
  </si>
  <si>
    <t>EGAMOV VALERIY SABIROVICH</t>
  </si>
  <si>
    <t>EGAMOV FAXRIDDIN SOBIROVICH</t>
  </si>
  <si>
    <t>MADRAXIMOV QUVONCHBEK YULDASH O‘G‘LI</t>
  </si>
  <si>
    <t xml:space="preserve">26 mln matsakil </t>
  </si>
  <si>
    <t>"BOGOT INMAX" MCHJ</t>
  </si>
  <si>
    <t>"MONARI TEX" MCHJ</t>
  </si>
  <si>
    <t>RO‘ZMETOV DILYORBEK BOXTIYOROVICH</t>
  </si>
  <si>
    <t>22,11,2024</t>
  </si>
  <si>
    <t>Xurasand Og`a Beradi</t>
  </si>
  <si>
    <t xml:space="preserve">33 mln Motoblok 2 dona </t>
  </si>
  <si>
    <t>HAMROYEVA ISMIGUL ODAMBOY QIZI</t>
  </si>
  <si>
    <t xml:space="preserve">23 mln matsakil Umar og`a </t>
  </si>
  <si>
    <t>BOBONIYOZOVA RAYXON QURBONDURDIYEVNA</t>
  </si>
  <si>
    <t>REYIMBAYEVA NILUFAR XUDAYBERGENOVNA</t>
  </si>
  <si>
    <t xml:space="preserve">50 887 18 95 </t>
  </si>
  <si>
    <t xml:space="preserve">3100 lik 45 mln </t>
  </si>
  <si>
    <t xml:space="preserve">95 091 18 03 </t>
  </si>
  <si>
    <t xml:space="preserve">95 262 81 05 </t>
  </si>
  <si>
    <t>2000 lik Uragan 31</t>
  </si>
  <si>
    <t xml:space="preserve">99 211 87 91 </t>
  </si>
  <si>
    <t xml:space="preserve">1200 lik Wudi </t>
  </si>
  <si>
    <t>MOB0049101513</t>
  </si>
  <si>
    <t>MOB0049101514</t>
  </si>
  <si>
    <t>GAIBOVA DILRABO BAXTIYAROVNA</t>
  </si>
  <si>
    <t>BABAJANOV ASQAR SABIRBAYEVICH</t>
  </si>
  <si>
    <t>RAXIMOV HASANBAY ODIL O‘G‘LI</t>
  </si>
  <si>
    <t xml:space="preserve">25 mkn matsakil  95 024 45 65 </t>
  </si>
  <si>
    <t xml:space="preserve">sotildi  33 309 17 06  </t>
  </si>
  <si>
    <t>OLLOYOROVA MARHOBO RUSTAM QIZI</t>
  </si>
  <si>
    <t xml:space="preserve">33 mln matsakil  O`rozmat </t>
  </si>
  <si>
    <t>ABDULLAYEVA SABOHAT MATNAZAROVNA</t>
  </si>
  <si>
    <t xml:space="preserve">30 mln matsakil  88 202 22 73 </t>
  </si>
  <si>
    <t>77 037 52 42</t>
  </si>
  <si>
    <t>SOTIMBOYEVA DILOBAR ADILBEKOVNA</t>
  </si>
  <si>
    <t xml:space="preserve">33 mln sobir ris </t>
  </si>
  <si>
    <t>32,5 mln Uragan 2150 lik</t>
  </si>
  <si>
    <t>MASHARIBOV HAJIBOY BOLTAYEVICH</t>
  </si>
  <si>
    <t>RAZZOQOV SHERALI MAQSUDOVICH</t>
  </si>
  <si>
    <t>BEKCHANOVA IRODA RUSTAM QIZI</t>
  </si>
  <si>
    <t xml:space="preserve">20 mln tikish mashin </t>
  </si>
  <si>
    <t>TURSUNOVA DURDIGUL RUZMETOVNA</t>
  </si>
  <si>
    <t xml:space="preserve">33 179 22 82 </t>
  </si>
  <si>
    <t xml:space="preserve">97 791 95 85 </t>
  </si>
  <si>
    <t xml:space="preserve">1400 lik va 400 lik </t>
  </si>
  <si>
    <t>naqd berdi 18,5 mln 29,11,2024</t>
  </si>
  <si>
    <t xml:space="preserve">"BOGOT SEVEN TEX" MCHJ
</t>
  </si>
  <si>
    <t xml:space="preserve">311 755 011
</t>
  </si>
  <si>
    <t>SADADDINOVA SHOIRA QAZAQOVNA</t>
  </si>
  <si>
    <t>QURBONBAYEV IZZATBEK RAMAT O‘G‘LI</t>
  </si>
  <si>
    <t>RO‘ZIBAYEV SIYOVUSH OTABEK O‘G‘LI</t>
  </si>
  <si>
    <t>DINISLAMOV NURSULTAN TEMIRBAY ULI</t>
  </si>
  <si>
    <t>TURDIYEVA FERUZA FARXADOVNA</t>
  </si>
  <si>
    <t xml:space="preserve">99 707 85 67 </t>
  </si>
  <si>
    <t>02,12,2024</t>
  </si>
  <si>
    <t>SAMANDAROV ZOHID ODILOVICH</t>
  </si>
  <si>
    <t xml:space="preserve">Fozil og`a </t>
  </si>
  <si>
    <t>TOXIROVA SHIRIN BEKMAMATOVNA</t>
  </si>
  <si>
    <t>03,12,2024</t>
  </si>
  <si>
    <t>XAITBAYEV SHERZOD YUSUPBAYEVICH</t>
  </si>
  <si>
    <t xml:space="preserve">33 mln beruniy </t>
  </si>
  <si>
    <t>XAITBAYEV XAMIT AZATOVICH</t>
  </si>
  <si>
    <t>RO‘ZIMOV RO‘ZMAT BOZORBOYEVICH</t>
  </si>
  <si>
    <t xml:space="preserve">Sotildi </t>
  </si>
  <si>
    <t>SAFAYEV JAHANGIR RAJABBAYEVICH</t>
  </si>
  <si>
    <t xml:space="preserve">23 mln matsakil  88 103 75 15 </t>
  </si>
  <si>
    <t>EGAMOVA MAXBIRA OTABOYEVNA</t>
  </si>
  <si>
    <t>mansur</t>
  </si>
  <si>
    <t xml:space="preserve">Otabek </t>
  </si>
  <si>
    <t xml:space="preserve">Xumoyun shug`ullanadi </t>
  </si>
  <si>
    <t>KURBANOV AZAMAT SHAMURATOVICH</t>
  </si>
  <si>
    <t>SAFARBOYEV ULUG‘BEK BAXTIYOR O‘G‘LI</t>
  </si>
  <si>
    <t>07091993</t>
  </si>
  <si>
    <t>XODJAMURATOVA DILFUZA ARTIKBAYEVNA</t>
  </si>
  <si>
    <t xml:space="preserve">33 mln 4 mln maydalagich 29 mln motakultivator </t>
  </si>
  <si>
    <t>QURYOZOV ULUG‘BEK KENJAYEVICH</t>
  </si>
  <si>
    <t xml:space="preserve">Ilyos botby </t>
  </si>
  <si>
    <t>XUDAKOV RAXIMBOY ALIMBOYEVICH</t>
  </si>
  <si>
    <t xml:space="preserve">Umar Og`a </t>
  </si>
  <si>
    <t>QILICHOV MAXMUD SHUXRAT O‘G‘LI</t>
  </si>
  <si>
    <t xml:space="preserve">33 mln kompyuter </t>
  </si>
  <si>
    <t>KALENDEROVA ROZA ALLAYAROVNA</t>
  </si>
  <si>
    <t>RAXIMOVA BAXTIGUL UMIDJON QIZI</t>
  </si>
  <si>
    <t>MATYOQUBOV SHERZOD RAJABOVICH</t>
  </si>
  <si>
    <t xml:space="preserve">15,5 mln matsakil qarz xisobidan </t>
  </si>
  <si>
    <t>NURMETOVA IQBOL RUSTAMOVNA</t>
  </si>
  <si>
    <t xml:space="preserve">23 mln matsakil  </t>
  </si>
  <si>
    <t>EVRO STARK KOMPLEKS MCHJ</t>
  </si>
  <si>
    <t xml:space="preserve">99 528 37 90 </t>
  </si>
  <si>
    <t xml:space="preserve">99 624 26 86 </t>
  </si>
  <si>
    <t xml:space="preserve">Sapayev Jaxongir </t>
  </si>
  <si>
    <t>88 103 75 15</t>
  </si>
  <si>
    <t xml:space="preserve">1400 lik va 200 dollar </t>
  </si>
  <si>
    <t>SHAMSHIDDINOVA SAYYORAXON OBIDJON QIZI</t>
  </si>
  <si>
    <t>EGAMOV G‘IYOSJON BOXTIYOROVICH</t>
  </si>
  <si>
    <t xml:space="preserve">97 362 00 22 </t>
  </si>
  <si>
    <t>13,12,2024</t>
  </si>
  <si>
    <t xml:space="preserve">RO‘ZIMOV RO‘ZMAT BOZORBOYEVICH krediti uchun </t>
  </si>
  <si>
    <t xml:space="preserve">Texnologik market </t>
  </si>
  <si>
    <t>OLLANAZAROVA MUHABBAT ABDULLAYEVNA</t>
  </si>
  <si>
    <t xml:space="preserve">33  Mln matsakil Umar og`a g`alaba </t>
  </si>
  <si>
    <t>SABIROVA SOHIBA MIRZA QIZI</t>
  </si>
  <si>
    <t>10,01,2025</t>
  </si>
  <si>
    <t>10,12,2024</t>
  </si>
  <si>
    <t>qah Boriladi</t>
  </si>
  <si>
    <t>11,12,2024</t>
  </si>
  <si>
    <t xml:space="preserve">77 028 77 81   77 277 77 81 </t>
  </si>
  <si>
    <t xml:space="preserve">94 113 80 58  Egasi O`lgan  Og`asi </t>
  </si>
  <si>
    <t xml:space="preserve">Ali Qo`ziyev Puli bor 20 dekabr </t>
  </si>
  <si>
    <t>15,01,2024</t>
  </si>
  <si>
    <t xml:space="preserve">qulionqarobog`  88 790 28 80    99 735 35 60 benzin </t>
  </si>
  <si>
    <t>QUTLIMUROTOV TO‘LQIN DAVLETOVICH</t>
  </si>
  <si>
    <t>URAZOVA MALOHAT YAQUBBAYEVNA</t>
  </si>
  <si>
    <t>TAJIBAYEV MAXSUDBAY UMRBAYEVICH</t>
  </si>
  <si>
    <t xml:space="preserve">6,5 mln matsakil </t>
  </si>
  <si>
    <t>MOB0049101527</t>
  </si>
  <si>
    <t>MOB0049101528</t>
  </si>
  <si>
    <t>G‘OYIBOV SHOKIR JUMANAZAROVICH</t>
  </si>
  <si>
    <t xml:space="preserve">30 mln konteyner  99 755 70 92 </t>
  </si>
  <si>
    <t xml:space="preserve">16,5 mln motonlok </t>
  </si>
  <si>
    <t>QO‘CHQOROVA CHAROS RASHID QIZI</t>
  </si>
  <si>
    <t xml:space="preserve">33 mln matsakil  Urazmat oka </t>
  </si>
  <si>
    <t>RUSTAMOVA FAZILAT ORSLONBEK QIZI</t>
  </si>
  <si>
    <t xml:space="preserve">33 mln motoblok  2 dona Bektosh </t>
  </si>
  <si>
    <t>NURMETOV UMID MASHARIPOVICH</t>
  </si>
  <si>
    <t xml:space="preserve">33 mln matsakil  Umid </t>
  </si>
  <si>
    <t>MATIYEVA MATLUBA QADAMBOYEVNA</t>
  </si>
  <si>
    <t xml:space="preserve">33 mln shirinlik </t>
  </si>
  <si>
    <t>SAIDMAMATOV RAVSHANBEK ISLOMOVICH</t>
  </si>
  <si>
    <t xml:space="preserve">Saxovat 88 452 52 52   88 599 93 00, 88 091 32 72     88 923 93 95  93 258 45 48 </t>
  </si>
  <si>
    <t>15,12,2024</t>
  </si>
  <si>
    <t>20,12,2024</t>
  </si>
  <si>
    <t>14,12,2024</t>
  </si>
  <si>
    <t>SOTIBOLDIYEVA RISOLAT OTABEK QIZI</t>
  </si>
  <si>
    <t>AHMADOVA NAFOSAT SOATBOY QIZI</t>
  </si>
  <si>
    <t xml:space="preserve">33 mln soliq qarz </t>
  </si>
  <si>
    <t>SABIROV SARDORBEK HASANOVICH</t>
  </si>
  <si>
    <t>97 363 16 87   Xokim yordamchi 972114381</t>
  </si>
  <si>
    <t>88 459 72 77 Xokim yordamchi 972114381</t>
  </si>
  <si>
    <t>99 964 70 58 Xokim yordamchi 972114381</t>
  </si>
  <si>
    <t>93 745 28 17  Xokim yordamchi 972114381</t>
  </si>
  <si>
    <t>97 529 40 41  Xokim yordamchi 972114381</t>
  </si>
  <si>
    <t>SABIROV XASAN ARTIQOVICH</t>
  </si>
  <si>
    <t xml:space="preserve">To`pchi  94 779 28 09   99 442 83 25 </t>
  </si>
  <si>
    <t>MATYOQUBOV MAVLON HAMDAMBOY O‘G‘LI</t>
  </si>
  <si>
    <t xml:space="preserve">99 789 88 00 </t>
  </si>
  <si>
    <t>YUSUPOV ZAYNULBEK RAXIMBERGANOVICH</t>
  </si>
  <si>
    <t xml:space="preserve">2000 lik Uragan  30,5 mln +2 mln kreditga </t>
  </si>
  <si>
    <t xml:space="preserve">sotildi </t>
  </si>
  <si>
    <t xml:space="preserve">93 000 92 95 </t>
  </si>
  <si>
    <t>SAIDNIYOZOV SARVARBEK MAQSUDOVICH</t>
  </si>
  <si>
    <t>19,12,2024</t>
  </si>
  <si>
    <t>s</t>
  </si>
  <si>
    <t>RAXMONOV RASULBEK FARHODOVICH</t>
  </si>
  <si>
    <t xml:space="preserve">33 mln abnal </t>
  </si>
  <si>
    <t>OLLOBERGANOV ASADBEK OYBEK O‘G‘LI</t>
  </si>
  <si>
    <t xml:space="preserve">33 mln matsakil 93 301 58 18 </t>
  </si>
  <si>
    <t>JUMANAZAROV BEKZOD QURONBOYEVICH</t>
  </si>
  <si>
    <t xml:space="preserve">33 mln matsakil 93 997 12 03 </t>
  </si>
  <si>
    <t>ANDABAYEV OQ DIDAR KENGES ULI</t>
  </si>
  <si>
    <t xml:space="preserve">33 mln matsakil Ulug`bek og`a </t>
  </si>
  <si>
    <t>ISMOILOV JAMOL MUZAFFAR O‘G‘LI</t>
  </si>
  <si>
    <t>ALLIYAROVA SABOXAT JAMALADDINOVNA</t>
  </si>
  <si>
    <t xml:space="preserve">32 mln Matsakil o`rozmat </t>
  </si>
  <si>
    <t>SAPARBAYEVA SANOBAR URAZMETOVNA</t>
  </si>
  <si>
    <t xml:space="preserve">18 mln matsakil O`rozmat </t>
  </si>
  <si>
    <t>JUMANIYOZOV ZAYNIDDIN MADAMINOVICH</t>
  </si>
  <si>
    <t xml:space="preserve">23 mln  97 525 91 18 </t>
  </si>
  <si>
    <t xml:space="preserve">99 956 27 26 </t>
  </si>
  <si>
    <t>25,12,2023</t>
  </si>
  <si>
    <t>19,12,2023</t>
  </si>
  <si>
    <t>sotildi</t>
  </si>
  <si>
    <t>KURIYAZOV RASUL SHERIBOVICH</t>
  </si>
  <si>
    <t>Tayyor</t>
  </si>
  <si>
    <t>BOLTAYEV UMRBEK PO‘LATOVICH</t>
  </si>
  <si>
    <t>AKNAZAROV UMID BABADJANOVICH</t>
  </si>
  <si>
    <t>SABIROV NADIRBEK SAATBAYEVICH</t>
  </si>
  <si>
    <t>PALVANOV ULUG‘BEK USKINOVICH</t>
  </si>
  <si>
    <t>ABDULLAYEVA SHAHLO RAXIMOVNA</t>
  </si>
  <si>
    <t xml:space="preserve">33 mln tikish mashin </t>
  </si>
  <si>
    <t>OCHILOVA OYSHA ZOIR QIZI</t>
  </si>
  <si>
    <t>ABDIRIMOV INOMJON FARXODOVICH</t>
  </si>
  <si>
    <t xml:space="preserve">Sotildi Kamol </t>
  </si>
  <si>
    <t xml:space="preserve">Sotildi QudraT </t>
  </si>
  <si>
    <t xml:space="preserve">Sotildi Farog`at </t>
  </si>
  <si>
    <t>1400 lik  03,01,2025</t>
  </si>
  <si>
    <t>1400 lik 03,01,2025</t>
  </si>
  <si>
    <t xml:space="preserve">800 lik qizil diska </t>
  </si>
  <si>
    <t xml:space="preserve">820 lik tesla 2000 lik </t>
  </si>
  <si>
    <t xml:space="preserve">95 772 65 85 </t>
  </si>
  <si>
    <t>1200 lik vudi</t>
  </si>
  <si>
    <t xml:space="preserve">99 045 08 63 </t>
  </si>
  <si>
    <t>12,01,2025</t>
  </si>
  <si>
    <t xml:space="preserve">91 094 21 75 </t>
  </si>
  <si>
    <t xml:space="preserve">1550 lik Uragan 26 mln </t>
  </si>
  <si>
    <t>PROFI NEX MCHJ</t>
  </si>
  <si>
    <t xml:space="preserve">23 MLn  tushdi </t>
  </si>
  <si>
    <t>QOBULOV BEKZOD DAVLAT O‘G‘LI</t>
  </si>
  <si>
    <t xml:space="preserve">94 561 26 00    24 mln matsakil </t>
  </si>
  <si>
    <t>SADULLAYEV ZAFARBEK DAVRON O‘G‘LI</t>
  </si>
  <si>
    <t xml:space="preserve">Zafar nolog kichkina </t>
  </si>
  <si>
    <t>BOBOJONOV TOHIR ALLASHUKUROVICH</t>
  </si>
  <si>
    <t>YUSUPOV G‘ANI KURAMBOYEVICH</t>
  </si>
  <si>
    <t>YUSUPOV NABIJON SHAVKATOVICH</t>
  </si>
  <si>
    <t xml:space="preserve">33 mln Murod Navbaxor Tekshirish kerak </t>
  </si>
  <si>
    <t>BOLTABOYEV DILSHODBEK XASANOVICH</t>
  </si>
  <si>
    <t xml:space="preserve">33 mln matsakil 95 063 95 47 </t>
  </si>
  <si>
    <t>MOB0049101615</t>
  </si>
  <si>
    <t>NURMETOV QURBANDURDI ACHILOVICH</t>
  </si>
  <si>
    <t xml:space="preserve">16,6 mln matsdakil </t>
  </si>
  <si>
    <t xml:space="preserve">77 067 26 96 </t>
  </si>
  <si>
    <t xml:space="preserve">99 025 94 30 </t>
  </si>
  <si>
    <t>QO‘ZIYEVA SANOBAR AZADOVNA</t>
  </si>
  <si>
    <t>MATMURATOVA FAZILAT OZADOVNA</t>
  </si>
  <si>
    <t xml:space="preserve">Obod Pak </t>
  </si>
  <si>
    <t xml:space="preserve">27 mln </t>
  </si>
  <si>
    <t>XO‘JANIYAZOVA OYIMJON BAXRAMBEKOVNA</t>
  </si>
  <si>
    <t>BARAKA TEXNO DUNYO 777 MCHJ</t>
  </si>
  <si>
    <t>20,01,2025</t>
  </si>
  <si>
    <t>XUSHNUDOVA DILNOZA XUSHNUD QIZI</t>
  </si>
  <si>
    <t xml:space="preserve">33 mln 23 mebel 10 muzaltkich </t>
  </si>
  <si>
    <t xml:space="preserve">30 mln sut aparat </t>
  </si>
  <si>
    <t>ISMOILOV SOBIRJON FAYZULLA O‘G‘LI</t>
  </si>
  <si>
    <t>GANIYEV XALMURAT KARIMOVICH</t>
  </si>
  <si>
    <t xml:space="preserve">33 mln marojniy </t>
  </si>
  <si>
    <t>ISMOILOV SHONAZAR JONGIROVICH</t>
  </si>
  <si>
    <t xml:space="preserve">Bekzod mo=illiy </t>
  </si>
  <si>
    <t xml:space="preserve">22 mln moto </t>
  </si>
  <si>
    <t>MOB0049101632</t>
  </si>
  <si>
    <t>05,02,2025</t>
  </si>
  <si>
    <t>10,02,2025</t>
  </si>
  <si>
    <t>ACHILOVA IRODA SHOKIROVNA</t>
  </si>
  <si>
    <t xml:space="preserve">Yashnarbek </t>
  </si>
  <si>
    <t>ABDULLAYEV ABRORBEK XUDOYSHUKUR O‘G‘LI</t>
  </si>
  <si>
    <t xml:space="preserve">33 mln </t>
  </si>
  <si>
    <t xml:space="preserve">stanok </t>
  </si>
  <si>
    <t>JUMABOYEV ULUG‘BEK UMID O‘G‘LI</t>
  </si>
  <si>
    <t xml:space="preserve">33 mln oqtepa </t>
  </si>
  <si>
    <t>MASHARIPOV BEHZOD BAHROM O‘G‘LI</t>
  </si>
  <si>
    <t xml:space="preserve">33 mln  Mikser </t>
  </si>
  <si>
    <t xml:space="preserve">Kuromboy </t>
  </si>
  <si>
    <t>29,01,2025</t>
  </si>
  <si>
    <t>ABDOLOV XUSHNUD ROMONOVICH</t>
  </si>
  <si>
    <t xml:space="preserve">33  mln kesuvchi uskuna </t>
  </si>
  <si>
    <t>RO‘ZMETOVA LOLA YULDASHOVNA</t>
  </si>
  <si>
    <t xml:space="preserve">22 mln matsakil 10,9 motoblok </t>
  </si>
  <si>
    <t>YUSUPBOYEVA IRODA ERKIN QIZI</t>
  </si>
  <si>
    <t>JUMAMURATOV KENJABOY YANGIBOYEVICH</t>
  </si>
  <si>
    <t xml:space="preserve">33 mln 2 dona 16,5 mln </t>
  </si>
  <si>
    <t xml:space="preserve"> Urozmat </t>
  </si>
  <si>
    <t xml:space="preserve"> Murod </t>
  </si>
  <si>
    <t>QURANBOYEVA DILFUZA SHODURDIYEVNA</t>
  </si>
  <si>
    <t>Matsakiul shokir og` a</t>
  </si>
  <si>
    <t>QILICHEV MANSURBEK MAKSUD O‘G‘LI</t>
  </si>
  <si>
    <t xml:space="preserve">33 mln Kesuvchi uskuna </t>
  </si>
  <si>
    <t xml:space="preserve"> Jonibek Xalq banki </t>
  </si>
  <si>
    <t>BALTAYEV SHERZOD YO‘LDOSHEVICH</t>
  </si>
  <si>
    <t>MAVLONOV AZIMBOY BAXROMBEKOVICH</t>
  </si>
  <si>
    <t>33 Jahon svarka</t>
  </si>
  <si>
    <t>ASHIROVA NILUFAR TO‘RABOYEVNA</t>
  </si>
  <si>
    <t>MATRASULOV SHERZODBEK BOTIR O‘G‘LI</t>
  </si>
  <si>
    <t xml:space="preserve">15 mln matsakil </t>
  </si>
  <si>
    <t xml:space="preserve">Tozabozor  88 830 69 79 </t>
  </si>
  <si>
    <t>TEXHNO NEX MCHJ</t>
  </si>
  <si>
    <t>04,02,2025</t>
  </si>
  <si>
    <t xml:space="preserve">94 451 10 87 </t>
  </si>
  <si>
    <t xml:space="preserve">1250 lik wudi </t>
  </si>
  <si>
    <t>TOXTABAYEV XASAN BAZARBAYEVICH</t>
  </si>
  <si>
    <t>NULLAYEVA MALIKAXON QOSIMBOY QIZI</t>
  </si>
  <si>
    <t xml:space="preserve"> O`zgarish 90 013 02 97 </t>
  </si>
  <si>
    <t>HAJIBOYEV UMORJON QURBONBOY O‘G‘LI</t>
  </si>
  <si>
    <t>BEKTURDIYEVA ZULFIZAR QAHRAMON QIZI</t>
  </si>
  <si>
    <t>SHERNAZAROVA HILOLA RAXIMBOY QIZI</t>
  </si>
  <si>
    <t xml:space="preserve">93 242 71 12 </t>
  </si>
  <si>
    <t xml:space="preserve">Oq Tepa 33 mln uskuna </t>
  </si>
  <si>
    <t>YAQUBOVA SALIMA VAFAYEVNA</t>
  </si>
  <si>
    <t>BOBOYEV SHUHRAT AMINOVICH</t>
  </si>
  <si>
    <t xml:space="preserve">33 mln mol </t>
  </si>
  <si>
    <t>YUSUPOV AZIZBEK G‘AFUROVICH</t>
  </si>
  <si>
    <t>MADAMINOVA BIBIJON MAXMUDOVNA</t>
  </si>
  <si>
    <t xml:space="preserve">28,1 mln Tikuchi urozmat </t>
  </si>
  <si>
    <t>MATNIYAZOVA GO‘ZAL BOLTABOY QIZI</t>
  </si>
  <si>
    <t>EGAMOV EGAMBERGAN QUVONDIQ O‘G‘LI</t>
  </si>
  <si>
    <t xml:space="preserve">33 mln foto aparat </t>
  </si>
  <si>
    <t>"TEXNO SPECIAL SERVIS"</t>
  </si>
  <si>
    <t>03,02,2025</t>
  </si>
  <si>
    <t>MOB0049101661</t>
  </si>
  <si>
    <t>"OQ OLTIN BIZNES TADBIRKOR" MCHJ</t>
  </si>
  <si>
    <t>MOB0049101662</t>
  </si>
  <si>
    <t>"SEVEN TEXNO MAX" MCHJ</t>
  </si>
  <si>
    <t>TEMIROV ATAXAN ISMAILOVICH</t>
  </si>
  <si>
    <t xml:space="preserve">10 mln mineral o`git </t>
  </si>
  <si>
    <t xml:space="preserve">2,5 mimgdan 4 toona </t>
  </si>
  <si>
    <t>JUMANIYOZOV SANJARBEK XO‘JANIYOZOVICH</t>
  </si>
  <si>
    <t xml:space="preserve">22 mln motti </t>
  </si>
  <si>
    <t>KARIMOVA MEXRIBON ZARIPBAYEVNA</t>
  </si>
  <si>
    <t xml:space="preserve">12,1 mln motti qarz xisobidan </t>
  </si>
  <si>
    <t xml:space="preserve"> Pak </t>
  </si>
  <si>
    <t>XUDAYBERGANOVA SAYYORA JUMANAZAROVNA</t>
  </si>
  <si>
    <t>MOB0049101666</t>
  </si>
  <si>
    <t>MATMURATOV RASHIDBEK OTABAYEVICH</t>
  </si>
  <si>
    <t>ABDULLAYEV MUZAFFAR KOMIL O‘G‘LI</t>
  </si>
  <si>
    <t xml:space="preserve"> 93 282 82 22 </t>
  </si>
  <si>
    <t>RO‘ZIBOYEV SHIXNAZAR G‘AYRATOVICH</t>
  </si>
  <si>
    <t>JUMANIYAZOV ODILBEK BABAYEVICH</t>
  </si>
  <si>
    <t>TO‘RAYEV DILSHOD MASHARIPOVICH</t>
  </si>
  <si>
    <t xml:space="preserve">10 mln matsakil </t>
  </si>
  <si>
    <t xml:space="preserve">33 mln 10 muz va marojniy </t>
  </si>
  <si>
    <t>OLIMBAYEV JAMSHIDBEK MO‘MINJON O‘G‘LI</t>
  </si>
  <si>
    <t xml:space="preserve">20 mln pechkalar jahongir Mehnatguli </t>
  </si>
  <si>
    <t>SADULLAYEVA DILDORA VYACHESLAV QIZI</t>
  </si>
  <si>
    <t xml:space="preserve">93 009 39 49 </t>
  </si>
  <si>
    <t xml:space="preserve">28 mln mol </t>
  </si>
  <si>
    <t>AXMEDOV ELYORBEK G‘AYRATOVICH</t>
  </si>
  <si>
    <t xml:space="preserve">99 687 99 96 </t>
  </si>
  <si>
    <t>12,02,2025</t>
  </si>
  <si>
    <t>MATYAQUBOVA ZEBOXON AMINOVNA</t>
  </si>
  <si>
    <t xml:space="preserve">23 mln mol </t>
  </si>
  <si>
    <t xml:space="preserve">88 606 00 80 </t>
  </si>
  <si>
    <t>LIVESTOCK OF CATTLE MCHJ</t>
  </si>
  <si>
    <t>JUMANAZAROV SIROJBEK ODILBEKOVICH</t>
  </si>
  <si>
    <t xml:space="preserve">23 mln oq oltin </t>
  </si>
  <si>
    <t xml:space="preserve">99 142 88 97 </t>
  </si>
  <si>
    <t>"MEDIUM SALE" MCHJ</t>
  </si>
  <si>
    <t>13,02,2025</t>
  </si>
  <si>
    <t xml:space="preserve">311 908 509
</t>
  </si>
  <si>
    <t>BOBOJONOV BAHROMBEK O‘KTAM O‘G‘LI</t>
  </si>
  <si>
    <t xml:space="preserve">14 mln matti </t>
  </si>
  <si>
    <t>OTABOYEVA YULDUZXON OLLABERGANOVNA</t>
  </si>
  <si>
    <t xml:space="preserve">12 mln tikish mashin Galaba  </t>
  </si>
  <si>
    <t>RAIMOV RAXIMBERDI RAXMONBERDI O‘G‘LI</t>
  </si>
  <si>
    <t xml:space="preserve">33 mln matsakil O`zbekiston </t>
  </si>
  <si>
    <t>IBADULLAYEV OYBEK JUMANAZAROVICH</t>
  </si>
  <si>
    <t xml:space="preserve">Xonqa  </t>
  </si>
  <si>
    <t>MATCHANOV O‘KTAMBOY ISKANDAROVICH</t>
  </si>
  <si>
    <t>MASHARIPOV QUVONCHBEK OMONGELDI O</t>
  </si>
  <si>
    <t xml:space="preserve">13 mln kom va pri </t>
  </si>
  <si>
    <t>IBRAGIMOVA GULYOR JA’SURBEK QIZI</t>
  </si>
  <si>
    <t>BABANIYAZOVA NIGARA RUSTAMOVNA</t>
  </si>
  <si>
    <t xml:space="preserve">99 098 05 14 </t>
  </si>
  <si>
    <t xml:space="preserve">1400 lik ful </t>
  </si>
  <si>
    <t>SULTONOV MARDONBEK DURDIBOYEVICH</t>
  </si>
  <si>
    <t>17,02,2025</t>
  </si>
  <si>
    <t>NURMETOV VAXOBJON RUSTAMOVICH</t>
  </si>
  <si>
    <t xml:space="preserve">Allaberganov Dilshod </t>
  </si>
  <si>
    <t xml:space="preserve">99 593 66 02 </t>
  </si>
  <si>
    <t>MOB0049101686</t>
  </si>
  <si>
    <t>MOB0049101684</t>
  </si>
  <si>
    <t xml:space="preserve">94 897 91 92 </t>
  </si>
  <si>
    <t xml:space="preserve">99 526 16 93 </t>
  </si>
  <si>
    <t xml:space="preserve">1550 lik armada kabina  </t>
  </si>
  <si>
    <t>BEKMATOV ERKABOY EGAMBERDI O‘G‘LI</t>
  </si>
  <si>
    <t xml:space="preserve">33 mln kamera quromboy </t>
  </si>
  <si>
    <t>NAZAROV SARDORBEK DAVLAT O‘G‘LI</t>
  </si>
  <si>
    <t>OTABOYEV DASTONBEK RASHID O‘G‘LI</t>
  </si>
  <si>
    <t>MATCHANOV SARVARBEK QADAMBAYEVICH</t>
  </si>
  <si>
    <t>SHOMURATOV RAVSHONBEK ILXOMOVICH</t>
  </si>
  <si>
    <t xml:space="preserve">94 602 94 00 </t>
  </si>
  <si>
    <t>ABDULLAYEVA NAVBAHOR SHUXRATOVNA</t>
  </si>
  <si>
    <t>ABDULLAYEVA SAMARA SHAVKATOVNA</t>
  </si>
  <si>
    <t xml:space="preserve">Siroj Nurli xayot </t>
  </si>
  <si>
    <t>YARLIQOV OG‘ABEK QOSIMBOY O‘G‘LI</t>
  </si>
  <si>
    <t xml:space="preserve">Mavaviyat 26 mln matablok </t>
  </si>
  <si>
    <t>TILLAYEV ISMATJON NE’MATOVICH</t>
  </si>
  <si>
    <t>DURDIYEV RASHID SAPARBAYEVICH</t>
  </si>
  <si>
    <t xml:space="preserve">33 mln mol Qalajiqala </t>
  </si>
  <si>
    <t xml:space="preserve">1350 Armada </t>
  </si>
  <si>
    <t xml:space="preserve">93 092 43 40 </t>
  </si>
  <si>
    <t>ALLABERGANOVA GULI ALLABERGAN QIZI</t>
  </si>
  <si>
    <t xml:space="preserve">15 mln matsakil nurafshon </t>
  </si>
  <si>
    <t>OTABOYEVA MAFTUNA BAXODIR QIZI</t>
  </si>
  <si>
    <t xml:space="preserve">33 mln mol 2 dona Yangiariq </t>
  </si>
  <si>
    <t xml:space="preserve">30 mln </t>
  </si>
  <si>
    <t>CONSTRUQTION CAPITAL TRADE MCHJ</t>
  </si>
  <si>
    <t>06,03,2025</t>
  </si>
  <si>
    <t>MOB0049101746</t>
  </si>
  <si>
    <t>MOB0049101747</t>
  </si>
  <si>
    <t xml:space="preserve"> 27 mln </t>
  </si>
  <si>
    <t>BOBAJONOV AZIZBEK ODILBEKOVICH</t>
  </si>
  <si>
    <t xml:space="preserve">33 mln mishalka  Quromboy </t>
  </si>
  <si>
    <t>QARRIYEVA OYMON SHONAZAR QIZI</t>
  </si>
  <si>
    <t xml:space="preserve">7 mln  kompressor </t>
  </si>
  <si>
    <t>O‘RINOV O‘RINBOY OCHILBOY O‘G‘LI</t>
  </si>
  <si>
    <t xml:space="preserve">23 ml mebel </t>
  </si>
  <si>
    <t>MADAMINOV MA’MURBEK QUDRAT O‘G‘LI</t>
  </si>
  <si>
    <t xml:space="preserve">23 mln mishalka </t>
  </si>
  <si>
    <t>O‘ROZIMBETOVA AYNURA HAMRO QIZI</t>
  </si>
  <si>
    <t xml:space="preserve">32 mln matsakil </t>
  </si>
  <si>
    <t>"GARDEN MARKET 111" MCHJ</t>
  </si>
  <si>
    <t>10,03,2025</t>
  </si>
  <si>
    <t xml:space="preserve">310 857 691
</t>
  </si>
  <si>
    <t xml:space="preserve">RASHIDOV ELYOR BAXTIYAROVICH </t>
  </si>
  <si>
    <t xml:space="preserve">33 mln maydalagik  Ruslan </t>
  </si>
  <si>
    <t>JUMANIYAZOV SARVARBEK FARXADOVICH</t>
  </si>
  <si>
    <t xml:space="preserve">14 mln ari </t>
  </si>
  <si>
    <t>ASANOVA DILNOZA TOREBAYEVNA</t>
  </si>
  <si>
    <t>HAYITBOYEVA GO‘ZAL BAHROM QIZI</t>
  </si>
  <si>
    <t xml:space="preserve">33 mln qoramol Urozmat </t>
  </si>
  <si>
    <t>MATNAZAROVA IRODA SADIQOVNA</t>
  </si>
  <si>
    <t xml:space="preserve">33 mln qora mol Ali </t>
  </si>
  <si>
    <t>TECHNICAL ACTIVE SERVICE MCHJ</t>
  </si>
  <si>
    <t>11,03,2025</t>
  </si>
  <si>
    <t>OTAMURATOV JASURBEK YO‘LDOSHEVICH</t>
  </si>
  <si>
    <t>TURAYEV UMARBEK ABDULLAYEVICH</t>
  </si>
  <si>
    <t xml:space="preserve">33 mln matsakil  99 423 67 30 </t>
  </si>
  <si>
    <t>RO‘ZIBOYEVA HABIBA OLLABERGAN QIZI</t>
  </si>
  <si>
    <t xml:space="preserve">33 mln matsakil Xursand </t>
  </si>
  <si>
    <t>BEKTURDIYEVA GULYOR SAMANDAR QIZI</t>
  </si>
  <si>
    <t>OTAMURATOV SAN’ATBEK NURMAMATOVICH</t>
  </si>
  <si>
    <t>RO‘ZIBAYEVA ZIYODA ALLABERGAN QIZI</t>
  </si>
  <si>
    <t>0248444</t>
  </si>
  <si>
    <t>YUSUPOV MUHIDDIN XABIBULLAYEVICH</t>
  </si>
  <si>
    <t>HAYITBOYEV SHERZODBEK MASHARIPOVICH</t>
  </si>
  <si>
    <t xml:space="preserve">33 mln uskuna Padyomnik  99 343 27 48 </t>
  </si>
  <si>
    <t>MASHARIPOVA OYJON ALLABERGANOVNA</t>
  </si>
  <si>
    <t xml:space="preserve">30 mln matsakil  Rahmatjon Kadastr </t>
  </si>
  <si>
    <t>QODIROVA RAXILA RAJABOVNA</t>
  </si>
  <si>
    <t xml:space="preserve">33 mln matsakil; </t>
  </si>
  <si>
    <t>EGAMBERDIYEV ALISHER RAXIMOVICH</t>
  </si>
  <si>
    <t xml:space="preserve">33 mln 88 740 84 04 </t>
  </si>
  <si>
    <t>JUMABOYEVA MANZURA QADAMBOY QIZI</t>
  </si>
  <si>
    <t xml:space="preserve">33 mln qoramol Ali </t>
  </si>
  <si>
    <t>QURBONDURDIYEVA SANAM KARIMBAYEVNA</t>
  </si>
  <si>
    <t>RAJABOVA ZULFIYA KOMILJONOVNA</t>
  </si>
  <si>
    <t xml:space="preserve">10 mln mol  Mehnatguli </t>
  </si>
  <si>
    <t xml:space="preserve"> XY 97 516 21 84 </t>
  </si>
  <si>
    <t>SULTONOVA MUQADDAS RUSTAMOVNA</t>
  </si>
  <si>
    <t>ATAJANOVA SUMBULOY RAMATJANOVNA</t>
  </si>
  <si>
    <t xml:space="preserve">33 mln matsakil 88 450 47 97 </t>
  </si>
  <si>
    <t xml:space="preserve">23 mln qora mol  </t>
  </si>
  <si>
    <t>ERKAYEV OYBEK IBROHIMOVICH</t>
  </si>
  <si>
    <t xml:space="preserve">33 mln Tegirmon </t>
  </si>
  <si>
    <t>XUDAYBERGANOV SUHROB RUSTAMOVICH</t>
  </si>
  <si>
    <t xml:space="preserve">21 mln matsakil </t>
  </si>
  <si>
    <t xml:space="preserve"> Oq Tepa </t>
  </si>
  <si>
    <t>QO‘CHQOROV RAHIMBOY ABDULLAYEVICH</t>
  </si>
  <si>
    <t>ALLABERGANOVA SAYYORA MATNAZAROVNA</t>
  </si>
  <si>
    <t xml:space="preserve">22 mln Matsaki lNurafshon </t>
  </si>
  <si>
    <t>MOB0049101781</t>
  </si>
  <si>
    <t>MOB0049101782</t>
  </si>
  <si>
    <t>QODIROVA MUHABBAT DAVRONBEKOVNA</t>
  </si>
  <si>
    <t>BOLTAYEVA GAVXAR IBRAGIMOVNA</t>
  </si>
  <si>
    <t xml:space="preserve">33 mln matsakil Xazarasp Ruslan </t>
  </si>
  <si>
    <t>O‘RINBAYEV SHAHZAD QADAMBAYEVICH</t>
  </si>
  <si>
    <t>88 859 62 22</t>
  </si>
  <si>
    <t>18,03,2025</t>
  </si>
  <si>
    <t>JUMABOYEVA SEVINCH SHAVKAT QIZI</t>
  </si>
  <si>
    <t xml:space="preserve">33 mln matskil mln Urazmat </t>
  </si>
  <si>
    <t>AXMEDOV EGAMBERDI ULUG‘BEKOVICH</t>
  </si>
  <si>
    <t xml:space="preserve">33 mln matsakil  Ali </t>
  </si>
  <si>
    <t>CENTRAL CONSTRUCTION WORLD MCHJ</t>
  </si>
  <si>
    <t>HAYTBOYEV FOZILBEK SHUKURULLO O‘G‘LI</t>
  </si>
  <si>
    <t>POLYOZOV HASAN BAXTIYOROVICH</t>
  </si>
  <si>
    <t xml:space="preserve">24 mln matsakil Umar og`a </t>
  </si>
  <si>
    <t xml:space="preserve">10 mln qoramol </t>
  </si>
  <si>
    <t>MAXMUDOVA NAFOSAT KOMILJON QIZI</t>
  </si>
  <si>
    <t xml:space="preserve"> ERNAZAROV RASHID RAJABOVICH</t>
  </si>
  <si>
    <t xml:space="preserve">23 mln baliq  </t>
  </si>
  <si>
    <t>DO‘SCHANOVA SABOHAT ARSLONBEKOVNA</t>
  </si>
  <si>
    <t xml:space="preserve">33 mln Rover </t>
  </si>
  <si>
    <t>MOB0049101794</t>
  </si>
  <si>
    <t>BAXTIYOROV MAYLIBOY BAXODIR O‘G‘LI</t>
  </si>
  <si>
    <t xml:space="preserve">25 mln moyka Ruslan Xazarasp </t>
  </si>
  <si>
    <t>ERKINOVA RO‘ZAXON XAYRULLA QIZI</t>
  </si>
  <si>
    <t xml:space="preserve">33 mln matsakil manaviyat </t>
  </si>
  <si>
    <t>PANAYEVA MALOHATXON SABIROVNA</t>
  </si>
  <si>
    <t xml:space="preserve">33 mln asal ari Manaviyat </t>
  </si>
  <si>
    <t>MATMURATOV QUVONDIQ TO‘RAYEVICH</t>
  </si>
  <si>
    <t>KAMALOV MARDONBEK AZAMATOVICH</t>
  </si>
  <si>
    <t>HASANOVA GULG‘UNCHA QUNBONNAZAROVNA</t>
  </si>
  <si>
    <t xml:space="preserve">20 mln chorva </t>
  </si>
  <si>
    <t>QODIROV DAVRONBEK RAVSHANBEK O‘G‘LI</t>
  </si>
  <si>
    <t>QUTLIMURATOV HUSNIDDIN MUXAMMAD O‘G‘LI</t>
  </si>
  <si>
    <t xml:space="preserve">33 mln qoramol </t>
  </si>
  <si>
    <t>QURONBOYEV JAMSHIDBEK HAMDAM O‘G‘LI</t>
  </si>
  <si>
    <t xml:space="preserve">ozod qara Shartnoma qilmaslik kerak </t>
  </si>
  <si>
    <t>JABBAROV ERKABOY UMIDJONOVICH</t>
  </si>
  <si>
    <t>ERKABAYEVA GULMIRA YANGIBAY QIZI</t>
  </si>
  <si>
    <t>NAZAROVA ZILOLA KUDRAT QIZI</t>
  </si>
  <si>
    <t>JABBOROV SOG‘INDIQ SHIXNAZAROVICH</t>
  </si>
  <si>
    <t xml:space="preserve">88 451 00 09 </t>
  </si>
  <si>
    <t xml:space="preserve">1900 lik alp 31  mln </t>
  </si>
  <si>
    <t>SHIXNAZAROV DIYORBEK JAVLON O‘G‘LI</t>
  </si>
  <si>
    <t xml:space="preserve">97 555 87 63 </t>
  </si>
  <si>
    <t>QO‘CHQAROV BOG‘BEK SAFARBOYEVICH</t>
  </si>
  <si>
    <t>QO‘CHQAROV RO‘ZIBOY SAFARBOYEVICH</t>
  </si>
  <si>
    <t>IBRAGIMOV XUDOYOR SAMANDAROVICH</t>
  </si>
  <si>
    <t>"STRATTON INVEST TEX" MCHJ</t>
  </si>
  <si>
    <t>28,03,2025</t>
  </si>
  <si>
    <t>QURYOZOV RASULBEK TAG‘ONDURDIYEVICH</t>
  </si>
  <si>
    <t xml:space="preserve">28 mln ari  Nurli xayot 94 232 90 70 </t>
  </si>
  <si>
    <t>XUDAYOROVA SHOXISTA BARDAM QIZI</t>
  </si>
  <si>
    <t>07041999</t>
  </si>
  <si>
    <t>XAYITOVA RISOLAT YARASHBAYEVNA</t>
  </si>
  <si>
    <t>01,04,2025</t>
  </si>
  <si>
    <t xml:space="preserve">Ro`ziboyev Xamid </t>
  </si>
  <si>
    <t xml:space="preserve">50 554 18 85 </t>
  </si>
  <si>
    <t>"NEW BRIGHT CAPITAL</t>
  </si>
  <si>
    <t>NEW SEASON INVEST</t>
  </si>
  <si>
    <t>MALIKOV ULUG‘BEK UMID O‘G‘LI</t>
  </si>
  <si>
    <t xml:space="preserve">77 214 92 87 </t>
  </si>
  <si>
    <t xml:space="preserve">Zinoxos </t>
  </si>
  <si>
    <t>SADULLAYEVA MALOHAT QADAMBAYEVNA</t>
  </si>
  <si>
    <t xml:space="preserve">33 mln mol Sohibkor </t>
  </si>
  <si>
    <t>ABDIRIMOV ALIMBOY BOTIROVICH</t>
  </si>
  <si>
    <t xml:space="preserve">33 mln granula </t>
  </si>
  <si>
    <t>SAPAYEV MUXIDDIN UMRBEK O‘G‘LI</t>
  </si>
  <si>
    <t xml:space="preserve"> 99 429 07 00 </t>
  </si>
  <si>
    <t>AXMEDOVA ANAXON RAVSHANBEKOVNA</t>
  </si>
  <si>
    <t xml:space="preserve">95 258 28 64 </t>
  </si>
  <si>
    <t xml:space="preserve">38 mln kredit 5 mln naqd 33 kredit  5 mlnni berdi </t>
  </si>
  <si>
    <t>RAXMANOVA MAXFUZA MATNAZAROVNA</t>
  </si>
  <si>
    <t xml:space="preserve">6,5 mln 5 mashin 32,5 mln </t>
  </si>
  <si>
    <t>MATYAKUBOV FURKAT EGAMBERDIYEVICH</t>
  </si>
  <si>
    <t xml:space="preserve">33 mln matsakil Xazarasp </t>
  </si>
  <si>
    <t xml:space="preserve">88 302 04 85 </t>
  </si>
  <si>
    <t xml:space="preserve">Alp 2650 lik qo`sha balon </t>
  </si>
  <si>
    <t xml:space="preserve">puli berildi </t>
  </si>
  <si>
    <t>MOB0049101851</t>
  </si>
  <si>
    <t>"EXPENSIV BIZNES" MCHJ</t>
  </si>
  <si>
    <t>MOB0049101853</t>
  </si>
  <si>
    <t>MOB0049101854</t>
  </si>
  <si>
    <t>MATNAZAROVA ANAJON ILXOM QIZI</t>
  </si>
  <si>
    <t>JUMAMURATOVA OLTINOY ERKABAY QIZI</t>
  </si>
  <si>
    <t xml:space="preserve">33 mln qora mol beruniy </t>
  </si>
  <si>
    <t>TAKAJANOV MURODJON XO‘JANAZAROVICH</t>
  </si>
  <si>
    <t>SOTIMOV JAMSHIDBEK ABDUSHARIPOVICH</t>
  </si>
  <si>
    <t xml:space="preserve">33 mln matsakil Ali </t>
  </si>
  <si>
    <t>KUCHKAROV ZAFAR BABADJANOVICH</t>
  </si>
  <si>
    <t xml:space="preserve">33 mln akfa stanok </t>
  </si>
  <si>
    <t>SAPAYEVA INTIZAR XUDAYBERDIYEVNA</t>
  </si>
  <si>
    <t xml:space="preserve">33 mln matti </t>
  </si>
  <si>
    <t xml:space="preserve">33 mln mol Mehnatguli </t>
  </si>
  <si>
    <t xml:space="preserve">"WHITE GOLD PANEL" MCHJ
</t>
  </si>
  <si>
    <t>14,04,2025</t>
  </si>
  <si>
    <t xml:space="preserve"> JUMABOYEV UMARBEK RAXIMOVICH</t>
  </si>
  <si>
    <t>MAVLONOVA DILNOZA IBRAGIMOVNA</t>
  </si>
  <si>
    <t xml:space="preserve">Maxsulot </t>
  </si>
  <si>
    <t xml:space="preserve">Inventor </t>
  </si>
  <si>
    <t xml:space="preserve">Kabel </t>
  </si>
  <si>
    <t xml:space="preserve">Panel </t>
  </si>
  <si>
    <t xml:space="preserve">Aftamat </t>
  </si>
  <si>
    <t xml:space="preserve">Solax Deye Xuawei </t>
  </si>
  <si>
    <t xml:space="preserve">DC kabel 0,4 - 0,6 </t>
  </si>
  <si>
    <t xml:space="preserve">Nomi </t>
  </si>
  <si>
    <t xml:space="preserve">Bog`ot Energiya Panel </t>
  </si>
  <si>
    <t xml:space="preserve">Tel </t>
  </si>
  <si>
    <t>KALANDAROV ODILBEK ISLOMBAYEVICH</t>
  </si>
  <si>
    <t xml:space="preserve">23 mln santexnika nabor </t>
  </si>
  <si>
    <t>Sotildi</t>
  </si>
  <si>
    <t>MOB0049101905</t>
  </si>
  <si>
    <t>YAXSHIMURATOV NURULLA YO‘LDOSHOVICH</t>
  </si>
  <si>
    <t>BAYRAMDURDIYEV JUMANAZAR ULUG‘BEK O‘G‘LI</t>
  </si>
  <si>
    <t xml:space="preserve">28 mln kantener </t>
  </si>
  <si>
    <t xml:space="preserve">namuna </t>
  </si>
  <si>
    <t xml:space="preserve">94 562 53 83 </t>
  </si>
  <si>
    <t xml:space="preserve">Armada 1400 lik </t>
  </si>
  <si>
    <t>YOQUBOVA OYSHAJON BOTIRBAYEVNA</t>
  </si>
  <si>
    <t>ABDALOV SARDAR BAXADIROVICH</t>
  </si>
  <si>
    <t xml:space="preserve">15 mln pechka Ullug`bek Beruniy </t>
  </si>
  <si>
    <t>NURMETOV QUDRAT JUMABAYEVICH</t>
  </si>
  <si>
    <t xml:space="preserve">23 mln matsakil  ali Ustalar </t>
  </si>
  <si>
    <t>ATANIYAZOVA NADIRA RUZIMOVNA</t>
  </si>
  <si>
    <t xml:space="preserve">33 mln freyzer aparat </t>
  </si>
  <si>
    <t xml:space="preserve"> Xazarasp </t>
  </si>
  <si>
    <t xml:space="preserve">93 929 11 88 </t>
  </si>
  <si>
    <t>SAMANDAROV SHOXBOZ ZOKIR O‘G‘LI</t>
  </si>
  <si>
    <t xml:space="preserve">32 mln alp  1900  dollar </t>
  </si>
  <si>
    <t>ESHJONOVA NARGIZA BAHODIR QIZI</t>
  </si>
  <si>
    <t>DURDIYEVA GUZALXON ERKINBOY QIZI</t>
  </si>
  <si>
    <t xml:space="preserve">33 mln stanok </t>
  </si>
  <si>
    <t>RAZZAQOVA ZULXUMOR SHOKIR QIZI</t>
  </si>
  <si>
    <t xml:space="preserve">29 mln qoramol </t>
  </si>
  <si>
    <t>OLLASHKUROVA MUQADDAS RAVSHANBEK QIZI</t>
  </si>
  <si>
    <t xml:space="preserve">100 mln Baliq Elyor </t>
  </si>
  <si>
    <t>SALAYEV BAXROMBEK KUVONDIKOVICH</t>
  </si>
  <si>
    <t xml:space="preserve">25,5 mln  matsakil </t>
  </si>
  <si>
    <t>24,04,2025</t>
  </si>
  <si>
    <t xml:space="preserve">Yangi Tijorat  mchj </t>
  </si>
  <si>
    <t>MOB0049101928</t>
  </si>
  <si>
    <t>15,06,2025</t>
  </si>
  <si>
    <t xml:space="preserve">93 565 16 73 </t>
  </si>
  <si>
    <t xml:space="preserve">1400 liik </t>
  </si>
  <si>
    <t xml:space="preserve">93 743 37 63 </t>
  </si>
  <si>
    <t xml:space="preserve">Uragan 2150 lik 32 mln </t>
  </si>
  <si>
    <t xml:space="preserve">77 042 35 72 </t>
  </si>
  <si>
    <t>MATYAKUBOVA AZIZA RAXIMOVNA</t>
  </si>
  <si>
    <t>TAJIYEVA MANZURA SABIROVNA</t>
  </si>
  <si>
    <t>RAJABBOYEVA SAYOTXON MATYOQUBOVNA</t>
  </si>
  <si>
    <t>04011977</t>
  </si>
  <si>
    <t>ABDULLAYEV OMANBOY NURULLAYEVICH</t>
  </si>
  <si>
    <t xml:space="preserve">33 mln motoblok  Xonqa </t>
  </si>
  <si>
    <t>BALTAYEV ULUG‘BEK XAKIMOVICH</t>
  </si>
  <si>
    <t xml:space="preserve">Rahimova Zumrad </t>
  </si>
  <si>
    <t xml:space="preserve">99 501 43 89 </t>
  </si>
  <si>
    <t xml:space="preserve">Uragan 1550 lik 27 mln </t>
  </si>
  <si>
    <t xml:space="preserve">50 711 09 76 </t>
  </si>
  <si>
    <t xml:space="preserve">99 116 97 20 </t>
  </si>
  <si>
    <t>ALLABERGANOV ASKAR RUZMATOVICH</t>
  </si>
  <si>
    <t>ACHILOV ILYOSBEK OLLABERGANOVICH</t>
  </si>
  <si>
    <t>JABBERGANOVA ZULFIYA SHAVKATOVNA</t>
  </si>
  <si>
    <t>RAXMONOVA GULXAYO ZARIPOVNA</t>
  </si>
  <si>
    <t>RO‘ZMETOV MATKARIM QUVONDIQ O‘G‘LI</t>
  </si>
  <si>
    <t xml:space="preserve">33 mln Manablok </t>
  </si>
  <si>
    <t>OMONBOYEVA LOBAR NE’MAT QIZI</t>
  </si>
  <si>
    <t xml:space="preserve">23 mln ari </t>
  </si>
  <si>
    <t>EGAMBERDIYEVA NODIRAXON RUZIMBOYEVNA</t>
  </si>
  <si>
    <t>ALLAYOROV SARVAR AXMEDOVICH</t>
  </si>
  <si>
    <t xml:space="preserve">100 mln Baliq yemi </t>
  </si>
  <si>
    <t xml:space="preserve">97 299 23 97 </t>
  </si>
  <si>
    <t xml:space="preserve">93 158 79 00 </t>
  </si>
  <si>
    <t>SAIDNAZAROV G‘ULOMJON MAQSUDBEK O‘G‘LI</t>
  </si>
  <si>
    <t xml:space="preserve">27 mln chorva </t>
  </si>
  <si>
    <t xml:space="preserve">shirin MFY </t>
  </si>
  <si>
    <t xml:space="preserve">99 966 86 14 </t>
  </si>
  <si>
    <t xml:space="preserve">50 753 98 11 </t>
  </si>
  <si>
    <t xml:space="preserve">2150 lik Uragan 33 mln </t>
  </si>
  <si>
    <t>QO‘SHAKOV ATABEK SHONAZAROVICH</t>
  </si>
  <si>
    <t xml:space="preserve">20 mln qora mol </t>
  </si>
  <si>
    <t>DO‘SOV ULUG‘BEK SOBIROVICH</t>
  </si>
  <si>
    <t xml:space="preserve">25 mln qoramol </t>
  </si>
  <si>
    <t>NURILLAYEV VALIJON HAMDAMOVICH</t>
  </si>
  <si>
    <t xml:space="preserve">AXMEDOV MADAMINBEK QADAM </t>
  </si>
  <si>
    <t>ALIMOV ILYOSBEK MAXSUD O‘G‘LI</t>
  </si>
  <si>
    <t xml:space="preserve">95 760 10 74 </t>
  </si>
  <si>
    <t xml:space="preserve">2250 lik 35 mln  Alp </t>
  </si>
  <si>
    <t>RAXIMBERDIYEV MADAMIN ABDIRIMOVICH</t>
  </si>
  <si>
    <t>atkaz</t>
  </si>
  <si>
    <t>YUSUPBOYEV ELYORBEK ERGASHOVICH</t>
  </si>
  <si>
    <t xml:space="preserve">33 mln qora mol </t>
  </si>
  <si>
    <t>ATAJONOVA MADINA AZAMATOVNA</t>
  </si>
  <si>
    <t>SAPAYEV OG‘ABEK RO‘ZIBOY O‘G‘LI</t>
  </si>
  <si>
    <t>JUMANIYAZOV DILMUROD RASHID O‘G‘LI</t>
  </si>
  <si>
    <t>RAJABOV ABBOSBEK AZAMAT O‘G‘LI</t>
  </si>
  <si>
    <t xml:space="preserve">25 mln qora Mol </t>
  </si>
  <si>
    <t>BEKCHANOVA MEHRIBON RO‘ZIMBAYEVNA</t>
  </si>
  <si>
    <t xml:space="preserve">33 mln g`isht ishlab chiqarish </t>
  </si>
  <si>
    <t>RAXIMOV IKROMBOY TO‘XTABOYEVICH</t>
  </si>
  <si>
    <t>RUZMETOVA DILRABO YULDASHEVNA</t>
  </si>
  <si>
    <t>ISLOMOV JALOLBEK OMONBOY O‘G‘LI</t>
  </si>
  <si>
    <t xml:space="preserve">33 mln konteyner </t>
  </si>
  <si>
    <t>XUDOYKULOVA GULZODA QOSIMOVNA</t>
  </si>
  <si>
    <t>"BIO CHORVA" MCHJ</t>
  </si>
  <si>
    <t>05,05,2025</t>
  </si>
  <si>
    <t>QODIROVA MUNIRA ABDIRIM QIZI</t>
  </si>
  <si>
    <t xml:space="preserve">17 mln mol </t>
  </si>
  <si>
    <t>RAJABOV SAPABOY QAXRAMON O‘G‘LI</t>
  </si>
  <si>
    <t xml:space="preserve">20 mln mol </t>
  </si>
  <si>
    <t>BAYRAMOV MAVLONBERDI RO‘ZIBOYEVICH</t>
  </si>
  <si>
    <t>ABDIRIMOVA MUKADDAS ISMOYILOVNA</t>
  </si>
  <si>
    <t>SAYIDOVA NAZOKAT UKTAMBEKOVNA</t>
  </si>
  <si>
    <t xml:space="preserve">23 mln qoramol </t>
  </si>
  <si>
    <t xml:space="preserve">93 705 83 53 </t>
  </si>
  <si>
    <t>KARIMOVA NARGIZA OLIMJON QIZI</t>
  </si>
  <si>
    <t xml:space="preserve">Mang`it O`rozmat </t>
  </si>
  <si>
    <t>YULDASHEVA GULXONIM BOBOJONOVNA</t>
  </si>
  <si>
    <t>YO‘LDOSHOVA CHAROS ULUG‘BEK QIZI</t>
  </si>
  <si>
    <t>SAYIDOV OYBEK UKTAMBEKOVICH</t>
  </si>
  <si>
    <t>XO‘JAYEVA DILRABO RAMATOVNA</t>
  </si>
  <si>
    <t>EASTBRIDGE COMMERCE MCHJ</t>
  </si>
  <si>
    <t>06,05,2025</t>
  </si>
  <si>
    <t>TO‘RAYEV JO‘RABEK ADAMBOYEVICH</t>
  </si>
  <si>
    <t xml:space="preserve">24 mln ari </t>
  </si>
  <si>
    <t>JABBOROV DIYORBEK BEXZOD O‘G‘LI</t>
  </si>
  <si>
    <t>QO‘CHQAROV SHERALI MIRZABAYEVICH</t>
  </si>
  <si>
    <t>OTAXONOV ASADBEK MIRZABOY O‘G‘LI</t>
  </si>
  <si>
    <t xml:space="preserve">Ari  21,9999 mln </t>
  </si>
  <si>
    <t>JABBAROV JUMABOY IBRAGIMOVICH</t>
  </si>
  <si>
    <t xml:space="preserve">Ari 33 mln </t>
  </si>
  <si>
    <t xml:space="preserve">2250 alp 33 mln </t>
  </si>
  <si>
    <t xml:space="preserve">Mangliyev Ixtiyor </t>
  </si>
  <si>
    <t xml:space="preserve">600 lik </t>
  </si>
  <si>
    <t xml:space="preserve">97 090 09 94 </t>
  </si>
  <si>
    <t>BABADJANOV UMIDJON BERDIRAYIMOVICH</t>
  </si>
  <si>
    <t>ORTIQOV SHOKIRBOY O‘KTAMBOYEVICH</t>
  </si>
  <si>
    <t xml:space="preserve">33 mln matsakil  Shokir og`a </t>
  </si>
  <si>
    <t>ATAMUROTOVA ILMIRA YO‘LDOSHEVNA</t>
  </si>
  <si>
    <t>SAPAYEVA RISOLAT ABDIRIMOVNA</t>
  </si>
  <si>
    <t xml:space="preserve">Sapayev Sherzod </t>
  </si>
  <si>
    <t>SAPAYEV DONIYOR SULTONBOYEVICH</t>
  </si>
  <si>
    <t>MOB0049101966</t>
  </si>
  <si>
    <t>MOB0049101967</t>
  </si>
  <si>
    <t>ISKANDAROVA GULBAHOR OTABOYEVNA</t>
  </si>
  <si>
    <t>SABIROV NIZAMJON SHAMURATOVICH</t>
  </si>
  <si>
    <t xml:space="preserve">23 mln pechka </t>
  </si>
  <si>
    <t>MADAMINOVA MOHICHEHRA AZAMAT QIZI</t>
  </si>
  <si>
    <t xml:space="preserve">33 mln 2 matsakil </t>
  </si>
  <si>
    <t>MATNAZAROVA MANZURA XAITMAMATOVNA</t>
  </si>
  <si>
    <t xml:space="preserve">Davletova Mardona </t>
  </si>
  <si>
    <t xml:space="preserve">50 509 96 20 </t>
  </si>
  <si>
    <t>G‘OPIROVA DILSHODA RUSTAMBOYEVNA</t>
  </si>
  <si>
    <t>ISKANDAROVA GULASAL SAFARBOYEVNA</t>
  </si>
  <si>
    <t xml:space="preserve">5 mln parranda </t>
  </si>
  <si>
    <t>XUDAYBERGANOVA MALOXAT YARASHOVNA</t>
  </si>
  <si>
    <t xml:space="preserve">77 249 17 15 </t>
  </si>
  <si>
    <t xml:space="preserve">iyun </t>
  </si>
  <si>
    <t>ESHNAZAROV IBODULLA XUDAZAROVICH</t>
  </si>
  <si>
    <t xml:space="preserve">Matchanov Abror </t>
  </si>
  <si>
    <t>SOBIROVA FAZILAT RAXMANOVNA</t>
  </si>
  <si>
    <t>QURANBAYEV ELYORBEK QUVONDIQ O‘G‘LI</t>
  </si>
  <si>
    <t>SAIDOV MUZAFFAR JUMANAZAR O‘G‘LI</t>
  </si>
  <si>
    <t xml:space="preserve">32 mln mol chorva </t>
  </si>
  <si>
    <t>JANGIROV SUNNATULLA PO‘LAT O‘G‘LI</t>
  </si>
  <si>
    <t xml:space="preserve">13,05,2025 Ko`narirlashuv Xokim yordamchi </t>
  </si>
  <si>
    <t>2600 lik Alp samasval qo`sha balon ko`k  36 mln  - 3  Mln berdi 13,05,2025</t>
  </si>
  <si>
    <t>ORTIQOV RASULBEK ISMAILOVICH</t>
  </si>
  <si>
    <t>JOLDASOV ZAFARBEK PARDABAY O‘G‘LI</t>
  </si>
  <si>
    <t>JUMANIYAZOVA GULNOZA QO‘ZIBAYEVNA</t>
  </si>
  <si>
    <t>KOZIYEV ASQAR BAXTIYAROVICH</t>
  </si>
  <si>
    <t>05061993</t>
  </si>
  <si>
    <t xml:space="preserve">1000 lik </t>
  </si>
  <si>
    <t xml:space="preserve">99 516 07 79 </t>
  </si>
  <si>
    <t>"SMART PANEL" MCHJ</t>
  </si>
  <si>
    <t>15,05,2025</t>
  </si>
  <si>
    <t xml:space="preserve">312 130 568
</t>
  </si>
  <si>
    <t xml:space="preserve">"INTERNATSIONAL TOMORQA" MCHJ
</t>
  </si>
  <si>
    <t xml:space="preserve">312 133 721
</t>
  </si>
  <si>
    <t xml:space="preserve">33 mln  qora Mol </t>
  </si>
  <si>
    <t>SOLIYEVA SHAXZODA NE’MAT QIZI</t>
  </si>
  <si>
    <t>YEGAMBERGANOV BUNYODBEK RUSTAM O‘G‘LI</t>
  </si>
  <si>
    <t>SULTANOVA SHOIRA YUSUPBAYEVNA</t>
  </si>
  <si>
    <t>YUSUPOVA YULDUZ JUMABAY QIZI</t>
  </si>
  <si>
    <t xml:space="preserve">23 mln chorva </t>
  </si>
  <si>
    <t>BOLTAYEV QUVONCHBEK QUVONDIQOVICH</t>
  </si>
  <si>
    <t xml:space="preserve">1550 lik Uragan </t>
  </si>
  <si>
    <t xml:space="preserve">88 606 08 89 </t>
  </si>
  <si>
    <t>YO‘LDOSHEV EGAMBERDI ISLOMBOY O‘G‘LI</t>
  </si>
  <si>
    <t>QO‘SHNAZAROVA SO‘NAJON BEKCHONOVNA</t>
  </si>
  <si>
    <t>QODIROV DIYORBEK RUSLANBEK O‘G‘LI</t>
  </si>
  <si>
    <t>SOBIROVA NASIBA KENJAYEVNA</t>
  </si>
  <si>
    <t xml:space="preserve">12 mln mol </t>
  </si>
  <si>
    <t>SAPAYEV RASUL QADAMBOYEVICH</t>
  </si>
  <si>
    <t xml:space="preserve">Bekmurotova Chamangul </t>
  </si>
  <si>
    <t xml:space="preserve">99 150 86 88 </t>
  </si>
  <si>
    <t>32 mln Alp 1950</t>
  </si>
  <si>
    <t>MADAMINOV IZZATBEK SAMANDAR O‘G‘LI</t>
  </si>
  <si>
    <t>05028118</t>
  </si>
  <si>
    <t xml:space="preserve">33 mln avtoko`targich </t>
  </si>
  <si>
    <t>XODJAMURATOV TURG‘UNJON KOMILJONOVICH</t>
  </si>
  <si>
    <t xml:space="preserve">33 mln granula aparat </t>
  </si>
  <si>
    <t xml:space="preserve">99 964 91 71 </t>
  </si>
  <si>
    <t>RAXIMOV DILSHOD MUXTOR O‘G‘LI</t>
  </si>
  <si>
    <t xml:space="preserve">33 mln matsakil Durvadik </t>
  </si>
  <si>
    <t>MOB0049101986</t>
  </si>
  <si>
    <t>M816SMART 600966</t>
  </si>
  <si>
    <t>MOB0049101997</t>
  </si>
  <si>
    <t>"EKO AGRO FERMA" MCHJ</t>
  </si>
  <si>
    <t>31,05,2025</t>
  </si>
  <si>
    <t>"EKO ZIYO PANEL" MCHJ</t>
  </si>
  <si>
    <t>BOLTAYEVA NUKULJON RAZAKOVNA</t>
  </si>
  <si>
    <t xml:space="preserve">20,62 mln matsakil </t>
  </si>
  <si>
    <t xml:space="preserve">kartalar </t>
  </si>
  <si>
    <t>Sabo</t>
  </si>
  <si>
    <t xml:space="preserve">Nafasov Faxriddin </t>
  </si>
  <si>
    <t xml:space="preserve">77 090 23 82 </t>
  </si>
  <si>
    <t xml:space="preserve">Gaynulina Rafina </t>
  </si>
  <si>
    <t xml:space="preserve">99 737 47 57 </t>
  </si>
  <si>
    <t xml:space="preserve">Skuter 780 lik </t>
  </si>
  <si>
    <t xml:space="preserve">50 589 69 88 </t>
  </si>
  <si>
    <t>YUSUPOV SANJAR OMANBOYEVICH</t>
  </si>
  <si>
    <t>88 485 20 55</t>
  </si>
  <si>
    <t xml:space="preserve">Sharipov Otaxon </t>
  </si>
  <si>
    <t xml:space="preserve">99 569 24 29 </t>
  </si>
  <si>
    <t xml:space="preserve">Ro`zmetov Xamro </t>
  </si>
  <si>
    <t xml:space="preserve">99 123 65 36 </t>
  </si>
  <si>
    <t xml:space="preserve">Alp 1900 lik 30 mln </t>
  </si>
  <si>
    <t xml:space="preserve">To`xtaboyev Javoxir </t>
  </si>
  <si>
    <t xml:space="preserve">94 237 13 79 </t>
  </si>
  <si>
    <t xml:space="preserve">99 037 36 16 </t>
  </si>
  <si>
    <t xml:space="preserve">77 141 14 76 </t>
  </si>
  <si>
    <t xml:space="preserve">Berdiyev Jaxongir </t>
  </si>
  <si>
    <t xml:space="preserve">97 528 30 02 </t>
  </si>
  <si>
    <t xml:space="preserve">93 436 39 26 </t>
  </si>
  <si>
    <t xml:space="preserve">93 065 30 42 </t>
  </si>
  <si>
    <t>93 750 13 00</t>
  </si>
  <si>
    <t>AMETOVA INOBAT ALLAYAROVNA</t>
  </si>
  <si>
    <t xml:space="preserve">33 mln matsakil Urazmat </t>
  </si>
  <si>
    <t>MOB0049102023</t>
  </si>
  <si>
    <t>MOB0049102024</t>
  </si>
  <si>
    <t>03,06,2025</t>
  </si>
  <si>
    <t xml:space="preserve">97 512 05 63 </t>
  </si>
  <si>
    <t>"TIJORAT NEXT" MCHJ</t>
  </si>
  <si>
    <t xml:space="preserve">88 478 90 92 </t>
  </si>
  <si>
    <t xml:space="preserve">Uragan 1900  30 mln </t>
  </si>
  <si>
    <t>MADAMINOVA FAROG‘AT QO‘CHQORBOYEVNA</t>
  </si>
  <si>
    <t>RAXIMOV XAYRULLA AMANBOYEVICH</t>
  </si>
  <si>
    <t xml:space="preserve">94 385 58 01 </t>
  </si>
  <si>
    <t xml:space="preserve">Jumaniyozova Mavluda </t>
  </si>
  <si>
    <t xml:space="preserve">94 235 62 60 </t>
  </si>
  <si>
    <t xml:space="preserve">99 459 36 09 </t>
  </si>
  <si>
    <t xml:space="preserve">95 970 00 60 </t>
  </si>
  <si>
    <t xml:space="preserve">95 796 08 76 </t>
  </si>
  <si>
    <t xml:space="preserve">88 510 00 67 </t>
  </si>
  <si>
    <t xml:space="preserve">Karimova Ro`zaxon </t>
  </si>
  <si>
    <t xml:space="preserve">50 705 07 94 </t>
  </si>
  <si>
    <t xml:space="preserve">Alp 2300 lik 35 mln </t>
  </si>
  <si>
    <t xml:space="preserve">88 514 90 91 </t>
  </si>
  <si>
    <t xml:space="preserve">99 133 02 81 </t>
  </si>
  <si>
    <t>MADAMINOV NODIRBEK SADULLA O‘G‘LI</t>
  </si>
  <si>
    <t>INNOVATIONS STYL MCHJ</t>
  </si>
  <si>
    <t>20,06,2025</t>
  </si>
  <si>
    <t>AMATOV ERKINBOY DAVRONBEK O‘G‘LI</t>
  </si>
  <si>
    <t>M816tijorat  600969</t>
  </si>
  <si>
    <t>SAPABOYEVA MASHHURABONU JASUR QIZI</t>
  </si>
  <si>
    <t xml:space="preserve">33 mln chorva Xuriyat </t>
  </si>
  <si>
    <t>ALLANAZAROV XUDASHKUR QO‘ZIYEVICH</t>
  </si>
  <si>
    <t xml:space="preserve">30 mln churva Xurriyat </t>
  </si>
  <si>
    <t>MADRIMOVA ZULXUMOR SABIROVNA</t>
  </si>
  <si>
    <t>EGAMBERDIYEVA AVAZJON IBRAGIMOVNA</t>
  </si>
  <si>
    <t>DAVLETOVA LOBAR SHAVKATOVNA</t>
  </si>
  <si>
    <t xml:space="preserve">33 mln chorva Sahohat </t>
  </si>
  <si>
    <t>JUMANIYAZOV SHARIFBOY SAPABOYEVICH</t>
  </si>
  <si>
    <t>RAXMANOVA GULMIRA NE’MATJONOVNA</t>
  </si>
  <si>
    <t xml:space="preserve">33 mln salon Ali </t>
  </si>
  <si>
    <t>ё</t>
  </si>
  <si>
    <t xml:space="preserve">XB tel shokir og`a </t>
  </si>
  <si>
    <t>AXMEDOV MAXKAMBEK ILXOMBOY O‘G‘LI</t>
  </si>
  <si>
    <t xml:space="preserve">33 mln matti urazmat darmonblu </t>
  </si>
  <si>
    <t xml:space="preserve">88 211 93 86 </t>
  </si>
  <si>
    <t xml:space="preserve">Ibadullayeva Nargiz </t>
  </si>
  <si>
    <t xml:space="preserve">33 256 13 69 </t>
  </si>
  <si>
    <t xml:space="preserve">97 790 66 84 </t>
  </si>
  <si>
    <t xml:space="preserve">95 052 29 27 </t>
  </si>
  <si>
    <t>BEYMATOV MUXAMMAD AXMADOVICH</t>
  </si>
  <si>
    <t xml:space="preserve">30 motti Quromboy </t>
  </si>
  <si>
    <t>JUMANIYOZOV XUDOYSHUKUR</t>
  </si>
  <si>
    <t>01,07,2025</t>
  </si>
  <si>
    <t>SOLAX POWER HEAT MCHJ</t>
  </si>
  <si>
    <t>YANGIARIQ ECO CHORVA FARMIX MCHJ</t>
  </si>
  <si>
    <t>"INNOVATSION TIJORAT" MCHJ</t>
  </si>
  <si>
    <t xml:space="preserve">97 221 35 86 </t>
  </si>
  <si>
    <t xml:space="preserve">95 173 08 83 </t>
  </si>
  <si>
    <t xml:space="preserve">99 711 92 15 </t>
  </si>
  <si>
    <t xml:space="preserve">Alp 2600 lik 38 mln 1 mln va 9 mln berdi </t>
  </si>
  <si>
    <t xml:space="preserve">Qurbonov  Shuxrat </t>
  </si>
  <si>
    <t xml:space="preserve">93 221 14 52 </t>
  </si>
  <si>
    <t xml:space="preserve">Uragan 2300 lik 33 mln berildi </t>
  </si>
  <si>
    <t xml:space="preserve"> RO‘ZIBOYEV HASANBOY HAMID O‘G‘LI</t>
  </si>
  <si>
    <t>QURBANOV ERGASH PO‘LATOVICH</t>
  </si>
  <si>
    <t xml:space="preserve">99 564 43 53 </t>
  </si>
  <si>
    <t>XO‘JAKOV AXMEDJON</t>
  </si>
  <si>
    <t>ALLAZAROVA MAMURA</t>
  </si>
  <si>
    <t>Eshchanova Laylo ( Kurbonova Charos )</t>
  </si>
  <si>
    <t xml:space="preserve">Madaniyat  </t>
  </si>
  <si>
    <t xml:space="preserve">95 040 01 80 </t>
  </si>
  <si>
    <t xml:space="preserve">77 052 77 16 Qudrat o`ga orqali </t>
  </si>
  <si>
    <t xml:space="preserve">Alp 2600 lik 33 mln </t>
  </si>
  <si>
    <t>Sadullayev Jaxongir ( Olimova Orzugul )</t>
  </si>
  <si>
    <t xml:space="preserve">88 039 03 99 </t>
  </si>
  <si>
    <t>JUMANAZAROVA NODIRA MATNAZAR QIZ</t>
  </si>
  <si>
    <t>AMINBOYEV RASULBEK ANVAR O‘G‘LI( Yusupov Javlon )</t>
  </si>
  <si>
    <t>Boltayev Zafar ( Boltayeva Lobar )</t>
  </si>
  <si>
    <t xml:space="preserve">TECH NEST 777 MCHJ </t>
  </si>
  <si>
    <t>10,07,2025</t>
  </si>
  <si>
    <t xml:space="preserve">10,07,2025 6 mln olindi </t>
  </si>
  <si>
    <t xml:space="preserve">94 108 97 19 </t>
  </si>
  <si>
    <t xml:space="preserve">Flex mchj </t>
  </si>
  <si>
    <t>MASHARIPOVA RAYXONA SAMAD QIZI</t>
  </si>
  <si>
    <t xml:space="preserve">27 mln motti </t>
  </si>
  <si>
    <t xml:space="preserve">33 mln 1900 lik Uragan </t>
  </si>
  <si>
    <t>MASHARIPOVA NAZOKAT KADIRBERDIYEVNA</t>
  </si>
  <si>
    <t>MATCHANOVA SHIRINOY MAQSUD QIZI</t>
  </si>
  <si>
    <t>ABDULLAYEV NE’MATJON SOBIROVICH</t>
  </si>
  <si>
    <t>ABDULLAYEVA SHAKARJON PO‘LATOVNA</t>
  </si>
  <si>
    <t>MATNAZAROV RO‘ZIM ABDULLAYEVICH</t>
  </si>
  <si>
    <t xml:space="preserve">agro </t>
  </si>
  <si>
    <t xml:space="preserve">93 253 84 40 </t>
  </si>
  <si>
    <t xml:space="preserve">Pelonis 30 mln kredit </t>
  </si>
  <si>
    <t xml:space="preserve">To`rayeva Soxiba </t>
  </si>
  <si>
    <t xml:space="preserve">Qo`shnazarov Ravshan </t>
  </si>
  <si>
    <t xml:space="preserve">93 494 97 17 </t>
  </si>
  <si>
    <t xml:space="preserve">(ATAMUROTOVA GULYOR IKROMOVNA ) Otanmurotov Dadaxon  </t>
  </si>
  <si>
    <t>BABAYEV MUZAFFAR ATABAYEVICH</t>
  </si>
  <si>
    <t xml:space="preserve">88 360 00 79 </t>
  </si>
  <si>
    <t xml:space="preserve">Alp 2600 lik  38  mln naqd bermadi </t>
  </si>
  <si>
    <t xml:space="preserve">95 069 06 84 </t>
  </si>
  <si>
    <t xml:space="preserve">93 139 51 91 </t>
  </si>
  <si>
    <t xml:space="preserve">77 158 22 30 </t>
  </si>
  <si>
    <t xml:space="preserve">Razzaqov Ulugbek </t>
  </si>
  <si>
    <t xml:space="preserve">97 457 99 55 </t>
  </si>
  <si>
    <t xml:space="preserve">99 378 99 92 </t>
  </si>
  <si>
    <t xml:space="preserve">Gadaniyozov Maqsud </t>
  </si>
  <si>
    <t xml:space="preserve">99 696 17 03 </t>
  </si>
  <si>
    <t>01,08,2025</t>
  </si>
  <si>
    <t xml:space="preserve">94 272 52 58 </t>
  </si>
  <si>
    <t xml:space="preserve">ECO DEYE TRADE           </t>
  </si>
  <si>
    <t>TECHNICAL GROUP LINE</t>
  </si>
  <si>
    <t xml:space="preserve"> EKOLOGIK MARKET</t>
  </si>
  <si>
    <t>YANGIARIQ RANCHO</t>
  </si>
  <si>
    <t>EXPENSIV ACTIVE SERVICE</t>
  </si>
  <si>
    <t>20,07,2025</t>
  </si>
  <si>
    <t xml:space="preserve">Xalq Banki  Bekzod </t>
  </si>
  <si>
    <t xml:space="preserve">Agrobank Shokir og`a </t>
  </si>
  <si>
    <t xml:space="preserve">XB qahramon </t>
  </si>
  <si>
    <t>SHARIPOVA GULI FARHODOVNA</t>
  </si>
  <si>
    <t xml:space="preserve">33 mln Motomort </t>
  </si>
  <si>
    <t>M816TECH   600974</t>
  </si>
  <si>
    <t>M816Technical  600976</t>
  </si>
  <si>
    <t xml:space="preserve">99 098 71 51 </t>
  </si>
  <si>
    <t xml:space="preserve">Qurbonboyeva Roziya </t>
  </si>
  <si>
    <t xml:space="preserve">99 172 26 25 </t>
  </si>
  <si>
    <t xml:space="preserve">Baxadirov Diyorbek </t>
  </si>
  <si>
    <t xml:space="preserve">99 164 03 34 </t>
  </si>
  <si>
    <t xml:space="preserve">Uragan 1900 lik 32 mln Ozod </t>
  </si>
  <si>
    <t xml:space="preserve">Uragan 33 mln </t>
  </si>
  <si>
    <t>shokir</t>
  </si>
  <si>
    <t xml:space="preserve">77 877 12 61 </t>
  </si>
  <si>
    <t>88 506 00 09</t>
  </si>
  <si>
    <t xml:space="preserve">Bekchanov Bekturdi </t>
  </si>
  <si>
    <t xml:space="preserve">88 361 00 85 </t>
  </si>
  <si>
    <t xml:space="preserve">suda </t>
  </si>
  <si>
    <t>Quronboyeva Dilnoza</t>
  </si>
  <si>
    <t xml:space="preserve">93 754 18 89 </t>
  </si>
  <si>
    <t>Suda Sklmax</t>
  </si>
  <si>
    <t>JUMANIYAZOVA MANZURA ERKABAYEVNA</t>
  </si>
  <si>
    <t xml:space="preserve">33 mln matsakil ko`k </t>
  </si>
  <si>
    <t xml:space="preserve">Xazarasp Nemat xokim yordamchi </t>
  </si>
  <si>
    <t>YUSUPOVA AZADA ALIMBAYEVNA</t>
  </si>
  <si>
    <t xml:space="preserve">33 mln Chorva </t>
  </si>
  <si>
    <t>GAIPOVA NODIRA GULIMBAYEVNA</t>
  </si>
  <si>
    <t>SABUROVA AZADA BAXTIYAROVNA</t>
  </si>
  <si>
    <t>SHUKURULLAYEVA MOHIRA HAMRO QIZI</t>
  </si>
  <si>
    <t xml:space="preserve">32 mln Chorva </t>
  </si>
  <si>
    <t>TURAYEVA GULMIRA SHAVKATOVNA</t>
  </si>
  <si>
    <t>"EXPENSIV TEXNO MAX" MCHJ</t>
  </si>
  <si>
    <t>19,08,2025</t>
  </si>
  <si>
    <t xml:space="preserve">97 091 93 02 </t>
  </si>
  <si>
    <t xml:space="preserve">77 359 17 27 </t>
  </si>
  <si>
    <t xml:space="preserve">50 107 36 95 </t>
  </si>
  <si>
    <t>20,08,2025</t>
  </si>
  <si>
    <t xml:space="preserve">Usmonova Intizor </t>
  </si>
  <si>
    <t xml:space="preserve">95 721 09 75 </t>
  </si>
  <si>
    <t xml:space="preserve">Agrabank </t>
  </si>
  <si>
    <t xml:space="preserve">209,7 qoldi -80 =  129,7  qoldi </t>
  </si>
  <si>
    <t xml:space="preserve">97 600 32 01 </t>
  </si>
  <si>
    <t xml:space="preserve">93 752 03 33 </t>
  </si>
  <si>
    <t xml:space="preserve">Jumaboyev Alijon </t>
  </si>
  <si>
    <t xml:space="preserve">93 884 84 67 </t>
  </si>
  <si>
    <t xml:space="preserve">Sudo </t>
  </si>
  <si>
    <t>03,09,2025</t>
  </si>
  <si>
    <t>99 159 68 65</t>
  </si>
  <si>
    <t xml:space="preserve">1400 lik armda </t>
  </si>
  <si>
    <t xml:space="preserve">88 202 11 91 </t>
  </si>
  <si>
    <t xml:space="preserve">88 450 20 30 </t>
  </si>
  <si>
    <t xml:space="preserve">Shirin </t>
  </si>
  <si>
    <t xml:space="preserve">99 961 98 06 </t>
  </si>
  <si>
    <t>"TEXNO CAPITAL GOLD" MCHJ</t>
  </si>
  <si>
    <t>05,09,2025</t>
  </si>
  <si>
    <t>"PRO TECH MARKET" MCHJ</t>
  </si>
  <si>
    <t xml:space="preserve">Xalqbanki </t>
  </si>
  <si>
    <t xml:space="preserve">"TECHNICAL GROUP NEXT" MCHJ
</t>
  </si>
  <si>
    <t xml:space="preserve">88 201 53 33 </t>
  </si>
  <si>
    <t>20,09,2025</t>
  </si>
  <si>
    <t>"EXPRESS TEXNO SMART" MCHJ</t>
  </si>
  <si>
    <t xml:space="preserve">Nurullayeva Saodatjon </t>
  </si>
  <si>
    <t xml:space="preserve">93 748 11 66 </t>
  </si>
  <si>
    <t xml:space="preserve">2250 lik 33 mln Uragan </t>
  </si>
  <si>
    <t xml:space="preserve">88 090 75 45 </t>
  </si>
  <si>
    <t>"EXPRESS TEXNO 777" MCHJ</t>
  </si>
  <si>
    <t>BOLTAYEVA OZODAJON JUMYAZOVNA</t>
  </si>
  <si>
    <t>Transbak 03123</t>
  </si>
  <si>
    <t>Transbak 03103</t>
  </si>
  <si>
    <t>Transbak 03062</t>
  </si>
  <si>
    <t>Transbak 03061</t>
  </si>
  <si>
    <t xml:space="preserve"> BOBOJONOV ZAFARBEK QADAMBOYEVICH</t>
  </si>
  <si>
    <t>BERDIYEV UMID KENJAYEVICH</t>
  </si>
  <si>
    <t>RO‘ZMETOV MUZAFFAR QUVONDIQ O‘G‘LI</t>
  </si>
  <si>
    <t xml:space="preserve">Yangi qadam </t>
  </si>
  <si>
    <t>ISKANDAROV AZAMAT QALANDAROVICH</t>
  </si>
  <si>
    <t>ISMOILOVA SURAYYO G‘AYRAT QIZI</t>
  </si>
  <si>
    <t>QODIROVA MADINA ALISHER QIZI</t>
  </si>
  <si>
    <t>JUMANIYAZOV ULUG‘BEK YO‘LDOSHOVICH</t>
  </si>
  <si>
    <t>NAPASOVA ZUBAYDA RO‘ZIBOYEVNA</t>
  </si>
  <si>
    <t>01121992</t>
  </si>
  <si>
    <t>05,10,2025</t>
  </si>
  <si>
    <t xml:space="preserve">Green World Center Mchj </t>
  </si>
  <si>
    <t>Transbak 03141</t>
  </si>
  <si>
    <t xml:space="preserve">Hazarasp Eco Chorva Mchj </t>
  </si>
  <si>
    <t>Transbak 03142</t>
  </si>
  <si>
    <t>Transbak 03143</t>
  </si>
  <si>
    <t xml:space="preserve">Smart Tex Capital Mchj </t>
  </si>
  <si>
    <t xml:space="preserve">smart </t>
  </si>
  <si>
    <t xml:space="preserve">nds </t>
  </si>
  <si>
    <t xml:space="preserve">95 019 51 03 </t>
  </si>
  <si>
    <t xml:space="preserve">1900 lik Uragan 30 mln </t>
  </si>
  <si>
    <t xml:space="preserve">Ortiq Otajon </t>
  </si>
  <si>
    <t xml:space="preserve">94 278 85 55 </t>
  </si>
  <si>
    <t>"INVEST HAUSE 777" MCHJ</t>
  </si>
  <si>
    <t>16,10,2025</t>
  </si>
  <si>
    <t>"NERO MAX" MCHJ</t>
  </si>
  <si>
    <t>"SIFAT TEXNO HAUSE" MCHJ</t>
  </si>
  <si>
    <t>20,10,2025</t>
  </si>
  <si>
    <t>JUMAYEV MUZAFFAR MASHARIPOVICH</t>
  </si>
  <si>
    <t>gzZ1q46E5J</t>
  </si>
  <si>
    <t>88 214 29 79</t>
  </si>
  <si>
    <t xml:space="preserve">s </t>
  </si>
  <si>
    <t>l37zaVOQ75</t>
  </si>
  <si>
    <t>ISKANDAROV FAXRIDDIN QARRIBOYEVICH</t>
  </si>
  <si>
    <t>"TEXNO MAX 222" MCHJ</t>
  </si>
  <si>
    <t>Transbak 03168</t>
  </si>
  <si>
    <t>Transbak 03169</t>
  </si>
  <si>
    <t>Transbak 03170</t>
  </si>
  <si>
    <t xml:space="preserve">97 089 29 90 </t>
  </si>
  <si>
    <t>SADIKOVA MUBORAK UMOROVNA (Atamurotov Ruslan )</t>
  </si>
  <si>
    <t>735q2mSXqT</t>
  </si>
  <si>
    <t>RO‘ZIBAYEV ERGASHBAY ILXAMOVICH</t>
  </si>
  <si>
    <t>QURBANOV QADAMBAY YULDASHOVICH</t>
  </si>
  <si>
    <t>SETNIYOZOV AKMAL ISMOIL O‘G‘LI</t>
  </si>
  <si>
    <t>JABBAROV SHUXRAT ABDIRIMOVICH</t>
  </si>
  <si>
    <t>01101985</t>
  </si>
  <si>
    <t>SN741C3hor</t>
  </si>
  <si>
    <t>G‘ARIPOVA DO‘NDIJON TURDIBOY QIZI</t>
  </si>
  <si>
    <t>49D9aNA5qi</t>
  </si>
  <si>
    <t>ERNIYAZOV MAXSUD ISMOILOVICH</t>
  </si>
  <si>
    <t>Transbak 03187</t>
  </si>
  <si>
    <t>PX45D9aff6</t>
  </si>
  <si>
    <t xml:space="preserve"> ( ATAJANOVA NARGIZA QALANDAROVNA) Mamatov Nurulla </t>
  </si>
  <si>
    <t>RAZZAQOV TOHIR NURULLAYEVICH</t>
  </si>
  <si>
    <t>ISKANDAROV SHERMAT AXMEDOVICH</t>
  </si>
  <si>
    <t>J61yZY07gq</t>
  </si>
  <si>
    <t>YO‘LDOSHOV XURSANDBEK ODILBEK O‘G‘LI</t>
  </si>
  <si>
    <t>01,11,2025</t>
  </si>
  <si>
    <t>31,10,2025</t>
  </si>
  <si>
    <t>MATYOQUBOV BUNYOD BEKPO‘LATOVICH</t>
  </si>
  <si>
    <t>OTAJANOV ZAFARBEK OMONOVICH</t>
  </si>
  <si>
    <t>QURYAZOV SANJARBEK XASANBAYEVICH</t>
  </si>
  <si>
    <t>X77Zfr5u3Y</t>
  </si>
  <si>
    <t xml:space="preserve">Alp 2600 lik  38,5 mln naqd bermadi 3 mln berdi 29,09,2025  1,5 mln 06,11,2025 </t>
  </si>
  <si>
    <t xml:space="preserve">97 452 20 04   95 134 00 89 </t>
  </si>
  <si>
    <t>QAZAQOV DONIYORBEK ERKINBOYEVICH</t>
  </si>
  <si>
    <t>IBRAGIMOV DASTANBEK AMINBOY O‘G‘LI</t>
  </si>
  <si>
    <t>"FINANS MARKET" MCHJ</t>
  </si>
  <si>
    <t>07,11,2025</t>
  </si>
  <si>
    <t>"TEXNO SERVICES 777" MCHJ</t>
  </si>
  <si>
    <t>11,11,2025</t>
  </si>
  <si>
    <t>MIR HAUSE" MCHJ</t>
  </si>
  <si>
    <t>RAXIMOVA MUXAYYO XASANOVNA</t>
  </si>
  <si>
    <t>yk10Z5zCW3</t>
  </si>
  <si>
    <t>BEKNAZAROV UMIDJON ANVARBEK O‘G‘LI</t>
  </si>
  <si>
    <t xml:space="preserve">  95 842 00 70   97 459 00 78    18,11,2024</t>
  </si>
  <si>
    <t>"SEVEN HOUSE LINE" MCHJ</t>
  </si>
  <si>
    <t>19,11,2025</t>
  </si>
  <si>
    <t>"CENTRAL SMART MARKET" MCHJ</t>
  </si>
  <si>
    <t>17,11,2025</t>
  </si>
  <si>
    <t xml:space="preserve"> SOBIROVA SHOXIDA KOMILOVNA ( MASHARIPOVA SOLIXA KADAM QIZI)</t>
  </si>
  <si>
    <t xml:space="preserve">38 mln 5 mln beriladi 33 mln kredit  4 mln berdi 29,09,2025  21,11,2025  1 mln berdi </t>
  </si>
  <si>
    <t>OSlzJ360v1</t>
  </si>
  <si>
    <t>QUCHQOROV XOKIMBOY HOYITBOYEVICH</t>
  </si>
  <si>
    <t>d7hs6B0J8S</t>
  </si>
  <si>
    <t>RO‘ZIMBOYEV ALAN RO‘ZIMBOYEVICH</t>
  </si>
  <si>
    <t>24,11,2025</t>
  </si>
  <si>
    <t>"EURO MAX SERVICES" MCHJ</t>
  </si>
  <si>
    <t>DAVLETOV OTABEK SOTIBOLDIYEVICH</t>
  </si>
  <si>
    <t>85SkVkLz70</t>
  </si>
  <si>
    <t xml:space="preserve">Otabek Pitnak </t>
  </si>
  <si>
    <t xml:space="preserve">600 olindi </t>
  </si>
  <si>
    <t xml:space="preserve">540,183 qoldi </t>
  </si>
  <si>
    <t xml:space="preserve"> 33 981 07 81    88 529 09 82  </t>
  </si>
  <si>
    <t xml:space="preserve">Xudayberganov Xudashukur </t>
  </si>
  <si>
    <t xml:space="preserve">Kattabog </t>
  </si>
  <si>
    <t xml:space="preserve">Mexriniso </t>
  </si>
  <si>
    <t xml:space="preserve">Doniyor </t>
  </si>
  <si>
    <t>SOBIROV ELDOR ERKINBOYEVICH</t>
  </si>
  <si>
    <t>yKT257hbG4</t>
  </si>
  <si>
    <t>Beruniy 3</t>
  </si>
  <si>
    <t xml:space="preserve">97 113 66 88 </t>
  </si>
  <si>
    <t>HAUSE RS TRADE MCHJ</t>
  </si>
  <si>
    <t>DOSOV MUXTORBEK SADULLAYEVICH</t>
  </si>
  <si>
    <t>15.11.202</t>
  </si>
  <si>
    <t>19.05.20.25</t>
  </si>
  <si>
    <t xml:space="preserve">1400 lik Armada  20,07,2023 yilda </t>
  </si>
  <si>
    <t xml:space="preserve">10,01,2026 da 3 mln berildi </t>
  </si>
  <si>
    <t>QUCHQOROV XUSHNUD ROZZOQOVICH</t>
  </si>
  <si>
    <t xml:space="preserve">Alisher Aka Deye Glavniy </t>
  </si>
  <si>
    <t>AuO1i1y2S6</t>
  </si>
  <si>
    <t>MIRZAYEV OLLASHUKUR SHAMURATOVICH</t>
  </si>
  <si>
    <t xml:space="preserve"> 97 364 37 78  94 224 37 78 </t>
  </si>
  <si>
    <t>YULDASHEVA MARHAMAT SUNNATULLAYEVNA</t>
  </si>
  <si>
    <t xml:space="preserve">Energiya Panel </t>
  </si>
  <si>
    <t>ANNAYEVA GULSHODA SHARIPBOY QIZI</t>
  </si>
  <si>
    <t>aaDD123456789</t>
  </si>
  <si>
    <t>16,01,2026</t>
  </si>
  <si>
    <t>"NEX DEYA" MCHJ</t>
  </si>
  <si>
    <t>"EURO GARDEN TRADE" MCH</t>
  </si>
  <si>
    <t>589VWtkJm9</t>
  </si>
  <si>
    <t xml:space="preserve">Dollar </t>
  </si>
  <si>
    <t>Dollar  (Hisobdan)</t>
  </si>
  <si>
    <t xml:space="preserve">Esma </t>
  </si>
  <si>
    <t>Txu1BT52i1</t>
  </si>
  <si>
    <t>SULTONOV UMARJON OLLABERGAN</t>
  </si>
  <si>
    <t xml:space="preserve">Energiya panel </t>
  </si>
  <si>
    <t>MARKET RISE MCHJ</t>
  </si>
  <si>
    <t>24,01,2026</t>
  </si>
  <si>
    <t>14,01,2026</t>
  </si>
  <si>
    <t>05,01,2026</t>
  </si>
  <si>
    <t>29,01,2026</t>
  </si>
  <si>
    <t xml:space="preserve">Yangi texno Max </t>
  </si>
  <si>
    <t xml:space="preserve">99 555 12 61  95 314 04 70 </t>
  </si>
  <si>
    <t>"APEX ELEKTRONICS" MCHJ</t>
  </si>
  <si>
    <t>03,02,2026</t>
  </si>
  <si>
    <t>"LUMIX TRADE" MCHJ</t>
  </si>
  <si>
    <t>0Fv7nPy36C</t>
  </si>
  <si>
    <t>SHAXANOVA GAVXARJAN YULDASHOVNA</t>
  </si>
  <si>
    <t xml:space="preserve">99 757 53 55 </t>
  </si>
  <si>
    <t>RO‘ZMATOV BAXODIR MASHARIPOVICH</t>
  </si>
  <si>
    <t>S75JYs2h7t</t>
  </si>
  <si>
    <t>11,02,2026</t>
  </si>
  <si>
    <t>QALANDAROVA LAYLO RASHID QIZ</t>
  </si>
  <si>
    <t>3HmQdVp825</t>
  </si>
  <si>
    <t>ESHCHANOVA SHOXISTA AZIMBOY QIZI</t>
  </si>
  <si>
    <t xml:space="preserve">99 659 44 45 </t>
  </si>
  <si>
    <t>a1fzT962AD</t>
  </si>
  <si>
    <t>ABBARAV KARIM TO‘XTABAYEVICH</t>
  </si>
  <si>
    <t>NASL FERMA INVEST MCHJ</t>
  </si>
  <si>
    <t>05,02,2026</t>
  </si>
  <si>
    <t>SABIROVA NIGORA RAZZOQ QIZI</t>
  </si>
  <si>
    <t>nKn5h4YY68</t>
  </si>
  <si>
    <t>28viWDV01v</t>
  </si>
  <si>
    <t>SOBIROV UMRBEK SHERMATOVICH</t>
  </si>
  <si>
    <t>,</t>
  </si>
  <si>
    <t>mI8UE7e5y7</t>
  </si>
  <si>
    <t>ARTIQOV JAMSHIDBEK MURADJON</t>
  </si>
  <si>
    <t>10,02,2026</t>
  </si>
  <si>
    <t>709QMgyY7e</t>
  </si>
  <si>
    <t>08,02,2026</t>
  </si>
  <si>
    <t>MAXMUDOVA SHAXZODA RAXIMOVNA</t>
  </si>
  <si>
    <t>Xonqa 99 557 00 22</t>
  </si>
  <si>
    <t>33 mln Kesuvchi uskuna</t>
  </si>
  <si>
    <t>ISKANDAROV JUMANAZAR KURAMBOY</t>
  </si>
  <si>
    <t>9fi5Z3gI7B</t>
  </si>
  <si>
    <t>4m1N4zdD9H</t>
  </si>
  <si>
    <t>BATIROVA NIGORA OTABAYEVNA</t>
  </si>
  <si>
    <t>09,02,2026</t>
  </si>
  <si>
    <t xml:space="preserve">20 aralash quralash </t>
  </si>
  <si>
    <t xml:space="preserve">33 mln chorva </t>
  </si>
  <si>
    <t>AA26082006aa</t>
  </si>
  <si>
    <t>QURYOZOVA CHAROSXON SULTONBOY QIZI</t>
  </si>
  <si>
    <t xml:space="preserve">40 mln ari </t>
  </si>
  <si>
    <t>OulmJ3596Y</t>
  </si>
  <si>
    <t>ZARIPOV ORIFJON RAVSHONBEK O‘G‘LI</t>
  </si>
  <si>
    <t xml:space="preserve">50 mln Chorva </t>
  </si>
  <si>
    <t>5zy3SdW7Z0</t>
  </si>
  <si>
    <t>ABDIKARIMOV ARTIKBOY RAVSHANBEKOVICH</t>
  </si>
  <si>
    <t>04,02,2026</t>
  </si>
  <si>
    <t xml:space="preserve">Ruslan Xazarasp 88 459 30 00 </t>
  </si>
  <si>
    <t xml:space="preserve">33 mln chorma </t>
  </si>
  <si>
    <t>YOLDASHOVA GULMIRA ABDULLAYEVNA</t>
  </si>
  <si>
    <t>h14pOQ4G1w</t>
  </si>
  <si>
    <t xml:space="preserve">Beko Gurlan 99 968 06 07 </t>
  </si>
  <si>
    <t xml:space="preserve">23 mln chorma </t>
  </si>
  <si>
    <t>6yzJ96MZ2h</t>
  </si>
  <si>
    <t>YULDASHEV AKMAL SHUXRAT O‘G‘LI</t>
  </si>
  <si>
    <t>35 mln matsaki l</t>
  </si>
  <si>
    <t>13,02,2026</t>
  </si>
  <si>
    <t>cUnf026V4X</t>
  </si>
  <si>
    <t>YUSUFBOYEVA SAIDA RAXMATBOYEVNA</t>
  </si>
  <si>
    <t>12,02,2026</t>
  </si>
  <si>
    <t xml:space="preserve">22 mln chorva </t>
  </si>
  <si>
    <t xml:space="preserve">Saxovat </t>
  </si>
  <si>
    <t>ALLAQULIYEV HO‘SIN RAXMANBERGANOVICH</t>
  </si>
  <si>
    <t>RAXMONBERGANOV G‘ULOMJON HAMDAMBOY O‘G‘LI</t>
  </si>
  <si>
    <t>AAaa123456</t>
  </si>
  <si>
    <t xml:space="preserve">25 mln chorva </t>
  </si>
  <si>
    <t>XUDAYBERGANOVA QUMRIXON RAXIMOVNA</t>
  </si>
  <si>
    <t xml:space="preserve">50 mln chorva </t>
  </si>
  <si>
    <t>8Lqa98AL0q</t>
  </si>
  <si>
    <t>TAJENOVA JULDÍZ AMANGELDIEVNA</t>
  </si>
  <si>
    <t>AAss123456</t>
  </si>
  <si>
    <t>YARMANOV QARLIBAY SAPARBAYEVICH</t>
  </si>
  <si>
    <t xml:space="preserve">Beruniy Oybek </t>
  </si>
  <si>
    <t>SALIYEVA RAYXAN BAZARBAYEVNA</t>
  </si>
  <si>
    <t>02,02,2026</t>
  </si>
  <si>
    <t>mi45zP72VU</t>
  </si>
  <si>
    <t xml:space="preserve">SULTANOV OMONBEK QUVONDIQ O‘G‘LI </t>
  </si>
  <si>
    <t xml:space="preserve">Quromboy Kursdosh </t>
  </si>
  <si>
    <t xml:space="preserve">Beko Oq Oltin </t>
  </si>
  <si>
    <t xml:space="preserve">omonat </t>
  </si>
  <si>
    <t xml:space="preserve">To`razoda </t>
  </si>
  <si>
    <t>Jac</t>
  </si>
  <si>
    <t>6zc09D6JAn</t>
  </si>
  <si>
    <t>BEKCHANOV DAVRONBEK XAMRAYEVICH</t>
  </si>
  <si>
    <t>d1d1d1d1DD</t>
  </si>
  <si>
    <t xml:space="preserve">Xonqa 88 362 19 97 </t>
  </si>
  <si>
    <t xml:space="preserve">40 mln qora Mol </t>
  </si>
  <si>
    <t>ABDULLAYEVA DILAROM SODULLAYEVNA</t>
  </si>
  <si>
    <t>a1a1a1a1AA</t>
  </si>
  <si>
    <t xml:space="preserve">20 mln qora Mol </t>
  </si>
  <si>
    <t>OLLABERGANOV DILSHOD JUMANIYOZOVICH</t>
  </si>
  <si>
    <t>RO‘ZMETOV MANSURBEK SA’DULLAYEVICH</t>
  </si>
  <si>
    <t>7IAl27w7Ic</t>
  </si>
  <si>
    <t>QAHRAMONOVA HOJARBIBI NIZOMBOY QIZI</t>
  </si>
  <si>
    <t>975287790AAdd</t>
  </si>
  <si>
    <t xml:space="preserve">Xonq a </t>
  </si>
  <si>
    <t xml:space="preserve">30 mln Chorva </t>
  </si>
  <si>
    <t>XO‘JANIYOZOVA INTIZOR DUSHAMBOYEVNA</t>
  </si>
  <si>
    <t>O43tVuyH21</t>
  </si>
  <si>
    <t>RO‘ZMETOVA SALOMAT SADULLAYEVNA</t>
  </si>
  <si>
    <t>9fWAx57E0t</t>
  </si>
  <si>
    <t>16,02,2026</t>
  </si>
  <si>
    <t>SAIDOVA MALOXAT SHANAZAROVNA</t>
  </si>
  <si>
    <t>RM0lcV3r96</t>
  </si>
  <si>
    <t xml:space="preserve">YANGIARIQ TEXNO TRADE MCHJ </t>
  </si>
  <si>
    <t>17,02,2026</t>
  </si>
  <si>
    <t>B4jd4vT20Y</t>
  </si>
  <si>
    <t>G81wYl12Gj</t>
  </si>
  <si>
    <t>]a</t>
  </si>
  <si>
    <t>19,02,2026</t>
  </si>
  <si>
    <t>"EURO TEXNO SERVICES" MCHJ</t>
  </si>
  <si>
    <t>KENJAYEVA ANAXON BOTIRBOY QIZI</t>
  </si>
  <si>
    <t>Y4sw1C1Ev9</t>
  </si>
  <si>
    <t>n1n1n1n1NN</t>
  </si>
  <si>
    <t>KENJAYEV NODIRBEK JAVLON O‘G‘LI</t>
  </si>
  <si>
    <t>13TggH5Wl7</t>
  </si>
  <si>
    <t>BABAYEV JASURBEK MASHARIFOVICH</t>
  </si>
  <si>
    <t>18,02,2026</t>
  </si>
  <si>
    <t xml:space="preserve">Toyir Pappoq </t>
  </si>
  <si>
    <t>OTAJONOV DILSHOD EGAMBERDIYEVICH</t>
  </si>
  <si>
    <t>YERNAZAROVA BAXTIGUL USMANOVNA</t>
  </si>
  <si>
    <t>AAaa12345678</t>
  </si>
  <si>
    <t xml:space="preserve">Saken Beruniy </t>
  </si>
  <si>
    <t>g73Qm4AeS1</t>
  </si>
  <si>
    <t>YUSUPOV MANSUR KARIMBAYEVICH</t>
  </si>
  <si>
    <t xml:space="preserve">Xonqa 557 00 22 </t>
  </si>
  <si>
    <t xml:space="preserve">50 mln aralash </t>
  </si>
  <si>
    <t>20,02,2026</t>
  </si>
  <si>
    <t>SOGLOM NASL CHORVASI MCHJ</t>
  </si>
  <si>
    <t>"NEON TEXNO" MCH</t>
  </si>
  <si>
    <t>24,02,2026</t>
  </si>
  <si>
    <t>7BZ00v1rzK</t>
  </si>
  <si>
    <t xml:space="preserve">33 mln qoramol Uroznat </t>
  </si>
  <si>
    <t>XODJAMURATOV BAXROM TURAMURATOVICH</t>
  </si>
  <si>
    <t>TURAYEV QUVONDIQ ABDULLAYEVICH</t>
  </si>
  <si>
    <t>AaAa12345678</t>
  </si>
  <si>
    <t>YUSUPOV DJAMBUL MAXSUDOVICH</t>
  </si>
  <si>
    <t xml:space="preserve"> RO‘ZIMBAYEVA IRODA SHUXRATOVNA</t>
  </si>
  <si>
    <t xml:space="preserve">50 mln chirva </t>
  </si>
  <si>
    <t>GUlzoda1977</t>
  </si>
  <si>
    <t>ISMAILOVA GULZADA BAZARBAYEVNA</t>
  </si>
  <si>
    <t>JUMANIYAZOV DILSHOD ZARIPBAYEVICH</t>
  </si>
  <si>
    <t>23,02,2026</t>
  </si>
  <si>
    <t xml:space="preserve">49,5 mln Chorva </t>
  </si>
  <si>
    <t>HAYITBOYEV JAHONGIR IZZATOVICH</t>
  </si>
  <si>
    <t xml:space="preserve">Azamat sho`ra </t>
  </si>
  <si>
    <t>ABab5547798</t>
  </si>
  <si>
    <t>"AGRO FERMA CHORVASI" MCHJ</t>
  </si>
  <si>
    <t>25,02,2026</t>
  </si>
  <si>
    <t>02,03,2026</t>
  </si>
  <si>
    <t>09,03,2026</t>
  </si>
  <si>
    <t>"SANOAT EURO STROY" MCHJ</t>
  </si>
  <si>
    <t xml:space="preserve">Puli berilid </t>
  </si>
  <si>
    <t xml:space="preserve">Puli berildi </t>
  </si>
  <si>
    <t>nCq5XPz920</t>
  </si>
  <si>
    <t xml:space="preserve">Bog`iton </t>
  </si>
  <si>
    <t xml:space="preserve">40 mln mattti 94 573 22 75 </t>
  </si>
  <si>
    <t>ATANAZAROV JAVOXIR TURSINBOY O‘G‘LI</t>
  </si>
  <si>
    <t>11,03,2026</t>
  </si>
  <si>
    <t>"YANGI SMART HAUSE" MCHJ</t>
  </si>
  <si>
    <t>15,03,2026</t>
  </si>
  <si>
    <t>"ANGUS CHORVA FERMAXONASI" MCHJ</t>
  </si>
  <si>
    <t>ISMOILOV YUSUPJON JAHONGIROVICH</t>
  </si>
  <si>
    <t xml:space="preserve">50 mln ari </t>
  </si>
  <si>
    <t>"AGRO CHORVA DUNYOSI" MCHJ</t>
  </si>
  <si>
    <t>n4y444mLGO</t>
  </si>
  <si>
    <t>ESHMURATOVA ZEBO KARIMOVNA</t>
  </si>
  <si>
    <t>13,03,2026</t>
  </si>
  <si>
    <t xml:space="preserve">oqtep </t>
  </si>
  <si>
    <t xml:space="preserve">34 mln chorva </t>
  </si>
  <si>
    <t>D11md02FJQ</t>
  </si>
  <si>
    <t>JUMANIYOZOVA FOTIMA QADAMBOYEVNA</t>
  </si>
  <si>
    <t>14,03,2026</t>
  </si>
  <si>
    <t xml:space="preserve">40 mln chorva </t>
  </si>
  <si>
    <t>Aa1979Aa1124</t>
  </si>
  <si>
    <t>SAPAROVA AZIZA YUSUPBAYEVNA</t>
  </si>
  <si>
    <t>S2917tZCcq</t>
  </si>
  <si>
    <t>SAIDMAMADOVA NARGIZA KOMILJONOVNA</t>
  </si>
  <si>
    <t>16,03,2026</t>
  </si>
  <si>
    <t>SAIDJANOV SHOXRUXBEK ODOMBOYEVICH</t>
  </si>
  <si>
    <t>12,03,2026</t>
  </si>
  <si>
    <t xml:space="preserve">49,6 mln Suv aparat </t>
  </si>
  <si>
    <t>sO4C66nIm2</t>
  </si>
  <si>
    <t>XUDASHUKUROV SHERALI KAMILJONOVICH</t>
  </si>
  <si>
    <t xml:space="preserve">50 mln chorva  Sherali kamandir </t>
  </si>
  <si>
    <t>y03Ej30cKZ</t>
  </si>
  <si>
    <t>SHERIMBETOV MAXMUD TULIBAYEVICH</t>
  </si>
  <si>
    <t xml:space="preserve">49,5 mln chorva </t>
  </si>
  <si>
    <t>VX245Jge3u</t>
  </si>
  <si>
    <t>QODIROVA HALIMA MANGLIYEVNA</t>
  </si>
  <si>
    <t>17,03,2026</t>
  </si>
  <si>
    <t xml:space="preserve">50 mln 2 dona podyomnik 94 933 35 99 </t>
  </si>
  <si>
    <t>955BW1fCfg</t>
  </si>
  <si>
    <t>YULDOSHEVA SHOHISTA ABDURAXMONOVNA</t>
  </si>
  <si>
    <t xml:space="preserve">10 mln chorva 95 260 50 70 </t>
  </si>
  <si>
    <t xml:space="preserve">99 336 88 66  99 676 79 14        99 869 40 40   99 232 40 40 </t>
  </si>
  <si>
    <t>25,03,2026</t>
  </si>
  <si>
    <t>"PROGRES TEXNO HAUSE" MCHJ</t>
  </si>
  <si>
    <t>"GEREFORD CHORVA FERMA" MCHJ</t>
  </si>
  <si>
    <t>DAVLATOVA NAZIRA SULTANOVNA</t>
  </si>
  <si>
    <t>27,03,2025</t>
  </si>
  <si>
    <t xml:space="preserve">88 999 88 93 </t>
  </si>
  <si>
    <t xml:space="preserve">Xitoylilarni Matsakilidan 16,5 mln degan </t>
  </si>
  <si>
    <t>tFl30A34Ro</t>
  </si>
  <si>
    <t>30,03,2026</t>
  </si>
  <si>
    <t>aaAA123456789</t>
  </si>
  <si>
    <t>BOBOJONOV DONIYOR MADIYOROVICH</t>
  </si>
  <si>
    <t xml:space="preserve">93 750 04 48 </t>
  </si>
  <si>
    <t xml:space="preserve">1350 lik wudi </t>
  </si>
  <si>
    <t>"IMPERIAL HAUS" MCHJ</t>
  </si>
  <si>
    <t>03,04,2026</t>
  </si>
  <si>
    <t xml:space="preserve">Agrobank </t>
  </si>
  <si>
    <t>ANGUS CHORVA FERMER MCHJ</t>
  </si>
  <si>
    <t>04,04,2026</t>
  </si>
  <si>
    <t>"GEREFORD CHORVA XOJALIGI" MCHJ</t>
  </si>
  <si>
    <t>"LEGION EURO TEXNO" MCHJ</t>
  </si>
  <si>
    <t>08,04,2026</t>
  </si>
  <si>
    <t xml:space="preserve">Jinko 620 -715 -725  Wat N TYPE  Longi X10 640 645 650 </t>
  </si>
  <si>
    <t>"BEK INVEST LINE" МЧЖ</t>
  </si>
  <si>
    <t>13,04,2026</t>
  </si>
  <si>
    <t>"VELMORA AGRO" МЧЖ</t>
  </si>
  <si>
    <t>"INFINITY HOLDINGS 977" МЧЖ</t>
  </si>
  <si>
    <t>"PRIME TRADE SOLUTION 777" МЧЖ</t>
  </si>
  <si>
    <t>"ARVEN GROUP 999" МЧЖ</t>
  </si>
  <si>
    <t>"BASTION INVEST" МЧЖ</t>
  </si>
  <si>
    <t>"RIVOJ GROUP 888" МЧЖ</t>
  </si>
  <si>
    <t>18,04,2026</t>
  </si>
  <si>
    <t>SALOHIYAT GROUP 777" МЧЖ</t>
  </si>
  <si>
    <t>"DOMINANT INVEST HOUSE" МЧЖ</t>
  </si>
  <si>
    <t>26,04,2026</t>
  </si>
  <si>
    <t xml:space="preserve">Anorbank </t>
  </si>
  <si>
    <t>29,04,2026</t>
  </si>
  <si>
    <t>wSn8441BBj</t>
  </si>
  <si>
    <t>JUMANIYOZOV YUSUPBOY XO‘SINOVICH</t>
  </si>
  <si>
    <t>DAVLETOVA ZAYNAB ALLAYOROVNA</t>
  </si>
  <si>
    <t>30,04,2026</t>
  </si>
  <si>
    <t>UTyi2Sj350</t>
  </si>
  <si>
    <t xml:space="preserve">Saodat </t>
  </si>
  <si>
    <t xml:space="preserve">Zays OQ OLTIN </t>
  </si>
  <si>
    <t xml:space="preserve">1250 lik Wudi </t>
  </si>
  <si>
    <t>KRONOS TRADE МЧЖ</t>
  </si>
  <si>
    <t>"YONDASHUV GROUP" MCHJ</t>
  </si>
  <si>
    <t>01,05,2026</t>
  </si>
  <si>
    <t>"YANGI DAVR IMPEX" MCHJ</t>
  </si>
  <si>
    <t>13,05,2026</t>
  </si>
  <si>
    <t xml:space="preserve">TURON CAPITAL X </t>
  </si>
  <si>
    <t>15,05,2026</t>
  </si>
  <si>
    <t>BLACK ORBIT MCHJ</t>
  </si>
  <si>
    <t>14,05,2026</t>
  </si>
  <si>
    <t>MONTERRA GROUP MCHJ</t>
  </si>
  <si>
    <t>"NOVATRIX X" MCHJ</t>
  </si>
  <si>
    <t>21,05,2026</t>
  </si>
  <si>
    <t>"LEGEND CAPITAL" MCHJ</t>
  </si>
  <si>
    <t>RICHMOND CAPITAL MCHJ</t>
  </si>
  <si>
    <t>22,05,2026</t>
  </si>
  <si>
    <t>"TITANIUM HOLDINGIS" MCHJ</t>
  </si>
  <si>
    <t xml:space="preserve">Milliy Xazarasp </t>
  </si>
  <si>
    <t xml:space="preserve">Asad </t>
  </si>
  <si>
    <t>WESTMINSTER GROUP MCHJ</t>
  </si>
  <si>
    <t>30,05,2026</t>
  </si>
  <si>
    <t>KINGSMAN HOLDINGS MCHJ</t>
  </si>
  <si>
    <t xml:space="preserve">5,8 mln sof zarar </t>
  </si>
  <si>
    <t>ch5</t>
  </si>
  <si>
    <t>ch6</t>
  </si>
  <si>
    <t>ch8</t>
  </si>
  <si>
    <t>ch7</t>
  </si>
  <si>
    <t>ch4</t>
  </si>
  <si>
    <t>ch3</t>
  </si>
  <si>
    <t xml:space="preserve">Kamoladdin og`a 97 513 34 35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</si>
</sst>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 _₽_-;\-* #,##0.00\ _₽_-;_-* &quot;-&quot;??\ _₽_-;_-@_-"/>
    <numFmt numFmtId="164" formatCode="_-* #,##0\ _₽_-;\-* #,##0\ _₽_-;_-* &quot;-&quot;??\ _₽_-;_-@_-"/>
    <numFmt numFmtId="165" formatCode="_-* #,##0\ _с_ў_м_-;\-* #,##0\ _с_ў_м_-;_-* &quot;-&quot;\ _с_ў_м_-;_-@_-"/>
    <numFmt numFmtId="166" formatCode="_-* #,##0.0\ _с_ў_м_-;\-* #,##0.0\ _с_ў_м_-;_-* &quot;-&quot;\ _с_ў_м_-;_-@_-"/>
    <numFmt numFmtId="167" formatCode="_-* #,##0.00\ _с_ў_м_-;\-* #,##0.00\ _с_ў_м_-;_-* &quot;-&quot;\ _с_ў_м_-;_-@_-"/>
  </numFmts>
  <fonts count="462">
    <font>
      <sz val="11"/>
      <color theme="1"/>
      <name val="Calibri"/>
      <charset val="13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indexed="8"/>
      <name val="Calibri"/>
      <family val="2"/>
      <charset val="204"/>
    </font>
    <font>
      <sz val="11"/>
      <color theme="1"/>
      <name val="Calibri"/>
      <family val="2"/>
      <charset val="204"/>
      <scheme val="minor"/>
    </font>
    <font>
      <sz val="12"/>
      <color rgb="FF000000"/>
      <name val="Arial"/>
      <family val="2"/>
      <charset val="204"/>
    </font>
    <font>
      <sz val="10"/>
      <color rgb="FF292929"/>
      <name val="Arial"/>
      <family val="2"/>
      <charset val="204"/>
    </font>
    <font>
      <sz val="12"/>
      <color rgb="FF002F34"/>
      <name val="Arial"/>
      <family val="2"/>
      <charset val="204"/>
    </font>
    <font>
      <sz val="12"/>
      <color rgb="FF222222"/>
      <name val="Arial"/>
      <family val="2"/>
      <charset val="204"/>
    </font>
    <font>
      <sz val="10"/>
      <color rgb="FF56678F"/>
      <name val="Arial"/>
      <family val="2"/>
      <charset val="204"/>
    </font>
    <font>
      <sz val="10"/>
      <color rgb="FF56678F"/>
      <name val="Arial"/>
      <family val="2"/>
      <charset val="204"/>
    </font>
    <font>
      <i/>
      <sz val="11"/>
      <color theme="1"/>
      <name val="Calibri"/>
      <family val="2"/>
      <charset val="204"/>
      <scheme val="minor"/>
    </font>
    <font>
      <sz val="8"/>
      <color rgb="FF56678F"/>
      <name val="Arial"/>
      <family val="2"/>
      <charset val="204"/>
    </font>
    <font>
      <sz val="11"/>
      <color rgb="FFFF0000"/>
      <name val="Calibri"/>
      <family val="2"/>
      <charset val="204"/>
      <scheme val="minor"/>
    </font>
    <font>
      <b/>
      <sz val="8"/>
      <color rgb="FF56678F"/>
      <name val="Arial"/>
      <family val="2"/>
      <charset val="204"/>
    </font>
    <font>
      <sz val="10"/>
      <color theme="1"/>
      <name val="Calibri"/>
      <family val="2"/>
      <charset val="204"/>
      <scheme val="minor"/>
    </font>
    <font>
      <sz val="10"/>
      <color rgb="FF000000"/>
      <name val="Times New Roman"/>
      <family val="1"/>
      <charset val="204"/>
    </font>
    <font>
      <sz val="10"/>
      <color theme="1"/>
      <name val="Arial"/>
      <family val="2"/>
      <charset val="204"/>
    </font>
    <font>
      <sz val="10"/>
      <color rgb="FF56678F"/>
      <name val="Arial"/>
      <family val="2"/>
      <charset val="204"/>
    </font>
    <font>
      <b/>
      <sz val="11"/>
      <color theme="1"/>
      <name val="Calibri"/>
      <family val="2"/>
      <charset val="204"/>
      <scheme val="minor"/>
    </font>
    <font>
      <sz val="10"/>
      <color rgb="FFFF0000"/>
      <name val="Arial"/>
      <family val="2"/>
      <charset val="204"/>
    </font>
    <font>
      <sz val="11"/>
      <color rgb="FFFF0000"/>
      <name val="Calibri"/>
      <family val="2"/>
      <charset val="204"/>
      <scheme val="minor"/>
    </font>
    <font>
      <b/>
      <sz val="10"/>
      <color theme="1"/>
      <name val="Arial"/>
      <family val="2"/>
      <charset val="204"/>
    </font>
    <font>
      <sz val="11"/>
      <color theme="1"/>
      <name val="Calibri"/>
      <family val="2"/>
      <charset val="204"/>
      <scheme val="minor"/>
    </font>
    <font>
      <u/>
      <sz val="11"/>
      <color theme="10"/>
      <name val="Calibri"/>
      <family val="2"/>
      <charset val="204"/>
      <scheme val="minor"/>
    </font>
    <font>
      <u/>
      <sz val="11"/>
      <color theme="10"/>
      <name val="Calibri"/>
      <family val="2"/>
      <charset val="204"/>
      <scheme val="minor"/>
    </font>
    <font>
      <sz val="10"/>
      <color theme="1" tint="0.34998626667073579"/>
      <name val="Arial"/>
      <family val="2"/>
      <charset val="204"/>
    </font>
    <font>
      <sz val="11"/>
      <color theme="1" tint="0.34998626667073579"/>
      <name val="Calibri"/>
      <family val="2"/>
      <charset val="204"/>
      <scheme val="minor"/>
    </font>
    <font>
      <sz val="11"/>
      <color theme="1" tint="0.34998626667073579"/>
      <name val="Calibri"/>
      <family val="2"/>
      <charset val="204"/>
      <scheme val="minor"/>
    </font>
    <font>
      <sz val="11"/>
      <color theme="2" tint="-0.749992370372631"/>
      <name val="Calibri"/>
      <family val="2"/>
      <charset val="204"/>
      <scheme val="minor"/>
    </font>
    <font>
      <sz val="11"/>
      <name val="Calibri"/>
      <family val="2"/>
      <charset val="204"/>
      <scheme val="minor"/>
    </font>
  </fonts>
  <fills count="21">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5" tint="0.79998168889431442"/>
        <bgColor indexed="64"/>
      </patternFill>
    </fill>
    <fill>
      <patternFill patternType="solid">
        <fgColor rgb="FF7030A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bgColor indexed="64"/>
      </patternFill>
    </fill>
    <fill>
      <patternFill patternType="solid">
        <fgColor theme="0"/>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9" tint="-0.249977111117893"/>
        <bgColor indexed="64"/>
      </patternFill>
    </fill>
    <fill>
      <patternFill patternType="solid">
        <fgColor theme="3"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diagonal/>
    </border>
  </borders>
  <cellStyleXfs count="6">
    <xf numFmtId="0" fontId="0" fillId="0" borderId="0"/>
    <xf numFmtId="0" fontId="434" fillId="0" borderId="0"/>
    <xf numFmtId="43" fontId="435" fillId="0" borderId="0" applyFont="0" applyFill="0" applyBorder="0" applyAlignment="0" applyProtection="0"/>
    <xf numFmtId="43" fontId="112" fillId="0" borderId="0" applyFont="0" applyFill="0" applyBorder="0" applyAlignment="0" applyProtection="0"/>
    <xf numFmtId="165" fontId="454" fillId="0" borderId="0" applyFont="0" applyFill="0" applyBorder="0" applyAlignment="0" applyProtection="0"/>
    <xf numFmtId="0" fontId="455" fillId="0" borderId="0" applyNumberFormat="0" applyFill="0" applyBorder="0" applyAlignment="0" applyProtection="0"/>
  </cellStyleXfs>
  <cellXfs count="2545">
    <xf numFmtId="0" fontId="0" fillId="0" borderId="0" xfId="0"/>
    <xf numFmtId="0" fontId="0" fillId="0" borderId="0" xfId="0" applyAlignment="1">
      <alignment horizontal="center" vertical="center"/>
    </xf>
    <xf numFmtId="0" fontId="0" fillId="2" borderId="0" xfId="0" applyFill="1"/>
    <xf numFmtId="0" fontId="0" fillId="4" borderId="0" xfId="0" applyFill="1"/>
    <xf numFmtId="43" fontId="0" fillId="0" borderId="0" xfId="2" applyFont="1"/>
    <xf numFmtId="164" fontId="0" fillId="0" borderId="0" xfId="2" applyNumberFormat="1" applyFont="1"/>
    <xf numFmtId="0" fontId="0" fillId="5" borderId="0" xfId="0" applyFill="1"/>
    <xf numFmtId="0" fontId="0" fillId="0" borderId="0" xfId="0" applyFill="1"/>
    <xf numFmtId="0" fontId="0" fillId="0" borderId="0" xfId="0" applyAlignment="1">
      <alignment horizontal="center" vertical="center" wrapText="1"/>
    </xf>
    <xf numFmtId="0" fontId="0" fillId="0" borderId="1" xfId="0" applyBorder="1" applyAlignment="1">
      <alignment horizontal="center" vertical="center"/>
    </xf>
    <xf numFmtId="0" fontId="433" fillId="0" borderId="1" xfId="0" applyFont="1" applyBorder="1" applyAlignment="1">
      <alignment horizontal="center" vertical="center"/>
    </xf>
    <xf numFmtId="0" fontId="433" fillId="0" borderId="0" xfId="0" applyFont="1" applyAlignment="1"/>
    <xf numFmtId="49" fontId="433" fillId="0" borderId="0" xfId="2" applyNumberFormat="1" applyFont="1" applyBorder="1"/>
    <xf numFmtId="0" fontId="436" fillId="0" borderId="0" xfId="0" applyFont="1"/>
    <xf numFmtId="0" fontId="436" fillId="0" borderId="0" xfId="0" applyFont="1" applyAlignment="1"/>
    <xf numFmtId="0" fontId="438" fillId="0" borderId="0" xfId="0" applyFont="1"/>
    <xf numFmtId="164" fontId="433" fillId="0" borderId="0" xfId="2" applyNumberFormat="1" applyFont="1"/>
    <xf numFmtId="49" fontId="0" fillId="5" borderId="0" xfId="2" applyNumberFormat="1" applyFont="1" applyFill="1" applyBorder="1"/>
    <xf numFmtId="0" fontId="0" fillId="5" borderId="0" xfId="0" applyFill="1" applyAlignment="1"/>
    <xf numFmtId="0" fontId="433" fillId="5" borderId="0" xfId="0" applyFont="1" applyFill="1" applyAlignment="1"/>
    <xf numFmtId="49" fontId="433" fillId="5" borderId="0" xfId="2" applyNumberFormat="1" applyFont="1" applyFill="1" applyBorder="1"/>
    <xf numFmtId="0" fontId="437" fillId="5" borderId="0" xfId="0" applyFont="1" applyFill="1"/>
    <xf numFmtId="0" fontId="0" fillId="0" borderId="0" xfId="0" applyAlignment="1"/>
    <xf numFmtId="49" fontId="0" fillId="5" borderId="0" xfId="0" applyNumberFormat="1" applyFill="1"/>
    <xf numFmtId="0" fontId="432" fillId="0" borderId="1" xfId="0" applyFont="1" applyBorder="1"/>
    <xf numFmtId="0" fontId="431" fillId="5" borderId="1" xfId="0" applyFont="1" applyFill="1" applyBorder="1"/>
    <xf numFmtId="0" fontId="433"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7" borderId="0" xfId="0" applyFill="1"/>
    <xf numFmtId="0" fontId="429" fillId="0" borderId="0" xfId="0" applyFont="1"/>
    <xf numFmtId="0" fontId="429" fillId="0" borderId="0" xfId="0" applyFont="1" applyAlignment="1"/>
    <xf numFmtId="0" fontId="439" fillId="0" borderId="0" xfId="0" applyFont="1"/>
    <xf numFmtId="0" fontId="428" fillId="0" borderId="0" xfId="0" applyFont="1"/>
    <xf numFmtId="0" fontId="428" fillId="0" borderId="0" xfId="0" applyFont="1" applyAlignment="1"/>
    <xf numFmtId="164" fontId="427" fillId="0" borderId="0" xfId="2" applyNumberFormat="1" applyFont="1"/>
    <xf numFmtId="0" fontId="427" fillId="0" borderId="0" xfId="0" applyFont="1" applyFill="1" applyBorder="1"/>
    <xf numFmtId="0" fontId="426" fillId="5" borderId="1" xfId="0" applyFont="1" applyFill="1" applyBorder="1" applyAlignment="1">
      <alignment horizontal="center" vertical="center" wrapText="1"/>
    </xf>
    <xf numFmtId="0" fontId="425" fillId="0" borderId="0" xfId="0" applyFont="1"/>
    <xf numFmtId="0" fontId="425" fillId="5" borderId="0" xfId="0" applyFont="1" applyFill="1"/>
    <xf numFmtId="0" fontId="425" fillId="5" borderId="0" xfId="0" applyFont="1" applyFill="1" applyAlignment="1">
      <alignment vertical="center" wrapText="1"/>
    </xf>
    <xf numFmtId="0" fontId="425" fillId="3" borderId="0" xfId="0" applyFont="1" applyFill="1"/>
    <xf numFmtId="0" fontId="0" fillId="5" borderId="0" xfId="0" applyFill="1" applyAlignment="1">
      <alignment horizontal="center" vertical="center"/>
    </xf>
    <xf numFmtId="0" fontId="425" fillId="8" borderId="0" xfId="0" applyFont="1" applyFill="1"/>
    <xf numFmtId="0" fontId="0" fillId="8" borderId="0" xfId="0" applyFill="1"/>
    <xf numFmtId="9" fontId="0" fillId="0" borderId="0" xfId="0" applyNumberFormat="1"/>
    <xf numFmtId="0" fontId="0" fillId="5" borderId="0" xfId="0" applyFill="1" applyAlignment="1">
      <alignment horizontal="left"/>
    </xf>
    <xf numFmtId="0" fontId="442" fillId="5" borderId="0" xfId="0" applyFont="1" applyFill="1"/>
    <xf numFmtId="0" fontId="425" fillId="5" borderId="0" xfId="0" applyFont="1" applyFill="1" applyAlignment="1">
      <alignment horizontal="left"/>
    </xf>
    <xf numFmtId="0" fontId="424" fillId="5" borderId="0" xfId="0" applyFont="1" applyFill="1"/>
    <xf numFmtId="0" fontId="0" fillId="0" borderId="0" xfId="0" applyAlignment="1">
      <alignment horizontal="center" vertical="center" wrapText="1"/>
    </xf>
    <xf numFmtId="0" fontId="423" fillId="5" borderId="0" xfId="0" applyFont="1" applyFill="1"/>
    <xf numFmtId="0" fontId="42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421" fillId="5" borderId="2" xfId="0" applyFont="1" applyFill="1" applyBorder="1" applyAlignment="1">
      <alignment horizontal="center" vertical="center" wrapText="1"/>
    </xf>
    <xf numFmtId="0" fontId="0" fillId="0" borderId="1" xfId="0" applyFill="1" applyBorder="1" applyAlignment="1">
      <alignment horizontal="center" vertical="center"/>
    </xf>
    <xf numFmtId="0" fontId="430" fillId="0" borderId="1" xfId="0" applyFont="1" applyFill="1" applyBorder="1" applyAlignment="1">
      <alignment horizontal="center" vertical="center" wrapText="1"/>
    </xf>
    <xf numFmtId="0" fontId="422" fillId="0" borderId="1" xfId="0" applyFont="1" applyFill="1" applyBorder="1" applyAlignment="1">
      <alignment horizontal="center" vertical="center" wrapText="1"/>
    </xf>
    <xf numFmtId="0" fontId="420" fillId="0" borderId="0" xfId="0" applyFont="1" applyAlignment="1">
      <alignment horizontal="center" vertical="center" wrapText="1"/>
    </xf>
    <xf numFmtId="0" fontId="420" fillId="0" borderId="1" xfId="0" applyFont="1" applyBorder="1" applyAlignment="1">
      <alignment horizontal="center" vertical="center" wrapText="1"/>
    </xf>
    <xf numFmtId="49" fontId="424" fillId="5" borderId="0" xfId="0" applyNumberFormat="1" applyFont="1" applyFill="1"/>
    <xf numFmtId="164" fontId="0" fillId="0" borderId="0" xfId="2" applyNumberFormat="1" applyFont="1" applyAlignment="1">
      <alignment wrapText="1"/>
    </xf>
    <xf numFmtId="49" fontId="432" fillId="0" borderId="1" xfId="2" applyNumberFormat="1" applyFont="1" applyBorder="1" applyAlignment="1">
      <alignment wrapText="1"/>
    </xf>
    <xf numFmtId="49" fontId="0" fillId="0" borderId="0" xfId="2" applyNumberFormat="1" applyFont="1" applyAlignment="1">
      <alignment wrapText="1"/>
    </xf>
    <xf numFmtId="0" fontId="0" fillId="2" borderId="1" xfId="0" applyFill="1" applyBorder="1" applyAlignment="1">
      <alignment horizontal="center" vertical="center" wrapText="1"/>
    </xf>
    <xf numFmtId="0" fontId="419" fillId="0" borderId="0" xfId="0" applyFont="1"/>
    <xf numFmtId="0" fontId="0" fillId="5" borderId="0" xfId="0" applyNumberFormat="1" applyFill="1"/>
    <xf numFmtId="43" fontId="0" fillId="5" borderId="0" xfId="2" applyFont="1" applyFill="1"/>
    <xf numFmtId="43" fontId="0" fillId="5" borderId="0" xfId="0" applyNumberFormat="1" applyFill="1"/>
    <xf numFmtId="0" fontId="418" fillId="5" borderId="0" xfId="0" applyFont="1" applyFill="1"/>
    <xf numFmtId="43" fontId="418" fillId="5" borderId="0" xfId="2" applyFont="1" applyFill="1"/>
    <xf numFmtId="0" fontId="0" fillId="0" borderId="0" xfId="0" applyAlignment="1">
      <alignment horizontal="center" vertical="center" wrapText="1"/>
    </xf>
    <xf numFmtId="0" fontId="0" fillId="0" borderId="0" xfId="0" applyAlignment="1">
      <alignment horizontal="center" vertical="center" wrapText="1"/>
    </xf>
    <xf numFmtId="43" fontId="441" fillId="0" borderId="0" xfId="2" applyFont="1" applyAlignment="1">
      <alignment horizontal="center" wrapText="1"/>
    </xf>
    <xf numFmtId="0" fontId="0" fillId="0" borderId="1" xfId="0" applyBorder="1"/>
    <xf numFmtId="43" fontId="0" fillId="0" borderId="1" xfId="2" applyFont="1" applyBorder="1"/>
    <xf numFmtId="43" fontId="0" fillId="5" borderId="1" xfId="2" applyFont="1" applyFill="1" applyBorder="1"/>
    <xf numFmtId="0" fontId="0" fillId="0" borderId="0" xfId="0" applyAlignment="1">
      <alignment horizontal="center" vertical="center" wrapText="1"/>
    </xf>
    <xf numFmtId="0" fontId="0" fillId="0" borderId="0" xfId="0" applyAlignment="1">
      <alignment horizontal="center" vertical="center"/>
    </xf>
    <xf numFmtId="43" fontId="0" fillId="0" borderId="0" xfId="2" applyFont="1" applyAlignment="1">
      <alignment horizontal="center"/>
    </xf>
    <xf numFmtId="43" fontId="0" fillId="5" borderId="0" xfId="2" applyFont="1" applyFill="1" applyAlignment="1">
      <alignment horizontal="center"/>
    </xf>
    <xf numFmtId="0" fontId="0" fillId="0" borderId="0" xfId="0" applyAlignment="1">
      <alignment horizontal="center"/>
    </xf>
    <xf numFmtId="43" fontId="0" fillId="0" borderId="1" xfId="2" applyFont="1" applyBorder="1" applyAlignment="1">
      <alignment horizontal="center"/>
    </xf>
    <xf numFmtId="0" fontId="0" fillId="0" borderId="1" xfId="0" applyBorder="1" applyAlignment="1">
      <alignment horizontal="center"/>
    </xf>
    <xf numFmtId="0" fontId="0" fillId="5" borderId="0" xfId="0" applyFill="1" applyAlignment="1">
      <alignment horizontal="center"/>
    </xf>
    <xf numFmtId="0" fontId="0" fillId="9" borderId="0" xfId="0" applyFill="1"/>
    <xf numFmtId="0" fontId="417" fillId="5" borderId="0" xfId="0" applyFont="1" applyFill="1"/>
    <xf numFmtId="0" fontId="417" fillId="0" borderId="0" xfId="0" applyFont="1"/>
    <xf numFmtId="0" fontId="415" fillId="5" borderId="0" xfId="0" applyFont="1" applyFill="1"/>
    <xf numFmtId="0" fontId="413" fillId="5" borderId="0" xfId="0" applyFont="1" applyFill="1"/>
    <xf numFmtId="0" fontId="413" fillId="0" borderId="0" xfId="0" applyFont="1"/>
    <xf numFmtId="0" fontId="0" fillId="10" borderId="0" xfId="0" applyFill="1"/>
    <xf numFmtId="0" fontId="416" fillId="10" borderId="0" xfId="0" applyFont="1" applyFill="1"/>
    <xf numFmtId="0" fontId="414" fillId="10" borderId="0" xfId="0" applyFont="1" applyFill="1"/>
    <xf numFmtId="0" fontId="418" fillId="10" borderId="0" xfId="0" applyFont="1" applyFill="1"/>
    <xf numFmtId="0" fontId="412" fillId="0" borderId="0" xfId="0" applyFont="1" applyFill="1"/>
    <xf numFmtId="0" fontId="417" fillId="10" borderId="0" xfId="0" applyFont="1" applyFill="1"/>
    <xf numFmtId="0" fontId="412" fillId="10" borderId="0" xfId="0" applyFont="1" applyFill="1"/>
    <xf numFmtId="0" fontId="0" fillId="10" borderId="0" xfId="0" applyFill="1" applyAlignment="1">
      <alignment wrapText="1"/>
    </xf>
    <xf numFmtId="0" fontId="411" fillId="5" borderId="0" xfId="0" applyFont="1" applyFill="1"/>
    <xf numFmtId="0" fontId="410" fillId="0" borderId="0" xfId="0" applyFont="1" applyFill="1" applyBorder="1"/>
    <xf numFmtId="0" fontId="409" fillId="5" borderId="0" xfId="0" applyFont="1" applyFill="1"/>
    <xf numFmtId="0" fontId="408" fillId="5" borderId="0" xfId="0" applyFont="1" applyFill="1"/>
    <xf numFmtId="0" fontId="407" fillId="5" borderId="0" xfId="0" applyFont="1" applyFill="1"/>
    <xf numFmtId="0" fontId="409" fillId="10" borderId="0" xfId="0" applyFont="1" applyFill="1"/>
    <xf numFmtId="0" fontId="406" fillId="5" borderId="0" xfId="0" applyFont="1" applyFill="1"/>
    <xf numFmtId="0" fontId="406" fillId="0" borderId="0" xfId="0" applyFont="1" applyFill="1"/>
    <xf numFmtId="0" fontId="0" fillId="11" borderId="0" xfId="0" applyFill="1"/>
    <xf numFmtId="0" fontId="0" fillId="9" borderId="0" xfId="0" applyFill="1" applyAlignment="1">
      <alignment wrapText="1"/>
    </xf>
    <xf numFmtId="0" fontId="406" fillId="0" borderId="0" xfId="0" applyFont="1"/>
    <xf numFmtId="0" fontId="406" fillId="12" borderId="0" xfId="0" applyFont="1" applyFill="1"/>
    <xf numFmtId="0" fontId="406" fillId="10" borderId="0" xfId="0" applyFont="1" applyFill="1"/>
    <xf numFmtId="0" fontId="405" fillId="0" borderId="0" xfId="0" applyFont="1" applyFill="1"/>
    <xf numFmtId="0" fontId="405" fillId="5" borderId="0" xfId="0" applyFont="1" applyFill="1"/>
    <xf numFmtId="0" fontId="404" fillId="0" borderId="0" xfId="0" applyFont="1" applyFill="1"/>
    <xf numFmtId="0" fontId="404" fillId="5" borderId="0" xfId="0" applyFont="1" applyFill="1"/>
    <xf numFmtId="49" fontId="403" fillId="5" borderId="1" xfId="2" applyNumberFormat="1" applyFont="1" applyFill="1" applyBorder="1" applyAlignment="1">
      <alignment wrapText="1"/>
    </xf>
    <xf numFmtId="0" fontId="444" fillId="10" borderId="0" xfId="0" applyFont="1" applyFill="1"/>
    <xf numFmtId="0" fontId="402" fillId="5" borderId="0" xfId="0" applyFont="1" applyFill="1"/>
    <xf numFmtId="0" fontId="402" fillId="5" borderId="1" xfId="0" applyFont="1" applyFill="1" applyBorder="1"/>
    <xf numFmtId="0" fontId="401" fillId="5" borderId="0" xfId="0" applyFont="1" applyFill="1"/>
    <xf numFmtId="0" fontId="401" fillId="0" borderId="0" xfId="0" applyFont="1" applyFill="1"/>
    <xf numFmtId="0" fontId="0" fillId="13" borderId="0" xfId="0" applyFill="1"/>
    <xf numFmtId="0" fontId="405" fillId="11" borderId="0" xfId="0" applyFont="1" applyFill="1"/>
    <xf numFmtId="0" fontId="402" fillId="11" borderId="0" xfId="0" applyFont="1" applyFill="1"/>
    <xf numFmtId="0" fontId="403" fillId="11" borderId="0" xfId="0" applyFont="1" applyFill="1"/>
    <xf numFmtId="0" fontId="400" fillId="5" borderId="0" xfId="0" applyFont="1" applyFill="1"/>
    <xf numFmtId="0" fontId="400" fillId="5" borderId="0" xfId="0" applyFont="1" applyFill="1" applyBorder="1"/>
    <xf numFmtId="0" fontId="0" fillId="5" borderId="0" xfId="0" applyFill="1" applyBorder="1"/>
    <xf numFmtId="0" fontId="399" fillId="5" borderId="0" xfId="0" applyFont="1" applyFill="1" applyBorder="1"/>
    <xf numFmtId="0" fontId="400" fillId="11" borderId="0" xfId="0" applyFont="1" applyFill="1"/>
    <xf numFmtId="0" fontId="406" fillId="11" borderId="0" xfId="0" applyFont="1" applyFill="1"/>
    <xf numFmtId="0" fontId="445" fillId="11" borderId="0" xfId="0" applyFont="1" applyFill="1"/>
    <xf numFmtId="0" fontId="0" fillId="14" borderId="0" xfId="0" applyFill="1"/>
    <xf numFmtId="0" fontId="398" fillId="5" borderId="0" xfId="0" applyFont="1" applyFill="1"/>
    <xf numFmtId="0" fontId="397" fillId="0" borderId="0" xfId="0" applyFont="1" applyFill="1"/>
    <xf numFmtId="0" fontId="0" fillId="2" borderId="1" xfId="0" applyFill="1" applyBorder="1" applyAlignment="1">
      <alignment horizontal="center" vertical="center"/>
    </xf>
    <xf numFmtId="0" fontId="396" fillId="0" borderId="0" xfId="0" applyFont="1" applyFill="1"/>
    <xf numFmtId="0" fontId="396" fillId="5" borderId="0" xfId="0" applyFont="1" applyFill="1"/>
    <xf numFmtId="0" fontId="443" fillId="11" borderId="0" xfId="0" applyFont="1" applyFill="1"/>
    <xf numFmtId="0" fontId="396" fillId="10" borderId="0" xfId="0" applyFont="1" applyFill="1"/>
    <xf numFmtId="0" fontId="403" fillId="10" borderId="0" xfId="0" applyFont="1" applyFill="1"/>
    <xf numFmtId="0" fontId="395" fillId="0" borderId="0" xfId="0" applyFont="1" applyFill="1"/>
    <xf numFmtId="0" fontId="395" fillId="5" borderId="0" xfId="0" applyFont="1" applyFill="1"/>
    <xf numFmtId="0" fontId="395" fillId="0" borderId="0" xfId="0" applyFont="1"/>
    <xf numFmtId="0" fontId="394" fillId="5" borderId="0" xfId="0" applyFont="1" applyFill="1"/>
    <xf numFmtId="0" fontId="400" fillId="10" borderId="0" xfId="0" applyFont="1" applyFill="1"/>
    <xf numFmtId="0" fontId="399" fillId="10" borderId="0" xfId="0" applyFont="1" applyFill="1"/>
    <xf numFmtId="0" fontId="392" fillId="0" borderId="0" xfId="0" applyFont="1" applyFill="1" applyBorder="1"/>
    <xf numFmtId="0" fontId="391" fillId="5" borderId="0" xfId="0" applyFont="1" applyFill="1"/>
    <xf numFmtId="0" fontId="390" fillId="5" borderId="0" xfId="0" applyFont="1" applyFill="1"/>
    <xf numFmtId="0" fontId="389" fillId="0" borderId="0" xfId="0" applyFont="1" applyFill="1"/>
    <xf numFmtId="0" fontId="389" fillId="5" borderId="0" xfId="0" applyFont="1" applyFill="1"/>
    <xf numFmtId="49" fontId="388" fillId="5" borderId="1" xfId="2" applyNumberFormat="1" applyFont="1" applyFill="1" applyBorder="1" applyAlignment="1">
      <alignment wrapText="1"/>
    </xf>
    <xf numFmtId="0" fontId="388" fillId="5" borderId="0" xfId="0" applyFont="1" applyFill="1"/>
    <xf numFmtId="0" fontId="386" fillId="0" borderId="0" xfId="0" applyFont="1" applyFill="1"/>
    <xf numFmtId="0" fontId="385" fillId="0" borderId="0" xfId="0" applyFont="1" applyFill="1"/>
    <xf numFmtId="0" fontId="385" fillId="9" borderId="0" xfId="0" applyFont="1" applyFill="1"/>
    <xf numFmtId="0" fontId="385" fillId="5" borderId="0" xfId="0" applyFont="1" applyFill="1"/>
    <xf numFmtId="0" fontId="394" fillId="10" borderId="0" xfId="0" applyFont="1" applyFill="1"/>
    <xf numFmtId="0" fontId="384" fillId="5" borderId="0" xfId="0" applyFont="1" applyFill="1"/>
    <xf numFmtId="0" fontId="384" fillId="4" borderId="0" xfId="0" applyFont="1" applyFill="1"/>
    <xf numFmtId="0" fontId="383" fillId="5" borderId="0" xfId="0" applyFont="1" applyFill="1"/>
    <xf numFmtId="0" fontId="382" fillId="5" borderId="0" xfId="0" applyFont="1" applyFill="1"/>
    <xf numFmtId="0" fontId="381" fillId="5" borderId="0" xfId="0" applyFont="1" applyFill="1"/>
    <xf numFmtId="0" fontId="381" fillId="0" borderId="0" xfId="0" applyFont="1" applyFill="1"/>
    <xf numFmtId="43" fontId="0" fillId="0" borderId="0" xfId="2" applyFont="1" applyFill="1"/>
    <xf numFmtId="0" fontId="380" fillId="0" borderId="0" xfId="0" applyFont="1" applyFill="1"/>
    <xf numFmtId="0" fontId="380" fillId="5" borderId="0" xfId="0" applyFont="1" applyFill="1"/>
    <xf numFmtId="0" fontId="379" fillId="0" borderId="0" xfId="0" applyFont="1" applyFill="1"/>
    <xf numFmtId="0" fontId="379" fillId="5" borderId="0" xfId="0" applyFont="1" applyFill="1"/>
    <xf numFmtId="0" fontId="399" fillId="13" borderId="0" xfId="0" applyFont="1" applyFill="1"/>
    <xf numFmtId="0" fontId="395" fillId="11" borderId="0" xfId="0" applyFont="1" applyFill="1"/>
    <xf numFmtId="0" fontId="393" fillId="11" borderId="0" xfId="0" applyFont="1" applyFill="1"/>
    <xf numFmtId="0" fontId="444" fillId="11" borderId="0" xfId="0" applyFont="1" applyFill="1"/>
    <xf numFmtId="0" fontId="378" fillId="0" borderId="0" xfId="0" applyFont="1" applyFill="1"/>
    <xf numFmtId="0" fontId="378" fillId="5" borderId="0" xfId="0" applyFont="1" applyFill="1"/>
    <xf numFmtId="0" fontId="377" fillId="5" borderId="0" xfId="0" applyFont="1" applyFill="1"/>
    <xf numFmtId="0" fontId="377" fillId="0" borderId="0" xfId="0" applyFont="1" applyFill="1"/>
    <xf numFmtId="0" fontId="376" fillId="5" borderId="0" xfId="0" applyFont="1" applyFill="1"/>
    <xf numFmtId="0" fontId="442" fillId="0" borderId="1" xfId="0" applyFont="1" applyBorder="1" applyAlignment="1">
      <alignment horizontal="center" vertical="center"/>
    </xf>
    <xf numFmtId="0" fontId="376" fillId="0" borderId="1" xfId="0" applyFont="1" applyBorder="1" applyAlignment="1">
      <alignment horizontal="center"/>
    </xf>
    <xf numFmtId="0" fontId="440" fillId="5" borderId="0" xfId="0" applyFont="1" applyFill="1" applyAlignment="1">
      <alignment horizontal="center" vertical="center" wrapText="1"/>
    </xf>
    <xf numFmtId="0" fontId="375" fillId="5" borderId="0" xfId="0" applyFont="1" applyFill="1"/>
    <xf numFmtId="0" fontId="375" fillId="0" borderId="0" xfId="0" applyFont="1" applyFill="1"/>
    <xf numFmtId="0" fontId="374" fillId="0" borderId="0" xfId="0" applyFont="1" applyFill="1"/>
    <xf numFmtId="0" fontId="374" fillId="5" borderId="0" xfId="0" applyFont="1" applyFill="1"/>
    <xf numFmtId="0" fontId="373" fillId="9" borderId="0" xfId="0" applyFont="1" applyFill="1"/>
    <xf numFmtId="0" fontId="373" fillId="5" borderId="0" xfId="0" applyFont="1" applyFill="1"/>
    <xf numFmtId="0" fontId="372" fillId="5" borderId="0" xfId="0" applyFont="1" applyFill="1"/>
    <xf numFmtId="0" fontId="370" fillId="5" borderId="0" xfId="0" applyFont="1" applyFill="1"/>
    <xf numFmtId="0" fontId="369" fillId="0" borderId="0" xfId="0" applyFont="1" applyFill="1"/>
    <xf numFmtId="0" fontId="369" fillId="5" borderId="0" xfId="0" applyFont="1" applyFill="1"/>
    <xf numFmtId="0" fontId="368" fillId="0" borderId="0" xfId="0" applyFont="1" applyFill="1"/>
    <xf numFmtId="0" fontId="367" fillId="0" borderId="0" xfId="0" applyFont="1" applyFill="1"/>
    <xf numFmtId="0" fontId="366" fillId="0" borderId="0" xfId="0" applyFont="1" applyAlignment="1">
      <alignment horizontal="center" vertical="center" wrapText="1"/>
    </xf>
    <xf numFmtId="0" fontId="366" fillId="0" borderId="0" xfId="0" applyFont="1"/>
    <xf numFmtId="0" fontId="366" fillId="0" borderId="0" xfId="0" applyFont="1" applyFill="1"/>
    <xf numFmtId="0" fontId="376" fillId="14" borderId="0" xfId="0" applyFont="1" applyFill="1" applyAlignment="1">
      <alignment horizontal="center" vertical="center" wrapText="1"/>
    </xf>
    <xf numFmtId="0" fontId="0" fillId="14" borderId="1" xfId="0" applyFill="1" applyBorder="1" applyAlignment="1">
      <alignment horizontal="center" vertical="center" wrapText="1"/>
    </xf>
    <xf numFmtId="0" fontId="0" fillId="14" borderId="0" xfId="0" applyFill="1" applyAlignment="1">
      <alignment horizontal="center" vertical="center" wrapText="1"/>
    </xf>
    <xf numFmtId="0" fontId="366" fillId="14" borderId="0" xfId="0" applyFont="1" applyFill="1" applyAlignment="1">
      <alignment horizontal="center" vertical="center" wrapText="1"/>
    </xf>
    <xf numFmtId="0" fontId="365" fillId="0" borderId="0" xfId="0" applyFont="1" applyFill="1"/>
    <xf numFmtId="0" fontId="364" fillId="5" borderId="0" xfId="0" applyFont="1" applyFill="1"/>
    <xf numFmtId="0" fontId="363" fillId="5" borderId="0" xfId="0" applyFont="1" applyFill="1"/>
    <xf numFmtId="0" fontId="363" fillId="0" borderId="0" xfId="0" applyFont="1" applyFill="1"/>
    <xf numFmtId="0" fontId="361" fillId="5" borderId="0" xfId="0" applyFont="1" applyFill="1"/>
    <xf numFmtId="0" fontId="382" fillId="13" borderId="0" xfId="0" applyFont="1" applyFill="1"/>
    <xf numFmtId="0" fontId="360" fillId="5" borderId="0" xfId="0" applyFont="1" applyFill="1"/>
    <xf numFmtId="0" fontId="360" fillId="0" borderId="0" xfId="0" applyFont="1" applyFill="1"/>
    <xf numFmtId="0" fontId="382" fillId="10" borderId="0" xfId="0" applyFont="1" applyFill="1"/>
    <xf numFmtId="0" fontId="360" fillId="0" borderId="0" xfId="0" applyFont="1" applyFill="1" applyBorder="1"/>
    <xf numFmtId="0" fontId="362" fillId="10" borderId="0" xfId="0" applyFont="1" applyFill="1"/>
    <xf numFmtId="0" fontId="382" fillId="11" borderId="0" xfId="0" applyFont="1" applyFill="1"/>
    <xf numFmtId="0" fontId="359" fillId="5" borderId="0" xfId="0" applyFont="1" applyFill="1"/>
    <xf numFmtId="0" fontId="358" fillId="0" borderId="0" xfId="0" applyFont="1" applyFill="1"/>
    <xf numFmtId="0" fontId="358" fillId="5" borderId="0" xfId="0" applyFont="1" applyFill="1"/>
    <xf numFmtId="0" fontId="357" fillId="0" borderId="0" xfId="0" applyFont="1" applyFill="1"/>
    <xf numFmtId="0" fontId="357" fillId="5" borderId="0" xfId="0" applyFont="1" applyFill="1"/>
    <xf numFmtId="0" fontId="357" fillId="0" borderId="0" xfId="0" applyFont="1"/>
    <xf numFmtId="43" fontId="357" fillId="0" borderId="0" xfId="2" applyFont="1"/>
    <xf numFmtId="0" fontId="356" fillId="0" borderId="0" xfId="0" applyFont="1" applyFill="1"/>
    <xf numFmtId="0" fontId="356" fillId="5" borderId="0" xfId="0" applyFont="1" applyFill="1"/>
    <xf numFmtId="0" fontId="360" fillId="11" borderId="0" xfId="0" applyFont="1" applyFill="1"/>
    <xf numFmtId="0" fontId="354" fillId="5" borderId="0" xfId="0" applyFont="1" applyFill="1"/>
    <xf numFmtId="3" fontId="0" fillId="5" borderId="0" xfId="0" applyNumberFormat="1" applyFill="1"/>
    <xf numFmtId="0" fontId="353" fillId="14" borderId="0" xfId="0" applyFont="1" applyFill="1"/>
    <xf numFmtId="0" fontId="353" fillId="5" borderId="0" xfId="0" applyFont="1" applyFill="1"/>
    <xf numFmtId="0" fontId="352" fillId="0" borderId="0" xfId="0" applyFont="1" applyFill="1"/>
    <xf numFmtId="0" fontId="352" fillId="5" borderId="0" xfId="0" applyFont="1" applyFill="1"/>
    <xf numFmtId="0" fontId="352" fillId="14" borderId="0" xfId="0" applyFont="1" applyFill="1"/>
    <xf numFmtId="0" fontId="352" fillId="4" borderId="0" xfId="0" applyFont="1" applyFill="1"/>
    <xf numFmtId="0" fontId="353" fillId="4" borderId="0" xfId="0" applyFont="1" applyFill="1"/>
    <xf numFmtId="0" fontId="351" fillId="5" borderId="0" xfId="0" applyFont="1" applyFill="1"/>
    <xf numFmtId="0" fontId="351" fillId="0" borderId="0" xfId="0" applyFont="1" applyFill="1"/>
    <xf numFmtId="0" fontId="351" fillId="5" borderId="0" xfId="0" applyFont="1" applyFill="1" applyAlignment="1">
      <alignment wrapText="1"/>
    </xf>
    <xf numFmtId="49" fontId="401" fillId="0" borderId="0" xfId="0" applyNumberFormat="1" applyFont="1" applyFill="1"/>
    <xf numFmtId="0" fontId="355" fillId="5" borderId="0" xfId="0" applyFont="1" applyFill="1"/>
    <xf numFmtId="0" fontId="350" fillId="0" borderId="0" xfId="0" applyFont="1" applyFill="1"/>
    <xf numFmtId="0" fontId="350" fillId="5" borderId="0" xfId="0" applyFont="1" applyFill="1"/>
    <xf numFmtId="0" fontId="0" fillId="0" borderId="0" xfId="0" applyAlignment="1">
      <alignment horizontal="center" vertical="center"/>
    </xf>
    <xf numFmtId="0" fontId="349" fillId="0" borderId="0" xfId="0" applyFont="1" applyFill="1"/>
    <xf numFmtId="0" fontId="349" fillId="5" borderId="0" xfId="0" applyFont="1" applyFill="1"/>
    <xf numFmtId="0" fontId="0" fillId="0" borderId="0" xfId="0" applyAlignment="1">
      <alignment horizontal="center" vertical="center" wrapText="1"/>
    </xf>
    <xf numFmtId="43" fontId="352" fillId="0" borderId="0" xfId="2" applyFont="1" applyFill="1"/>
    <xf numFmtId="0" fontId="347" fillId="0" borderId="0" xfId="0" applyFont="1" applyFill="1"/>
    <xf numFmtId="0" fontId="347" fillId="5" borderId="0" xfId="0" applyFont="1" applyFill="1"/>
    <xf numFmtId="0" fontId="365" fillId="5" borderId="0" xfId="0" applyFont="1" applyFill="1"/>
    <xf numFmtId="0" fontId="347" fillId="0" borderId="0" xfId="0" applyFont="1" applyAlignment="1">
      <alignment horizontal="center" vertical="center" wrapText="1"/>
    </xf>
    <xf numFmtId="0" fontId="0" fillId="0" borderId="0" xfId="0" applyBorder="1" applyAlignment="1">
      <alignment horizontal="center" vertical="center"/>
    </xf>
    <xf numFmtId="0" fontId="346" fillId="0" borderId="0" xfId="0" applyFont="1" applyFill="1"/>
    <xf numFmtId="0" fontId="346" fillId="5" borderId="0" xfId="0" applyFont="1" applyFill="1"/>
    <xf numFmtId="0" fontId="346" fillId="5" borderId="0" xfId="0" applyFont="1" applyFill="1" applyAlignment="1">
      <alignment wrapText="1"/>
    </xf>
    <xf numFmtId="0" fontId="345" fillId="5" borderId="0" xfId="0" applyFont="1" applyFill="1"/>
    <xf numFmtId="0" fontId="344" fillId="5" borderId="0" xfId="0" applyFont="1" applyFill="1"/>
    <xf numFmtId="0" fontId="343" fillId="0" borderId="0" xfId="0" applyFont="1" applyFill="1"/>
    <xf numFmtId="0" fontId="343" fillId="2" borderId="0" xfId="0" applyFont="1" applyFill="1"/>
    <xf numFmtId="0" fontId="343" fillId="5" borderId="0" xfId="0" applyFont="1" applyFill="1"/>
    <xf numFmtId="0" fontId="343" fillId="4" borderId="0" xfId="0" applyFont="1" applyFill="1"/>
    <xf numFmtId="0" fontId="0" fillId="0" borderId="2" xfId="0" applyFill="1" applyBorder="1" applyAlignment="1">
      <alignment horizontal="center"/>
    </xf>
    <xf numFmtId="0" fontId="0" fillId="0" borderId="2" xfId="0" applyFill="1" applyBorder="1"/>
    <xf numFmtId="0" fontId="342" fillId="0" borderId="0" xfId="0" applyFont="1" applyFill="1"/>
    <xf numFmtId="0" fontId="342" fillId="5" borderId="0" xfId="0" applyFont="1" applyFill="1"/>
    <xf numFmtId="0" fontId="342" fillId="5" borderId="0" xfId="0" applyFont="1" applyFill="1" applyAlignment="1">
      <alignment wrapText="1"/>
    </xf>
    <xf numFmtId="0" fontId="341" fillId="0" borderId="0" xfId="0" applyFont="1" applyFill="1"/>
    <xf numFmtId="0" fontId="341" fillId="2" borderId="0" xfId="0" applyFont="1" applyFill="1"/>
    <xf numFmtId="0" fontId="341" fillId="5" borderId="0" xfId="0" applyFont="1" applyFill="1"/>
    <xf numFmtId="0" fontId="341" fillId="5" borderId="0" xfId="0" applyFont="1" applyFill="1" applyAlignment="1">
      <alignment wrapText="1"/>
    </xf>
    <xf numFmtId="0" fontId="0" fillId="0" borderId="3" xfId="0" applyFill="1" applyBorder="1"/>
    <xf numFmtId="0" fontId="0" fillId="0" borderId="0" xfId="0" applyAlignment="1">
      <alignment horizontal="center" vertical="center" wrapText="1"/>
    </xf>
    <xf numFmtId="0" fontId="340" fillId="5" borderId="0" xfId="0" applyFont="1" applyFill="1"/>
    <xf numFmtId="0" fontId="340" fillId="0" borderId="0" xfId="0" applyFont="1" applyFill="1"/>
    <xf numFmtId="0" fontId="353" fillId="10" borderId="0" xfId="0" applyFont="1" applyFill="1"/>
    <xf numFmtId="0" fontId="339" fillId="2" borderId="0" xfId="0" applyFont="1" applyFill="1"/>
    <xf numFmtId="0" fontId="339" fillId="0" borderId="0" xfId="0" applyFont="1" applyFill="1"/>
    <xf numFmtId="0" fontId="339" fillId="5" borderId="0" xfId="0" applyFont="1" applyFill="1"/>
    <xf numFmtId="43" fontId="339" fillId="0" borderId="0" xfId="2" applyFont="1" applyFill="1"/>
    <xf numFmtId="0" fontId="338" fillId="5" borderId="0" xfId="0" applyFont="1" applyFill="1"/>
    <xf numFmtId="0" fontId="338" fillId="9" borderId="0" xfId="0" applyFont="1" applyFill="1"/>
    <xf numFmtId="0" fontId="337" fillId="0" borderId="0" xfId="0" applyFont="1" applyFill="1"/>
    <xf numFmtId="0" fontId="337" fillId="5" borderId="0" xfId="0" applyFont="1" applyFill="1"/>
    <xf numFmtId="0" fontId="0" fillId="0" borderId="0" xfId="0" applyBorder="1" applyAlignment="1">
      <alignment horizontal="center"/>
    </xf>
    <xf numFmtId="0" fontId="0" fillId="0" borderId="2" xfId="0" applyBorder="1" applyAlignment="1">
      <alignment horizontal="center"/>
    </xf>
    <xf numFmtId="0" fontId="0" fillId="0" borderId="2" xfId="0" applyBorder="1"/>
    <xf numFmtId="0" fontId="0" fillId="0" borderId="0" xfId="0" applyBorder="1"/>
    <xf numFmtId="0" fontId="0" fillId="0" borderId="3" xfId="0" applyBorder="1"/>
    <xf numFmtId="0" fontId="336" fillId="0" borderId="0" xfId="0" applyFont="1" applyFill="1"/>
    <xf numFmtId="0" fontId="0" fillId="0" borderId="0" xfId="0" applyFill="1" applyBorder="1" applyAlignment="1">
      <alignment horizontal="center"/>
    </xf>
    <xf numFmtId="0" fontId="0" fillId="0" borderId="0" xfId="0" applyFill="1" applyBorder="1"/>
    <xf numFmtId="0" fontId="335" fillId="5" borderId="0" xfId="0" applyFont="1" applyFill="1"/>
    <xf numFmtId="0" fontId="334" fillId="5" borderId="0" xfId="0" applyFont="1" applyFill="1"/>
    <xf numFmtId="0" fontId="333" fillId="0" borderId="0" xfId="0" applyFont="1" applyFill="1"/>
    <xf numFmtId="0" fontId="333" fillId="5" borderId="0" xfId="0" applyFont="1" applyFill="1"/>
    <xf numFmtId="0" fontId="332" fillId="0" borderId="0" xfId="0" applyFont="1" applyFill="1"/>
    <xf numFmtId="0" fontId="332" fillId="5" borderId="0" xfId="0" applyFont="1" applyFill="1"/>
    <xf numFmtId="0" fontId="336" fillId="5" borderId="0" xfId="0" applyFont="1" applyFill="1"/>
    <xf numFmtId="0" fontId="0" fillId="2" borderId="2" xfId="0" applyFill="1" applyBorder="1" applyAlignment="1">
      <alignment horizontal="center"/>
    </xf>
    <xf numFmtId="0" fontId="0" fillId="2" borderId="2" xfId="0" applyFill="1" applyBorder="1"/>
    <xf numFmtId="0" fontId="0" fillId="2" borderId="3" xfId="0" applyFill="1" applyBorder="1"/>
    <xf numFmtId="0" fontId="331" fillId="5" borderId="0" xfId="0" applyFont="1" applyFill="1"/>
    <xf numFmtId="0" fontId="330" fillId="5" borderId="0" xfId="0" applyFont="1" applyFill="1"/>
    <xf numFmtId="0" fontId="330" fillId="0" borderId="0" xfId="0" applyFont="1" applyFill="1"/>
    <xf numFmtId="0" fontId="367" fillId="5" borderId="0" xfId="0" applyFont="1" applyFill="1"/>
    <xf numFmtId="0" fontId="329" fillId="5" borderId="0" xfId="0" applyFont="1" applyFill="1"/>
    <xf numFmtId="0" fontId="328" fillId="0" borderId="0" xfId="0" applyFont="1" applyFill="1"/>
    <xf numFmtId="0" fontId="328" fillId="5" borderId="0" xfId="0" applyFont="1" applyFill="1"/>
    <xf numFmtId="0" fontId="328" fillId="7" borderId="0" xfId="0" applyFont="1" applyFill="1"/>
    <xf numFmtId="0" fontId="330" fillId="7" borderId="0" xfId="0" applyFont="1" applyFill="1"/>
    <xf numFmtId="0" fontId="328" fillId="2" borderId="0" xfId="0" applyFont="1" applyFill="1"/>
    <xf numFmtId="0" fontId="327" fillId="5" borderId="0" xfId="0" applyFont="1" applyFill="1"/>
    <xf numFmtId="0" fontId="327" fillId="0" borderId="0" xfId="0" applyFont="1" applyFill="1"/>
    <xf numFmtId="0" fontId="326" fillId="5" borderId="0" xfId="0" applyFont="1" applyFill="1"/>
    <xf numFmtId="0" fontId="326" fillId="5" borderId="0" xfId="0" applyFont="1" applyFill="1" applyAlignment="1">
      <alignment wrapText="1"/>
    </xf>
    <xf numFmtId="0" fontId="325" fillId="5" borderId="0" xfId="0" applyFont="1" applyFill="1"/>
    <xf numFmtId="0" fontId="325" fillId="0" borderId="0" xfId="0" applyFont="1" applyFill="1"/>
    <xf numFmtId="0" fontId="325" fillId="5" borderId="0" xfId="0" applyFont="1" applyFill="1" applyAlignment="1">
      <alignment wrapText="1"/>
    </xf>
    <xf numFmtId="0" fontId="324" fillId="0" borderId="0" xfId="0" applyFont="1" applyFill="1"/>
    <xf numFmtId="0" fontId="324" fillId="5" borderId="0" xfId="0" applyFont="1" applyFill="1"/>
    <xf numFmtId="0" fontId="324" fillId="2" borderId="0" xfId="0" applyFont="1" applyFill="1"/>
    <xf numFmtId="0" fontId="323" fillId="5" borderId="0" xfId="0" applyFont="1" applyFill="1"/>
    <xf numFmtId="0" fontId="323" fillId="0" borderId="0" xfId="0" applyFont="1" applyFill="1"/>
    <xf numFmtId="0" fontId="322" fillId="0" borderId="0" xfId="0" applyFont="1" applyFill="1"/>
    <xf numFmtId="0" fontId="322" fillId="5" borderId="0" xfId="0" applyFont="1" applyFill="1"/>
    <xf numFmtId="0" fontId="322" fillId="0" borderId="0" xfId="0" applyFont="1"/>
    <xf numFmtId="0" fontId="321" fillId="0" borderId="0" xfId="0" applyFont="1" applyFill="1"/>
    <xf numFmtId="0" fontId="321" fillId="4" borderId="0" xfId="0" applyFont="1" applyFill="1"/>
    <xf numFmtId="0" fontId="321" fillId="5" borderId="0" xfId="0" applyFont="1" applyFill="1"/>
    <xf numFmtId="0" fontId="318" fillId="0" borderId="0" xfId="0" applyFont="1" applyFill="1"/>
    <xf numFmtId="0" fontId="318" fillId="5" borderId="0" xfId="0" applyFont="1" applyFill="1"/>
    <xf numFmtId="0" fontId="317" fillId="5" borderId="0" xfId="0" applyFont="1" applyFill="1"/>
    <xf numFmtId="0" fontId="316" fillId="0" borderId="0" xfId="0" applyFont="1" applyFill="1"/>
    <xf numFmtId="0" fontId="316" fillId="5" borderId="0" xfId="0" applyFont="1" applyFill="1"/>
    <xf numFmtId="0" fontId="315" fillId="5" borderId="0" xfId="0" applyFont="1" applyFill="1"/>
    <xf numFmtId="0" fontId="315" fillId="0" borderId="0" xfId="0" applyFont="1" applyFill="1"/>
    <xf numFmtId="0" fontId="313" fillId="0" borderId="0" xfId="0" applyFont="1" applyFill="1"/>
    <xf numFmtId="0" fontId="313" fillId="5" borderId="0" xfId="0" applyFont="1" applyFill="1"/>
    <xf numFmtId="0" fontId="312" fillId="0" borderId="0" xfId="0" applyFont="1" applyFill="1"/>
    <xf numFmtId="0" fontId="311" fillId="0" borderId="0" xfId="0" applyFont="1" applyFill="1"/>
    <xf numFmtId="0" fontId="311" fillId="5" borderId="0" xfId="0" applyFont="1" applyFill="1"/>
    <xf numFmtId="0" fontId="310" fillId="0" borderId="0" xfId="0" applyFont="1" applyFill="1"/>
    <xf numFmtId="0" fontId="310" fillId="5" borderId="0" xfId="0" applyFont="1" applyFill="1"/>
    <xf numFmtId="0" fontId="310" fillId="15" borderId="0" xfId="0" applyFont="1" applyFill="1"/>
    <xf numFmtId="0" fontId="0" fillId="15" borderId="0" xfId="0" applyFill="1"/>
    <xf numFmtId="0" fontId="312" fillId="15" borderId="0" xfId="0" applyFont="1" applyFill="1"/>
    <xf numFmtId="0" fontId="309" fillId="0" borderId="0" xfId="0" applyFont="1" applyFill="1"/>
    <xf numFmtId="0" fontId="309" fillId="2" borderId="0" xfId="0" applyFont="1" applyFill="1"/>
    <xf numFmtId="0" fontId="309" fillId="5" borderId="0" xfId="0" applyFont="1" applyFill="1"/>
    <xf numFmtId="43" fontId="309" fillId="0" borderId="0" xfId="2" applyFont="1" applyFill="1"/>
    <xf numFmtId="0" fontId="309" fillId="15" borderId="0" xfId="0" applyFont="1" applyFill="1"/>
    <xf numFmtId="0" fontId="308" fillId="0" borderId="0" xfId="0" applyFont="1" applyFill="1"/>
    <xf numFmtId="0" fontId="308" fillId="5" borderId="0" xfId="0" applyFont="1" applyFill="1"/>
    <xf numFmtId="0" fontId="307" fillId="5" borderId="0" xfId="0" applyFont="1" applyFill="1"/>
    <xf numFmtId="0" fontId="307" fillId="0" borderId="0" xfId="0" applyFont="1" applyFill="1"/>
    <xf numFmtId="0" fontId="349" fillId="2" borderId="0" xfId="0" applyFont="1" applyFill="1"/>
    <xf numFmtId="0" fontId="306" fillId="0" borderId="0" xfId="0" applyFont="1" applyFill="1"/>
    <xf numFmtId="0" fontId="306" fillId="5" borderId="0" xfId="0" applyFont="1" applyFill="1"/>
    <xf numFmtId="0" fontId="305" fillId="0" borderId="0" xfId="0" applyFont="1" applyFill="1"/>
    <xf numFmtId="0" fontId="305" fillId="5" borderId="0" xfId="0" applyFont="1" applyFill="1"/>
    <xf numFmtId="49" fontId="0" fillId="0" borderId="0" xfId="0" applyNumberFormat="1"/>
    <xf numFmtId="0" fontId="305" fillId="16" borderId="0" xfId="0" applyFont="1" applyFill="1" applyBorder="1"/>
    <xf numFmtId="0" fontId="305" fillId="0" borderId="0" xfId="0" applyFont="1" applyFill="1" applyBorder="1"/>
    <xf numFmtId="0" fontId="349" fillId="0" borderId="0" xfId="0" applyFont="1" applyFill="1" applyBorder="1"/>
    <xf numFmtId="0" fontId="304" fillId="5" borderId="0" xfId="0" applyFont="1" applyFill="1"/>
    <xf numFmtId="0" fontId="303" fillId="5" borderId="0" xfId="0" applyFont="1" applyFill="1"/>
    <xf numFmtId="0" fontId="303" fillId="0" borderId="0" xfId="0" applyFont="1" applyFill="1"/>
    <xf numFmtId="0" fontId="303" fillId="5" borderId="0" xfId="0" applyFont="1" applyFill="1" applyBorder="1"/>
    <xf numFmtId="0" fontId="305" fillId="5" borderId="0" xfId="0" applyFont="1" applyFill="1" applyBorder="1"/>
    <xf numFmtId="0" fontId="302" fillId="0" borderId="0" xfId="0" applyFont="1" applyFill="1"/>
    <xf numFmtId="0" fontId="302" fillId="5" borderId="0" xfId="0" applyFont="1" applyFill="1"/>
    <xf numFmtId="0" fontId="302" fillId="5" borderId="0" xfId="0" applyFont="1" applyFill="1" applyBorder="1"/>
    <xf numFmtId="0" fontId="301" fillId="0" borderId="0" xfId="0" applyFont="1" applyFill="1"/>
    <xf numFmtId="0" fontId="301" fillId="5" borderId="0" xfId="0" applyFont="1" applyFill="1" applyBorder="1"/>
    <xf numFmtId="43" fontId="0" fillId="9" borderId="0" xfId="2" applyFont="1" applyFill="1"/>
    <xf numFmtId="43" fontId="442" fillId="0" borderId="0" xfId="2" applyFont="1" applyFill="1"/>
    <xf numFmtId="43" fontId="307" fillId="0" borderId="0" xfId="2" applyFont="1" applyFill="1"/>
    <xf numFmtId="43" fontId="346" fillId="6" borderId="0" xfId="2" applyFont="1" applyFill="1"/>
    <xf numFmtId="0" fontId="301" fillId="5" borderId="0" xfId="0" applyFont="1" applyFill="1"/>
    <xf numFmtId="0" fontId="301" fillId="5" borderId="0" xfId="0" applyFont="1" applyFill="1" applyAlignment="1">
      <alignment wrapText="1"/>
    </xf>
    <xf numFmtId="0" fontId="299" fillId="5" borderId="0" xfId="0" applyFont="1" applyFill="1"/>
    <xf numFmtId="0" fontId="299" fillId="10" borderId="0" xfId="0" applyFont="1" applyFill="1"/>
    <xf numFmtId="0" fontId="298" fillId="5" borderId="0" xfId="0" applyFont="1" applyFill="1"/>
    <xf numFmtId="0" fontId="298" fillId="0" borderId="0" xfId="0" applyFont="1"/>
    <xf numFmtId="49" fontId="298" fillId="0" borderId="0" xfId="0" applyNumberFormat="1" applyFont="1"/>
    <xf numFmtId="0" fontId="0" fillId="4" borderId="0" xfId="0" applyFill="1" applyBorder="1"/>
    <xf numFmtId="0" fontId="305" fillId="4" borderId="0" xfId="0" applyFont="1" applyFill="1" applyBorder="1"/>
    <xf numFmtId="0" fontId="296" fillId="0" borderId="0" xfId="0" applyFont="1" applyFill="1"/>
    <xf numFmtId="0" fontId="296" fillId="0" borderId="0" xfId="0" applyFont="1" applyFill="1" applyBorder="1"/>
    <xf numFmtId="0" fontId="296" fillId="5" borderId="0" xfId="0" applyFont="1" applyFill="1"/>
    <xf numFmtId="0" fontId="295" fillId="5" borderId="0" xfId="0" applyFont="1" applyFill="1"/>
    <xf numFmtId="0" fontId="320" fillId="5" borderId="0" xfId="0" applyFont="1" applyFill="1"/>
    <xf numFmtId="0" fontId="295" fillId="5" borderId="0" xfId="0" applyFont="1" applyFill="1" applyBorder="1"/>
    <xf numFmtId="0" fontId="296" fillId="5" borderId="0" xfId="0" applyFont="1" applyFill="1" applyBorder="1"/>
    <xf numFmtId="0" fontId="297" fillId="5" borderId="0" xfId="0" applyFont="1" applyFill="1" applyBorder="1"/>
    <xf numFmtId="43" fontId="295" fillId="0" borderId="0" xfId="2" applyFont="1" applyFill="1"/>
    <xf numFmtId="0" fontId="0" fillId="4" borderId="0" xfId="0" applyFill="1" applyAlignment="1">
      <alignment horizontal="center" vertical="center" wrapText="1"/>
    </xf>
    <xf numFmtId="0" fontId="0" fillId="4" borderId="0" xfId="0" applyFill="1" applyAlignment="1">
      <alignment horizontal="center" vertical="center"/>
    </xf>
    <xf numFmtId="0" fontId="349" fillId="2" borderId="0" xfId="0" applyFont="1" applyFill="1" applyBorder="1"/>
    <xf numFmtId="0" fontId="293" fillId="0" borderId="0" xfId="0" applyFont="1" applyFill="1"/>
    <xf numFmtId="0" fontId="293" fillId="4" borderId="0" xfId="0" applyFont="1" applyFill="1" applyAlignment="1">
      <alignment horizontal="center" vertical="center" wrapText="1"/>
    </xf>
    <xf numFmtId="0" fontId="293" fillId="5" borderId="0" xfId="0" applyFont="1" applyFill="1" applyBorder="1"/>
    <xf numFmtId="0" fontId="294" fillId="5" borderId="0" xfId="0" applyFont="1" applyFill="1" applyBorder="1"/>
    <xf numFmtId="0" fontId="292" fillId="0" borderId="0" xfId="0" applyFont="1" applyFill="1" applyBorder="1"/>
    <xf numFmtId="0" fontId="292" fillId="0" borderId="0" xfId="0" applyFont="1" applyFill="1"/>
    <xf numFmtId="0" fontId="292" fillId="5" borderId="0" xfId="0" applyFont="1" applyFill="1" applyBorder="1"/>
    <xf numFmtId="0" fontId="292" fillId="5" borderId="0" xfId="0" applyFont="1" applyFill="1"/>
    <xf numFmtId="0" fontId="298" fillId="5" borderId="0" xfId="0" applyFont="1" applyFill="1" applyBorder="1"/>
    <xf numFmtId="0" fontId="292" fillId="4" borderId="0" xfId="0" applyFont="1" applyFill="1"/>
    <xf numFmtId="0" fontId="291" fillId="5" borderId="0" xfId="0" applyFont="1" applyFill="1"/>
    <xf numFmtId="0" fontId="291" fillId="0" borderId="0" xfId="0" applyFont="1" applyFill="1" applyBorder="1"/>
    <xf numFmtId="0" fontId="291" fillId="0" borderId="0" xfId="0" applyFont="1" applyFill="1"/>
    <xf numFmtId="0" fontId="291" fillId="5" borderId="0" xfId="0" applyFont="1" applyFill="1" applyBorder="1"/>
    <xf numFmtId="0" fontId="290" fillId="0" borderId="0" xfId="0" applyFont="1" applyFill="1"/>
    <xf numFmtId="0" fontId="289" fillId="0" borderId="0" xfId="0" applyFont="1" applyFill="1"/>
    <xf numFmtId="0" fontId="289" fillId="0" borderId="0" xfId="0" applyFont="1" applyFill="1" applyBorder="1"/>
    <xf numFmtId="43" fontId="289" fillId="0" borderId="0" xfId="2" applyFont="1" applyFill="1"/>
    <xf numFmtId="0" fontId="293" fillId="5" borderId="0" xfId="0" applyFont="1" applyFill="1"/>
    <xf numFmtId="0" fontId="290" fillId="5" borderId="0" xfId="0" applyFont="1" applyFill="1" applyBorder="1"/>
    <xf numFmtId="0" fontId="289" fillId="5" borderId="0" xfId="0" applyFont="1" applyFill="1"/>
    <xf numFmtId="0" fontId="296" fillId="10" borderId="0" xfId="0" applyFont="1" applyFill="1"/>
    <xf numFmtId="0" fontId="288" fillId="0" borderId="0" xfId="0" applyFont="1" applyFill="1"/>
    <xf numFmtId="0" fontId="288" fillId="5" borderId="0" xfId="0" applyFont="1" applyFill="1"/>
    <xf numFmtId="0" fontId="0" fillId="2" borderId="0" xfId="0" applyFill="1" applyBorder="1"/>
    <xf numFmtId="0" fontId="305" fillId="2" borderId="0" xfId="0" applyFont="1" applyFill="1" applyBorder="1"/>
    <xf numFmtId="0" fontId="288" fillId="5" borderId="0" xfId="0" applyFont="1" applyFill="1" applyBorder="1"/>
    <xf numFmtId="0" fontId="289" fillId="5" borderId="0" xfId="0" applyFont="1" applyFill="1" applyBorder="1"/>
    <xf numFmtId="0" fontId="288" fillId="4" borderId="0" xfId="0" applyFont="1" applyFill="1"/>
    <xf numFmtId="0" fontId="287" fillId="0" borderId="0" xfId="0" applyFont="1" applyFill="1" applyBorder="1"/>
    <xf numFmtId="0" fontId="287" fillId="5" borderId="0" xfId="0" applyFont="1" applyFill="1" applyBorder="1"/>
    <xf numFmtId="0" fontId="286" fillId="0" borderId="0" xfId="0" applyFont="1" applyFill="1" applyBorder="1"/>
    <xf numFmtId="0" fontId="286" fillId="5" borderId="0" xfId="0" applyFont="1" applyFill="1" applyBorder="1"/>
    <xf numFmtId="0" fontId="286" fillId="5" borderId="0" xfId="0" applyFont="1" applyFill="1"/>
    <xf numFmtId="0" fontId="285" fillId="5" borderId="0" xfId="0" applyFont="1" applyFill="1"/>
    <xf numFmtId="0" fontId="285" fillId="0" borderId="0" xfId="0" applyFont="1" applyAlignment="1">
      <alignment horizontal="center" vertical="center" wrapText="1"/>
    </xf>
    <xf numFmtId="0" fontId="285" fillId="5" borderId="0" xfId="0" applyFont="1" applyFill="1" applyBorder="1"/>
    <xf numFmtId="0" fontId="285" fillId="0" borderId="0" xfId="0" applyFont="1"/>
    <xf numFmtId="49" fontId="285" fillId="0" borderId="0" xfId="0" applyNumberFormat="1" applyFont="1"/>
    <xf numFmtId="0" fontId="284" fillId="5" borderId="0" xfId="0" applyFont="1" applyFill="1" applyBorder="1"/>
    <xf numFmtId="0" fontId="284" fillId="5" borderId="0" xfId="0" applyFont="1" applyFill="1"/>
    <xf numFmtId="0" fontId="300" fillId="5" borderId="0" xfId="0" applyFont="1" applyFill="1" applyBorder="1"/>
    <xf numFmtId="0" fontId="282" fillId="0" borderId="0" xfId="0" applyFont="1" applyFill="1"/>
    <xf numFmtId="0" fontId="282" fillId="0" borderId="0" xfId="0" applyFont="1" applyFill="1" applyBorder="1"/>
    <xf numFmtId="0" fontId="282" fillId="5" borderId="0" xfId="0" applyFont="1" applyFill="1"/>
    <xf numFmtId="43" fontId="282" fillId="0" borderId="0" xfId="2" applyFont="1" applyFill="1"/>
    <xf numFmtId="0" fontId="282" fillId="5" borderId="0" xfId="0" applyFont="1" applyFill="1" applyBorder="1"/>
    <xf numFmtId="0" fontId="446" fillId="0" borderId="0" xfId="0" applyFont="1" applyFill="1" applyBorder="1"/>
    <xf numFmtId="0" fontId="0" fillId="2" borderId="0" xfId="0" applyFill="1" applyAlignment="1">
      <alignment horizontal="center" vertical="center"/>
    </xf>
    <xf numFmtId="0" fontId="433" fillId="2" borderId="1" xfId="0" applyFont="1" applyFill="1" applyBorder="1" applyAlignment="1">
      <alignment horizontal="center" vertical="center" wrapText="1"/>
    </xf>
    <xf numFmtId="0" fontId="289" fillId="4" borderId="0" xfId="0" applyFont="1" applyFill="1" applyBorder="1"/>
    <xf numFmtId="0" fontId="281" fillId="4" borderId="0" xfId="0" applyFont="1" applyFill="1" applyBorder="1"/>
    <xf numFmtId="0" fontId="349" fillId="4" borderId="0" xfId="0" applyFont="1" applyFill="1" applyBorder="1"/>
    <xf numFmtId="43" fontId="352" fillId="4" borderId="0" xfId="2" applyFont="1" applyFill="1"/>
    <xf numFmtId="43" fontId="0" fillId="4" borderId="0" xfId="2" applyFont="1" applyFill="1"/>
    <xf numFmtId="0" fontId="278" fillId="5" borderId="0" xfId="0" applyFont="1" applyFill="1"/>
    <xf numFmtId="0" fontId="278" fillId="0" borderId="0" xfId="0" applyFont="1" applyFill="1"/>
    <xf numFmtId="0" fontId="278" fillId="0" borderId="0" xfId="0" applyFont="1" applyFill="1" applyBorder="1"/>
    <xf numFmtId="43" fontId="278" fillId="0" borderId="0" xfId="2" applyFont="1" applyFill="1"/>
    <xf numFmtId="0" fontId="278" fillId="0" borderId="1" xfId="0" applyFont="1" applyBorder="1" applyAlignment="1">
      <alignment horizontal="center" vertical="center" wrapText="1"/>
    </xf>
    <xf numFmtId="0" fontId="278" fillId="5" borderId="1" xfId="0" applyFont="1" applyFill="1" applyBorder="1" applyAlignment="1">
      <alignment horizontal="center" vertical="center" wrapText="1"/>
    </xf>
    <xf numFmtId="0" fontId="277" fillId="0" borderId="0" xfId="0" applyFont="1" applyFill="1" applyBorder="1"/>
    <xf numFmtId="0" fontId="277" fillId="5" borderId="0" xfId="0" applyFont="1" applyFill="1" applyBorder="1"/>
    <xf numFmtId="0" fontId="277" fillId="0" borderId="0" xfId="0" applyFont="1" applyFill="1"/>
    <xf numFmtId="0" fontId="278" fillId="5" borderId="0" xfId="0" applyFont="1" applyFill="1" applyBorder="1"/>
    <xf numFmtId="0" fontId="277" fillId="5" borderId="0" xfId="0" applyFont="1" applyFill="1"/>
    <xf numFmtId="0" fontId="305" fillId="9" borderId="0" xfId="0" applyFont="1" applyFill="1" applyBorder="1"/>
    <xf numFmtId="0" fontId="276" fillId="0" borderId="0" xfId="0" applyFont="1" applyFill="1"/>
    <xf numFmtId="0" fontId="276" fillId="0" borderId="0" xfId="0" applyFont="1" applyFill="1" applyBorder="1"/>
    <xf numFmtId="0" fontId="276" fillId="2" borderId="0" xfId="0" applyFont="1" applyFill="1" applyBorder="1"/>
    <xf numFmtId="0" fontId="276" fillId="5" borderId="0" xfId="0" applyFont="1" applyFill="1"/>
    <xf numFmtId="0" fontId="276" fillId="5" borderId="0" xfId="0" applyFont="1" applyFill="1" applyBorder="1"/>
    <xf numFmtId="0" fontId="283" fillId="5" borderId="0" xfId="0" applyFont="1" applyFill="1"/>
    <xf numFmtId="0" fontId="275" fillId="0" borderId="0" xfId="0" applyFont="1" applyFill="1"/>
    <xf numFmtId="0" fontId="275" fillId="0" borderId="0" xfId="0" applyFont="1" applyFill="1" applyBorder="1"/>
    <xf numFmtId="0" fontId="275" fillId="2" borderId="0" xfId="0" applyFont="1" applyFill="1" applyBorder="1"/>
    <xf numFmtId="0" fontId="275" fillId="5" borderId="0" xfId="0" applyFont="1" applyFill="1" applyBorder="1"/>
    <xf numFmtId="0" fontId="274" fillId="2" borderId="0" xfId="0" applyFont="1" applyFill="1" applyBorder="1"/>
    <xf numFmtId="0" fontId="274" fillId="5" borderId="0" xfId="0" applyFont="1" applyFill="1" applyBorder="1"/>
    <xf numFmtId="0" fontId="274" fillId="5" borderId="0" xfId="0" applyFont="1" applyFill="1"/>
    <xf numFmtId="0" fontId="273" fillId="0" borderId="0" xfId="0" applyFont="1" applyFill="1" applyBorder="1"/>
    <xf numFmtId="0" fontId="278" fillId="4" borderId="0" xfId="0" applyFont="1" applyFill="1" applyBorder="1"/>
    <xf numFmtId="0" fontId="272" fillId="0" borderId="0" xfId="0" applyFont="1" applyFill="1" applyBorder="1"/>
    <xf numFmtId="0" fontId="272" fillId="5" borderId="0" xfId="0" applyFont="1" applyFill="1" applyBorder="1"/>
    <xf numFmtId="0" fontId="271" fillId="2" borderId="0" xfId="0" applyFont="1" applyFill="1" applyBorder="1"/>
    <xf numFmtId="0" fontId="271" fillId="5" borderId="0" xfId="0" applyFont="1" applyFill="1" applyBorder="1"/>
    <xf numFmtId="0" fontId="270" fillId="0" borderId="0" xfId="0" applyFont="1" applyFill="1" applyBorder="1"/>
    <xf numFmtId="0" fontId="270" fillId="5" borderId="0" xfId="0" applyFont="1" applyFill="1" applyBorder="1"/>
    <xf numFmtId="0" fontId="269" fillId="0" borderId="0" xfId="0" applyFont="1" applyFill="1" applyBorder="1"/>
    <xf numFmtId="0" fontId="269" fillId="5" borderId="0" xfId="0" applyFont="1" applyFill="1" applyBorder="1"/>
    <xf numFmtId="0" fontId="268" fillId="0" borderId="0" xfId="0" applyFont="1" applyFill="1" applyBorder="1"/>
    <xf numFmtId="0" fontId="268" fillId="0" borderId="0" xfId="0" applyFont="1" applyFill="1"/>
    <xf numFmtId="0" fontId="267" fillId="0" borderId="0" xfId="0" applyFont="1" applyFill="1" applyBorder="1"/>
    <xf numFmtId="0" fontId="267" fillId="0" borderId="0" xfId="0" applyFont="1" applyFill="1"/>
    <xf numFmtId="0" fontId="266" fillId="0" borderId="0" xfId="0" applyFont="1" applyFill="1" applyBorder="1"/>
    <xf numFmtId="0" fontId="266" fillId="5" borderId="0" xfId="0" applyFont="1" applyFill="1" applyBorder="1" applyAlignment="1">
      <alignment wrapText="1"/>
    </xf>
    <xf numFmtId="0" fontId="266" fillId="5" borderId="0" xfId="0" applyFont="1" applyFill="1" applyBorder="1"/>
    <xf numFmtId="14" fontId="266" fillId="0" borderId="0" xfId="0" applyNumberFormat="1" applyFont="1" applyFill="1" applyAlignment="1">
      <alignment horizontal="left"/>
    </xf>
    <xf numFmtId="14" fontId="265" fillId="0" borderId="0" xfId="0" applyNumberFormat="1" applyFont="1" applyFill="1" applyAlignment="1">
      <alignment horizontal="left"/>
    </xf>
    <xf numFmtId="0" fontId="265" fillId="0" borderId="0" xfId="0" applyFont="1" applyFill="1"/>
    <xf numFmtId="0" fontId="264" fillId="0" borderId="0" xfId="0" applyFont="1" applyFill="1"/>
    <xf numFmtId="0" fontId="267" fillId="5" borderId="0" xfId="0" applyFont="1" applyFill="1" applyBorder="1"/>
    <xf numFmtId="0" fontId="264" fillId="5" borderId="0" xfId="0" applyFont="1" applyFill="1" applyBorder="1"/>
    <xf numFmtId="0" fontId="264" fillId="0" borderId="0" xfId="0" applyFont="1" applyFill="1" applyBorder="1"/>
    <xf numFmtId="0" fontId="263" fillId="0" borderId="0" xfId="0" applyFont="1" applyFill="1"/>
    <xf numFmtId="0" fontId="263" fillId="0" borderId="0" xfId="0" applyFont="1" applyFill="1" applyBorder="1"/>
    <xf numFmtId="0" fontId="263" fillId="5" borderId="0" xfId="0" applyFont="1" applyFill="1" applyBorder="1"/>
    <xf numFmtId="0" fontId="262" fillId="0" borderId="0" xfId="0" applyFont="1" applyFill="1" applyBorder="1"/>
    <xf numFmtId="0" fontId="262" fillId="5" borderId="0" xfId="0" applyFont="1" applyFill="1" applyBorder="1"/>
    <xf numFmtId="0" fontId="262" fillId="0" borderId="0" xfId="0" applyFont="1" applyFill="1"/>
    <xf numFmtId="0" fontId="447" fillId="0" borderId="0" xfId="0" applyFont="1"/>
    <xf numFmtId="0" fontId="261" fillId="5" borderId="0" xfId="0" applyFont="1" applyFill="1" applyBorder="1" applyAlignment="1">
      <alignment wrapText="1"/>
    </xf>
    <xf numFmtId="0" fontId="260" fillId="0" borderId="0" xfId="0" applyFont="1" applyFill="1" applyBorder="1"/>
    <xf numFmtId="0" fontId="259" fillId="0" borderId="0" xfId="0" applyFont="1" applyFill="1"/>
    <xf numFmtId="0" fontId="259" fillId="0" borderId="0" xfId="0" applyFont="1" applyFill="1" applyBorder="1"/>
    <xf numFmtId="0" fontId="259" fillId="5" borderId="0" xfId="0" applyFont="1" applyFill="1" applyBorder="1"/>
    <xf numFmtId="0" fontId="258" fillId="0" borderId="0" xfId="0" applyFont="1" applyFill="1"/>
    <xf numFmtId="0" fontId="258" fillId="0" borderId="0" xfId="0" applyFont="1" applyFill="1" applyBorder="1"/>
    <xf numFmtId="0" fontId="258" fillId="0" borderId="0" xfId="0" applyFont="1"/>
    <xf numFmtId="0" fontId="257" fillId="0" borderId="0" xfId="0" applyFont="1" applyFill="1" applyBorder="1"/>
    <xf numFmtId="0" fontId="257" fillId="0" borderId="0" xfId="0" applyFont="1" applyFill="1"/>
    <xf numFmtId="0" fontId="257" fillId="5" borderId="0" xfId="0" applyFont="1" applyFill="1" applyBorder="1"/>
    <xf numFmtId="0" fontId="258" fillId="5" borderId="0" xfId="0" applyFont="1" applyFill="1" applyBorder="1"/>
    <xf numFmtId="0" fontId="257" fillId="5" borderId="0" xfId="0" applyFont="1" applyFill="1"/>
    <xf numFmtId="0" fontId="258" fillId="5" borderId="0" xfId="0" applyFont="1" applyFill="1"/>
    <xf numFmtId="0" fontId="256" fillId="0" borderId="0" xfId="0" applyFont="1" applyFill="1"/>
    <xf numFmtId="0" fontId="256" fillId="0" borderId="0" xfId="0" applyFont="1" applyFill="1" applyBorder="1"/>
    <xf numFmtId="0" fontId="256" fillId="5" borderId="0" xfId="0" applyFont="1" applyFill="1" applyBorder="1"/>
    <xf numFmtId="0" fontId="255" fillId="0" borderId="0" xfId="0" applyFont="1" applyFill="1"/>
    <xf numFmtId="0" fontId="255" fillId="0" borderId="0" xfId="0" applyFont="1" applyFill="1" applyBorder="1"/>
    <xf numFmtId="0" fontId="255" fillId="5" borderId="0" xfId="0" applyFont="1" applyFill="1" applyBorder="1"/>
    <xf numFmtId="0" fontId="255" fillId="5" borderId="0" xfId="0" applyFont="1" applyFill="1"/>
    <xf numFmtId="0" fontId="255" fillId="5" borderId="0" xfId="0" applyFont="1" applyFill="1" applyBorder="1" applyAlignment="1">
      <alignment vertical="top" wrapText="1"/>
    </xf>
    <xf numFmtId="43" fontId="255" fillId="0" borderId="0" xfId="2" applyFont="1" applyFill="1"/>
    <xf numFmtId="0" fontId="282" fillId="4" borderId="0" xfId="0" applyFont="1" applyFill="1" applyBorder="1"/>
    <xf numFmtId="0" fontId="254" fillId="0" borderId="0" xfId="0" applyFont="1" applyFill="1" applyBorder="1"/>
    <xf numFmtId="0" fontId="254" fillId="0" borderId="0" xfId="0" applyFont="1" applyFill="1" applyBorder="1" applyAlignment="1">
      <alignment vertical="top" wrapText="1"/>
    </xf>
    <xf numFmtId="0" fontId="254" fillId="5" borderId="0" xfId="0" applyFont="1" applyFill="1"/>
    <xf numFmtId="0" fontId="254" fillId="0" borderId="0" xfId="0" applyFont="1"/>
    <xf numFmtId="0" fontId="258" fillId="4" borderId="0" xfId="0" applyFont="1" applyFill="1" applyBorder="1"/>
    <xf numFmtId="0" fontId="292" fillId="4" borderId="0" xfId="0" applyFont="1" applyFill="1" applyBorder="1"/>
    <xf numFmtId="0" fontId="253" fillId="0" borderId="0" xfId="0" applyFont="1" applyFill="1"/>
    <xf numFmtId="0" fontId="252" fillId="0" borderId="0" xfId="0" applyFont="1" applyFill="1" applyBorder="1"/>
    <xf numFmtId="0" fontId="252" fillId="5" borderId="0" xfId="0" applyFont="1" applyFill="1"/>
    <xf numFmtId="0" fontId="252" fillId="5" borderId="0" xfId="0" applyFont="1" applyFill="1" applyBorder="1"/>
    <xf numFmtId="0" fontId="252" fillId="0" borderId="0" xfId="0" applyFont="1" applyFill="1"/>
    <xf numFmtId="0" fontId="252" fillId="4" borderId="0" xfId="0" applyFont="1" applyFill="1" applyBorder="1"/>
    <xf numFmtId="0" fontId="252" fillId="0" borderId="0" xfId="0" applyFont="1"/>
    <xf numFmtId="0" fontId="0" fillId="11" borderId="0" xfId="0" applyFill="1" applyBorder="1"/>
    <xf numFmtId="0" fontId="305" fillId="11" borderId="0" xfId="0" applyFont="1" applyFill="1" applyBorder="1"/>
    <xf numFmtId="0" fontId="281" fillId="5" borderId="0" xfId="0" applyFont="1" applyFill="1" applyBorder="1"/>
    <xf numFmtId="0" fontId="252" fillId="5" borderId="0" xfId="0" applyFont="1" applyFill="1" applyBorder="1" applyAlignment="1">
      <alignment vertical="top" wrapText="1"/>
    </xf>
    <xf numFmtId="49" fontId="0" fillId="5" borderId="0" xfId="0" applyNumberFormat="1" applyFill="1" applyBorder="1"/>
    <xf numFmtId="0" fontId="271" fillId="11" borderId="0" xfId="0" applyFont="1" applyFill="1" applyBorder="1"/>
    <xf numFmtId="0" fontId="299" fillId="4" borderId="0" xfId="0" applyFont="1" applyFill="1" applyBorder="1"/>
    <xf numFmtId="0" fontId="299" fillId="5" borderId="0" xfId="0" applyFont="1" applyFill="1" applyBorder="1"/>
    <xf numFmtId="43" fontId="252" fillId="0" borderId="0" xfId="2" applyFont="1" applyFill="1"/>
    <xf numFmtId="0" fontId="254" fillId="4" borderId="0" xfId="0" applyFont="1" applyFill="1" applyBorder="1"/>
    <xf numFmtId="0" fontId="251" fillId="0" borderId="0" xfId="0" applyFont="1" applyFill="1" applyBorder="1"/>
    <xf numFmtId="0" fontId="251" fillId="5" borderId="0" xfId="0" applyFont="1" applyFill="1" applyBorder="1"/>
    <xf numFmtId="0" fontId="251" fillId="0" borderId="0" xfId="0" applyFont="1" applyFill="1"/>
    <xf numFmtId="0" fontId="251" fillId="5" borderId="0" xfId="0" applyFont="1" applyFill="1"/>
    <xf numFmtId="0" fontId="251" fillId="4" borderId="0" xfId="0" applyFont="1" applyFill="1" applyBorder="1"/>
    <xf numFmtId="0" fontId="0" fillId="10" borderId="0" xfId="0" applyFill="1" applyBorder="1"/>
    <xf numFmtId="0" fontId="305" fillId="10" borderId="0" xfId="0" applyFont="1" applyFill="1" applyBorder="1"/>
    <xf numFmtId="0" fontId="332" fillId="10" borderId="0" xfId="0" applyFont="1" applyFill="1"/>
    <xf numFmtId="0" fontId="332" fillId="4" borderId="0" xfId="0" applyFont="1" applyFill="1"/>
    <xf numFmtId="0" fontId="251" fillId="5" borderId="0" xfId="0" applyFont="1" applyFill="1" applyBorder="1" applyAlignment="1">
      <alignment wrapText="1"/>
    </xf>
    <xf numFmtId="0" fontId="285" fillId="4" borderId="0" xfId="0" applyFont="1" applyFill="1" applyBorder="1"/>
    <xf numFmtId="0" fontId="251" fillId="5" borderId="0" xfId="0" applyFont="1" applyFill="1" applyBorder="1" applyAlignment="1">
      <alignment vertical="top" wrapText="1"/>
    </xf>
    <xf numFmtId="0" fontId="305" fillId="10" borderId="0" xfId="0" applyFont="1" applyFill="1"/>
    <xf numFmtId="0" fontId="293" fillId="4" borderId="0" xfId="0" applyFont="1" applyFill="1" applyBorder="1"/>
    <xf numFmtId="49" fontId="271" fillId="5" borderId="0" xfId="0" applyNumberFormat="1" applyFont="1" applyFill="1" applyBorder="1"/>
    <xf numFmtId="43" fontId="251" fillId="0" borderId="0" xfId="2" applyFont="1" applyFill="1"/>
    <xf numFmtId="0" fontId="263" fillId="4" borderId="0" xfId="0" applyFont="1" applyFill="1" applyBorder="1"/>
    <xf numFmtId="0" fontId="267" fillId="4" borderId="0" xfId="0" applyFont="1" applyFill="1" applyBorder="1"/>
    <xf numFmtId="0" fontId="447" fillId="5" borderId="0" xfId="0" applyFont="1" applyFill="1"/>
    <xf numFmtId="0" fontId="260" fillId="5" borderId="0" xfId="0" applyFont="1" applyFill="1" applyBorder="1"/>
    <xf numFmtId="0" fontId="250" fillId="0" borderId="0" xfId="0" applyFont="1" applyFill="1"/>
    <xf numFmtId="0" fontId="250" fillId="10" borderId="0" xfId="0" applyFont="1" applyFill="1"/>
    <xf numFmtId="0" fontId="250" fillId="5" borderId="0" xfId="0" applyFont="1" applyFill="1" applyBorder="1" applyAlignment="1">
      <alignment vertical="top" wrapText="1"/>
    </xf>
    <xf numFmtId="0" fontId="250" fillId="5" borderId="0" xfId="0" applyFont="1" applyFill="1" applyBorder="1"/>
    <xf numFmtId="43" fontId="250" fillId="0" borderId="0" xfId="2" applyFont="1" applyFill="1"/>
    <xf numFmtId="0" fontId="250" fillId="0" borderId="3" xfId="0" applyFont="1" applyBorder="1"/>
    <xf numFmtId="0" fontId="250" fillId="0" borderId="0" xfId="0" applyFont="1"/>
    <xf numFmtId="0" fontId="249" fillId="11" borderId="0" xfId="0" applyFont="1" applyFill="1" applyBorder="1"/>
    <xf numFmtId="0" fontId="249" fillId="0" borderId="0" xfId="0" applyFont="1" applyFill="1"/>
    <xf numFmtId="0" fontId="249" fillId="5" borderId="0" xfId="0" applyFont="1" applyFill="1" applyBorder="1"/>
    <xf numFmtId="0" fontId="249" fillId="5" borderId="0" xfId="0" applyFont="1" applyFill="1"/>
    <xf numFmtId="49" fontId="271" fillId="5" borderId="0" xfId="0" applyNumberFormat="1" applyFont="1" applyFill="1"/>
    <xf numFmtId="0" fontId="271" fillId="5" borderId="0" xfId="0" applyFont="1" applyFill="1"/>
    <xf numFmtId="0" fontId="249" fillId="0" borderId="0" xfId="0" applyFont="1"/>
    <xf numFmtId="0" fontId="248" fillId="5" borderId="0" xfId="0" applyFont="1" applyFill="1" applyBorder="1" applyAlignment="1">
      <alignment vertical="top" wrapText="1"/>
    </xf>
    <xf numFmtId="0" fontId="254" fillId="5" borderId="0" xfId="0" applyFont="1" applyFill="1" applyBorder="1"/>
    <xf numFmtId="0" fontId="248" fillId="5" borderId="0" xfId="0" applyFont="1" applyFill="1"/>
    <xf numFmtId="0" fontId="248" fillId="5" borderId="0" xfId="0" applyFont="1" applyFill="1" applyBorder="1"/>
    <xf numFmtId="0" fontId="247" fillId="0" borderId="0" xfId="0" applyFont="1" applyFill="1" applyBorder="1"/>
    <xf numFmtId="0" fontId="247" fillId="5" borderId="0" xfId="0" applyFont="1" applyFill="1" applyBorder="1" applyAlignment="1">
      <alignment vertical="top" wrapText="1"/>
    </xf>
    <xf numFmtId="0" fontId="247" fillId="0" borderId="0" xfId="0" applyFont="1" applyFill="1" applyBorder="1" applyAlignment="1">
      <alignment vertical="top" wrapText="1"/>
    </xf>
    <xf numFmtId="0" fontId="247" fillId="5" borderId="0" xfId="0" applyFont="1" applyFill="1" applyBorder="1"/>
    <xf numFmtId="0" fontId="247" fillId="5" borderId="0" xfId="0" applyFont="1" applyFill="1"/>
    <xf numFmtId="0" fontId="280" fillId="5" borderId="0" xfId="0" applyFont="1" applyFill="1" applyBorder="1"/>
    <xf numFmtId="0" fontId="246" fillId="0" borderId="0" xfId="0" applyFont="1" applyFill="1" applyBorder="1"/>
    <xf numFmtId="0" fontId="245" fillId="0" borderId="0" xfId="0" applyFont="1"/>
    <xf numFmtId="0" fontId="245" fillId="5" borderId="0" xfId="0" applyFont="1" applyFill="1" applyBorder="1"/>
    <xf numFmtId="0" fontId="265" fillId="5" borderId="0" xfId="0" applyFont="1" applyFill="1" applyBorder="1"/>
    <xf numFmtId="0" fontId="245" fillId="5" borderId="0" xfId="0" applyFont="1" applyFill="1" applyBorder="1" applyAlignment="1">
      <alignment vertical="top" wrapText="1"/>
    </xf>
    <xf numFmtId="0" fontId="244" fillId="5" borderId="0" xfId="0" applyFont="1" applyFill="1" applyBorder="1"/>
    <xf numFmtId="0" fontId="244" fillId="0" borderId="0" xfId="0" applyFont="1"/>
    <xf numFmtId="0" fontId="243" fillId="5" borderId="0" xfId="0" applyFont="1" applyFill="1"/>
    <xf numFmtId="43" fontId="243" fillId="0" borderId="0" xfId="2" applyFont="1" applyFill="1"/>
    <xf numFmtId="0" fontId="243" fillId="5" borderId="0" xfId="0" applyFont="1" applyFill="1" applyBorder="1" applyAlignment="1">
      <alignment vertical="top" wrapText="1"/>
    </xf>
    <xf numFmtId="0" fontId="243" fillId="5" borderId="0" xfId="0" applyFont="1" applyFill="1" applyBorder="1"/>
    <xf numFmtId="0" fontId="242" fillId="0" borderId="0" xfId="0" applyFont="1" applyFill="1"/>
    <xf numFmtId="0" fontId="277" fillId="4" borderId="0" xfId="0" applyFont="1" applyFill="1"/>
    <xf numFmtId="0" fontId="342" fillId="4" borderId="0" xfId="0" applyFont="1" applyFill="1"/>
    <xf numFmtId="0" fontId="286" fillId="4" borderId="0" xfId="0" applyFont="1" applyFill="1"/>
    <xf numFmtId="0" fontId="317" fillId="4" borderId="0" xfId="0" applyFont="1" applyFill="1"/>
    <xf numFmtId="0" fontId="241" fillId="0" borderId="0" xfId="0" applyFont="1" applyFill="1"/>
    <xf numFmtId="0" fontId="241" fillId="5" borderId="0" xfId="0" applyFont="1" applyFill="1" applyBorder="1"/>
    <xf numFmtId="0" fontId="241" fillId="5" borderId="0" xfId="0" applyNumberFormat="1" applyFont="1" applyFill="1" applyBorder="1"/>
    <xf numFmtId="43" fontId="241" fillId="0" borderId="0" xfId="2" applyFont="1" applyFill="1"/>
    <xf numFmtId="0" fontId="241" fillId="0" borderId="0" xfId="0" applyFont="1" applyFill="1" applyBorder="1"/>
    <xf numFmtId="0" fontId="241" fillId="5" borderId="0" xfId="0" applyFont="1" applyFill="1"/>
    <xf numFmtId="0" fontId="241" fillId="5" borderId="0" xfId="0" applyFont="1" applyFill="1" applyBorder="1" applyAlignment="1">
      <alignment vertical="top" wrapText="1"/>
    </xf>
    <xf numFmtId="0" fontId="0" fillId="5" borderId="0" xfId="0" applyFill="1" applyBorder="1" applyAlignment="1">
      <alignment wrapText="1"/>
    </xf>
    <xf numFmtId="0" fontId="241" fillId="2" borderId="0" xfId="0" applyFont="1" applyFill="1" applyBorder="1"/>
    <xf numFmtId="0" fontId="406" fillId="7" borderId="0" xfId="0" applyFont="1" applyFill="1"/>
    <xf numFmtId="0" fontId="0" fillId="16" borderId="0" xfId="0" applyFill="1"/>
    <xf numFmtId="0" fontId="239" fillId="0" borderId="0" xfId="0" applyFont="1" applyFill="1"/>
    <xf numFmtId="0" fontId="239" fillId="9" borderId="0" xfId="0" applyFont="1" applyFill="1"/>
    <xf numFmtId="0" fontId="239" fillId="5" borderId="0" xfId="0" applyFont="1" applyFill="1" applyBorder="1"/>
    <xf numFmtId="0" fontId="239" fillId="5" borderId="0" xfId="0" applyFont="1" applyFill="1" applyBorder="1" applyAlignment="1">
      <alignment vertical="top" wrapText="1"/>
    </xf>
    <xf numFmtId="0" fontId="239" fillId="2" borderId="0" xfId="0" applyFont="1" applyFill="1" applyBorder="1"/>
    <xf numFmtId="0" fontId="296" fillId="9" borderId="0" xfId="0" applyFont="1" applyFill="1"/>
    <xf numFmtId="0" fontId="300" fillId="10" borderId="0" xfId="0" applyFont="1" applyFill="1" applyBorder="1"/>
    <xf numFmtId="0" fontId="238" fillId="5" borderId="0" xfId="0" applyFont="1" applyFill="1" applyBorder="1"/>
    <xf numFmtId="0" fontId="237" fillId="5" borderId="0" xfId="0" applyFont="1" applyFill="1" applyBorder="1" applyAlignment="1">
      <alignment vertical="top" wrapText="1"/>
    </xf>
    <xf numFmtId="0" fontId="237" fillId="5" borderId="0" xfId="0" applyFont="1" applyFill="1"/>
    <xf numFmtId="0" fontId="237" fillId="5" borderId="0" xfId="0" applyFont="1" applyFill="1" applyBorder="1"/>
    <xf numFmtId="0" fontId="237" fillId="0" borderId="0" xfId="0" applyFont="1" applyFill="1"/>
    <xf numFmtId="0" fontId="236" fillId="5" borderId="0" xfId="0" applyFont="1" applyFill="1" applyBorder="1" applyAlignment="1">
      <alignment vertical="top" wrapText="1"/>
    </xf>
    <xf numFmtId="0" fontId="236" fillId="4" borderId="0" xfId="0" applyFont="1" applyFill="1" applyBorder="1"/>
    <xf numFmtId="0" fontId="236" fillId="0" borderId="0" xfId="0" applyFont="1" applyFill="1" applyBorder="1"/>
    <xf numFmtId="0" fontId="236" fillId="5" borderId="0" xfId="0" applyFont="1" applyFill="1"/>
    <xf numFmtId="43" fontId="0" fillId="2" borderId="0" xfId="2" applyFont="1" applyFill="1"/>
    <xf numFmtId="0" fontId="235" fillId="10" borderId="0" xfId="0" applyFont="1" applyFill="1"/>
    <xf numFmtId="0" fontId="235" fillId="0" borderId="0" xfId="0" applyFont="1" applyFill="1" applyBorder="1"/>
    <xf numFmtId="0" fontId="235" fillId="5" borderId="0" xfId="0" applyFont="1" applyFill="1"/>
    <xf numFmtId="0" fontId="250" fillId="5" borderId="0" xfId="0" applyFont="1" applyFill="1"/>
    <xf numFmtId="0" fontId="235" fillId="2" borderId="0" xfId="0" applyFont="1" applyFill="1" applyBorder="1" applyAlignment="1">
      <alignment vertical="top" wrapText="1"/>
    </xf>
    <xf numFmtId="0" fontId="235" fillId="5" borderId="0" xfId="0" applyFont="1" applyFill="1" applyBorder="1" applyAlignment="1">
      <alignment vertical="top" wrapText="1"/>
    </xf>
    <xf numFmtId="0" fontId="235" fillId="5" borderId="0" xfId="0" applyFont="1" applyFill="1" applyBorder="1"/>
    <xf numFmtId="0" fontId="235" fillId="0" borderId="0" xfId="0" applyFont="1" applyFill="1"/>
    <xf numFmtId="0" fontId="242" fillId="5" borderId="0" xfId="0" applyFont="1" applyFill="1" applyBorder="1"/>
    <xf numFmtId="0" fontId="240" fillId="5" borderId="0" xfId="0" applyFont="1" applyFill="1" applyBorder="1"/>
    <xf numFmtId="0" fontId="235" fillId="5" borderId="0" xfId="0" applyFont="1" applyFill="1" applyAlignment="1">
      <alignment wrapText="1"/>
    </xf>
    <xf numFmtId="0" fontId="234" fillId="5" borderId="0" xfId="0" applyFont="1" applyFill="1" applyBorder="1"/>
    <xf numFmtId="0" fontId="234" fillId="5" borderId="0" xfId="0" applyFont="1" applyFill="1"/>
    <xf numFmtId="0" fontId="314" fillId="5" borderId="0" xfId="0" applyFont="1" applyFill="1"/>
    <xf numFmtId="0" fontId="234" fillId="5" borderId="0" xfId="0" applyFont="1" applyFill="1" applyBorder="1" applyAlignment="1">
      <alignment vertical="top" wrapText="1"/>
    </xf>
    <xf numFmtId="0" fontId="0" fillId="5" borderId="1" xfId="0" applyFill="1" applyBorder="1"/>
    <xf numFmtId="0" fontId="0" fillId="5" borderId="3" xfId="0" applyFill="1" applyBorder="1"/>
    <xf numFmtId="0" fontId="268" fillId="5" borderId="0" xfId="0" applyFont="1" applyFill="1" applyBorder="1"/>
    <xf numFmtId="3" fontId="235" fillId="5" borderId="0" xfId="0" applyNumberFormat="1" applyFont="1" applyFill="1" applyBorder="1"/>
    <xf numFmtId="0" fontId="246" fillId="5" borderId="0" xfId="0" applyFont="1" applyFill="1" applyBorder="1"/>
    <xf numFmtId="0" fontId="233" fillId="5" borderId="0" xfId="0" applyFont="1" applyFill="1" applyBorder="1" applyAlignment="1">
      <alignment vertical="top" wrapText="1"/>
    </xf>
    <xf numFmtId="0" fontId="233" fillId="0" borderId="0" xfId="0" applyFont="1" applyFill="1" applyBorder="1"/>
    <xf numFmtId="0" fontId="233" fillId="5" borderId="0" xfId="0" applyFont="1" applyFill="1" applyBorder="1"/>
    <xf numFmtId="43" fontId="233" fillId="0" borderId="0" xfId="2" applyFont="1" applyFill="1"/>
    <xf numFmtId="0" fontId="233" fillId="0" borderId="0" xfId="0" applyFont="1" applyFill="1"/>
    <xf numFmtId="0" fontId="233" fillId="5" borderId="0" xfId="0" applyFont="1" applyFill="1"/>
    <xf numFmtId="0" fontId="232" fillId="4" borderId="0" xfId="0" applyFont="1" applyFill="1" applyBorder="1"/>
    <xf numFmtId="0" fontId="232" fillId="5" borderId="0" xfId="0" applyFont="1" applyFill="1" applyBorder="1"/>
    <xf numFmtId="0" fontId="232" fillId="0" borderId="0" xfId="0" applyFont="1" applyFill="1" applyBorder="1" applyAlignment="1">
      <alignment vertical="top" wrapText="1"/>
    </xf>
    <xf numFmtId="0" fontId="232" fillId="0" borderId="0" xfId="0" applyFont="1" applyFill="1"/>
    <xf numFmtId="0" fontId="232" fillId="5" borderId="0" xfId="0" applyFont="1" applyFill="1"/>
    <xf numFmtId="0" fontId="232" fillId="4" borderId="0" xfId="0" applyFont="1" applyFill="1"/>
    <xf numFmtId="0" fontId="236" fillId="0" borderId="0" xfId="0" applyFont="1" applyFill="1"/>
    <xf numFmtId="0" fontId="259" fillId="10" borderId="0" xfId="0" applyFont="1" applyFill="1" applyBorder="1"/>
    <xf numFmtId="0" fontId="401" fillId="4" borderId="0" xfId="0" applyFont="1" applyFill="1"/>
    <xf numFmtId="0" fontId="252" fillId="4" borderId="0" xfId="0" applyFont="1" applyFill="1" applyBorder="1" applyAlignment="1">
      <alignment vertical="top" wrapText="1"/>
    </xf>
    <xf numFmtId="0" fontId="232" fillId="5" borderId="0" xfId="0" applyFont="1" applyFill="1" applyBorder="1" applyAlignment="1">
      <alignment vertical="top" wrapText="1"/>
    </xf>
    <xf numFmtId="0" fontId="238" fillId="5" borderId="0" xfId="0" applyFont="1" applyFill="1"/>
    <xf numFmtId="3" fontId="232" fillId="5" borderId="0" xfId="0" applyNumberFormat="1" applyFont="1" applyFill="1" applyBorder="1"/>
    <xf numFmtId="0" fontId="231" fillId="0" borderId="0" xfId="0" applyFont="1" applyFill="1" applyBorder="1"/>
    <xf numFmtId="0" fontId="231" fillId="5" borderId="0" xfId="0" applyFont="1" applyFill="1" applyBorder="1" applyAlignment="1">
      <alignment vertical="top" wrapText="1"/>
    </xf>
    <xf numFmtId="0" fontId="231" fillId="5" borderId="0" xfId="0" applyFont="1" applyFill="1" applyBorder="1"/>
    <xf numFmtId="0" fontId="279" fillId="5" borderId="0" xfId="0" applyFont="1" applyFill="1" applyBorder="1"/>
    <xf numFmtId="0" fontId="230" fillId="5" borderId="0" xfId="0" applyFont="1" applyFill="1" applyBorder="1" applyAlignment="1">
      <alignment vertical="top" wrapText="1"/>
    </xf>
    <xf numFmtId="0" fontId="230" fillId="10" borderId="0" xfId="0" applyFont="1" applyFill="1"/>
    <xf numFmtId="0" fontId="229" fillId="10" borderId="0" xfId="0" applyFont="1" applyFill="1"/>
    <xf numFmtId="0" fontId="229" fillId="0" borderId="0" xfId="0" applyFont="1" applyFill="1"/>
    <xf numFmtId="0" fontId="229" fillId="2" borderId="0" xfId="0" applyFont="1" applyFill="1" applyBorder="1"/>
    <xf numFmtId="0" fontId="229" fillId="5" borderId="0" xfId="0" applyFont="1" applyFill="1" applyBorder="1"/>
    <xf numFmtId="0" fontId="229" fillId="5" borderId="0" xfId="0" applyFont="1" applyFill="1" applyBorder="1" applyAlignment="1">
      <alignment vertical="top" wrapText="1"/>
    </xf>
    <xf numFmtId="0" fontId="229" fillId="0" borderId="0" xfId="0" applyFont="1"/>
    <xf numFmtId="0" fontId="229" fillId="5" borderId="0" xfId="0" applyFont="1" applyFill="1"/>
    <xf numFmtId="0" fontId="245" fillId="5" borderId="0" xfId="0" applyFont="1" applyFill="1"/>
    <xf numFmtId="43" fontId="229" fillId="0" borderId="0" xfId="2" applyFont="1" applyFill="1"/>
    <xf numFmtId="0" fontId="228" fillId="0" borderId="0" xfId="0" applyFont="1" applyFill="1" applyBorder="1"/>
    <xf numFmtId="0" fontId="228" fillId="2" borderId="0" xfId="0" applyFont="1" applyFill="1" applyBorder="1"/>
    <xf numFmtId="0" fontId="440" fillId="2" borderId="0" xfId="0" applyFont="1" applyFill="1" applyAlignment="1">
      <alignment horizontal="center" vertical="center" wrapText="1"/>
    </xf>
    <xf numFmtId="0" fontId="228" fillId="5" borderId="0" xfId="0" applyFont="1" applyFill="1" applyBorder="1"/>
    <xf numFmtId="0" fontId="227" fillId="5" borderId="0" xfId="0" applyFont="1" applyFill="1"/>
    <xf numFmtId="0" fontId="227" fillId="0" borderId="0" xfId="0" applyFont="1" applyFill="1"/>
    <xf numFmtId="0" fontId="227" fillId="0" borderId="0" xfId="0" applyFont="1" applyFill="1" applyBorder="1"/>
    <xf numFmtId="0" fontId="227" fillId="5" borderId="0" xfId="0" applyFont="1" applyFill="1" applyBorder="1" applyAlignment="1">
      <alignment vertical="top" wrapText="1"/>
    </xf>
    <xf numFmtId="0" fontId="227" fillId="5" borderId="0" xfId="0" applyFont="1" applyFill="1" applyBorder="1"/>
    <xf numFmtId="0" fontId="227" fillId="2" borderId="0" xfId="0" applyFont="1" applyFill="1" applyBorder="1"/>
    <xf numFmtId="0" fontId="227" fillId="10" borderId="0" xfId="0" applyFont="1" applyFill="1" applyBorder="1"/>
    <xf numFmtId="43" fontId="227" fillId="0" borderId="0" xfId="2" applyFont="1" applyFill="1"/>
    <xf numFmtId="0" fontId="448" fillId="0" borderId="0" xfId="0" applyFont="1" applyFill="1" applyAlignment="1">
      <alignment horizontal="center" vertical="center" wrapText="1"/>
    </xf>
    <xf numFmtId="0" fontId="0" fillId="0" borderId="0" xfId="0" applyFont="1" applyFill="1" applyBorder="1"/>
    <xf numFmtId="0" fontId="0" fillId="0" borderId="0" xfId="0" applyFont="1" applyFill="1"/>
    <xf numFmtId="0" fontId="448" fillId="10" borderId="0" xfId="0" applyFont="1" applyFill="1" applyAlignment="1">
      <alignment horizontal="center" vertical="center" wrapText="1"/>
    </xf>
    <xf numFmtId="0" fontId="227" fillId="0" borderId="0" xfId="0" applyFont="1"/>
    <xf numFmtId="0" fontId="226" fillId="5" borderId="0" xfId="0" applyFont="1" applyFill="1"/>
    <xf numFmtId="0" fontId="448" fillId="0" borderId="0" xfId="0" applyFont="1" applyAlignment="1">
      <alignment horizontal="center" vertical="center" wrapText="1"/>
    </xf>
    <xf numFmtId="0" fontId="226" fillId="0" borderId="0" xfId="0" applyFont="1" applyFill="1" applyBorder="1"/>
    <xf numFmtId="0" fontId="448" fillId="5" borderId="0" xfId="0" applyFont="1" applyFill="1" applyAlignment="1">
      <alignment horizontal="center" vertical="center" wrapText="1"/>
    </xf>
    <xf numFmtId="0" fontId="226" fillId="0" borderId="0" xfId="0" applyFont="1" applyFill="1"/>
    <xf numFmtId="0" fontId="226" fillId="5" borderId="0" xfId="0" applyFont="1" applyFill="1" applyBorder="1"/>
    <xf numFmtId="0" fontId="226" fillId="5" borderId="0" xfId="0" applyFont="1" applyFill="1" applyBorder="1" applyAlignment="1">
      <alignment vertical="top" wrapText="1"/>
    </xf>
    <xf numFmtId="49" fontId="226" fillId="5" borderId="0" xfId="0" applyNumberFormat="1" applyFont="1" applyFill="1"/>
    <xf numFmtId="0" fontId="225" fillId="5" borderId="0" xfId="0" applyFont="1" applyFill="1" applyBorder="1"/>
    <xf numFmtId="0" fontId="225" fillId="0" borderId="0" xfId="0" applyFont="1" applyFill="1" applyBorder="1"/>
    <xf numFmtId="0" fontId="0" fillId="5" borderId="0" xfId="0" applyFont="1" applyFill="1" applyBorder="1"/>
    <xf numFmtId="0" fontId="225" fillId="0" borderId="0" xfId="0" applyFont="1" applyFill="1"/>
    <xf numFmtId="0" fontId="224" fillId="5" borderId="0" xfId="0" applyFont="1" applyFill="1" applyBorder="1" applyAlignment="1">
      <alignment vertical="top" wrapText="1"/>
    </xf>
    <xf numFmtId="0" fontId="224" fillId="5" borderId="0" xfId="0" applyFont="1" applyFill="1" applyBorder="1"/>
    <xf numFmtId="0" fontId="224" fillId="5" borderId="0" xfId="0" applyFont="1" applyFill="1"/>
    <xf numFmtId="0" fontId="448" fillId="2" borderId="0" xfId="0" applyFont="1" applyFill="1" applyAlignment="1">
      <alignment horizontal="center" vertical="center" wrapText="1"/>
    </xf>
    <xf numFmtId="0" fontId="0" fillId="2" borderId="0" xfId="0" applyFont="1" applyFill="1" applyBorder="1"/>
    <xf numFmtId="0" fontId="224" fillId="0" borderId="0" xfId="0" applyFont="1" applyFill="1" applyBorder="1"/>
    <xf numFmtId="0" fontId="224" fillId="0" borderId="0" xfId="0" applyFont="1" applyFill="1"/>
    <xf numFmtId="0" fontId="224" fillId="5" borderId="1" xfId="0" applyFont="1" applyFill="1" applyBorder="1"/>
    <xf numFmtId="43" fontId="224" fillId="0" borderId="0" xfId="2" applyFont="1" applyFill="1"/>
    <xf numFmtId="0" fontId="0" fillId="10" borderId="0" xfId="0" applyFont="1" applyFill="1" applyBorder="1"/>
    <xf numFmtId="0" fontId="224" fillId="0" borderId="1" xfId="0" applyFont="1" applyBorder="1"/>
    <xf numFmtId="0" fontId="223" fillId="5" borderId="0" xfId="0" applyFont="1" applyFill="1"/>
    <xf numFmtId="0" fontId="223" fillId="0" borderId="0" xfId="0" applyFont="1" applyFill="1" applyBorder="1"/>
    <xf numFmtId="0" fontId="223" fillId="4" borderId="0" xfId="0" applyFont="1" applyFill="1" applyBorder="1"/>
    <xf numFmtId="0" fontId="223" fillId="5" borderId="0" xfId="0" applyFont="1" applyFill="1" applyBorder="1"/>
    <xf numFmtId="0" fontId="223" fillId="5" borderId="0" xfId="0" applyFont="1" applyFill="1" applyBorder="1" applyAlignment="1">
      <alignment vertical="top" wrapText="1"/>
    </xf>
    <xf numFmtId="0" fontId="223" fillId="5" borderId="1" xfId="0" applyFont="1" applyFill="1" applyBorder="1"/>
    <xf numFmtId="0" fontId="223" fillId="0" borderId="0" xfId="0" applyFont="1" applyFill="1"/>
    <xf numFmtId="0" fontId="275" fillId="5" borderId="0" xfId="0" applyFont="1" applyFill="1"/>
    <xf numFmtId="0" fontId="302" fillId="0" borderId="0" xfId="0" applyFont="1" applyFill="1" applyBorder="1"/>
    <xf numFmtId="0" fontId="223" fillId="0" borderId="0" xfId="0" applyFont="1"/>
    <xf numFmtId="43" fontId="223" fillId="0" borderId="0" xfId="2" applyFont="1" applyFill="1"/>
    <xf numFmtId="0" fontId="223" fillId="0" borderId="3" xfId="0" applyFont="1" applyBorder="1"/>
    <xf numFmtId="0" fontId="222" fillId="0" borderId="0" xfId="0" applyFont="1" applyFill="1" applyBorder="1"/>
    <xf numFmtId="0" fontId="221" fillId="5" borderId="0" xfId="0" applyFont="1" applyFill="1"/>
    <xf numFmtId="0" fontId="221" fillId="5" borderId="0" xfId="0" applyFont="1" applyFill="1" applyBorder="1"/>
    <xf numFmtId="0" fontId="221" fillId="10" borderId="0" xfId="0" applyFont="1" applyFill="1" applyBorder="1"/>
    <xf numFmtId="0" fontId="221" fillId="0" borderId="0" xfId="0" applyFont="1" applyFill="1"/>
    <xf numFmtId="0" fontId="221" fillId="0" borderId="0" xfId="0" applyFont="1" applyFill="1" applyBorder="1"/>
    <xf numFmtId="0" fontId="221" fillId="5" borderId="0" xfId="0" applyFont="1" applyFill="1" applyBorder="1" applyAlignment="1">
      <alignment vertical="top" wrapText="1"/>
    </xf>
    <xf numFmtId="0" fontId="261" fillId="5" borderId="0" xfId="0" applyFont="1" applyFill="1" applyBorder="1"/>
    <xf numFmtId="0" fontId="219" fillId="4" borderId="0" xfId="0" applyFont="1" applyFill="1" applyBorder="1"/>
    <xf numFmtId="0" fontId="219" fillId="4" borderId="0" xfId="0" applyFont="1" applyFill="1"/>
    <xf numFmtId="0" fontId="219" fillId="0" borderId="0" xfId="0" applyFont="1" applyFill="1"/>
    <xf numFmtId="0" fontId="219" fillId="5" borderId="0" xfId="0" applyFont="1" applyFill="1"/>
    <xf numFmtId="0" fontId="219" fillId="5" borderId="0" xfId="0" applyFont="1" applyFill="1" applyBorder="1"/>
    <xf numFmtId="0" fontId="219" fillId="5" borderId="0" xfId="0" applyFont="1" applyFill="1" applyBorder="1" applyAlignment="1">
      <alignment vertical="top" wrapText="1"/>
    </xf>
    <xf numFmtId="0" fontId="219" fillId="0" borderId="0" xfId="0" applyFont="1"/>
    <xf numFmtId="0" fontId="218" fillId="0" borderId="0" xfId="0" applyFont="1" applyFill="1"/>
    <xf numFmtId="0" fontId="218" fillId="5" borderId="0" xfId="0" applyFont="1" applyFill="1"/>
    <xf numFmtId="0" fontId="218" fillId="0" borderId="0" xfId="0" applyFont="1" applyFill="1" applyBorder="1"/>
    <xf numFmtId="0" fontId="218" fillId="5" borderId="0" xfId="0" applyFont="1" applyFill="1" applyBorder="1"/>
    <xf numFmtId="0" fontId="218" fillId="5" borderId="1" xfId="0" applyFont="1" applyFill="1" applyBorder="1"/>
    <xf numFmtId="0" fontId="218" fillId="10" borderId="0" xfId="0" applyFont="1" applyFill="1" applyBorder="1"/>
    <xf numFmtId="0" fontId="218" fillId="4" borderId="0" xfId="0" applyFont="1" applyFill="1" applyBorder="1"/>
    <xf numFmtId="0" fontId="218" fillId="5" borderId="0" xfId="0" applyFont="1" applyFill="1" applyBorder="1" applyAlignment="1">
      <alignment vertical="top" wrapText="1"/>
    </xf>
    <xf numFmtId="12" fontId="246" fillId="5" borderId="0" xfId="0" applyNumberFormat="1" applyFont="1" applyFill="1" applyBorder="1"/>
    <xf numFmtId="0" fontId="220" fillId="5" borderId="0" xfId="0" applyFont="1" applyFill="1"/>
    <xf numFmtId="0" fontId="220" fillId="5" borderId="0" xfId="0" applyFont="1" applyFill="1" applyBorder="1"/>
    <xf numFmtId="0" fontId="218" fillId="0" borderId="0" xfId="0" applyFont="1" applyFill="1" applyBorder="1" applyAlignment="1">
      <alignment vertical="top" wrapText="1"/>
    </xf>
    <xf numFmtId="43" fontId="218" fillId="0" borderId="0" xfId="2" applyFont="1" applyFill="1"/>
    <xf numFmtId="0" fontId="449" fillId="5" borderId="0" xfId="0" applyFont="1" applyFill="1" applyAlignment="1">
      <alignment horizontal="center" vertical="center" wrapText="1"/>
    </xf>
    <xf numFmtId="0" fontId="222" fillId="5" borderId="0" xfId="0" applyFont="1" applyFill="1" applyBorder="1"/>
    <xf numFmtId="0" fontId="217" fillId="5" borderId="0" xfId="0" applyFont="1" applyFill="1" applyBorder="1"/>
    <xf numFmtId="43" fontId="217" fillId="0" borderId="0" xfId="2" applyFont="1" applyFill="1"/>
    <xf numFmtId="0" fontId="217" fillId="5" borderId="0" xfId="0" applyFont="1" applyFill="1"/>
    <xf numFmtId="3" fontId="218" fillId="5" borderId="0" xfId="0" applyNumberFormat="1" applyFont="1" applyFill="1" applyBorder="1"/>
    <xf numFmtId="0" fontId="216" fillId="5" borderId="1" xfId="0" applyFont="1" applyFill="1" applyBorder="1"/>
    <xf numFmtId="0" fontId="216" fillId="0" borderId="0" xfId="0" applyFont="1" applyFill="1" applyBorder="1"/>
    <xf numFmtId="0" fontId="216" fillId="0" borderId="0" xfId="0" applyFont="1" applyFill="1"/>
    <xf numFmtId="0" fontId="216" fillId="5" borderId="0" xfId="0" applyFont="1" applyFill="1" applyBorder="1"/>
    <xf numFmtId="0" fontId="448" fillId="4" borderId="0" xfId="0" applyFont="1" applyFill="1" applyAlignment="1">
      <alignment horizontal="center" vertical="center" wrapText="1"/>
    </xf>
    <xf numFmtId="0" fontId="0" fillId="4" borderId="0" xfId="0" applyFont="1" applyFill="1" applyBorder="1"/>
    <xf numFmtId="0" fontId="227" fillId="4" borderId="0" xfId="0" applyFont="1" applyFill="1" applyBorder="1"/>
    <xf numFmtId="0" fontId="215" fillId="5" borderId="0" xfId="0" applyFont="1" applyFill="1" applyBorder="1" applyAlignment="1">
      <alignment vertical="top" wrapText="1"/>
    </xf>
    <xf numFmtId="0" fontId="215" fillId="5" borderId="0" xfId="0" applyFont="1" applyFill="1" applyBorder="1"/>
    <xf numFmtId="0" fontId="242" fillId="5" borderId="0" xfId="0" applyFont="1" applyFill="1"/>
    <xf numFmtId="0" fontId="215" fillId="0" borderId="0" xfId="0" applyFont="1" applyFill="1"/>
    <xf numFmtId="0" fontId="215" fillId="10" borderId="0" xfId="0" applyFont="1" applyFill="1"/>
    <xf numFmtId="0" fontId="215" fillId="0" borderId="0" xfId="0" applyFont="1"/>
    <xf numFmtId="0" fontId="214" fillId="5" borderId="0" xfId="0" applyFont="1" applyFill="1"/>
    <xf numFmtId="0" fontId="214" fillId="5" borderId="0" xfId="0" applyFont="1" applyFill="1" applyBorder="1"/>
    <xf numFmtId="0" fontId="214" fillId="0" borderId="0" xfId="0" applyFont="1" applyFill="1"/>
    <xf numFmtId="0" fontId="214" fillId="5" borderId="0" xfId="0" applyFont="1" applyFill="1" applyBorder="1" applyAlignment="1">
      <alignment vertical="top" wrapText="1"/>
    </xf>
    <xf numFmtId="49" fontId="214" fillId="5" borderId="0" xfId="0" applyNumberFormat="1" applyFont="1" applyFill="1"/>
    <xf numFmtId="0" fontId="213" fillId="5" borderId="0" xfId="0" applyFont="1" applyFill="1" applyBorder="1"/>
    <xf numFmtId="0" fontId="212" fillId="5" borderId="0" xfId="0" applyFont="1" applyFill="1" applyBorder="1"/>
    <xf numFmtId="0" fontId="212" fillId="5" borderId="0" xfId="0" applyFont="1" applyFill="1" applyBorder="1" applyAlignment="1">
      <alignment vertical="top" wrapText="1"/>
    </xf>
    <xf numFmtId="0" fontId="212" fillId="5" borderId="0" xfId="0" applyFont="1" applyFill="1"/>
    <xf numFmtId="49" fontId="0" fillId="5" borderId="0" xfId="0" applyNumberFormat="1" applyFont="1" applyFill="1" applyBorder="1"/>
    <xf numFmtId="0" fontId="211" fillId="5" borderId="0" xfId="0" applyFont="1" applyFill="1" applyBorder="1"/>
    <xf numFmtId="0" fontId="450" fillId="0" borderId="0" xfId="0" applyFont="1"/>
    <xf numFmtId="0" fontId="211" fillId="0" borderId="0" xfId="0" applyFont="1"/>
    <xf numFmtId="49" fontId="214" fillId="5" borderId="0" xfId="0" applyNumberFormat="1" applyFont="1" applyFill="1" applyBorder="1"/>
    <xf numFmtId="49" fontId="218" fillId="5" borderId="0" xfId="0" applyNumberFormat="1" applyFont="1" applyFill="1" applyBorder="1"/>
    <xf numFmtId="0" fontId="211" fillId="0" borderId="0" xfId="0" applyFont="1" applyFill="1"/>
    <xf numFmtId="0" fontId="211" fillId="0" borderId="0" xfId="0" applyFont="1" applyFill="1" applyBorder="1"/>
    <xf numFmtId="0" fontId="211" fillId="0" borderId="3" xfId="0" applyFont="1" applyBorder="1"/>
    <xf numFmtId="0" fontId="211" fillId="5" borderId="0" xfId="0" applyFont="1" applyFill="1" applyBorder="1" applyAlignment="1">
      <alignment vertical="top" wrapText="1"/>
    </xf>
    <xf numFmtId="43" fontId="211" fillId="0" borderId="0" xfId="2" applyFont="1" applyFill="1"/>
    <xf numFmtId="43" fontId="210" fillId="0" borderId="0" xfId="2" applyFont="1" applyFill="1"/>
    <xf numFmtId="0" fontId="210" fillId="5" borderId="0" xfId="0" applyFont="1" applyFill="1" applyBorder="1"/>
    <xf numFmtId="0" fontId="210" fillId="5" borderId="0" xfId="0" applyFont="1" applyFill="1"/>
    <xf numFmtId="0" fontId="210" fillId="5" borderId="0" xfId="0" applyFont="1" applyFill="1" applyBorder="1" applyAlignment="1">
      <alignment vertical="top" wrapText="1"/>
    </xf>
    <xf numFmtId="0" fontId="209" fillId="0" borderId="0" xfId="0" applyFont="1" applyFill="1"/>
    <xf numFmtId="0" fontId="209" fillId="5" borderId="0" xfId="0" applyFont="1" applyFill="1" applyBorder="1"/>
    <xf numFmtId="0" fontId="208" fillId="0" borderId="0" xfId="0" applyFont="1" applyFill="1" applyBorder="1"/>
    <xf numFmtId="0" fontId="208" fillId="5" borderId="0" xfId="0" applyFont="1" applyFill="1" applyBorder="1"/>
    <xf numFmtId="0" fontId="208" fillId="0" borderId="0" xfId="0" applyFont="1" applyFill="1"/>
    <xf numFmtId="0" fontId="208" fillId="5" borderId="1" xfId="0" applyFont="1" applyFill="1" applyBorder="1"/>
    <xf numFmtId="0" fontId="207" fillId="0" borderId="0" xfId="0" applyFont="1" applyFill="1" applyBorder="1"/>
    <xf numFmtId="0" fontId="207" fillId="5" borderId="0" xfId="0" applyFont="1" applyFill="1" applyBorder="1"/>
    <xf numFmtId="0" fontId="206" fillId="0" borderId="0" xfId="0" applyFont="1" applyFill="1"/>
    <xf numFmtId="0" fontId="206" fillId="10" borderId="0" xfId="0" applyFont="1" applyFill="1"/>
    <xf numFmtId="0" fontId="206" fillId="0" borderId="0" xfId="0" applyFont="1" applyFill="1" applyBorder="1"/>
    <xf numFmtId="0" fontId="206" fillId="5" borderId="0" xfId="0" applyFont="1" applyFill="1" applyBorder="1"/>
    <xf numFmtId="0" fontId="205" fillId="0" borderId="0" xfId="0" applyFont="1" applyFill="1" applyBorder="1"/>
    <xf numFmtId="0" fontId="205" fillId="5" borderId="0" xfId="0" applyFont="1" applyFill="1"/>
    <xf numFmtId="0" fontId="204" fillId="5" borderId="0" xfId="0" applyFont="1" applyFill="1" applyBorder="1"/>
    <xf numFmtId="0" fontId="204" fillId="5" borderId="0" xfId="0" applyFont="1" applyFill="1" applyBorder="1" applyAlignment="1">
      <alignment vertical="top" wrapText="1"/>
    </xf>
    <xf numFmtId="0" fontId="219" fillId="5" borderId="0" xfId="0" applyNumberFormat="1" applyFont="1" applyFill="1"/>
    <xf numFmtId="43" fontId="204" fillId="0" borderId="0" xfId="2" applyFont="1" applyFill="1"/>
    <xf numFmtId="0" fontId="203" fillId="10" borderId="0" xfId="0" applyFont="1" applyFill="1" applyBorder="1"/>
    <xf numFmtId="0" fontId="203" fillId="10" borderId="0" xfId="0" applyFont="1" applyFill="1"/>
    <xf numFmtId="0" fontId="203" fillId="0" borderId="0" xfId="0" applyFont="1" applyFill="1"/>
    <xf numFmtId="0" fontId="203" fillId="5" borderId="0" xfId="0" applyFont="1" applyFill="1"/>
    <xf numFmtId="0" fontId="203" fillId="5" borderId="0" xfId="0" applyFont="1" applyFill="1" applyBorder="1"/>
    <xf numFmtId="0" fontId="203" fillId="5" borderId="0" xfId="0" applyFont="1" applyFill="1" applyBorder="1" applyAlignment="1">
      <alignment vertical="top" wrapText="1"/>
    </xf>
    <xf numFmtId="0" fontId="202" fillId="5" borderId="0" xfId="0" applyFont="1" applyFill="1" applyBorder="1"/>
    <xf numFmtId="0" fontId="202" fillId="0" borderId="0" xfId="0" applyFont="1" applyFill="1" applyBorder="1"/>
    <xf numFmtId="0" fontId="201" fillId="2" borderId="0" xfId="0" applyFont="1" applyFill="1" applyBorder="1"/>
    <xf numFmtId="0" fontId="201" fillId="0" borderId="0" xfId="0" applyFont="1" applyFill="1"/>
    <xf numFmtId="0" fontId="201" fillId="5" borderId="0" xfId="0" applyFont="1" applyFill="1"/>
    <xf numFmtId="0" fontId="201" fillId="5" borderId="0" xfId="0" applyFont="1" applyFill="1" applyBorder="1"/>
    <xf numFmtId="0" fontId="201" fillId="5" borderId="0" xfId="0" applyFont="1" applyFill="1" applyBorder="1" applyAlignment="1">
      <alignment vertical="top" wrapText="1"/>
    </xf>
    <xf numFmtId="0" fontId="200" fillId="0" borderId="0" xfId="0" applyFont="1" applyFill="1" applyBorder="1"/>
    <xf numFmtId="0" fontId="200" fillId="5" borderId="0" xfId="0" applyFont="1" applyFill="1" applyBorder="1"/>
    <xf numFmtId="0" fontId="200" fillId="5" borderId="0" xfId="0" applyFont="1" applyFill="1"/>
    <xf numFmtId="0" fontId="199" fillId="0" borderId="0" xfId="0" applyFont="1" applyFill="1"/>
    <xf numFmtId="0" fontId="199" fillId="0" borderId="0" xfId="0" applyFont="1" applyFill="1" applyBorder="1"/>
    <xf numFmtId="0" fontId="199" fillId="5" borderId="0" xfId="0" applyFont="1" applyFill="1" applyBorder="1"/>
    <xf numFmtId="0" fontId="199" fillId="2" borderId="0" xfId="0" applyFont="1" applyFill="1" applyBorder="1"/>
    <xf numFmtId="0" fontId="205" fillId="5" borderId="0" xfId="0" applyFont="1" applyFill="1" applyBorder="1"/>
    <xf numFmtId="0" fontId="198" fillId="5" borderId="0" xfId="0" applyFont="1" applyFill="1"/>
    <xf numFmtId="0" fontId="198" fillId="5" borderId="0" xfId="0" applyFont="1" applyFill="1" applyBorder="1"/>
    <xf numFmtId="0" fontId="197" fillId="5" borderId="0" xfId="0" applyFont="1" applyFill="1" applyBorder="1"/>
    <xf numFmtId="0" fontId="197" fillId="5" borderId="0" xfId="0" applyFont="1" applyFill="1"/>
    <xf numFmtId="0" fontId="196" fillId="0" borderId="0" xfId="0" applyFont="1" applyFill="1" applyBorder="1"/>
    <xf numFmtId="0" fontId="196" fillId="5" borderId="0" xfId="0" applyFont="1" applyFill="1" applyBorder="1"/>
    <xf numFmtId="0" fontId="196" fillId="5" borderId="0" xfId="0" applyFont="1" applyFill="1"/>
    <xf numFmtId="0" fontId="196" fillId="10" borderId="0" xfId="0" applyFont="1" applyFill="1" applyBorder="1"/>
    <xf numFmtId="0" fontId="196" fillId="0" borderId="0" xfId="0" applyFont="1" applyFill="1"/>
    <xf numFmtId="0" fontId="195" fillId="5" borderId="0" xfId="0" applyFont="1" applyFill="1" applyBorder="1"/>
    <xf numFmtId="0" fontId="194" fillId="5" borderId="0" xfId="0" applyFont="1" applyFill="1" applyBorder="1"/>
    <xf numFmtId="0" fontId="194" fillId="5" borderId="0" xfId="0" applyFont="1" applyFill="1"/>
    <xf numFmtId="0" fontId="194" fillId="0" borderId="0" xfId="0" applyFont="1" applyFill="1"/>
    <xf numFmtId="0" fontId="193" fillId="2" borderId="0" xfId="0" applyFont="1" applyFill="1" applyBorder="1"/>
    <xf numFmtId="0" fontId="193" fillId="5" borderId="0" xfId="0" applyFont="1" applyFill="1"/>
    <xf numFmtId="0" fontId="193" fillId="5" borderId="0" xfId="0" applyFont="1" applyFill="1" applyBorder="1"/>
    <xf numFmtId="0" fontId="192" fillId="0" borderId="0" xfId="0" applyFont="1" applyFill="1" applyBorder="1"/>
    <xf numFmtId="0" fontId="192" fillId="5" borderId="0" xfId="0" applyFont="1" applyFill="1" applyBorder="1"/>
    <xf numFmtId="0" fontId="192" fillId="5" borderId="0" xfId="0" applyFont="1" applyFill="1"/>
    <xf numFmtId="0" fontId="192" fillId="5" borderId="0" xfId="0" applyFont="1" applyFill="1" applyBorder="1" applyAlignment="1">
      <alignment vertical="top" wrapText="1"/>
    </xf>
    <xf numFmtId="0" fontId="192" fillId="0" borderId="0" xfId="0" applyFont="1" applyFill="1"/>
    <xf numFmtId="0" fontId="191" fillId="5" borderId="0" xfId="0" applyFont="1" applyFill="1" applyBorder="1"/>
    <xf numFmtId="0" fontId="191" fillId="0" borderId="1" xfId="0" applyFont="1" applyBorder="1"/>
    <xf numFmtId="43" fontId="191" fillId="0" borderId="0" xfId="2" applyFont="1" applyFill="1"/>
    <xf numFmtId="0" fontId="190" fillId="0" borderId="0" xfId="0" applyFont="1" applyFill="1" applyBorder="1"/>
    <xf numFmtId="0" fontId="190" fillId="5" borderId="0" xfId="0" applyFont="1" applyFill="1"/>
    <xf numFmtId="0" fontId="190" fillId="5" borderId="0" xfId="0" applyFont="1" applyFill="1" applyBorder="1"/>
    <xf numFmtId="0" fontId="190" fillId="5" borderId="0" xfId="0" applyFont="1" applyFill="1" applyBorder="1" applyAlignment="1">
      <alignment vertical="top" wrapText="1"/>
    </xf>
    <xf numFmtId="0" fontId="190" fillId="10" borderId="0" xfId="0" applyFont="1" applyFill="1" applyBorder="1"/>
    <xf numFmtId="0" fontId="221" fillId="9" borderId="0" xfId="0" applyFont="1" applyFill="1"/>
    <xf numFmtId="0" fontId="218" fillId="9" borderId="0" xfId="0" applyFont="1" applyFill="1"/>
    <xf numFmtId="0" fontId="215" fillId="9" borderId="0" xfId="0" applyFont="1" applyFill="1"/>
    <xf numFmtId="0" fontId="189" fillId="5" borderId="0" xfId="0" applyFont="1" applyFill="1" applyBorder="1" applyAlignment="1">
      <alignment vertical="top" wrapText="1"/>
    </xf>
    <xf numFmtId="0" fontId="188" fillId="0" borderId="0" xfId="0" applyFont="1" applyFill="1" applyBorder="1"/>
    <xf numFmtId="0" fontId="188" fillId="5" borderId="0" xfId="0" applyFont="1" applyFill="1" applyBorder="1"/>
    <xf numFmtId="0" fontId="188" fillId="0" borderId="0" xfId="0" applyFont="1" applyFill="1"/>
    <xf numFmtId="0" fontId="187" fillId="5" borderId="0" xfId="0" applyFont="1" applyFill="1"/>
    <xf numFmtId="43" fontId="187" fillId="0" borderId="0" xfId="2" applyFont="1" applyFill="1"/>
    <xf numFmtId="0" fontId="187" fillId="5" borderId="0" xfId="0" applyFont="1" applyFill="1" applyBorder="1"/>
    <xf numFmtId="49" fontId="187" fillId="5" borderId="0" xfId="0" applyNumberFormat="1" applyFont="1" applyFill="1" applyBorder="1" applyAlignment="1">
      <alignment horizontal="right"/>
    </xf>
    <xf numFmtId="0" fontId="185" fillId="5" borderId="0" xfId="0" applyFont="1" applyFill="1" applyBorder="1"/>
    <xf numFmtId="0" fontId="185" fillId="0" borderId="0" xfId="0" applyFont="1" applyFill="1"/>
    <xf numFmtId="0" fontId="0" fillId="10" borderId="0" xfId="0" applyFill="1" applyAlignment="1">
      <alignment horizontal="center" vertical="center" wrapText="1"/>
    </xf>
    <xf numFmtId="0" fontId="184" fillId="5" borderId="0" xfId="0" applyFont="1" applyFill="1" applyBorder="1"/>
    <xf numFmtId="0" fontId="181" fillId="0" borderId="0" xfId="0" applyFont="1" applyFill="1"/>
    <xf numFmtId="0" fontId="181" fillId="0" borderId="1" xfId="0" applyFont="1" applyBorder="1"/>
    <xf numFmtId="0" fontId="181" fillId="5" borderId="0" xfId="0" applyFont="1" applyFill="1" applyBorder="1"/>
    <xf numFmtId="0" fontId="0" fillId="0" borderId="1" xfId="0" applyBorder="1" applyAlignment="1">
      <alignment wrapText="1"/>
    </xf>
    <xf numFmtId="0" fontId="181" fillId="4" borderId="0" xfId="0" applyFont="1" applyFill="1" applyBorder="1"/>
    <xf numFmtId="0" fontId="180" fillId="5" borderId="0" xfId="0" applyFont="1" applyFill="1" applyBorder="1"/>
    <xf numFmtId="0" fontId="180" fillId="0" borderId="0" xfId="0" applyFont="1" applyFill="1"/>
    <xf numFmtId="0" fontId="180" fillId="0" borderId="0" xfId="0" applyFont="1" applyFill="1" applyBorder="1"/>
    <xf numFmtId="0" fontId="0" fillId="9" borderId="1" xfId="0" applyFill="1" applyBorder="1"/>
    <xf numFmtId="0" fontId="0" fillId="9" borderId="1" xfId="0" applyFill="1" applyBorder="1" applyAlignment="1">
      <alignment horizontal="center"/>
    </xf>
    <xf numFmtId="0" fontId="179" fillId="5" borderId="0" xfId="0" applyFont="1" applyFill="1" applyBorder="1"/>
    <xf numFmtId="0" fontId="179" fillId="5" borderId="0" xfId="0" applyFont="1" applyFill="1" applyBorder="1" applyAlignment="1">
      <alignment vertical="top" wrapText="1"/>
    </xf>
    <xf numFmtId="0" fontId="177" fillId="0" borderId="0" xfId="0" applyFont="1" applyFill="1" applyBorder="1"/>
    <xf numFmtId="0" fontId="177" fillId="0" borderId="0" xfId="0" applyFont="1" applyFill="1"/>
    <xf numFmtId="0" fontId="177" fillId="5" borderId="0" xfId="0" applyFont="1" applyFill="1" applyBorder="1"/>
    <xf numFmtId="0" fontId="176" fillId="5" borderId="0" xfId="0" applyFont="1" applyFill="1" applyBorder="1"/>
    <xf numFmtId="0" fontId="186" fillId="10" borderId="0" xfId="0" applyFont="1" applyFill="1" applyBorder="1"/>
    <xf numFmtId="43" fontId="175" fillId="0" borderId="0" xfId="2" applyFont="1" applyFill="1"/>
    <xf numFmtId="0" fontId="175" fillId="0" borderId="1" xfId="0" applyFont="1" applyBorder="1"/>
    <xf numFmtId="0" fontId="0" fillId="2" borderId="1" xfId="0" applyFill="1" applyBorder="1"/>
    <xf numFmtId="0" fontId="175" fillId="0" borderId="0" xfId="0" applyFont="1" applyFill="1" applyBorder="1"/>
    <xf numFmtId="0" fontId="175" fillId="5" borderId="0" xfId="0" applyFont="1" applyFill="1" applyBorder="1"/>
    <xf numFmtId="0" fontId="0" fillId="4" borderId="3" xfId="0" applyFill="1" applyBorder="1"/>
    <xf numFmtId="0" fontId="174" fillId="0" borderId="0" xfId="0" applyFont="1" applyFill="1" applyBorder="1"/>
    <xf numFmtId="0" fontId="174" fillId="5" borderId="0" xfId="0" applyFont="1" applyFill="1" applyBorder="1"/>
    <xf numFmtId="0" fontId="183" fillId="5" borderId="0" xfId="0" applyFont="1" applyFill="1" applyBorder="1"/>
    <xf numFmtId="0" fontId="451" fillId="5" borderId="0" xfId="0" applyFont="1" applyFill="1" applyAlignment="1">
      <alignment horizontal="center" vertical="center" wrapText="1"/>
    </xf>
    <xf numFmtId="0" fontId="452" fillId="5" borderId="0" xfId="0" applyFont="1" applyFill="1" applyBorder="1"/>
    <xf numFmtId="0" fontId="444" fillId="5" borderId="0" xfId="0" applyFont="1" applyFill="1" applyBorder="1"/>
    <xf numFmtId="0" fontId="172" fillId="0" borderId="0" xfId="0" applyFont="1" applyFill="1"/>
    <xf numFmtId="0" fontId="172" fillId="5" borderId="0" xfId="0" applyFont="1" applyFill="1" applyBorder="1"/>
    <xf numFmtId="0" fontId="171" fillId="5" borderId="0" xfId="0" applyFont="1" applyFill="1" applyBorder="1"/>
    <xf numFmtId="0" fontId="170" fillId="5" borderId="0" xfId="0" applyFont="1" applyFill="1" applyBorder="1" applyAlignment="1">
      <alignment vertical="top" wrapText="1"/>
    </xf>
    <xf numFmtId="0" fontId="170" fillId="5" borderId="0" xfId="0" applyFont="1" applyFill="1" applyBorder="1"/>
    <xf numFmtId="0" fontId="173" fillId="5" borderId="0" xfId="0" applyFont="1" applyFill="1" applyBorder="1"/>
    <xf numFmtId="0" fontId="169" fillId="5" borderId="0" xfId="0" applyFont="1" applyFill="1" applyBorder="1"/>
    <xf numFmtId="0" fontId="168" fillId="5" borderId="0" xfId="0" applyFont="1" applyFill="1" applyBorder="1"/>
    <xf numFmtId="0" fontId="0" fillId="4" borderId="1" xfId="0" applyFill="1" applyBorder="1"/>
    <xf numFmtId="0" fontId="0" fillId="0" borderId="0" xfId="0" applyBorder="1" applyAlignment="1">
      <alignment horizontal="left"/>
    </xf>
    <xf numFmtId="0" fontId="0" fillId="4" borderId="1" xfId="0" applyFill="1" applyBorder="1" applyAlignment="1">
      <alignment horizontal="center"/>
    </xf>
    <xf numFmtId="0" fontId="167" fillId="5" borderId="0" xfId="0" applyFont="1" applyFill="1" applyBorder="1"/>
    <xf numFmtId="0" fontId="0" fillId="0" borderId="1" xfId="0" applyFill="1" applyBorder="1"/>
    <xf numFmtId="0" fontId="191" fillId="0" borderId="1" xfId="0" applyFont="1" applyFill="1" applyBorder="1"/>
    <xf numFmtId="0" fontId="165" fillId="0" borderId="0" xfId="0" applyFont="1" applyFill="1" applyBorder="1"/>
    <xf numFmtId="49" fontId="0" fillId="0" borderId="0" xfId="0" applyNumberFormat="1" applyFont="1" applyFill="1" applyBorder="1"/>
    <xf numFmtId="0" fontId="164" fillId="0" borderId="0" xfId="0" applyFont="1" applyFill="1" applyBorder="1"/>
    <xf numFmtId="0" fontId="163" fillId="5" borderId="0" xfId="0" applyFont="1" applyFill="1"/>
    <xf numFmtId="0" fontId="162" fillId="0" borderId="0" xfId="0" applyFont="1" applyFill="1" applyBorder="1"/>
    <xf numFmtId="0" fontId="161" fillId="0" borderId="0" xfId="0" applyFont="1" applyFill="1" applyBorder="1"/>
    <xf numFmtId="0" fontId="160" fillId="5" borderId="0" xfId="0" applyFont="1" applyFill="1" applyBorder="1"/>
    <xf numFmtId="0" fontId="159" fillId="4" borderId="0" xfId="0" applyFont="1" applyFill="1"/>
    <xf numFmtId="0" fontId="0" fillId="6" borderId="0" xfId="0" applyFill="1" applyBorder="1"/>
    <xf numFmtId="0" fontId="0" fillId="6" borderId="0" xfId="0" applyFill="1"/>
    <xf numFmtId="0" fontId="251" fillId="6" borderId="0" xfId="0" applyFont="1" applyFill="1" applyBorder="1"/>
    <xf numFmtId="0" fontId="271" fillId="6" borderId="0" xfId="0" applyFont="1" applyFill="1" applyBorder="1"/>
    <xf numFmtId="0" fontId="158" fillId="6" borderId="0" xfId="0" applyFont="1" applyFill="1" applyBorder="1"/>
    <xf numFmtId="0" fontId="157" fillId="0" borderId="0" xfId="0" applyFont="1" applyFill="1"/>
    <xf numFmtId="0" fontId="157" fillId="0" borderId="0" xfId="0" applyFont="1" applyFill="1" applyBorder="1"/>
    <xf numFmtId="0" fontId="448" fillId="9" borderId="0" xfId="0" applyFont="1" applyFill="1" applyAlignment="1">
      <alignment horizontal="center" vertical="center" wrapText="1"/>
    </xf>
    <xf numFmtId="0" fontId="0" fillId="9" borderId="0" xfId="0" applyFont="1" applyFill="1" applyBorder="1"/>
    <xf numFmtId="0" fontId="190" fillId="9" borderId="0" xfId="0" applyFont="1" applyFill="1" applyBorder="1"/>
    <xf numFmtId="0" fontId="192" fillId="9" borderId="0" xfId="0" applyFont="1" applyFill="1" applyBorder="1"/>
    <xf numFmtId="0" fontId="227" fillId="9" borderId="0" xfId="0" applyFont="1" applyFill="1" applyBorder="1"/>
    <xf numFmtId="0" fontId="181" fillId="9" borderId="0" xfId="0" applyFont="1" applyFill="1" applyBorder="1"/>
    <xf numFmtId="0" fontId="193" fillId="9" borderId="0" xfId="0" applyFont="1" applyFill="1" applyBorder="1"/>
    <xf numFmtId="0" fontId="177" fillId="9" borderId="0" xfId="0" applyFont="1" applyFill="1" applyBorder="1"/>
    <xf numFmtId="0" fontId="175" fillId="9" borderId="0" xfId="0" applyFont="1" applyFill="1" applyBorder="1"/>
    <xf numFmtId="0" fontId="179" fillId="9" borderId="0" xfId="0" applyFont="1" applyFill="1" applyBorder="1"/>
    <xf numFmtId="0" fontId="185" fillId="9" borderId="0" xfId="0" applyFont="1" applyFill="1" applyBorder="1"/>
    <xf numFmtId="0" fontId="197" fillId="9" borderId="0" xfId="0" applyFont="1" applyFill="1" applyBorder="1"/>
    <xf numFmtId="0" fontId="199" fillId="9" borderId="0" xfId="0" applyFont="1" applyFill="1" applyBorder="1"/>
    <xf numFmtId="0" fontId="156" fillId="0" borderId="0" xfId="0" applyFont="1" applyFill="1"/>
    <xf numFmtId="0" fontId="448" fillId="14" borderId="0" xfId="0" applyFont="1" applyFill="1" applyAlignment="1">
      <alignment horizontal="center" vertical="center" wrapText="1"/>
    </xf>
    <xf numFmtId="0" fontId="0" fillId="14" borderId="0" xfId="0" applyFont="1" applyFill="1" applyBorder="1"/>
    <xf numFmtId="0" fontId="177" fillId="14" borderId="0" xfId="0" applyFont="1" applyFill="1" applyBorder="1"/>
    <xf numFmtId="0" fontId="227" fillId="14" borderId="0" xfId="0" applyFont="1" applyFill="1" applyBorder="1"/>
    <xf numFmtId="0" fontId="155" fillId="0" borderId="0" xfId="0" applyFont="1" applyFill="1" applyBorder="1"/>
    <xf numFmtId="0" fontId="0" fillId="3" borderId="0" xfId="0" applyFont="1" applyFill="1" applyBorder="1"/>
    <xf numFmtId="0" fontId="157" fillId="9" borderId="0" xfId="0" applyFont="1" applyFill="1" applyBorder="1"/>
    <xf numFmtId="0" fontId="154" fillId="9" borderId="0" xfId="0" applyFont="1" applyFill="1" applyBorder="1"/>
    <xf numFmtId="0" fontId="155" fillId="9" borderId="0" xfId="0" applyFont="1" applyFill="1" applyBorder="1"/>
    <xf numFmtId="0" fontId="154" fillId="0" borderId="0" xfId="0" applyFont="1" applyFill="1" applyBorder="1"/>
    <xf numFmtId="0" fontId="277" fillId="9" borderId="0" xfId="0" applyFont="1" applyFill="1"/>
    <xf numFmtId="0" fontId="159" fillId="9" borderId="0" xfId="0" applyFont="1" applyFill="1" applyBorder="1"/>
    <xf numFmtId="0" fontId="154" fillId="4" borderId="0" xfId="0" applyFont="1" applyFill="1" applyBorder="1"/>
    <xf numFmtId="0" fontId="154" fillId="4" borderId="0" xfId="0" applyFont="1" applyFill="1"/>
    <xf numFmtId="0" fontId="0" fillId="3" borderId="0" xfId="0" applyFill="1"/>
    <xf numFmtId="0" fontId="154" fillId="5" borderId="0" xfId="0" applyFont="1" applyFill="1" applyBorder="1"/>
    <xf numFmtId="0" fontId="153" fillId="0" borderId="0" xfId="0" applyFont="1" applyFill="1" applyBorder="1"/>
    <xf numFmtId="0" fontId="0" fillId="3" borderId="0" xfId="0" applyFill="1" applyBorder="1"/>
    <xf numFmtId="0" fontId="162" fillId="9" borderId="0" xfId="0" applyFont="1" applyFill="1" applyBorder="1"/>
    <xf numFmtId="0" fontId="153" fillId="9" borderId="0" xfId="0" applyFont="1" applyFill="1" applyBorder="1"/>
    <xf numFmtId="0" fontId="0" fillId="9" borderId="0" xfId="0" applyFont="1" applyFill="1"/>
    <xf numFmtId="0" fontId="152" fillId="0" borderId="0" xfId="0" applyFont="1" applyFill="1" applyBorder="1"/>
    <xf numFmtId="0" fontId="152" fillId="9" borderId="0" xfId="0" applyFont="1" applyFill="1" applyBorder="1"/>
    <xf numFmtId="0" fontId="0" fillId="9" borderId="0" xfId="0" applyFill="1" applyBorder="1"/>
    <xf numFmtId="0" fontId="293" fillId="9" borderId="0" xfId="0" applyFont="1" applyFill="1" applyBorder="1"/>
    <xf numFmtId="0" fontId="172" fillId="9" borderId="0" xfId="0" applyFont="1" applyFill="1" applyBorder="1"/>
    <xf numFmtId="0" fontId="448" fillId="3" borderId="0" xfId="0" applyFont="1" applyFill="1" applyAlignment="1">
      <alignment horizontal="center" vertical="center" wrapText="1"/>
    </xf>
    <xf numFmtId="0" fontId="177" fillId="3" borderId="0" xfId="0" applyFont="1" applyFill="1" applyBorder="1"/>
    <xf numFmtId="0" fontId="159" fillId="3" borderId="0" xfId="0" applyFont="1" applyFill="1" applyBorder="1"/>
    <xf numFmtId="0" fontId="227" fillId="3" borderId="0" xfId="0" applyFont="1" applyFill="1" applyBorder="1"/>
    <xf numFmtId="0" fontId="151" fillId="0" borderId="0" xfId="0" applyFont="1" applyFill="1" applyBorder="1" applyAlignment="1">
      <alignment vertical="top" wrapText="1"/>
    </xf>
    <xf numFmtId="0" fontId="0" fillId="14" borderId="0" xfId="0" applyFill="1" applyBorder="1"/>
    <xf numFmtId="0" fontId="161" fillId="14" borderId="0" xfId="0" applyFont="1" applyFill="1" applyBorder="1"/>
    <xf numFmtId="0" fontId="152" fillId="14" borderId="0" xfId="0" applyFont="1" applyFill="1" applyBorder="1"/>
    <xf numFmtId="0" fontId="151" fillId="0" borderId="0" xfId="0" applyFont="1" applyFill="1" applyBorder="1"/>
    <xf numFmtId="0" fontId="151" fillId="0" borderId="1" xfId="0" applyFont="1" applyBorder="1"/>
    <xf numFmtId="0" fontId="151" fillId="9" borderId="0" xfId="0" applyFont="1" applyFill="1" applyBorder="1"/>
    <xf numFmtId="0" fontId="150" fillId="5" borderId="0" xfId="0" applyFont="1" applyFill="1" applyBorder="1"/>
    <xf numFmtId="0" fontId="150" fillId="0" borderId="0" xfId="0" applyFont="1" applyFill="1" applyBorder="1"/>
    <xf numFmtId="0" fontId="149" fillId="0" borderId="0" xfId="0" applyFont="1" applyFill="1" applyBorder="1"/>
    <xf numFmtId="0" fontId="149" fillId="9" borderId="0" xfId="0" applyFont="1" applyFill="1" applyBorder="1"/>
    <xf numFmtId="0" fontId="148" fillId="0" borderId="0" xfId="0" applyFont="1" applyFill="1" applyBorder="1"/>
    <xf numFmtId="0" fontId="148" fillId="9" borderId="0" xfId="0" applyFont="1" applyFill="1" applyBorder="1"/>
    <xf numFmtId="0" fontId="448" fillId="7" borderId="0" xfId="0" applyFont="1" applyFill="1" applyAlignment="1">
      <alignment horizontal="center" vertical="center" wrapText="1"/>
    </xf>
    <xf numFmtId="0" fontId="0" fillId="7" borderId="0" xfId="0" applyFont="1" applyFill="1" applyBorder="1"/>
    <xf numFmtId="0" fontId="177" fillId="7" borderId="0" xfId="0" applyFont="1" applyFill="1" applyBorder="1"/>
    <xf numFmtId="0" fontId="227" fillId="7" borderId="0" xfId="0" applyFont="1" applyFill="1" applyBorder="1"/>
    <xf numFmtId="0" fontId="150" fillId="9" borderId="0" xfId="0" applyFont="1" applyFill="1" applyBorder="1"/>
    <xf numFmtId="0" fontId="148" fillId="0" borderId="0" xfId="0" applyFont="1" applyFill="1"/>
    <xf numFmtId="0" fontId="148" fillId="14" borderId="0" xfId="0" applyFont="1" applyFill="1" applyBorder="1" applyAlignment="1">
      <alignment vertical="top" wrapText="1"/>
    </xf>
    <xf numFmtId="0" fontId="451" fillId="9" borderId="0" xfId="0" applyFont="1" applyFill="1" applyAlignment="1">
      <alignment horizontal="center" vertical="center" wrapText="1"/>
    </xf>
    <xf numFmtId="0" fontId="148" fillId="5" borderId="0" xfId="0" applyFont="1" applyFill="1"/>
    <xf numFmtId="43" fontId="148" fillId="0" borderId="0" xfId="2" applyFont="1" applyFill="1"/>
    <xf numFmtId="0" fontId="147" fillId="9" borderId="0" xfId="0" applyFont="1" applyFill="1" applyBorder="1"/>
    <xf numFmtId="0" fontId="166" fillId="9" borderId="0" xfId="0" applyFont="1" applyFill="1" applyBorder="1"/>
    <xf numFmtId="0" fontId="146" fillId="0" borderId="0" xfId="0" applyFont="1" applyFill="1"/>
    <xf numFmtId="0" fontId="146" fillId="0" borderId="0" xfId="0" applyFont="1" applyFill="1" applyBorder="1"/>
    <xf numFmtId="0" fontId="146" fillId="0" borderId="1" xfId="0" applyFont="1" applyBorder="1"/>
    <xf numFmtId="0" fontId="145" fillId="0" borderId="0" xfId="0" applyFont="1" applyFill="1" applyBorder="1"/>
    <xf numFmtId="0" fontId="145" fillId="9" borderId="0" xfId="0" applyFont="1" applyFill="1" applyBorder="1"/>
    <xf numFmtId="0" fontId="145" fillId="0" borderId="1" xfId="0" applyFont="1" applyBorder="1"/>
    <xf numFmtId="0" fontId="164" fillId="9" borderId="0" xfId="0" applyFont="1" applyFill="1" applyBorder="1"/>
    <xf numFmtId="0" fontId="146" fillId="9" borderId="0" xfId="0" applyFont="1" applyFill="1" applyBorder="1"/>
    <xf numFmtId="0" fontId="145" fillId="0" borderId="0" xfId="0" applyFont="1" applyFill="1"/>
    <xf numFmtId="0" fontId="234" fillId="9" borderId="0" xfId="0" applyFont="1" applyFill="1" applyBorder="1"/>
    <xf numFmtId="0" fontId="145" fillId="7" borderId="0" xfId="0" applyFont="1" applyFill="1" applyBorder="1"/>
    <xf numFmtId="0" fontId="145" fillId="0" borderId="1" xfId="0" applyFont="1" applyBorder="1" applyAlignment="1">
      <alignment horizontal="center" vertical="center"/>
    </xf>
    <xf numFmtId="0" fontId="144" fillId="0" borderId="1" xfId="0" applyFont="1" applyBorder="1"/>
    <xf numFmtId="0" fontId="144" fillId="0" borderId="0" xfId="0" applyFont="1" applyFill="1" applyBorder="1"/>
    <xf numFmtId="0" fontId="440" fillId="9" borderId="0" xfId="0" applyFont="1" applyFill="1" applyAlignment="1">
      <alignment horizontal="center" vertical="center" wrapText="1"/>
    </xf>
    <xf numFmtId="0" fontId="144" fillId="9" borderId="0" xfId="0" applyFont="1" applyFill="1" applyBorder="1"/>
    <xf numFmtId="0" fontId="144" fillId="0" borderId="0" xfId="0" applyFont="1" applyFill="1"/>
    <xf numFmtId="0" fontId="143" fillId="0" borderId="0" xfId="0" applyFont="1" applyFill="1"/>
    <xf numFmtId="0" fontId="143" fillId="0" borderId="0" xfId="0" applyFont="1" applyFill="1" applyBorder="1"/>
    <xf numFmtId="0" fontId="143" fillId="9" borderId="0" xfId="0" applyFont="1" applyFill="1" applyBorder="1"/>
    <xf numFmtId="0" fontId="141" fillId="9" borderId="0" xfId="0" applyFont="1" applyFill="1" applyBorder="1"/>
    <xf numFmtId="0" fontId="141" fillId="0" borderId="0" xfId="0" applyFont="1" applyFill="1" applyBorder="1"/>
    <xf numFmtId="0" fontId="139" fillId="9" borderId="0" xfId="0" applyFont="1" applyFill="1" applyBorder="1"/>
    <xf numFmtId="0" fontId="0" fillId="6" borderId="0" xfId="0" applyFont="1" applyFill="1" applyBorder="1"/>
    <xf numFmtId="0" fontId="139" fillId="0" borderId="1" xfId="0" applyFont="1" applyBorder="1"/>
    <xf numFmtId="0" fontId="139" fillId="0" borderId="0" xfId="0" applyFont="1" applyFill="1"/>
    <xf numFmtId="0" fontId="139" fillId="0" borderId="0" xfId="0" applyFont="1" applyFill="1" applyBorder="1"/>
    <xf numFmtId="0" fontId="177" fillId="2" borderId="0" xfId="0" applyFont="1" applyFill="1" applyBorder="1"/>
    <xf numFmtId="0" fontId="138" fillId="0" borderId="0" xfId="0" applyFont="1" applyFill="1" applyBorder="1"/>
    <xf numFmtId="0" fontId="138" fillId="0" borderId="0" xfId="0" applyFont="1" applyFill="1"/>
    <xf numFmtId="0" fontId="138" fillId="9" borderId="0" xfId="0" applyFont="1" applyFill="1" applyBorder="1"/>
    <xf numFmtId="0" fontId="137" fillId="0" borderId="0" xfId="0" applyFont="1" applyFill="1" applyBorder="1"/>
    <xf numFmtId="0" fontId="136" fillId="0" borderId="0" xfId="0" applyFont="1" applyFill="1" applyBorder="1"/>
    <xf numFmtId="0" fontId="136" fillId="0" borderId="0" xfId="0" applyFont="1" applyFill="1"/>
    <xf numFmtId="0" fontId="136" fillId="0" borderId="1" xfId="0" applyFont="1" applyBorder="1"/>
    <xf numFmtId="0" fontId="135" fillId="0" borderId="0" xfId="0" applyFont="1" applyFill="1"/>
    <xf numFmtId="3" fontId="135" fillId="0" borderId="0" xfId="0" applyNumberFormat="1" applyFont="1" applyFill="1" applyBorder="1"/>
    <xf numFmtId="0" fontId="134" fillId="9" borderId="0" xfId="0" applyFont="1" applyFill="1"/>
    <xf numFmtId="0" fontId="134" fillId="0" borderId="0" xfId="0" applyFont="1" applyFill="1" applyBorder="1"/>
    <xf numFmtId="0" fontId="135" fillId="2" borderId="0" xfId="0" applyFont="1" applyFill="1" applyBorder="1"/>
    <xf numFmtId="0" fontId="134" fillId="2" borderId="0" xfId="0" applyFont="1" applyFill="1" applyBorder="1"/>
    <xf numFmtId="0" fontId="134" fillId="0" borderId="0" xfId="0" applyFont="1" applyFill="1"/>
    <xf numFmtId="0" fontId="134" fillId="9" borderId="0" xfId="0" applyFont="1" applyFill="1" applyBorder="1"/>
    <xf numFmtId="3" fontId="134" fillId="9" borderId="0" xfId="0" applyNumberFormat="1" applyFont="1" applyFill="1" applyBorder="1"/>
    <xf numFmtId="0" fontId="134" fillId="9" borderId="0" xfId="0" applyFont="1" applyFill="1" applyBorder="1" applyAlignment="1">
      <alignment vertical="top" wrapText="1"/>
    </xf>
    <xf numFmtId="0" fontId="194" fillId="9" borderId="0" xfId="0" applyFont="1" applyFill="1" applyBorder="1"/>
    <xf numFmtId="0" fontId="245" fillId="9" borderId="0" xfId="0" applyFont="1" applyFill="1" applyBorder="1"/>
    <xf numFmtId="0" fontId="248" fillId="9" borderId="0" xfId="0" applyFont="1" applyFill="1" applyBorder="1"/>
    <xf numFmtId="0" fontId="132" fillId="9" borderId="0" xfId="0" applyFont="1" applyFill="1" applyBorder="1"/>
    <xf numFmtId="0" fontId="132" fillId="0" borderId="1" xfId="0" applyFont="1" applyBorder="1"/>
    <xf numFmtId="0" fontId="132" fillId="2" borderId="0" xfId="0" applyFont="1" applyFill="1" applyBorder="1"/>
    <xf numFmtId="0" fontId="132" fillId="0" borderId="0" xfId="0" applyFont="1" applyFill="1"/>
    <xf numFmtId="0" fontId="132" fillId="0" borderId="0" xfId="0" applyFont="1" applyFill="1" applyBorder="1"/>
    <xf numFmtId="3" fontId="132" fillId="0" borderId="0" xfId="0" applyNumberFormat="1" applyFont="1" applyFill="1" applyBorder="1"/>
    <xf numFmtId="3" fontId="132" fillId="2" borderId="0" xfId="0" applyNumberFormat="1" applyFont="1" applyFill="1" applyBorder="1"/>
    <xf numFmtId="3" fontId="132" fillId="9" borderId="0" xfId="0" applyNumberFormat="1" applyFont="1" applyFill="1" applyBorder="1"/>
    <xf numFmtId="0" fontId="132" fillId="3" borderId="0" xfId="0" applyFont="1" applyFill="1" applyBorder="1"/>
    <xf numFmtId="0" fontId="132" fillId="2" borderId="0" xfId="0" applyFont="1" applyFill="1"/>
    <xf numFmtId="0" fontId="134" fillId="0" borderId="0" xfId="0" applyFont="1" applyAlignment="1"/>
    <xf numFmtId="0" fontId="134" fillId="5" borderId="0" xfId="0" applyFont="1" applyFill="1" applyBorder="1"/>
    <xf numFmtId="0" fontId="134" fillId="3" borderId="0" xfId="0" applyFont="1" applyFill="1" applyBorder="1"/>
    <xf numFmtId="3" fontId="134" fillId="3" borderId="0" xfId="0" applyNumberFormat="1" applyFont="1" applyFill="1" applyBorder="1"/>
    <xf numFmtId="0" fontId="133" fillId="9" borderId="0" xfId="0" applyFont="1" applyFill="1" applyBorder="1"/>
    <xf numFmtId="0" fontId="136" fillId="9" borderId="0" xfId="0" applyFont="1" applyFill="1" applyBorder="1"/>
    <xf numFmtId="3" fontId="136" fillId="9" borderId="0" xfId="0" applyNumberFormat="1" applyFont="1" applyFill="1" applyBorder="1"/>
    <xf numFmtId="0" fontId="132" fillId="0" borderId="1" xfId="0" applyFont="1" applyBorder="1" applyAlignment="1">
      <alignment horizontal="center" vertical="center"/>
    </xf>
    <xf numFmtId="0" fontId="132" fillId="0" borderId="1" xfId="0" applyFont="1" applyBorder="1" applyAlignment="1">
      <alignment horizontal="left" vertical="top" wrapText="1"/>
    </xf>
    <xf numFmtId="3" fontId="132" fillId="3" borderId="0" xfId="0" applyNumberFormat="1" applyFont="1" applyFill="1" applyBorder="1"/>
    <xf numFmtId="0" fontId="132" fillId="5" borderId="0" xfId="0" applyFont="1" applyFill="1"/>
    <xf numFmtId="0" fontId="132" fillId="5" borderId="0" xfId="0" applyFont="1" applyFill="1" applyBorder="1"/>
    <xf numFmtId="3" fontId="132" fillId="5" borderId="0" xfId="0" applyNumberFormat="1" applyFont="1" applyFill="1" applyBorder="1"/>
    <xf numFmtId="3" fontId="135" fillId="3" borderId="0" xfId="0" applyNumberFormat="1" applyFont="1" applyFill="1" applyBorder="1"/>
    <xf numFmtId="0" fontId="139" fillId="3" borderId="0" xfId="0" applyFont="1" applyFill="1" applyBorder="1"/>
    <xf numFmtId="0" fontId="138" fillId="3" borderId="0" xfId="0" applyFont="1" applyFill="1" applyBorder="1"/>
    <xf numFmtId="0" fontId="145" fillId="3" borderId="0" xfId="0" applyFont="1" applyFill="1" applyBorder="1"/>
    <xf numFmtId="0" fontId="143" fillId="3" borderId="0" xfId="0" applyFont="1" applyFill="1" applyBorder="1"/>
    <xf numFmtId="0" fontId="453" fillId="3" borderId="0" xfId="0" applyFont="1" applyFill="1" applyAlignment="1">
      <alignment horizontal="center" vertical="center" wrapText="1"/>
    </xf>
    <xf numFmtId="0" fontId="140" fillId="3" borderId="0" xfId="0" applyFont="1" applyFill="1" applyBorder="1"/>
    <xf numFmtId="0" fontId="141" fillId="3" borderId="0" xfId="0" applyFont="1" applyFill="1" applyBorder="1"/>
    <xf numFmtId="0" fontId="146" fillId="3" borderId="0" xfId="0" applyFont="1" applyFill="1" applyBorder="1"/>
    <xf numFmtId="0" fontId="142" fillId="3" borderId="0" xfId="0" applyFont="1" applyFill="1" applyBorder="1"/>
    <xf numFmtId="0" fontId="215" fillId="5" borderId="0" xfId="0" applyFont="1" applyFill="1"/>
    <xf numFmtId="49" fontId="132" fillId="5" borderId="0" xfId="0" applyNumberFormat="1" applyFont="1" applyFill="1" applyBorder="1"/>
    <xf numFmtId="0" fontId="131" fillId="0" borderId="0" xfId="0" applyFont="1" applyFill="1" applyBorder="1"/>
    <xf numFmtId="3" fontId="131" fillId="0" borderId="0" xfId="0" applyNumberFormat="1" applyFont="1" applyFill="1" applyBorder="1"/>
    <xf numFmtId="43" fontId="131" fillId="0" borderId="0" xfId="2" applyFont="1" applyFill="1"/>
    <xf numFmtId="0" fontId="131" fillId="0" borderId="0" xfId="0" applyFont="1" applyFill="1"/>
    <xf numFmtId="0" fontId="131" fillId="4" borderId="0" xfId="0" applyFont="1" applyFill="1"/>
    <xf numFmtId="0" fontId="131" fillId="5" borderId="0" xfId="0" applyFont="1" applyFill="1" applyBorder="1"/>
    <xf numFmtId="3" fontId="131" fillId="5" borderId="0" xfId="0" applyNumberFormat="1" applyFont="1" applyFill="1" applyBorder="1"/>
    <xf numFmtId="0" fontId="153" fillId="5" borderId="0" xfId="0" applyFont="1" applyFill="1" applyBorder="1"/>
    <xf numFmtId="0" fontId="129" fillId="0" borderId="1" xfId="0" applyFont="1" applyBorder="1"/>
    <xf numFmtId="0" fontId="129" fillId="0" borderId="0" xfId="0" applyFont="1" applyFill="1" applyBorder="1"/>
    <xf numFmtId="0" fontId="129" fillId="0" borderId="1" xfId="0" applyFont="1" applyBorder="1" applyAlignment="1">
      <alignment horizontal="left" vertical="top" wrapText="1"/>
    </xf>
    <xf numFmtId="0" fontId="130" fillId="5" borderId="0" xfId="0" applyFont="1" applyFill="1" applyBorder="1"/>
    <xf numFmtId="3" fontId="130" fillId="5" borderId="0" xfId="0" applyNumberFormat="1" applyFont="1" applyFill="1" applyBorder="1"/>
    <xf numFmtId="0" fontId="139" fillId="5" borderId="0" xfId="0" applyFont="1" applyFill="1" applyBorder="1"/>
    <xf numFmtId="3" fontId="129" fillId="0" borderId="0" xfId="0" applyNumberFormat="1" applyFont="1" applyFill="1" applyBorder="1"/>
    <xf numFmtId="0" fontId="129" fillId="0" borderId="0" xfId="0" applyFont="1" applyFill="1"/>
    <xf numFmtId="0" fontId="132" fillId="17" borderId="0" xfId="0" applyFont="1" applyFill="1" applyBorder="1"/>
    <xf numFmtId="0" fontId="131" fillId="17" borderId="0" xfId="0" applyFont="1" applyFill="1" applyBorder="1"/>
    <xf numFmtId="0" fontId="129" fillId="17" borderId="0" xfId="0" applyFont="1" applyFill="1" applyBorder="1"/>
    <xf numFmtId="0" fontId="129" fillId="18" borderId="0" xfId="0" applyFont="1" applyFill="1" applyBorder="1"/>
    <xf numFmtId="0" fontId="129" fillId="14" borderId="0" xfId="0" applyFont="1" applyFill="1" applyBorder="1"/>
    <xf numFmtId="0" fontId="136" fillId="5" borderId="0" xfId="0" applyFont="1" applyFill="1" applyBorder="1"/>
    <xf numFmtId="0" fontId="133" fillId="5" borderId="0" xfId="0" applyFont="1" applyFill="1" applyBorder="1"/>
    <xf numFmtId="0" fontId="129" fillId="5" borderId="0" xfId="0" applyFont="1" applyFill="1" applyBorder="1"/>
    <xf numFmtId="3" fontId="129" fillId="5" borderId="0" xfId="0" applyNumberFormat="1" applyFont="1" applyFill="1" applyBorder="1"/>
    <xf numFmtId="0" fontId="129" fillId="0" borderId="1" xfId="0" applyFont="1" applyBorder="1" applyAlignment="1">
      <alignment horizontal="center" vertical="center"/>
    </xf>
    <xf numFmtId="0" fontId="129" fillId="4" borderId="0" xfId="0" applyFont="1" applyFill="1"/>
    <xf numFmtId="43" fontId="129" fillId="0" borderId="0" xfId="2" applyFont="1" applyFill="1"/>
    <xf numFmtId="0" fontId="128" fillId="0" borderId="0" xfId="0" applyFont="1" applyFill="1" applyBorder="1"/>
    <xf numFmtId="0" fontId="128" fillId="0" borderId="1" xfId="0" applyFont="1" applyBorder="1"/>
    <xf numFmtId="0" fontId="128" fillId="0" borderId="1" xfId="0" applyFont="1" applyBorder="1" applyAlignment="1">
      <alignment horizontal="center" vertical="center"/>
    </xf>
    <xf numFmtId="3" fontId="0" fillId="0" borderId="1" xfId="0" applyNumberFormat="1" applyBorder="1" applyAlignment="1">
      <alignment wrapText="1"/>
    </xf>
    <xf numFmtId="0" fontId="128" fillId="5" borderId="0" xfId="0" applyFont="1" applyFill="1" applyBorder="1"/>
    <xf numFmtId="3" fontId="128" fillId="5" borderId="0" xfId="0" applyNumberFormat="1" applyFont="1" applyFill="1" applyBorder="1"/>
    <xf numFmtId="0" fontId="128" fillId="0" borderId="0" xfId="0" applyFont="1" applyFill="1"/>
    <xf numFmtId="0" fontId="127" fillId="9" borderId="0" xfId="0" applyFont="1" applyFill="1" applyBorder="1"/>
    <xf numFmtId="0" fontId="127" fillId="0" borderId="1" xfId="0" applyFont="1" applyBorder="1"/>
    <xf numFmtId="43" fontId="127" fillId="0" borderId="0" xfId="2" applyFont="1" applyFill="1"/>
    <xf numFmtId="0" fontId="127" fillId="0" borderId="0" xfId="0" applyFont="1" applyFill="1" applyBorder="1"/>
    <xf numFmtId="3" fontId="127" fillId="0" borderId="0" xfId="0" applyNumberFormat="1" applyFont="1" applyFill="1" applyBorder="1"/>
    <xf numFmtId="0" fontId="127" fillId="0" borderId="1" xfId="0" applyFont="1" applyBorder="1" applyAlignment="1">
      <alignment horizontal="left" vertical="top" wrapText="1"/>
    </xf>
    <xf numFmtId="0" fontId="127" fillId="0" borderId="0" xfId="0" applyFont="1" applyFill="1"/>
    <xf numFmtId="0" fontId="127" fillId="18" borderId="0" xfId="0" applyFont="1" applyFill="1" applyBorder="1"/>
    <xf numFmtId="0" fontId="127" fillId="5" borderId="0" xfId="0" applyFont="1" applyFill="1" applyBorder="1"/>
    <xf numFmtId="3" fontId="127" fillId="5" borderId="0" xfId="0" applyNumberFormat="1" applyFont="1" applyFill="1" applyBorder="1"/>
    <xf numFmtId="0" fontId="126" fillId="0" borderId="0" xfId="0" applyFont="1" applyFill="1" applyBorder="1"/>
    <xf numFmtId="0" fontId="126" fillId="5" borderId="0" xfId="0" applyFont="1" applyFill="1" applyBorder="1"/>
    <xf numFmtId="3" fontId="126" fillId="0" borderId="0" xfId="0" applyNumberFormat="1" applyFont="1" applyFill="1" applyBorder="1"/>
    <xf numFmtId="3" fontId="126" fillId="14" borderId="0" xfId="0" applyNumberFormat="1" applyFont="1" applyFill="1" applyBorder="1"/>
    <xf numFmtId="0" fontId="126" fillId="0" borderId="0" xfId="0" applyFont="1" applyFill="1"/>
    <xf numFmtId="0" fontId="126" fillId="18" borderId="0" xfId="0" applyFont="1" applyFill="1" applyBorder="1"/>
    <xf numFmtId="43" fontId="126" fillId="0" borderId="0" xfId="2" applyFont="1" applyFill="1"/>
    <xf numFmtId="0" fontId="128" fillId="14" borderId="0" xfId="0" applyFont="1" applyFill="1" applyBorder="1"/>
    <xf numFmtId="0" fontId="125" fillId="5" borderId="0" xfId="0" applyFont="1" applyFill="1" applyBorder="1"/>
    <xf numFmtId="0" fontId="127" fillId="3" borderId="0" xfId="0" applyFont="1" applyFill="1" applyBorder="1"/>
    <xf numFmtId="0" fontId="128" fillId="3" borderId="0" xfId="0" applyFont="1" applyFill="1" applyBorder="1"/>
    <xf numFmtId="3" fontId="125" fillId="5" borderId="0" xfId="0" applyNumberFormat="1" applyFont="1" applyFill="1" applyBorder="1"/>
    <xf numFmtId="0" fontId="124" fillId="0" borderId="1" xfId="0" applyFont="1" applyBorder="1"/>
    <xf numFmtId="0" fontId="124" fillId="0" borderId="1" xfId="0" applyFont="1" applyBorder="1" applyAlignment="1">
      <alignment horizontal="center" vertical="center"/>
    </xf>
    <xf numFmtId="0" fontId="124" fillId="0" borderId="0" xfId="0" applyFont="1" applyFill="1" applyBorder="1"/>
    <xf numFmtId="3" fontId="126" fillId="5" borderId="0" xfId="0" applyNumberFormat="1" applyFont="1" applyFill="1" applyBorder="1"/>
    <xf numFmtId="0" fontId="129" fillId="3" borderId="0" xfId="0" applyFont="1" applyFill="1" applyBorder="1"/>
    <xf numFmtId="3" fontId="124" fillId="0" borderId="0" xfId="0" applyNumberFormat="1" applyFont="1" applyFill="1" applyBorder="1"/>
    <xf numFmtId="0" fontId="124" fillId="5" borderId="0" xfId="0" applyFont="1" applyFill="1" applyBorder="1"/>
    <xf numFmtId="3" fontId="124" fillId="5" borderId="0" xfId="0" applyNumberFormat="1" applyFont="1" applyFill="1" applyBorder="1"/>
    <xf numFmtId="0" fontId="124" fillId="0" borderId="0" xfId="0" applyFont="1" applyFill="1"/>
    <xf numFmtId="0" fontId="124" fillId="3" borderId="0" xfId="0" applyFont="1" applyFill="1" applyBorder="1"/>
    <xf numFmtId="0" fontId="132" fillId="14" borderId="0" xfId="0" applyFont="1" applyFill="1" applyBorder="1"/>
    <xf numFmtId="0" fontId="124" fillId="14" borderId="0" xfId="0" applyFont="1" applyFill="1" applyBorder="1"/>
    <xf numFmtId="0" fontId="124" fillId="9" borderId="0" xfId="0" applyFont="1" applyFill="1" applyBorder="1"/>
    <xf numFmtId="3" fontId="124" fillId="3" borderId="0" xfId="0" applyNumberFormat="1" applyFont="1" applyFill="1" applyBorder="1"/>
    <xf numFmtId="0" fontId="124" fillId="18" borderId="0" xfId="0" applyFont="1" applyFill="1" applyBorder="1"/>
    <xf numFmtId="43" fontId="124" fillId="0" borderId="0" xfId="2" applyFont="1" applyFill="1"/>
    <xf numFmtId="0" fontId="122" fillId="5" borderId="0" xfId="0" applyFont="1" applyFill="1" applyBorder="1"/>
    <xf numFmtId="3" fontId="122" fillId="5" borderId="0" xfId="0" applyNumberFormat="1" applyFont="1" applyFill="1" applyBorder="1"/>
    <xf numFmtId="0" fontId="122" fillId="0" borderId="1" xfId="0" applyFont="1" applyBorder="1" applyAlignment="1">
      <alignment horizontal="left" vertical="top" wrapText="1"/>
    </xf>
    <xf numFmtId="0" fontId="135" fillId="5" borderId="0" xfId="0" applyFont="1" applyFill="1" applyBorder="1"/>
    <xf numFmtId="3" fontId="135" fillId="5" borderId="0" xfId="0" applyNumberFormat="1" applyFont="1" applyFill="1" applyBorder="1"/>
    <xf numFmtId="3" fontId="134" fillId="5" borderId="0" xfId="0" applyNumberFormat="1" applyFont="1" applyFill="1" applyBorder="1"/>
    <xf numFmtId="43" fontId="122" fillId="0" borderId="0" xfId="2" applyFont="1" applyFill="1"/>
    <xf numFmtId="0" fontId="121" fillId="0" borderId="0" xfId="0" applyFont="1" applyFill="1" applyBorder="1"/>
    <xf numFmtId="0" fontId="121" fillId="0" borderId="1" xfId="0" applyFont="1" applyBorder="1"/>
    <xf numFmtId="43" fontId="121" fillId="0" borderId="0" xfId="2" applyFont="1" applyFill="1"/>
    <xf numFmtId="0" fontId="121" fillId="0" borderId="0" xfId="0" applyFont="1" applyFill="1"/>
    <xf numFmtId="0" fontId="121" fillId="18" borderId="0" xfId="0" applyFont="1" applyFill="1" applyBorder="1"/>
    <xf numFmtId="3" fontId="121" fillId="5" borderId="0" xfId="0" applyNumberFormat="1" applyFont="1" applyFill="1" applyBorder="1"/>
    <xf numFmtId="0" fontId="121" fillId="14" borderId="0" xfId="0" applyFont="1" applyFill="1" applyBorder="1"/>
    <xf numFmtId="3" fontId="121" fillId="14" borderId="0" xfId="0" applyNumberFormat="1" applyFont="1" applyFill="1" applyBorder="1"/>
    <xf numFmtId="0" fontId="121" fillId="5" borderId="0" xfId="0" applyFont="1" applyFill="1" applyBorder="1"/>
    <xf numFmtId="0" fontId="121" fillId="0" borderId="1" xfId="0" applyFont="1" applyBorder="1" applyAlignment="1">
      <alignment horizontal="center" vertical="center"/>
    </xf>
    <xf numFmtId="0" fontId="165" fillId="5" borderId="0" xfId="0" applyFont="1" applyFill="1" applyBorder="1"/>
    <xf numFmtId="0" fontId="123" fillId="5" borderId="0" xfId="0" applyFont="1" applyFill="1" applyBorder="1"/>
    <xf numFmtId="3" fontId="123" fillId="5" borderId="0" xfId="0" applyNumberFormat="1" applyFont="1" applyFill="1" applyBorder="1"/>
    <xf numFmtId="0" fontId="121" fillId="0" borderId="1" xfId="0" applyFont="1" applyBorder="1" applyAlignment="1">
      <alignment horizontal="left" vertical="top" wrapText="1"/>
    </xf>
    <xf numFmtId="3" fontId="444" fillId="5" borderId="0" xfId="0" applyNumberFormat="1" applyFont="1" applyFill="1" applyBorder="1"/>
    <xf numFmtId="0" fontId="453" fillId="5" borderId="0" xfId="0" applyFont="1" applyFill="1" applyAlignment="1">
      <alignment horizontal="center" vertical="center" wrapText="1"/>
    </xf>
    <xf numFmtId="0" fontId="120" fillId="0" borderId="0" xfId="0" applyFont="1" applyFill="1" applyBorder="1"/>
    <xf numFmtId="3" fontId="120" fillId="0" borderId="0" xfId="0" applyNumberFormat="1" applyFont="1" applyFill="1" applyBorder="1"/>
    <xf numFmtId="0" fontId="120" fillId="5" borderId="0" xfId="0" applyFont="1" applyFill="1" applyBorder="1"/>
    <xf numFmtId="3" fontId="120" fillId="5" borderId="0" xfId="0" applyNumberFormat="1" applyFont="1" applyFill="1" applyBorder="1"/>
    <xf numFmtId="0" fontId="120" fillId="14" borderId="0" xfId="0" applyFont="1" applyFill="1" applyBorder="1"/>
    <xf numFmtId="0" fontId="120" fillId="0" borderId="1" xfId="0" applyFont="1" applyBorder="1" applyAlignment="1">
      <alignment horizontal="center" vertical="center"/>
    </xf>
    <xf numFmtId="0" fontId="120" fillId="0" borderId="1" xfId="0" applyFont="1" applyBorder="1"/>
    <xf numFmtId="0" fontId="120" fillId="0" borderId="1" xfId="0" applyFont="1" applyBorder="1" applyAlignment="1">
      <alignment horizontal="left" vertical="top" wrapText="1"/>
    </xf>
    <xf numFmtId="0" fontId="120" fillId="18" borderId="0" xfId="0" applyFont="1" applyFill="1" applyBorder="1"/>
    <xf numFmtId="0" fontId="120" fillId="0" borderId="0" xfId="0" applyFont="1" applyFill="1"/>
    <xf numFmtId="0" fontId="0" fillId="9" borderId="1" xfId="0" applyFill="1" applyBorder="1" applyAlignment="1">
      <alignment wrapText="1"/>
    </xf>
    <xf numFmtId="0" fontId="132" fillId="9" borderId="1" xfId="0" applyFont="1" applyFill="1" applyBorder="1" applyAlignment="1">
      <alignment horizontal="left" vertical="top" wrapText="1"/>
    </xf>
    <xf numFmtId="0" fontId="129" fillId="4" borderId="1" xfId="0" applyFont="1" applyFill="1" applyBorder="1" applyAlignment="1">
      <alignment horizontal="left" vertical="top" wrapText="1"/>
    </xf>
    <xf numFmtId="0" fontId="127" fillId="0" borderId="1" xfId="0" applyFont="1" applyFill="1" applyBorder="1" applyAlignment="1">
      <alignment horizontal="left" vertical="top" wrapText="1"/>
    </xf>
    <xf numFmtId="0" fontId="120" fillId="0" borderId="3" xfId="0" applyFont="1" applyBorder="1"/>
    <xf numFmtId="0" fontId="121" fillId="9" borderId="0" xfId="0" applyFont="1" applyFill="1" applyBorder="1"/>
    <xf numFmtId="0" fontId="120" fillId="14" borderId="3" xfId="0" applyFont="1" applyFill="1" applyBorder="1"/>
    <xf numFmtId="43" fontId="120" fillId="0" borderId="0" xfId="2" applyFont="1" applyFill="1"/>
    <xf numFmtId="0" fontId="444" fillId="0" borderId="3" xfId="0" applyFont="1" applyFill="1" applyBorder="1"/>
    <xf numFmtId="0" fontId="119" fillId="0" borderId="0" xfId="0" applyFont="1" applyFill="1" applyBorder="1"/>
    <xf numFmtId="0" fontId="118" fillId="0" borderId="0" xfId="0" applyFont="1" applyFill="1" applyBorder="1"/>
    <xf numFmtId="0" fontId="118" fillId="5" borderId="0" xfId="0" applyFont="1" applyFill="1" applyBorder="1"/>
    <xf numFmtId="0" fontId="118" fillId="0" borderId="1" xfId="0" applyFont="1" applyBorder="1"/>
    <xf numFmtId="0" fontId="118" fillId="0" borderId="1" xfId="0" applyFont="1" applyBorder="1" applyAlignment="1">
      <alignment horizontal="center" vertical="center"/>
    </xf>
    <xf numFmtId="0" fontId="118" fillId="0" borderId="1" xfId="0" applyFont="1" applyBorder="1" applyAlignment="1">
      <alignment horizontal="left" vertical="top" wrapText="1"/>
    </xf>
    <xf numFmtId="0" fontId="118" fillId="0" borderId="0" xfId="0" applyFont="1" applyFill="1"/>
    <xf numFmtId="0" fontId="118" fillId="18" borderId="0" xfId="0" applyFont="1" applyFill="1" applyBorder="1"/>
    <xf numFmtId="3" fontId="118" fillId="0" borderId="0" xfId="0" applyNumberFormat="1" applyFont="1" applyFill="1" applyBorder="1"/>
    <xf numFmtId="3" fontId="120" fillId="0" borderId="1" xfId="0" applyNumberFormat="1" applyFont="1" applyBorder="1" applyAlignment="1">
      <alignment horizontal="left" vertical="top" wrapText="1"/>
    </xf>
    <xf numFmtId="3" fontId="118" fillId="5" borderId="0" xfId="0" applyNumberFormat="1" applyFont="1" applyFill="1" applyBorder="1"/>
    <xf numFmtId="0" fontId="224" fillId="0" borderId="1" xfId="0" applyFont="1" applyFill="1" applyBorder="1"/>
    <xf numFmtId="0" fontId="120" fillId="4" borderId="3" xfId="0" applyFont="1" applyFill="1" applyBorder="1"/>
    <xf numFmtId="43" fontId="118" fillId="0" borderId="0" xfId="2" applyFont="1" applyFill="1"/>
    <xf numFmtId="3" fontId="118" fillId="0" borderId="1" xfId="0" applyNumberFormat="1" applyFont="1" applyBorder="1" applyAlignment="1">
      <alignment horizontal="left" vertical="top" wrapText="1"/>
    </xf>
    <xf numFmtId="3" fontId="0" fillId="0" borderId="0" xfId="0" applyNumberFormat="1"/>
    <xf numFmtId="0" fontId="117" fillId="5" borderId="0" xfId="0" applyFont="1" applyFill="1" applyBorder="1"/>
    <xf numFmtId="0" fontId="117" fillId="0" borderId="1" xfId="0" applyFont="1" applyBorder="1"/>
    <xf numFmtId="0" fontId="117" fillId="0" borderId="0" xfId="0" applyFont="1" applyFill="1"/>
    <xf numFmtId="43" fontId="117" fillId="0" borderId="0" xfId="2" applyFont="1" applyFill="1"/>
    <xf numFmtId="0" fontId="117" fillId="0" borderId="1" xfId="0" applyFont="1" applyBorder="1" applyAlignment="1">
      <alignment horizontal="center" vertical="center"/>
    </xf>
    <xf numFmtId="3" fontId="117" fillId="0" borderId="1" xfId="0" applyNumberFormat="1" applyFont="1" applyBorder="1" applyAlignment="1">
      <alignment horizontal="left" vertical="top" wrapText="1"/>
    </xf>
    <xf numFmtId="0" fontId="118" fillId="0" borderId="1" xfId="0" applyFont="1" applyFill="1" applyBorder="1"/>
    <xf numFmtId="0" fontId="117" fillId="0" borderId="1" xfId="0" applyFont="1" applyFill="1" applyBorder="1"/>
    <xf numFmtId="0" fontId="117" fillId="18" borderId="0" xfId="0" applyFont="1" applyFill="1" applyBorder="1"/>
    <xf numFmtId="0" fontId="116" fillId="0" borderId="0" xfId="0" applyFont="1" applyFill="1" applyBorder="1"/>
    <xf numFmtId="43" fontId="116" fillId="0" borderId="0" xfId="2" applyFont="1" applyFill="1"/>
    <xf numFmtId="0" fontId="116" fillId="0" borderId="0" xfId="0" applyFont="1" applyFill="1"/>
    <xf numFmtId="0" fontId="116" fillId="18" borderId="0" xfId="0" applyFont="1" applyFill="1" applyBorder="1"/>
    <xf numFmtId="0" fontId="132" fillId="7" borderId="0" xfId="0" applyFont="1" applyFill="1" applyBorder="1"/>
    <xf numFmtId="0" fontId="128" fillId="7" borderId="0" xfId="0" applyFont="1" applyFill="1" applyBorder="1"/>
    <xf numFmtId="0" fontId="116" fillId="7" borderId="0" xfId="0" applyFont="1" applyFill="1" applyBorder="1"/>
    <xf numFmtId="3" fontId="126" fillId="7" borderId="0" xfId="0" applyNumberFormat="1" applyFont="1" applyFill="1" applyBorder="1"/>
    <xf numFmtId="0" fontId="129" fillId="7" borderId="0" xfId="0" applyFont="1" applyFill="1" applyBorder="1"/>
    <xf numFmtId="0" fontId="116" fillId="5" borderId="0" xfId="0" applyFont="1" applyFill="1" applyBorder="1"/>
    <xf numFmtId="3" fontId="116" fillId="5" borderId="0" xfId="0" applyNumberFormat="1" applyFont="1" applyFill="1" applyBorder="1"/>
    <xf numFmtId="3" fontId="117" fillId="5" borderId="0" xfId="0" applyNumberFormat="1" applyFont="1" applyFill="1" applyBorder="1"/>
    <xf numFmtId="0" fontId="128" fillId="9" borderId="0" xfId="0" applyFont="1" applyFill="1" applyBorder="1"/>
    <xf numFmtId="0" fontId="118" fillId="9" borderId="0" xfId="0" applyFont="1" applyFill="1" applyBorder="1"/>
    <xf numFmtId="3" fontId="118" fillId="9" borderId="0" xfId="0" applyNumberFormat="1" applyFont="1" applyFill="1" applyBorder="1"/>
    <xf numFmtId="0" fontId="115" fillId="0" borderId="0" xfId="0" applyFont="1" applyFill="1" applyBorder="1"/>
    <xf numFmtId="0" fontId="115" fillId="2" borderId="0" xfId="0" applyFont="1" applyFill="1" applyBorder="1"/>
    <xf numFmtId="0" fontId="115" fillId="5" borderId="0" xfId="0" applyFont="1" applyFill="1" applyBorder="1"/>
    <xf numFmtId="3" fontId="115" fillId="5" borderId="0" xfId="0" applyNumberFormat="1" applyFont="1" applyFill="1" applyBorder="1"/>
    <xf numFmtId="0" fontId="115" fillId="14" borderId="0" xfId="0" applyFont="1" applyFill="1" applyBorder="1"/>
    <xf numFmtId="0" fontId="115" fillId="0" borderId="0" xfId="0" applyFont="1" applyFill="1"/>
    <xf numFmtId="0" fontId="115" fillId="18" borderId="0" xfId="0" applyFont="1" applyFill="1" applyBorder="1"/>
    <xf numFmtId="0" fontId="115" fillId="0" borderId="1" xfId="0" applyFont="1" applyBorder="1" applyAlignment="1">
      <alignment horizontal="center" vertical="center"/>
    </xf>
    <xf numFmtId="0" fontId="115" fillId="0" borderId="1" xfId="0" applyFont="1" applyFill="1" applyBorder="1"/>
    <xf numFmtId="0" fontId="115" fillId="0" borderId="1" xfId="0" applyFont="1" applyBorder="1" applyAlignment="1">
      <alignment horizontal="left" vertical="top" wrapText="1"/>
    </xf>
    <xf numFmtId="43" fontId="115" fillId="0" borderId="0" xfId="2" applyFont="1" applyFill="1"/>
    <xf numFmtId="0" fontId="114" fillId="5" borderId="0" xfId="0" applyFont="1" applyFill="1" applyBorder="1"/>
    <xf numFmtId="0" fontId="113" fillId="0" borderId="1" xfId="0" applyFont="1" applyFill="1" applyBorder="1"/>
    <xf numFmtId="0" fontId="113" fillId="0" borderId="1" xfId="0" applyFont="1" applyBorder="1" applyAlignment="1">
      <alignment horizontal="center" vertical="center"/>
    </xf>
    <xf numFmtId="0" fontId="113" fillId="0" borderId="0" xfId="0" applyFont="1" applyFill="1"/>
    <xf numFmtId="0" fontId="113" fillId="0" borderId="0" xfId="0" applyFont="1" applyFill="1" applyBorder="1"/>
    <xf numFmtId="3" fontId="113" fillId="0" borderId="0" xfId="0" applyNumberFormat="1" applyFont="1" applyFill="1" applyBorder="1"/>
    <xf numFmtId="0" fontId="113" fillId="18" borderId="0" xfId="0" applyFont="1" applyFill="1" applyBorder="1"/>
    <xf numFmtId="3" fontId="113" fillId="2" borderId="0" xfId="0" applyNumberFormat="1" applyFont="1" applyFill="1" applyBorder="1"/>
    <xf numFmtId="0" fontId="113" fillId="5" borderId="0" xfId="0" applyFont="1" applyFill="1" applyBorder="1"/>
    <xf numFmtId="3" fontId="113" fillId="5" borderId="0" xfId="0" applyNumberFormat="1" applyFont="1" applyFill="1" applyBorder="1"/>
    <xf numFmtId="0" fontId="119" fillId="5" borderId="0" xfId="0" applyFont="1" applyFill="1" applyBorder="1"/>
    <xf numFmtId="3" fontId="119" fillId="5" borderId="0" xfId="0" applyNumberFormat="1" applyFont="1" applyFill="1" applyBorder="1"/>
    <xf numFmtId="0" fontId="112" fillId="0" borderId="0" xfId="0" applyFont="1" applyFill="1"/>
    <xf numFmtId="0" fontId="112" fillId="0" borderId="0" xfId="0" applyFont="1" applyFill="1" applyBorder="1"/>
    <xf numFmtId="0" fontId="112" fillId="5" borderId="0" xfId="0" applyFont="1" applyFill="1" applyBorder="1"/>
    <xf numFmtId="0" fontId="112" fillId="9" borderId="0" xfId="0" applyFont="1" applyFill="1" applyBorder="1" applyAlignment="1">
      <alignment vertical="top" wrapText="1"/>
    </xf>
    <xf numFmtId="0" fontId="115" fillId="9" borderId="0" xfId="0" applyFont="1" applyFill="1" applyBorder="1"/>
    <xf numFmtId="3" fontId="115" fillId="9" borderId="0" xfId="0" applyNumberFormat="1" applyFont="1" applyFill="1" applyBorder="1"/>
    <xf numFmtId="43" fontId="112" fillId="0" borderId="0" xfId="2" applyFont="1" applyFill="1"/>
    <xf numFmtId="3" fontId="112" fillId="5" borderId="0" xfId="0" applyNumberFormat="1" applyFont="1" applyFill="1" applyBorder="1"/>
    <xf numFmtId="0" fontId="112" fillId="14" borderId="0" xfId="0" applyFont="1" applyFill="1" applyBorder="1"/>
    <xf numFmtId="3" fontId="112" fillId="14" borderId="0" xfId="0" applyNumberFormat="1" applyFont="1" applyFill="1" applyBorder="1"/>
    <xf numFmtId="0" fontId="112" fillId="0" borderId="1" xfId="0" applyFont="1" applyFill="1" applyBorder="1"/>
    <xf numFmtId="0" fontId="112" fillId="0" borderId="1" xfId="0" applyFont="1" applyBorder="1" applyAlignment="1">
      <alignment horizontal="center" vertical="center"/>
    </xf>
    <xf numFmtId="166" fontId="112" fillId="0" borderId="0" xfId="4" applyNumberFormat="1" applyFont="1" applyFill="1" applyBorder="1" applyAlignment="1">
      <alignment horizontal="right"/>
    </xf>
    <xf numFmtId="0" fontId="0" fillId="0" borderId="0" xfId="0"/>
    <xf numFmtId="0" fontId="112" fillId="0" borderId="0" xfId="0" applyFont="1" applyFill="1" applyBorder="1"/>
    <xf numFmtId="0" fontId="112" fillId="0" borderId="0" xfId="0" applyFont="1" applyFill="1"/>
    <xf numFmtId="0" fontId="112" fillId="5" borderId="0" xfId="0" applyFont="1" applyFill="1" applyBorder="1"/>
    <xf numFmtId="0" fontId="0" fillId="0" borderId="3" xfId="0" applyFill="1" applyBorder="1"/>
    <xf numFmtId="3" fontId="112" fillId="5" borderId="0" xfId="0" applyNumberFormat="1" applyFont="1" applyFill="1" applyBorder="1"/>
    <xf numFmtId="0" fontId="0" fillId="0" borderId="0" xfId="0" applyFont="1" applyFill="1" applyBorder="1"/>
    <xf numFmtId="0" fontId="0" fillId="0" borderId="0" xfId="0" applyFont="1" applyFill="1"/>
    <xf numFmtId="0" fontId="448" fillId="5" borderId="0" xfId="0" applyFont="1" applyFill="1" applyAlignment="1">
      <alignment horizontal="center" vertical="center" wrapText="1"/>
    </xf>
    <xf numFmtId="0" fontId="0" fillId="5" borderId="0" xfId="0" applyFont="1" applyFill="1" applyBorder="1"/>
    <xf numFmtId="3" fontId="112" fillId="0" borderId="0" xfId="0" applyNumberFormat="1" applyFont="1" applyFill="1" applyBorder="1"/>
    <xf numFmtId="0" fontId="112" fillId="18" borderId="0" xfId="0" applyFont="1" applyFill="1" applyBorder="1"/>
    <xf numFmtId="0" fontId="448" fillId="0" borderId="0" xfId="0" applyFont="1" applyFill="1" applyAlignment="1">
      <alignment horizontal="left" vertical="center" wrapText="1"/>
    </xf>
    <xf numFmtId="167" fontId="112" fillId="0" borderId="0" xfId="4" applyNumberFormat="1" applyFont="1" applyFill="1" applyBorder="1" applyAlignment="1">
      <alignment horizontal="right"/>
    </xf>
    <xf numFmtId="43" fontId="111" fillId="0" borderId="0" xfId="2" applyFont="1" applyFill="1"/>
    <xf numFmtId="0" fontId="111" fillId="0" borderId="0" xfId="0" applyFont="1" applyFill="1"/>
    <xf numFmtId="0" fontId="111" fillId="0" borderId="0" xfId="0" applyFont="1" applyFill="1" applyBorder="1"/>
    <xf numFmtId="3" fontId="111" fillId="0" borderId="0" xfId="0" applyNumberFormat="1" applyFont="1" applyFill="1" applyBorder="1"/>
    <xf numFmtId="0" fontId="111" fillId="0" borderId="1" xfId="0" applyFont="1" applyBorder="1" applyAlignment="1">
      <alignment horizontal="center" vertical="center"/>
    </xf>
    <xf numFmtId="0" fontId="448" fillId="5" borderId="0" xfId="0" applyFont="1" applyFill="1" applyAlignment="1">
      <alignment horizontal="left" vertical="center" wrapText="1"/>
    </xf>
    <xf numFmtId="0" fontId="111" fillId="5" borderId="0" xfId="0" applyFont="1" applyFill="1" applyBorder="1"/>
    <xf numFmtId="3" fontId="111" fillId="5" borderId="0" xfId="0" applyNumberFormat="1" applyFont="1" applyFill="1" applyBorder="1"/>
    <xf numFmtId="167" fontId="112" fillId="5" borderId="0" xfId="4" applyNumberFormat="1" applyFont="1" applyFill="1" applyBorder="1" applyAlignment="1">
      <alignment horizontal="right"/>
    </xf>
    <xf numFmtId="166" fontId="112" fillId="5" borderId="0" xfId="4" applyNumberFormat="1" applyFont="1" applyFill="1" applyBorder="1" applyAlignment="1">
      <alignment horizontal="right"/>
    </xf>
    <xf numFmtId="0" fontId="111" fillId="0" borderId="3" xfId="0" applyFont="1" applyBorder="1"/>
    <xf numFmtId="0" fontId="111" fillId="0" borderId="1" xfId="0" applyFont="1" applyBorder="1" applyAlignment="1">
      <alignment horizontal="left" vertical="top" wrapText="1"/>
    </xf>
    <xf numFmtId="0" fontId="110" fillId="0" borderId="3" xfId="0" applyFont="1" applyBorder="1"/>
    <xf numFmtId="0" fontId="115" fillId="3" borderId="0" xfId="0" applyFont="1" applyFill="1" applyBorder="1"/>
    <xf numFmtId="0" fontId="112" fillId="3" borderId="0" xfId="0" applyFont="1" applyFill="1" applyBorder="1"/>
    <xf numFmtId="3" fontId="112" fillId="3" borderId="0" xfId="0" applyNumberFormat="1" applyFont="1" applyFill="1" applyBorder="1"/>
    <xf numFmtId="3" fontId="110" fillId="0" borderId="0" xfId="0" applyNumberFormat="1" applyFont="1" applyFill="1" applyBorder="1"/>
    <xf numFmtId="3" fontId="110" fillId="5" borderId="0" xfId="0" applyNumberFormat="1" applyFont="1" applyFill="1" applyBorder="1"/>
    <xf numFmtId="165" fontId="112" fillId="5" borderId="0" xfId="4" applyFont="1" applyFill="1" applyBorder="1" applyAlignment="1">
      <alignment horizontal="right"/>
    </xf>
    <xf numFmtId="0" fontId="110" fillId="5" borderId="0" xfId="0" applyFont="1" applyFill="1" applyBorder="1"/>
    <xf numFmtId="43" fontId="110" fillId="0" borderId="0" xfId="2" applyFont="1" applyFill="1"/>
    <xf numFmtId="0" fontId="110" fillId="0" borderId="0" xfId="0" applyFont="1" applyFill="1"/>
    <xf numFmtId="0" fontId="110" fillId="0" borderId="0" xfId="0" applyFont="1" applyFill="1" applyBorder="1"/>
    <xf numFmtId="0" fontId="110" fillId="18" borderId="0" xfId="0" applyFont="1" applyFill="1" applyBorder="1"/>
    <xf numFmtId="3" fontId="110" fillId="0" borderId="1" xfId="0" applyNumberFormat="1" applyFont="1" applyBorder="1" applyAlignment="1">
      <alignment horizontal="left" vertical="top" wrapText="1"/>
    </xf>
    <xf numFmtId="0" fontId="448" fillId="14" borderId="0" xfId="0" applyFont="1" applyFill="1" applyAlignment="1">
      <alignment horizontal="left" vertical="center" wrapText="1"/>
    </xf>
    <xf numFmtId="0" fontId="0" fillId="5" borderId="0" xfId="0" applyFont="1" applyFill="1"/>
    <xf numFmtId="167" fontId="112" fillId="14" borderId="0" xfId="4" applyNumberFormat="1" applyFont="1" applyFill="1" applyBorder="1" applyAlignment="1">
      <alignment horizontal="right"/>
    </xf>
    <xf numFmtId="0" fontId="109" fillId="0" borderId="0" xfId="0" applyFont="1" applyFill="1"/>
    <xf numFmtId="0" fontId="109" fillId="0" borderId="0" xfId="0" applyFont="1" applyFill="1" applyBorder="1"/>
    <xf numFmtId="3" fontId="109" fillId="0" borderId="0" xfId="0" applyNumberFormat="1" applyFont="1" applyFill="1" applyBorder="1"/>
    <xf numFmtId="0" fontId="109" fillId="18" borderId="0" xfId="0" applyFont="1" applyFill="1" applyBorder="1"/>
    <xf numFmtId="43" fontId="109" fillId="0" borderId="0" xfId="2" applyFont="1" applyFill="1"/>
    <xf numFmtId="0" fontId="109" fillId="5" borderId="0" xfId="0" applyFont="1" applyFill="1" applyBorder="1"/>
    <xf numFmtId="0" fontId="178" fillId="5" borderId="0" xfId="0" applyFont="1" applyFill="1" applyBorder="1"/>
    <xf numFmtId="3" fontId="109" fillId="0" borderId="1" xfId="0" applyNumberFormat="1" applyFont="1" applyBorder="1" applyAlignment="1">
      <alignment horizontal="left" vertical="top" wrapText="1"/>
    </xf>
    <xf numFmtId="0" fontId="121" fillId="0" borderId="1" xfId="0" applyFont="1" applyFill="1" applyBorder="1" applyAlignment="1">
      <alignment horizontal="center" vertical="center"/>
    </xf>
    <xf numFmtId="0" fontId="0" fillId="0" borderId="1" xfId="0" applyFill="1" applyBorder="1" applyAlignment="1">
      <alignment wrapText="1"/>
    </xf>
    <xf numFmtId="3" fontId="0" fillId="4" borderId="1" xfId="0" applyNumberFormat="1" applyFill="1" applyBorder="1" applyAlignment="1">
      <alignment wrapText="1"/>
    </xf>
    <xf numFmtId="0" fontId="109" fillId="0" borderId="1" xfId="0" applyFont="1" applyBorder="1" applyAlignment="1">
      <alignment horizontal="center" vertical="center"/>
    </xf>
    <xf numFmtId="3" fontId="0" fillId="0" borderId="0" xfId="0" applyNumberFormat="1" applyAlignment="1">
      <alignment wrapText="1"/>
    </xf>
    <xf numFmtId="3" fontId="109" fillId="5" borderId="0" xfId="0" applyNumberFormat="1" applyFont="1" applyFill="1" applyBorder="1"/>
    <xf numFmtId="0" fontId="109" fillId="5" borderId="0" xfId="0" applyFont="1" applyFill="1"/>
    <xf numFmtId="0" fontId="108" fillId="14" borderId="0" xfId="0" applyFont="1" applyFill="1" applyBorder="1"/>
    <xf numFmtId="0" fontId="108" fillId="0" borderId="0" xfId="0" applyFont="1" applyFill="1" applyBorder="1"/>
    <xf numFmtId="0" fontId="108" fillId="0" borderId="0" xfId="0" applyFont="1" applyFill="1"/>
    <xf numFmtId="3" fontId="108" fillId="0" borderId="0" xfId="0" applyNumberFormat="1" applyFont="1" applyFill="1" applyBorder="1"/>
    <xf numFmtId="0" fontId="108" fillId="18" borderId="0" xfId="0" applyFont="1" applyFill="1" applyBorder="1"/>
    <xf numFmtId="0" fontId="0" fillId="4" borderId="1" xfId="0" applyFill="1" applyBorder="1" applyAlignment="1">
      <alignment wrapText="1"/>
    </xf>
    <xf numFmtId="3" fontId="108" fillId="5" borderId="0" xfId="0" applyNumberFormat="1" applyFont="1" applyFill="1" applyBorder="1"/>
    <xf numFmtId="0" fontId="108" fillId="5" borderId="0" xfId="0" applyFont="1" applyFill="1" applyBorder="1"/>
    <xf numFmtId="0" fontId="108" fillId="0" borderId="1" xfId="0" applyFont="1" applyBorder="1" applyAlignment="1">
      <alignment horizontal="center" vertical="center"/>
    </xf>
    <xf numFmtId="43" fontId="108" fillId="0" borderId="0" xfId="2" applyFont="1" applyFill="1"/>
    <xf numFmtId="0" fontId="108" fillId="0" borderId="1" xfId="0" applyFont="1" applyBorder="1" applyAlignment="1">
      <alignment horizontal="left" vertical="top" wrapText="1"/>
    </xf>
    <xf numFmtId="3" fontId="108" fillId="0" borderId="1" xfId="0" applyNumberFormat="1" applyFont="1" applyBorder="1" applyAlignment="1">
      <alignment horizontal="left" vertical="top" wrapText="1"/>
    </xf>
    <xf numFmtId="0" fontId="456" fillId="5" borderId="0" xfId="5" applyFont="1" applyFill="1" applyAlignment="1">
      <alignment horizontal="left" vertical="center" wrapText="1"/>
    </xf>
    <xf numFmtId="43" fontId="108" fillId="5" borderId="0" xfId="2" applyFont="1" applyFill="1"/>
    <xf numFmtId="0" fontId="107" fillId="5" borderId="0" xfId="0" applyFont="1" applyFill="1" applyBorder="1"/>
    <xf numFmtId="3" fontId="107" fillId="5" borderId="0" xfId="0" applyNumberFormat="1" applyFont="1" applyFill="1" applyBorder="1"/>
    <xf numFmtId="167" fontId="107" fillId="5" borderId="0" xfId="4" applyNumberFormat="1" applyFont="1" applyFill="1" applyBorder="1" applyAlignment="1">
      <alignment horizontal="right"/>
    </xf>
    <xf numFmtId="43" fontId="107" fillId="0" borderId="0" xfId="2" applyFont="1" applyFill="1"/>
    <xf numFmtId="0" fontId="107" fillId="0" borderId="0" xfId="0" applyFont="1" applyFill="1" applyBorder="1"/>
    <xf numFmtId="0" fontId="107" fillId="18" borderId="0" xfId="0" applyFont="1" applyFill="1" applyBorder="1"/>
    <xf numFmtId="0" fontId="107" fillId="0" borderId="1" xfId="0" applyFont="1" applyFill="1" applyBorder="1"/>
    <xf numFmtId="0" fontId="106" fillId="0" borderId="0" xfId="0" applyFont="1" applyFill="1"/>
    <xf numFmtId="0" fontId="106" fillId="0" borderId="0" xfId="0" applyFont="1" applyFill="1" applyBorder="1"/>
    <xf numFmtId="0" fontId="106" fillId="18" borderId="0" xfId="0" applyFont="1" applyFill="1" applyBorder="1"/>
    <xf numFmtId="0" fontId="106" fillId="0" borderId="1" xfId="0" applyFont="1" applyBorder="1" applyAlignment="1">
      <alignment horizontal="center" vertical="center"/>
    </xf>
    <xf numFmtId="3" fontId="106" fillId="5" borderId="0" xfId="0" applyNumberFormat="1" applyFont="1" applyFill="1" applyBorder="1"/>
    <xf numFmtId="0" fontId="105" fillId="0" borderId="0" xfId="0" applyFont="1" applyFill="1"/>
    <xf numFmtId="0" fontId="105" fillId="0" borderId="0" xfId="0" applyFont="1" applyFill="1" applyBorder="1"/>
    <xf numFmtId="3" fontId="105" fillId="0" borderId="0" xfId="0" applyNumberFormat="1" applyFont="1" applyFill="1" applyBorder="1"/>
    <xf numFmtId="49" fontId="0" fillId="0" borderId="3" xfId="0" applyNumberFormat="1" applyFill="1" applyBorder="1"/>
    <xf numFmtId="0" fontId="105" fillId="5" borderId="0" xfId="0" applyFont="1" applyFill="1" applyBorder="1"/>
    <xf numFmtId="3" fontId="105" fillId="5" borderId="0" xfId="0" applyNumberFormat="1" applyFont="1" applyFill="1" applyBorder="1"/>
    <xf numFmtId="43" fontId="105" fillId="0" borderId="0" xfId="2" applyFont="1" applyFill="1"/>
    <xf numFmtId="3" fontId="104" fillId="0" borderId="0" xfId="0" applyNumberFormat="1" applyFont="1" applyFill="1" applyBorder="1"/>
    <xf numFmtId="0" fontId="104" fillId="5" borderId="0" xfId="0" applyFont="1" applyFill="1" applyBorder="1"/>
    <xf numFmtId="0" fontId="104" fillId="0" borderId="1" xfId="0" applyFont="1" applyFill="1" applyBorder="1"/>
    <xf numFmtId="0" fontId="104" fillId="4" borderId="3" xfId="0" applyFont="1" applyFill="1" applyBorder="1"/>
    <xf numFmtId="0" fontId="104" fillId="0" borderId="3" xfId="0" applyFont="1" applyFill="1" applyBorder="1"/>
    <xf numFmtId="0" fontId="104" fillId="0" borderId="0" xfId="0" applyFont="1" applyFill="1"/>
    <xf numFmtId="0" fontId="104" fillId="0" borderId="0" xfId="0" applyFont="1" applyFill="1" applyBorder="1"/>
    <xf numFmtId="0" fontId="104" fillId="18" borderId="0" xfId="0" applyFont="1" applyFill="1" applyBorder="1"/>
    <xf numFmtId="43" fontId="104" fillId="0" borderId="0" xfId="2" applyFont="1" applyFill="1"/>
    <xf numFmtId="0" fontId="106" fillId="5" borderId="0" xfId="0" applyFont="1" applyFill="1" applyBorder="1"/>
    <xf numFmtId="3" fontId="104" fillId="0" borderId="1" xfId="0" applyNumberFormat="1" applyFont="1" applyBorder="1" applyAlignment="1">
      <alignment horizontal="left" vertical="top" wrapText="1"/>
    </xf>
    <xf numFmtId="0" fontId="104" fillId="0" borderId="3" xfId="0" applyFont="1" applyBorder="1"/>
    <xf numFmtId="3" fontId="104" fillId="5" borderId="0" xfId="0" applyNumberFormat="1" applyFont="1" applyFill="1" applyBorder="1"/>
    <xf numFmtId="0" fontId="104" fillId="4" borderId="0" xfId="0" applyFont="1" applyFill="1"/>
    <xf numFmtId="0" fontId="448" fillId="4" borderId="0" xfId="0" applyFont="1" applyFill="1" applyAlignment="1">
      <alignment horizontal="left" vertical="center" wrapText="1"/>
    </xf>
    <xf numFmtId="0" fontId="112" fillId="4" borderId="0" xfId="0" applyFont="1" applyFill="1" applyBorder="1"/>
    <xf numFmtId="167" fontId="112" fillId="4" borderId="0" xfId="4" applyNumberFormat="1" applyFont="1" applyFill="1" applyBorder="1" applyAlignment="1">
      <alignment horizontal="right"/>
    </xf>
    <xf numFmtId="167" fontId="104" fillId="0" borderId="0" xfId="4" applyNumberFormat="1" applyFont="1" applyFill="1" applyBorder="1" applyAlignment="1">
      <alignment horizontal="right"/>
    </xf>
    <xf numFmtId="0" fontId="104" fillId="0" borderId="1" xfId="0" applyFont="1" applyBorder="1" applyAlignment="1">
      <alignment horizontal="center" vertical="center"/>
    </xf>
    <xf numFmtId="0" fontId="103" fillId="0" borderId="1" xfId="0" applyFont="1" applyFill="1" applyBorder="1"/>
    <xf numFmtId="0" fontId="103" fillId="0" borderId="0" xfId="0" applyFont="1" applyFill="1"/>
    <xf numFmtId="0" fontId="103" fillId="0" borderId="0" xfId="0" applyFont="1" applyFill="1" applyBorder="1"/>
    <xf numFmtId="3" fontId="103" fillId="0" borderId="0" xfId="0" applyNumberFormat="1" applyFont="1" applyFill="1" applyBorder="1"/>
    <xf numFmtId="0" fontId="103" fillId="18" borderId="0" xfId="0" applyFont="1" applyFill="1" applyBorder="1"/>
    <xf numFmtId="167" fontId="104" fillId="5" borderId="0" xfId="4" applyNumberFormat="1" applyFont="1" applyFill="1" applyBorder="1" applyAlignment="1">
      <alignment horizontal="right"/>
    </xf>
    <xf numFmtId="43" fontId="103" fillId="0" borderId="0" xfId="2" applyFont="1" applyFill="1"/>
    <xf numFmtId="3" fontId="0" fillId="5" borderId="1" xfId="0" applyNumberFormat="1" applyFill="1" applyBorder="1" applyAlignment="1">
      <alignment wrapText="1"/>
    </xf>
    <xf numFmtId="0" fontId="0" fillId="5" borderId="1" xfId="0" applyFill="1" applyBorder="1" applyAlignment="1">
      <alignment wrapText="1"/>
    </xf>
    <xf numFmtId="167" fontId="103" fillId="0" borderId="0" xfId="4" applyNumberFormat="1" applyFont="1" applyFill="1" applyBorder="1" applyAlignment="1">
      <alignment horizontal="right"/>
    </xf>
    <xf numFmtId="0" fontId="103" fillId="0" borderId="1" xfId="0" applyFont="1" applyBorder="1" applyAlignment="1">
      <alignment horizontal="center" vertical="center"/>
    </xf>
    <xf numFmtId="0" fontId="102" fillId="5" borderId="0" xfId="0" applyFont="1" applyFill="1" applyBorder="1"/>
    <xf numFmtId="0" fontId="127" fillId="5" borderId="1" xfId="0" applyFont="1" applyFill="1" applyBorder="1" applyAlignment="1">
      <alignment horizontal="left" vertical="top" wrapText="1"/>
    </xf>
    <xf numFmtId="0" fontId="132" fillId="5" borderId="1" xfId="0" applyFont="1" applyFill="1" applyBorder="1" applyAlignment="1">
      <alignment horizontal="left" vertical="top" wrapText="1"/>
    </xf>
    <xf numFmtId="0" fontId="121" fillId="5" borderId="1" xfId="0" applyFont="1" applyFill="1" applyBorder="1" applyAlignment="1">
      <alignment horizontal="left" vertical="top" wrapText="1"/>
    </xf>
    <xf numFmtId="0" fontId="120" fillId="5" borderId="1" xfId="0" applyFont="1" applyFill="1" applyBorder="1" applyAlignment="1">
      <alignment horizontal="left" vertical="top" wrapText="1"/>
    </xf>
    <xf numFmtId="0" fontId="122" fillId="5" borderId="1" xfId="0" applyFont="1" applyFill="1" applyBorder="1" applyAlignment="1">
      <alignment horizontal="left" vertical="top" wrapText="1"/>
    </xf>
    <xf numFmtId="3" fontId="104" fillId="5" borderId="1" xfId="0" applyNumberFormat="1" applyFont="1" applyFill="1" applyBorder="1" applyAlignment="1">
      <alignment horizontal="left" vertical="top" wrapText="1"/>
    </xf>
    <xf numFmtId="3" fontId="107" fillId="5" borderId="1" xfId="0" applyNumberFormat="1" applyFont="1" applyFill="1" applyBorder="1" applyAlignment="1">
      <alignment horizontal="left" vertical="top" wrapText="1"/>
    </xf>
    <xf numFmtId="3" fontId="106" fillId="5" borderId="1" xfId="0" applyNumberFormat="1" applyFont="1" applyFill="1" applyBorder="1" applyAlignment="1">
      <alignment horizontal="left" vertical="top" wrapText="1"/>
    </xf>
    <xf numFmtId="0" fontId="102" fillId="0" borderId="0" xfId="0" applyFont="1" applyFill="1"/>
    <xf numFmtId="0" fontId="102" fillId="0" borderId="0" xfId="0" applyFont="1" applyFill="1" applyBorder="1"/>
    <xf numFmtId="3" fontId="102" fillId="0" borderId="0" xfId="0" applyNumberFormat="1" applyFont="1" applyFill="1" applyBorder="1"/>
    <xf numFmtId="0" fontId="102" fillId="18" borderId="0" xfId="0" applyFont="1" applyFill="1" applyBorder="1"/>
    <xf numFmtId="0" fontId="120" fillId="9" borderId="1" xfId="0" applyFont="1" applyFill="1" applyBorder="1" applyAlignment="1">
      <alignment horizontal="left" vertical="top" wrapText="1"/>
    </xf>
    <xf numFmtId="3" fontId="102" fillId="5" borderId="0" xfId="0" applyNumberFormat="1" applyFont="1" applyFill="1" applyBorder="1"/>
    <xf numFmtId="3" fontId="102" fillId="0" borderId="1" xfId="0" applyNumberFormat="1" applyFont="1" applyBorder="1" applyAlignment="1">
      <alignment horizontal="left" vertical="top" wrapText="1"/>
    </xf>
    <xf numFmtId="3" fontId="109" fillId="4" borderId="1" xfId="0" applyNumberFormat="1" applyFont="1" applyFill="1" applyBorder="1" applyAlignment="1">
      <alignment horizontal="left" vertical="top" wrapText="1"/>
    </xf>
    <xf numFmtId="43" fontId="102" fillId="0" borderId="0" xfId="2" applyFont="1" applyFill="1"/>
    <xf numFmtId="0" fontId="101" fillId="5" borderId="0" xfId="0" applyFont="1" applyFill="1" applyBorder="1"/>
    <xf numFmtId="0" fontId="101" fillId="0" borderId="0" xfId="0" applyFont="1" applyFill="1" applyBorder="1"/>
    <xf numFmtId="3" fontId="101" fillId="0" borderId="1" xfId="0" applyNumberFormat="1" applyFont="1" applyBorder="1" applyAlignment="1">
      <alignment horizontal="left" vertical="top" wrapText="1"/>
    </xf>
    <xf numFmtId="43" fontId="101" fillId="0" borderId="0" xfId="2" applyFont="1" applyFill="1"/>
    <xf numFmtId="0" fontId="100" fillId="0" borderId="0" xfId="0" applyFont="1" applyFill="1" applyBorder="1"/>
    <xf numFmtId="0" fontId="100" fillId="14" borderId="0" xfId="0" applyFont="1" applyFill="1" applyBorder="1"/>
    <xf numFmtId="3" fontId="100" fillId="0" borderId="0" xfId="0" applyNumberFormat="1" applyFont="1" applyFill="1" applyBorder="1"/>
    <xf numFmtId="0" fontId="100" fillId="4" borderId="0" xfId="0" applyFont="1" applyFill="1" applyBorder="1"/>
    <xf numFmtId="0" fontId="103" fillId="4" borderId="0" xfId="0" applyFont="1" applyFill="1" applyBorder="1"/>
    <xf numFmtId="3" fontId="103" fillId="4" borderId="0" xfId="0" applyNumberFormat="1" applyFont="1" applyFill="1" applyBorder="1"/>
    <xf numFmtId="3" fontId="101" fillId="5" borderId="0" xfId="0" applyNumberFormat="1" applyFont="1" applyFill="1" applyBorder="1"/>
    <xf numFmtId="0" fontId="100" fillId="5" borderId="0" xfId="0" applyFont="1" applyFill="1" applyBorder="1"/>
    <xf numFmtId="0" fontId="100" fillId="0" borderId="0" xfId="0" applyFont="1" applyFill="1"/>
    <xf numFmtId="0" fontId="103" fillId="5" borderId="0" xfId="0" applyFont="1" applyFill="1" applyBorder="1"/>
    <xf numFmtId="3" fontId="103" fillId="5" borderId="0" xfId="0" applyNumberFormat="1" applyFont="1" applyFill="1" applyBorder="1"/>
    <xf numFmtId="43" fontId="100" fillId="0" borderId="0" xfId="2" applyFont="1" applyFill="1"/>
    <xf numFmtId="0" fontId="448" fillId="9" borderId="0" xfId="0" applyFont="1" applyFill="1" applyAlignment="1">
      <alignment horizontal="left" vertical="center" wrapText="1"/>
    </xf>
    <xf numFmtId="0" fontId="112" fillId="9" borderId="0" xfId="0" applyFont="1" applyFill="1" applyBorder="1"/>
    <xf numFmtId="167" fontId="112" fillId="9" borderId="0" xfId="4" applyNumberFormat="1" applyFont="1" applyFill="1" applyBorder="1" applyAlignment="1">
      <alignment horizontal="right"/>
    </xf>
    <xf numFmtId="0" fontId="99" fillId="5" borderId="0" xfId="0" applyFont="1" applyFill="1" applyBorder="1"/>
    <xf numFmtId="0" fontId="99" fillId="0" borderId="0" xfId="0" applyFont="1" applyFill="1"/>
    <xf numFmtId="0" fontId="98" fillId="0" borderId="0" xfId="0" applyFont="1" applyFill="1" applyBorder="1"/>
    <xf numFmtId="43" fontId="98" fillId="0" borderId="0" xfId="2" applyFont="1" applyFill="1"/>
    <xf numFmtId="0" fontId="98" fillId="9" borderId="0" xfId="0" applyFont="1" applyFill="1" applyBorder="1"/>
    <xf numFmtId="0" fontId="98" fillId="5" borderId="0" xfId="0" applyFont="1" applyFill="1" applyBorder="1"/>
    <xf numFmtId="3" fontId="98" fillId="9" borderId="0" xfId="0" applyNumberFormat="1" applyFont="1" applyFill="1" applyBorder="1"/>
    <xf numFmtId="3" fontId="98" fillId="0" borderId="0" xfId="0" applyNumberFormat="1" applyFont="1" applyFill="1" applyBorder="1"/>
    <xf numFmtId="3" fontId="98" fillId="5" borderId="0" xfId="0" applyNumberFormat="1" applyFont="1" applyFill="1" applyBorder="1"/>
    <xf numFmtId="166" fontId="98" fillId="5" borderId="0" xfId="4" applyNumberFormat="1" applyFont="1" applyFill="1" applyBorder="1" applyAlignment="1">
      <alignment horizontal="right"/>
    </xf>
    <xf numFmtId="3" fontId="98" fillId="0" borderId="1" xfId="0" applyNumberFormat="1" applyFont="1" applyBorder="1" applyAlignment="1">
      <alignment horizontal="left" vertical="top" wrapText="1"/>
    </xf>
    <xf numFmtId="0" fontId="98" fillId="5" borderId="0" xfId="0" applyFont="1" applyFill="1"/>
    <xf numFmtId="0" fontId="98" fillId="0" borderId="0" xfId="0" applyFont="1" applyFill="1"/>
    <xf numFmtId="3" fontId="100" fillId="5" borderId="0" xfId="0" applyNumberFormat="1" applyFont="1" applyFill="1" applyBorder="1"/>
    <xf numFmtId="0" fontId="457" fillId="5" borderId="0" xfId="0" applyFont="1" applyFill="1" applyAlignment="1">
      <alignment horizontal="left" vertical="center" wrapText="1"/>
    </xf>
    <xf numFmtId="0" fontId="458" fillId="5" borderId="0" xfId="0" applyFont="1" applyFill="1" applyBorder="1"/>
    <xf numFmtId="0" fontId="459" fillId="5" borderId="0" xfId="0" applyFont="1" applyFill="1" applyBorder="1"/>
    <xf numFmtId="3" fontId="458" fillId="5" borderId="0" xfId="0" applyNumberFormat="1" applyFont="1" applyFill="1" applyBorder="1"/>
    <xf numFmtId="167" fontId="458" fillId="5" borderId="0" xfId="4" applyNumberFormat="1" applyFont="1" applyFill="1" applyBorder="1" applyAlignment="1">
      <alignment horizontal="right"/>
    </xf>
    <xf numFmtId="43" fontId="97" fillId="0" borderId="0" xfId="2" applyFont="1" applyFill="1"/>
    <xf numFmtId="0" fontId="97" fillId="5" borderId="0" xfId="0" applyFont="1" applyFill="1"/>
    <xf numFmtId="0" fontId="97" fillId="4" borderId="0" xfId="0" applyFont="1" applyFill="1"/>
    <xf numFmtId="0" fontId="97" fillId="0" borderId="0" xfId="0" applyFont="1" applyFill="1"/>
    <xf numFmtId="0" fontId="97" fillId="0" borderId="0" xfId="0" applyFont="1" applyFill="1" applyBorder="1"/>
    <xf numFmtId="3" fontId="97" fillId="0" borderId="0" xfId="0" applyNumberFormat="1" applyFont="1" applyFill="1" applyBorder="1"/>
    <xf numFmtId="0" fontId="97" fillId="5" borderId="0" xfId="0" applyFont="1" applyFill="1" applyBorder="1"/>
    <xf numFmtId="3" fontId="97" fillId="7" borderId="0" xfId="0" applyNumberFormat="1" applyFont="1" applyFill="1" applyBorder="1"/>
    <xf numFmtId="3" fontId="97" fillId="0" borderId="1" xfId="0" applyNumberFormat="1" applyFont="1" applyBorder="1" applyAlignment="1">
      <alignment horizontal="left" vertical="top" wrapText="1"/>
    </xf>
    <xf numFmtId="0" fontId="97" fillId="0" borderId="1" xfId="0" applyFont="1" applyBorder="1" applyAlignment="1">
      <alignment horizontal="center" vertical="center"/>
    </xf>
    <xf numFmtId="49" fontId="97" fillId="0" borderId="0" xfId="2" applyNumberFormat="1" applyFont="1" applyAlignment="1">
      <alignment wrapText="1"/>
    </xf>
    <xf numFmtId="3" fontId="97" fillId="5" borderId="0" xfId="0" applyNumberFormat="1" applyFont="1" applyFill="1" applyBorder="1"/>
    <xf numFmtId="43" fontId="95" fillId="0" borderId="0" xfId="2" applyFont="1" applyFill="1"/>
    <xf numFmtId="0" fontId="95" fillId="0" borderId="0" xfId="0" applyFont="1" applyFill="1" applyBorder="1"/>
    <xf numFmtId="0" fontId="96" fillId="5" borderId="0" xfId="0" applyFont="1" applyFill="1" applyBorder="1"/>
    <xf numFmtId="3" fontId="95" fillId="0" borderId="0" xfId="0" applyNumberFormat="1" applyFont="1" applyFill="1" applyBorder="1"/>
    <xf numFmtId="0" fontId="95" fillId="5" borderId="0" xfId="0" applyFont="1" applyFill="1" applyBorder="1"/>
    <xf numFmtId="0" fontId="116" fillId="3" borderId="0" xfId="0" applyFont="1" applyFill="1" applyBorder="1"/>
    <xf numFmtId="3" fontId="126" fillId="3" borderId="0" xfId="0" applyNumberFormat="1" applyFont="1" applyFill="1" applyBorder="1"/>
    <xf numFmtId="0" fontId="95" fillId="0" borderId="1" xfId="0" applyFont="1" applyBorder="1" applyAlignment="1">
      <alignment horizontal="center" vertical="center"/>
    </xf>
    <xf numFmtId="3" fontId="95" fillId="0" borderId="1" xfId="0" applyNumberFormat="1" applyFont="1" applyBorder="1" applyAlignment="1">
      <alignment horizontal="left" vertical="top" wrapText="1"/>
    </xf>
    <xf numFmtId="0" fontId="95" fillId="5" borderId="0" xfId="0" applyFont="1" applyFill="1"/>
    <xf numFmtId="3" fontId="95" fillId="5" borderId="0" xfId="0" applyNumberFormat="1" applyFont="1" applyFill="1" applyBorder="1"/>
    <xf numFmtId="0" fontId="94" fillId="18" borderId="0" xfId="0" applyFont="1" applyFill="1" applyBorder="1"/>
    <xf numFmtId="0" fontId="94" fillId="5" borderId="0" xfId="0" applyFont="1" applyFill="1" applyBorder="1"/>
    <xf numFmtId="3" fontId="94" fillId="0" borderId="0" xfId="0" applyNumberFormat="1" applyFont="1" applyFill="1" applyBorder="1"/>
    <xf numFmtId="0" fontId="94" fillId="0" borderId="1" xfId="0" applyFont="1" applyBorder="1" applyAlignment="1">
      <alignment horizontal="center" vertical="center"/>
    </xf>
    <xf numFmtId="3" fontId="94" fillId="5" borderId="1" xfId="0" applyNumberFormat="1" applyFont="1" applyFill="1" applyBorder="1" applyAlignment="1">
      <alignment horizontal="left" vertical="top" wrapText="1"/>
    </xf>
    <xf numFmtId="3" fontId="94" fillId="0" borderId="1" xfId="0" applyNumberFormat="1" applyFont="1" applyBorder="1" applyAlignment="1">
      <alignment horizontal="left" vertical="top" wrapText="1"/>
    </xf>
    <xf numFmtId="3" fontId="99" fillId="5" borderId="0" xfId="0" applyNumberFormat="1" applyFont="1" applyFill="1" applyBorder="1"/>
    <xf numFmtId="0" fontId="93" fillId="5" borderId="0" xfId="0" applyFont="1" applyFill="1" applyBorder="1"/>
    <xf numFmtId="0" fontId="93" fillId="14" borderId="0" xfId="0" applyFont="1" applyFill="1" applyBorder="1"/>
    <xf numFmtId="3" fontId="94" fillId="5" borderId="0" xfId="0" applyNumberFormat="1" applyFont="1" applyFill="1" applyBorder="1"/>
    <xf numFmtId="3" fontId="93" fillId="0" borderId="1" xfId="0" applyNumberFormat="1" applyFont="1" applyBorder="1" applyAlignment="1">
      <alignment horizontal="left" vertical="top" wrapText="1"/>
    </xf>
    <xf numFmtId="43" fontId="93" fillId="0" borderId="0" xfId="2" applyFont="1" applyFill="1"/>
    <xf numFmtId="3" fontId="93" fillId="5" borderId="0" xfId="0" applyNumberFormat="1" applyFont="1" applyFill="1" applyBorder="1"/>
    <xf numFmtId="166" fontId="93" fillId="5" borderId="0" xfId="4" applyNumberFormat="1" applyFont="1" applyFill="1" applyBorder="1" applyAlignment="1">
      <alignment horizontal="right"/>
    </xf>
    <xf numFmtId="0" fontId="93" fillId="5" borderId="0" xfId="0" applyFont="1" applyFill="1"/>
    <xf numFmtId="0" fontId="93" fillId="0" borderId="1" xfId="0" applyFont="1" applyBorder="1" applyAlignment="1">
      <alignment horizontal="center" vertical="center"/>
    </xf>
    <xf numFmtId="0" fontId="92" fillId="0" borderId="1" xfId="0" applyFont="1" applyFill="1" applyBorder="1"/>
    <xf numFmtId="0" fontId="92" fillId="5" borderId="0" xfId="0" applyFont="1" applyFill="1" applyBorder="1"/>
    <xf numFmtId="0" fontId="110" fillId="9" borderId="0" xfId="0" applyFont="1" applyFill="1" applyBorder="1"/>
    <xf numFmtId="0" fontId="93" fillId="9" borderId="0" xfId="0" applyFont="1" applyFill="1" applyBorder="1"/>
    <xf numFmtId="0" fontId="111" fillId="9" borderId="0" xfId="0" applyFont="1" applyFill="1" applyBorder="1"/>
    <xf numFmtId="3" fontId="93" fillId="9" borderId="0" xfId="0" applyNumberFormat="1" applyFont="1" applyFill="1" applyBorder="1"/>
    <xf numFmtId="166" fontId="112" fillId="9" borderId="0" xfId="4" applyNumberFormat="1" applyFont="1" applyFill="1" applyBorder="1" applyAlignment="1">
      <alignment horizontal="right"/>
    </xf>
    <xf numFmtId="43" fontId="92" fillId="0" borderId="0" xfId="2" applyFont="1" applyFill="1"/>
    <xf numFmtId="0" fontId="92" fillId="0" borderId="1" xfId="0" applyFont="1" applyBorder="1" applyAlignment="1">
      <alignment horizontal="center" vertical="center"/>
    </xf>
    <xf numFmtId="0" fontId="91" fillId="5" borderId="0" xfId="0" applyFont="1" applyFill="1" applyBorder="1"/>
    <xf numFmtId="3" fontId="92" fillId="5" borderId="0" xfId="0" applyNumberFormat="1" applyFont="1" applyFill="1" applyBorder="1"/>
    <xf numFmtId="0" fontId="448" fillId="2" borderId="0" xfId="0" applyFont="1" applyFill="1" applyAlignment="1">
      <alignment horizontal="left" vertical="center" wrapText="1"/>
    </xf>
    <xf numFmtId="49" fontId="91" fillId="2" borderId="0" xfId="0" applyNumberFormat="1" applyFont="1" applyFill="1" applyBorder="1"/>
    <xf numFmtId="0" fontId="112" fillId="2" borderId="0" xfId="0" applyFont="1" applyFill="1" applyBorder="1"/>
    <xf numFmtId="0" fontId="98" fillId="2" borderId="0" xfId="0" applyFont="1" applyFill="1" applyBorder="1"/>
    <xf numFmtId="0" fontId="91" fillId="2" borderId="0" xfId="0" applyFont="1" applyFill="1" applyBorder="1"/>
    <xf numFmtId="3" fontId="95" fillId="2" borderId="0" xfId="0" applyNumberFormat="1" applyFont="1" applyFill="1" applyBorder="1"/>
    <xf numFmtId="167" fontId="112" fillId="2" borderId="0" xfId="4" applyNumberFormat="1" applyFont="1" applyFill="1" applyBorder="1" applyAlignment="1">
      <alignment horizontal="right"/>
    </xf>
    <xf numFmtId="0" fontId="91" fillId="0" borderId="1" xfId="0" applyFont="1" applyFill="1" applyBorder="1"/>
    <xf numFmtId="43" fontId="91" fillId="0" borderId="0" xfId="2" applyFont="1" applyFill="1"/>
    <xf numFmtId="3" fontId="91" fillId="5" borderId="0" xfId="0" applyNumberFormat="1" applyFont="1" applyFill="1" applyBorder="1"/>
    <xf numFmtId="0" fontId="91" fillId="0" borderId="1" xfId="0" applyFont="1" applyBorder="1"/>
    <xf numFmtId="167" fontId="91" fillId="5" borderId="0" xfId="4" applyNumberFormat="1" applyFont="1" applyFill="1" applyBorder="1" applyAlignment="1">
      <alignment horizontal="right"/>
    </xf>
    <xf numFmtId="0" fontId="91" fillId="0" borderId="1" xfId="0" applyFont="1" applyBorder="1" applyAlignment="1">
      <alignment horizontal="center" vertical="center"/>
    </xf>
    <xf numFmtId="43" fontId="90" fillId="0" borderId="0" xfId="2" applyFont="1" applyFill="1"/>
    <xf numFmtId="0" fontId="90" fillId="0" borderId="0" xfId="0" applyFont="1" applyFill="1" applyBorder="1"/>
    <xf numFmtId="3" fontId="90" fillId="0" borderId="0" xfId="0" applyNumberFormat="1" applyFont="1" applyFill="1" applyBorder="1"/>
    <xf numFmtId="0" fontId="90" fillId="5" borderId="0" xfId="0" applyFont="1" applyFill="1" applyBorder="1"/>
    <xf numFmtId="43" fontId="90" fillId="4" borderId="0" xfId="2" applyFont="1" applyFill="1"/>
    <xf numFmtId="0" fontId="90" fillId="7" borderId="0" xfId="0" applyFont="1" applyFill="1" applyBorder="1"/>
    <xf numFmtId="0" fontId="90" fillId="14" borderId="0" xfId="0" applyFont="1" applyFill="1" applyBorder="1"/>
    <xf numFmtId="0" fontId="90" fillId="5" borderId="0" xfId="0" applyFont="1" applyFill="1"/>
    <xf numFmtId="0" fontId="90" fillId="0" borderId="1" xfId="0" applyFont="1" applyBorder="1" applyAlignment="1">
      <alignment horizontal="center" vertical="center"/>
    </xf>
    <xf numFmtId="3" fontId="90" fillId="5" borderId="0" xfId="0" applyNumberFormat="1" applyFont="1" applyFill="1" applyBorder="1"/>
    <xf numFmtId="3" fontId="89" fillId="0" borderId="1" xfId="0" applyNumberFormat="1" applyFont="1" applyBorder="1" applyAlignment="1">
      <alignment horizontal="left" vertical="top" wrapText="1"/>
    </xf>
    <xf numFmtId="43" fontId="89" fillId="0" borderId="0" xfId="2" applyFont="1" applyFill="1"/>
    <xf numFmtId="0" fontId="89" fillId="0" borderId="0" xfId="0" applyFont="1" applyFill="1" applyBorder="1"/>
    <xf numFmtId="0" fontId="89" fillId="5" borderId="0" xfId="0" applyFont="1" applyFill="1" applyBorder="1"/>
    <xf numFmtId="3" fontId="89" fillId="0" borderId="0" xfId="0" applyNumberFormat="1" applyFont="1" applyFill="1" applyBorder="1"/>
    <xf numFmtId="3" fontId="89" fillId="5" borderId="0" xfId="0" applyNumberFormat="1" applyFont="1" applyFill="1" applyBorder="1"/>
    <xf numFmtId="0" fontId="88" fillId="5" borderId="0" xfId="0" applyFont="1" applyFill="1" applyBorder="1"/>
    <xf numFmtId="43" fontId="88" fillId="0" borderId="0" xfId="2" applyFont="1" applyFill="1"/>
    <xf numFmtId="0" fontId="88" fillId="0" borderId="0" xfId="0" applyFont="1" applyFill="1" applyBorder="1"/>
    <xf numFmtId="0" fontId="87" fillId="0" borderId="0" xfId="0" applyFont="1" applyFill="1" applyBorder="1"/>
    <xf numFmtId="0" fontId="87" fillId="5" borderId="0" xfId="0" applyFont="1" applyFill="1" applyBorder="1"/>
    <xf numFmtId="0" fontId="91" fillId="0" borderId="3" xfId="0" applyFont="1" applyFill="1" applyBorder="1"/>
    <xf numFmtId="3" fontId="87" fillId="5" borderId="0" xfId="0" applyNumberFormat="1" applyFont="1" applyFill="1" applyBorder="1" applyAlignment="1">
      <alignment wrapText="1"/>
    </xf>
    <xf numFmtId="3" fontId="87" fillId="5" borderId="0" xfId="0" applyNumberFormat="1" applyFont="1" applyFill="1" applyBorder="1"/>
    <xf numFmtId="43" fontId="87" fillId="0" borderId="0" xfId="2" applyFont="1" applyFill="1"/>
    <xf numFmtId="3" fontId="88" fillId="5" borderId="0" xfId="0" applyNumberFormat="1" applyFont="1" applyFill="1" applyBorder="1"/>
    <xf numFmtId="0" fontId="87" fillId="0" borderId="2" xfId="0" applyFont="1" applyFill="1" applyBorder="1" applyAlignment="1">
      <alignment horizontal="center" vertical="center"/>
    </xf>
    <xf numFmtId="0" fontId="108" fillId="0" borderId="1" xfId="0" applyFont="1" applyFill="1" applyBorder="1"/>
    <xf numFmtId="0" fontId="86" fillId="5" borderId="0" xfId="0" applyFont="1" applyFill="1" applyBorder="1"/>
    <xf numFmtId="3" fontId="86" fillId="5" borderId="0" xfId="0" applyNumberFormat="1" applyFont="1" applyFill="1" applyBorder="1"/>
    <xf numFmtId="0" fontId="86" fillId="5" borderId="0" xfId="0" applyFont="1" applyFill="1"/>
    <xf numFmtId="3" fontId="86" fillId="0" borderId="0" xfId="0" applyNumberFormat="1" applyFont="1" applyFill="1" applyBorder="1"/>
    <xf numFmtId="0" fontId="85" fillId="0" borderId="0" xfId="0" applyFont="1" applyFill="1" applyBorder="1"/>
    <xf numFmtId="0" fontId="85" fillId="5" borderId="0" xfId="0" applyFont="1" applyFill="1" applyBorder="1"/>
    <xf numFmtId="0" fontId="84" fillId="0" borderId="2" xfId="0" applyFont="1" applyFill="1" applyBorder="1" applyAlignment="1">
      <alignment horizontal="center" vertical="center"/>
    </xf>
    <xf numFmtId="0" fontId="84" fillId="5" borderId="0" xfId="0" applyFont="1" applyFill="1" applyBorder="1"/>
    <xf numFmtId="0" fontId="84" fillId="14" borderId="0" xfId="0" applyFont="1" applyFill="1" applyBorder="1"/>
    <xf numFmtId="0" fontId="84" fillId="0" borderId="0" xfId="0" applyFont="1" applyFill="1" applyBorder="1"/>
    <xf numFmtId="0" fontId="83" fillId="5" borderId="0" xfId="0" applyFont="1" applyFill="1" applyBorder="1"/>
    <xf numFmtId="3" fontId="83" fillId="14" borderId="0" xfId="0" applyNumberFormat="1" applyFont="1" applyFill="1" applyBorder="1"/>
    <xf numFmtId="0" fontId="82" fillId="5" borderId="0" xfId="0" applyFont="1" applyFill="1" applyBorder="1"/>
    <xf numFmtId="49" fontId="82" fillId="0" borderId="1" xfId="2" applyNumberFormat="1" applyFont="1" applyBorder="1" applyAlignment="1">
      <alignment wrapText="1"/>
    </xf>
    <xf numFmtId="0" fontId="82" fillId="0" borderId="0" xfId="0" applyFont="1"/>
    <xf numFmtId="3" fontId="82" fillId="5" borderId="0" xfId="0" applyNumberFormat="1" applyFont="1" applyFill="1" applyBorder="1"/>
    <xf numFmtId="3" fontId="83" fillId="5" borderId="0" xfId="0" applyNumberFormat="1" applyFont="1" applyFill="1" applyBorder="1"/>
    <xf numFmtId="0" fontId="82" fillId="0" borderId="2" xfId="0" applyFont="1" applyFill="1" applyBorder="1" applyAlignment="1">
      <alignment horizontal="center" vertical="center"/>
    </xf>
    <xf numFmtId="0" fontId="81" fillId="5" borderId="0" xfId="0" applyFont="1" applyFill="1" applyBorder="1"/>
    <xf numFmtId="3" fontId="81" fillId="5" borderId="0" xfId="0" applyNumberFormat="1" applyFont="1" applyFill="1" applyBorder="1"/>
    <xf numFmtId="43" fontId="81" fillId="0" borderId="0" xfId="2" applyFont="1" applyFill="1"/>
    <xf numFmtId="0" fontId="104" fillId="5" borderId="1" xfId="0" applyFont="1" applyFill="1" applyBorder="1"/>
    <xf numFmtId="49" fontId="97" fillId="5" borderId="3" xfId="0" applyNumberFormat="1" applyFont="1" applyFill="1" applyBorder="1"/>
    <xf numFmtId="49" fontId="0" fillId="5" borderId="3" xfId="0" applyNumberFormat="1" applyFill="1" applyBorder="1"/>
    <xf numFmtId="49" fontId="0" fillId="5" borderId="1" xfId="0" applyNumberFormat="1" applyFill="1" applyBorder="1"/>
    <xf numFmtId="0" fontId="87" fillId="14" borderId="0" xfId="0" applyFont="1" applyFill="1" applyBorder="1"/>
    <xf numFmtId="3" fontId="81" fillId="0" borderId="1" xfId="0" applyNumberFormat="1" applyFont="1" applyBorder="1" applyAlignment="1">
      <alignment horizontal="left" vertical="top" wrapText="1"/>
    </xf>
    <xf numFmtId="0" fontId="80" fillId="5" borderId="0" xfId="0" applyFont="1" applyFill="1" applyBorder="1"/>
    <xf numFmtId="43" fontId="80" fillId="0" borderId="0" xfId="2" applyFont="1" applyFill="1"/>
    <xf numFmtId="3" fontId="80" fillId="5" borderId="0" xfId="0" applyNumberFormat="1" applyFont="1" applyFill="1" applyBorder="1"/>
    <xf numFmtId="0" fontId="80" fillId="0" borderId="2" xfId="0" applyFont="1" applyFill="1" applyBorder="1" applyAlignment="1">
      <alignment horizontal="center" vertical="center"/>
    </xf>
    <xf numFmtId="3" fontId="0" fillId="0" borderId="1" xfId="0" applyNumberFormat="1" applyBorder="1"/>
    <xf numFmtId="3" fontId="84" fillId="5" borderId="0" xfId="0" applyNumberFormat="1" applyFont="1" applyFill="1" applyBorder="1"/>
    <xf numFmtId="0" fontId="79" fillId="5" borderId="0" xfId="0" applyFont="1" applyFill="1" applyBorder="1"/>
    <xf numFmtId="43" fontId="79" fillId="0" borderId="0" xfId="2" applyFont="1" applyFill="1"/>
    <xf numFmtId="0" fontId="79" fillId="9" borderId="0" xfId="0" applyFont="1" applyFill="1" applyBorder="1"/>
    <xf numFmtId="3" fontId="126" fillId="9" borderId="0" xfId="0" applyNumberFormat="1" applyFont="1" applyFill="1" applyBorder="1"/>
    <xf numFmtId="0" fontId="79" fillId="0" borderId="1" xfId="0" applyFont="1" applyFill="1" applyBorder="1"/>
    <xf numFmtId="0" fontId="79" fillId="0" borderId="2" xfId="0" applyFont="1" applyFill="1" applyBorder="1" applyAlignment="1">
      <alignment horizontal="center" vertical="center"/>
    </xf>
    <xf numFmtId="3" fontId="79" fillId="5" borderId="0" xfId="0" applyNumberFormat="1" applyFont="1" applyFill="1" applyBorder="1"/>
    <xf numFmtId="3" fontId="0" fillId="0" borderId="1" xfId="0" applyNumberFormat="1" applyBorder="1" applyAlignment="1">
      <alignment horizontal="center" vertical="center" wrapText="1"/>
    </xf>
    <xf numFmtId="0" fontId="79" fillId="0" borderId="0" xfId="0" applyFont="1" applyFill="1"/>
    <xf numFmtId="0" fontId="79" fillId="5" borderId="0" xfId="0" applyFont="1" applyFill="1"/>
    <xf numFmtId="0" fontId="79" fillId="2" borderId="0" xfId="0" applyFont="1" applyFill="1"/>
    <xf numFmtId="0" fontId="296" fillId="2" borderId="0" xfId="0" applyFont="1" applyFill="1"/>
    <xf numFmtId="0" fontId="79" fillId="0" borderId="1" xfId="0" applyFont="1" applyBorder="1" applyAlignment="1">
      <alignment horizontal="center" vertical="center"/>
    </xf>
    <xf numFmtId="0" fontId="78" fillId="0" borderId="1" xfId="0" applyFont="1" applyFill="1" applyBorder="1"/>
    <xf numFmtId="0" fontId="128" fillId="2" borderId="0" xfId="0" applyFont="1" applyFill="1" applyBorder="1"/>
    <xf numFmtId="3" fontId="126" fillId="2" borderId="0" xfId="0" applyNumberFormat="1" applyFont="1" applyFill="1" applyBorder="1"/>
    <xf numFmtId="0" fontId="78" fillId="5" borderId="0" xfId="0" applyFont="1" applyFill="1" applyBorder="1"/>
    <xf numFmtId="0" fontId="78" fillId="14" borderId="0" xfId="0" applyFont="1" applyFill="1" applyBorder="1"/>
    <xf numFmtId="0" fontId="78" fillId="0" borderId="2" xfId="0" applyFont="1" applyFill="1" applyBorder="1" applyAlignment="1">
      <alignment horizontal="center" vertical="center"/>
    </xf>
    <xf numFmtId="3" fontId="78" fillId="5" borderId="0" xfId="0" applyNumberFormat="1" applyFont="1" applyFill="1" applyBorder="1"/>
    <xf numFmtId="43" fontId="78" fillId="0" borderId="0" xfId="2" applyFont="1" applyFill="1"/>
    <xf numFmtId="0" fontId="77" fillId="0" borderId="0" xfId="0" applyFont="1" applyFill="1" applyBorder="1"/>
    <xf numFmtId="0" fontId="77" fillId="14" borderId="0" xfId="0" applyFont="1" applyFill="1" applyBorder="1"/>
    <xf numFmtId="0" fontId="77" fillId="5" borderId="0" xfId="0" applyFont="1" applyFill="1" applyBorder="1"/>
    <xf numFmtId="0" fontId="77" fillId="0" borderId="2" xfId="0" applyFont="1" applyFill="1" applyBorder="1" applyAlignment="1">
      <alignment horizontal="center" vertical="center"/>
    </xf>
    <xf numFmtId="3" fontId="0" fillId="0" borderId="1" xfId="0" applyNumberFormat="1" applyBorder="1" applyAlignment="1">
      <alignment horizontal="left" vertical="top" wrapText="1"/>
    </xf>
    <xf numFmtId="3" fontId="77" fillId="5" borderId="0" xfId="0" applyNumberFormat="1" applyFont="1" applyFill="1" applyBorder="1"/>
    <xf numFmtId="0" fontId="76" fillId="0" borderId="0" xfId="0" applyFont="1" applyFill="1" applyBorder="1"/>
    <xf numFmtId="0" fontId="76" fillId="5" borderId="0" xfId="0" applyFont="1" applyFill="1" applyBorder="1"/>
    <xf numFmtId="0" fontId="76" fillId="14" borderId="0" xfId="0" applyFont="1" applyFill="1" applyBorder="1"/>
    <xf numFmtId="0" fontId="76" fillId="0" borderId="0" xfId="0" applyFont="1" applyFill="1"/>
    <xf numFmtId="0" fontId="76" fillId="9" borderId="0" xfId="0" applyFont="1" applyFill="1"/>
    <xf numFmtId="0" fontId="76" fillId="5" borderId="0" xfId="0" applyFont="1" applyFill="1"/>
    <xf numFmtId="3" fontId="76" fillId="5" borderId="0" xfId="0" applyNumberFormat="1" applyFont="1" applyFill="1" applyBorder="1"/>
    <xf numFmtId="49" fontId="76" fillId="5" borderId="0" xfId="0" applyNumberFormat="1" applyFont="1" applyFill="1" applyBorder="1"/>
    <xf numFmtId="0" fontId="75" fillId="0" borderId="0" xfId="0" applyFont="1" applyFill="1" applyBorder="1"/>
    <xf numFmtId="0" fontId="75" fillId="18" borderId="0" xfId="0" applyFont="1" applyFill="1" applyBorder="1"/>
    <xf numFmtId="0" fontId="75" fillId="0" borderId="2" xfId="0" applyFont="1" applyFill="1" applyBorder="1" applyAlignment="1">
      <alignment horizontal="center" vertical="center"/>
    </xf>
    <xf numFmtId="0" fontId="75" fillId="5" borderId="0" xfId="0" applyFont="1" applyFill="1" applyBorder="1"/>
    <xf numFmtId="0" fontId="75" fillId="4" borderId="0" xfId="0" applyFont="1" applyFill="1" applyBorder="1"/>
    <xf numFmtId="3" fontId="75" fillId="0" borderId="0" xfId="0" applyNumberFormat="1" applyFont="1" applyFill="1" applyBorder="1"/>
    <xf numFmtId="3" fontId="75" fillId="5" borderId="0" xfId="0" applyNumberFormat="1" applyFont="1" applyFill="1" applyBorder="1"/>
    <xf numFmtId="0" fontId="74" fillId="5" borderId="0" xfId="0" applyFont="1" applyFill="1" applyBorder="1"/>
    <xf numFmtId="0" fontId="74" fillId="0" borderId="0" xfId="0" applyFont="1" applyFill="1" applyBorder="1"/>
    <xf numFmtId="0" fontId="74" fillId="14" borderId="0" xfId="0" applyFont="1" applyFill="1" applyBorder="1"/>
    <xf numFmtId="0" fontId="91" fillId="14" borderId="1" xfId="0" applyFont="1" applyFill="1" applyBorder="1"/>
    <xf numFmtId="0" fontId="103" fillId="14" borderId="1" xfId="0" applyFont="1" applyFill="1" applyBorder="1"/>
    <xf numFmtId="0" fontId="104" fillId="14" borderId="1" xfId="0" applyFont="1" applyFill="1" applyBorder="1"/>
    <xf numFmtId="0" fontId="97" fillId="14" borderId="1" xfId="0" applyFont="1" applyFill="1" applyBorder="1"/>
    <xf numFmtId="0" fontId="98" fillId="14" borderId="1" xfId="0" applyFont="1" applyFill="1" applyBorder="1"/>
    <xf numFmtId="0" fontId="92" fillId="14" borderId="1" xfId="0" applyFont="1" applyFill="1" applyBorder="1"/>
    <xf numFmtId="0" fontId="74" fillId="2" borderId="0" xfId="0" applyFont="1" applyFill="1" applyBorder="1"/>
    <xf numFmtId="3" fontId="74" fillId="5" borderId="0" xfId="0" applyNumberFormat="1" applyFont="1" applyFill="1" applyBorder="1"/>
    <xf numFmtId="43" fontId="74" fillId="0" borderId="0" xfId="2" applyFont="1" applyFill="1"/>
    <xf numFmtId="0" fontId="73" fillId="5" borderId="0" xfId="0" applyFont="1" applyFill="1" applyBorder="1"/>
    <xf numFmtId="0" fontId="73" fillId="0" borderId="0" xfId="0" applyFont="1" applyFill="1" applyBorder="1"/>
    <xf numFmtId="3" fontId="73" fillId="0" borderId="0" xfId="0" applyNumberFormat="1" applyFont="1" applyFill="1" applyBorder="1"/>
    <xf numFmtId="0" fontId="73" fillId="5" borderId="0" xfId="0" applyFont="1" applyFill="1" applyBorder="1" applyAlignment="1">
      <alignment vertical="top" wrapText="1"/>
    </xf>
    <xf numFmtId="0" fontId="73" fillId="0" borderId="1" xfId="0" applyFont="1" applyFill="1" applyBorder="1"/>
    <xf numFmtId="0" fontId="79" fillId="4" borderId="1" xfId="0" applyFont="1" applyFill="1" applyBorder="1"/>
    <xf numFmtId="0" fontId="90" fillId="2" borderId="1" xfId="0" applyFont="1" applyFill="1" applyBorder="1"/>
    <xf numFmtId="0" fontId="110" fillId="14" borderId="0" xfId="0" applyFont="1" applyFill="1" applyBorder="1"/>
    <xf numFmtId="3" fontId="111" fillId="14" borderId="0" xfId="0" applyNumberFormat="1" applyFont="1" applyFill="1" applyBorder="1"/>
    <xf numFmtId="0" fontId="106" fillId="14" borderId="0" xfId="0" applyFont="1" applyFill="1" applyBorder="1"/>
    <xf numFmtId="3" fontId="106" fillId="14" borderId="0" xfId="0" applyNumberFormat="1" applyFont="1" applyFill="1" applyBorder="1"/>
    <xf numFmtId="0" fontId="105" fillId="14" borderId="0" xfId="0" applyFont="1" applyFill="1" applyBorder="1"/>
    <xf numFmtId="3" fontId="105" fillId="14" borderId="0" xfId="0" applyNumberFormat="1" applyFont="1" applyFill="1" applyBorder="1"/>
    <xf numFmtId="0" fontId="73" fillId="0" borderId="3" xfId="0" applyFont="1" applyFill="1" applyBorder="1"/>
    <xf numFmtId="0" fontId="156" fillId="5" borderId="0" xfId="0" applyFont="1" applyFill="1" applyBorder="1"/>
    <xf numFmtId="0" fontId="91" fillId="6" borderId="1" xfId="0" applyFont="1" applyFill="1" applyBorder="1"/>
    <xf numFmtId="0" fontId="75" fillId="6" borderId="1" xfId="0" applyFont="1" applyFill="1" applyBorder="1"/>
    <xf numFmtId="0" fontId="73" fillId="0" borderId="0" xfId="0" applyFont="1"/>
    <xf numFmtId="0" fontId="104" fillId="4" borderId="1" xfId="0" applyFont="1" applyFill="1" applyBorder="1"/>
    <xf numFmtId="3" fontId="91" fillId="4" borderId="1" xfId="0" applyNumberFormat="1" applyFont="1" applyFill="1" applyBorder="1"/>
    <xf numFmtId="0" fontId="78" fillId="4" borderId="1" xfId="0" applyFont="1" applyFill="1" applyBorder="1"/>
    <xf numFmtId="0" fontId="77" fillId="4" borderId="1" xfId="0" applyFont="1" applyFill="1" applyBorder="1" applyAlignment="1">
      <alignment horizontal="left" vertical="top" wrapText="1"/>
    </xf>
    <xf numFmtId="0" fontId="73" fillId="5" borderId="0" xfId="0" applyFont="1" applyFill="1"/>
    <xf numFmtId="0" fontId="90" fillId="0" borderId="1" xfId="0" applyFont="1" applyFill="1" applyBorder="1"/>
    <xf numFmtId="0" fontId="72" fillId="0" borderId="0" xfId="0" applyFont="1" applyFill="1" applyBorder="1"/>
    <xf numFmtId="0" fontId="72" fillId="5" borderId="0" xfId="0" applyFont="1" applyFill="1" applyBorder="1"/>
    <xf numFmtId="0" fontId="76" fillId="0" borderId="1" xfId="0" applyFont="1" applyFill="1" applyBorder="1" applyAlignment="1">
      <alignment horizontal="left" vertical="top" wrapText="1"/>
    </xf>
    <xf numFmtId="0" fontId="109" fillId="0" borderId="1" xfId="0" applyFont="1" applyFill="1" applyBorder="1"/>
    <xf numFmtId="0" fontId="72" fillId="5" borderId="0" xfId="0" applyFont="1" applyFill="1"/>
    <xf numFmtId="0" fontId="71" fillId="5" borderId="0" xfId="0" applyFont="1" applyFill="1" applyBorder="1"/>
    <xf numFmtId="0" fontId="76" fillId="0" borderId="4" xfId="0" applyFont="1" applyFill="1" applyBorder="1" applyAlignment="1">
      <alignment horizontal="left" vertical="top" wrapText="1"/>
    </xf>
    <xf numFmtId="3" fontId="0" fillId="0" borderId="4" xfId="0" applyNumberFormat="1" applyBorder="1" applyAlignment="1">
      <alignment horizontal="left" vertical="top" wrapText="1"/>
    </xf>
    <xf numFmtId="0" fontId="0" fillId="0" borderId="4" xfId="0" applyBorder="1" applyAlignment="1">
      <alignment wrapText="1"/>
    </xf>
    <xf numFmtId="0" fontId="0" fillId="0" borderId="4" xfId="0" applyBorder="1"/>
    <xf numFmtId="0" fontId="87" fillId="0" borderId="4" xfId="0" applyFont="1" applyFill="1" applyBorder="1"/>
    <xf numFmtId="0" fontId="73" fillId="0" borderId="4" xfId="0" applyFont="1" applyFill="1" applyBorder="1"/>
    <xf numFmtId="0" fontId="75" fillId="0" borderId="0" xfId="0" applyFont="1" applyFill="1" applyBorder="1" applyAlignment="1">
      <alignment horizontal="center" vertical="center"/>
    </xf>
    <xf numFmtId="0" fontId="76" fillId="0" borderId="0" xfId="0" applyFont="1" applyFill="1" applyBorder="1" applyAlignment="1">
      <alignment horizontal="left" vertical="top" wrapText="1"/>
    </xf>
    <xf numFmtId="3" fontId="0" fillId="0" borderId="0" xfId="0" applyNumberFormat="1" applyBorder="1" applyAlignment="1">
      <alignment horizontal="left" vertical="top" wrapText="1"/>
    </xf>
    <xf numFmtId="0" fontId="0" fillId="0" borderId="0" xfId="0" applyBorder="1" applyAlignment="1">
      <alignment wrapText="1"/>
    </xf>
    <xf numFmtId="0" fontId="71" fillId="0" borderId="1" xfId="0" applyFont="1" applyFill="1" applyBorder="1" applyAlignment="1">
      <alignment horizontal="center" vertical="center"/>
    </xf>
    <xf numFmtId="0" fontId="70" fillId="0" borderId="0" xfId="0" applyFont="1" applyFill="1" applyBorder="1"/>
    <xf numFmtId="0" fontId="70" fillId="5" borderId="0" xfId="0" applyFont="1" applyFill="1" applyBorder="1"/>
    <xf numFmtId="3" fontId="70" fillId="5" borderId="0" xfId="0" applyNumberFormat="1" applyFont="1" applyFill="1" applyBorder="1"/>
    <xf numFmtId="0" fontId="98" fillId="4" borderId="0" xfId="0" applyFont="1" applyFill="1" applyBorder="1"/>
    <xf numFmtId="0" fontId="70" fillId="4" borderId="0" xfId="0" applyFont="1" applyFill="1" applyBorder="1"/>
    <xf numFmtId="3" fontId="79" fillId="4" borderId="0" xfId="0" applyNumberFormat="1" applyFont="1" applyFill="1" applyBorder="1"/>
    <xf numFmtId="3" fontId="73" fillId="5" borderId="0" xfId="0" applyNumberFormat="1" applyFont="1" applyFill="1" applyBorder="1"/>
    <xf numFmtId="3" fontId="71" fillId="5" borderId="0" xfId="0" applyNumberFormat="1" applyFont="1" applyFill="1" applyBorder="1"/>
    <xf numFmtId="0" fontId="69" fillId="0" borderId="0" xfId="0" applyFont="1" applyFill="1" applyBorder="1"/>
    <xf numFmtId="3" fontId="69" fillId="0" borderId="0" xfId="0" applyNumberFormat="1" applyFont="1" applyFill="1" applyBorder="1"/>
    <xf numFmtId="0" fontId="69" fillId="5" borderId="0" xfId="0" applyFont="1" applyFill="1" applyBorder="1"/>
    <xf numFmtId="0" fontId="69" fillId="0" borderId="0" xfId="0" applyFont="1" applyFill="1"/>
    <xf numFmtId="0" fontId="69" fillId="0" borderId="1" xfId="0" applyFont="1" applyFill="1" applyBorder="1" applyAlignment="1">
      <alignment horizontal="center" vertical="center"/>
    </xf>
    <xf numFmtId="3" fontId="69" fillId="5" borderId="0" xfId="0" applyNumberFormat="1" applyFont="1" applyFill="1" applyBorder="1"/>
    <xf numFmtId="0" fontId="69" fillId="5" borderId="0" xfId="0" applyFont="1" applyFill="1"/>
    <xf numFmtId="0" fontId="74" fillId="3" borderId="0" xfId="0" applyFont="1" applyFill="1" applyBorder="1"/>
    <xf numFmtId="0" fontId="68" fillId="0" borderId="0" xfId="0" applyFont="1" applyFill="1" applyBorder="1"/>
    <xf numFmtId="0" fontId="68" fillId="5" borderId="0" xfId="0" applyFont="1" applyFill="1" applyBorder="1"/>
    <xf numFmtId="3" fontId="68" fillId="5" borderId="0" xfId="0" applyNumberFormat="1" applyFont="1" applyFill="1" applyBorder="1"/>
    <xf numFmtId="43" fontId="68" fillId="0" borderId="0" xfId="2" applyFont="1" applyFill="1"/>
    <xf numFmtId="49" fontId="68" fillId="0" borderId="0" xfId="2" applyNumberFormat="1" applyFont="1" applyAlignment="1">
      <alignment wrapText="1"/>
    </xf>
    <xf numFmtId="0" fontId="68" fillId="5" borderId="0" xfId="0" applyFont="1" applyFill="1"/>
    <xf numFmtId="3" fontId="68" fillId="0" borderId="0" xfId="0" applyNumberFormat="1" applyFont="1" applyFill="1" applyBorder="1"/>
    <xf numFmtId="167" fontId="68" fillId="0" borderId="0" xfId="4" applyNumberFormat="1" applyFont="1" applyFill="1" applyBorder="1" applyAlignment="1">
      <alignment horizontal="right"/>
    </xf>
    <xf numFmtId="167" fontId="68" fillId="5" borderId="0" xfId="4" applyNumberFormat="1" applyFont="1" applyFill="1" applyBorder="1" applyAlignment="1">
      <alignment horizontal="right"/>
    </xf>
    <xf numFmtId="0" fontId="68" fillId="0" borderId="0" xfId="0" applyFont="1"/>
    <xf numFmtId="0" fontId="448" fillId="19" borderId="0" xfId="0" applyFont="1" applyFill="1" applyAlignment="1">
      <alignment horizontal="center" vertical="center" wrapText="1"/>
    </xf>
    <xf numFmtId="0" fontId="132" fillId="19" borderId="0" xfId="0" applyFont="1" applyFill="1" applyBorder="1"/>
    <xf numFmtId="0" fontId="128" fillId="19" borderId="0" xfId="0" applyFont="1" applyFill="1" applyBorder="1"/>
    <xf numFmtId="0" fontId="177" fillId="19" borderId="0" xfId="0" applyFont="1" applyFill="1" applyBorder="1"/>
    <xf numFmtId="0" fontId="0" fillId="19" borderId="0" xfId="0" applyFont="1" applyFill="1" applyBorder="1"/>
    <xf numFmtId="0" fontId="97" fillId="19" borderId="0" xfId="0" applyFont="1" applyFill="1" applyBorder="1"/>
    <xf numFmtId="3" fontId="126" fillId="19" borderId="0" xfId="0" applyNumberFormat="1" applyFont="1" applyFill="1" applyBorder="1"/>
    <xf numFmtId="0" fontId="68" fillId="0" borderId="1" xfId="0" applyFont="1" applyFill="1" applyBorder="1" applyAlignment="1">
      <alignment horizontal="center" vertical="center"/>
    </xf>
    <xf numFmtId="0" fontId="68" fillId="14" borderId="0" xfId="0" applyFont="1" applyFill="1" applyBorder="1"/>
    <xf numFmtId="3" fontId="68" fillId="14" borderId="0" xfId="0" applyNumberFormat="1" applyFont="1" applyFill="1" applyBorder="1"/>
    <xf numFmtId="167" fontId="68" fillId="14" borderId="0" xfId="4" applyNumberFormat="1" applyFont="1" applyFill="1" applyBorder="1" applyAlignment="1">
      <alignment horizontal="right"/>
    </xf>
    <xf numFmtId="0" fontId="67" fillId="5" borderId="0" xfId="0" applyFont="1" applyFill="1" applyBorder="1"/>
    <xf numFmtId="3" fontId="67" fillId="5" borderId="0" xfId="0" applyNumberFormat="1" applyFont="1" applyFill="1" applyBorder="1"/>
    <xf numFmtId="0" fontId="67" fillId="5" borderId="1" xfId="0" applyFont="1" applyFill="1" applyBorder="1"/>
    <xf numFmtId="0" fontId="67" fillId="0" borderId="1" xfId="0" applyFont="1" applyBorder="1"/>
    <xf numFmtId="0" fontId="67" fillId="0" borderId="0" xfId="0" applyFont="1" applyFill="1" applyBorder="1"/>
    <xf numFmtId="0" fontId="67" fillId="2" borderId="0" xfId="0" applyFont="1" applyFill="1" applyBorder="1"/>
    <xf numFmtId="3" fontId="67" fillId="2" borderId="0" xfId="0" applyNumberFormat="1" applyFont="1" applyFill="1" applyBorder="1"/>
    <xf numFmtId="3" fontId="67" fillId="0" borderId="0" xfId="0" applyNumberFormat="1" applyFont="1" applyFill="1" applyBorder="1"/>
    <xf numFmtId="0" fontId="67" fillId="0" borderId="1" xfId="0" applyFont="1" applyFill="1" applyBorder="1" applyAlignment="1">
      <alignment horizontal="left" vertical="top" wrapText="1"/>
    </xf>
    <xf numFmtId="0" fontId="67" fillId="0" borderId="1" xfId="0" applyFont="1" applyFill="1" applyBorder="1" applyAlignment="1">
      <alignment horizontal="center" vertical="center"/>
    </xf>
    <xf numFmtId="49" fontId="67" fillId="0" borderId="0" xfId="2" applyNumberFormat="1" applyFont="1" applyAlignment="1">
      <alignment wrapText="1"/>
    </xf>
    <xf numFmtId="0" fontId="67" fillId="0" borderId="0" xfId="0" applyFont="1"/>
    <xf numFmtId="0" fontId="67" fillId="10" borderId="0" xfId="0" applyFont="1" applyFill="1"/>
    <xf numFmtId="0" fontId="66" fillId="5" borderId="0" xfId="0" applyFont="1" applyFill="1" applyBorder="1"/>
    <xf numFmtId="0" fontId="65" fillId="0" borderId="0" xfId="0" applyFont="1" applyFill="1" applyBorder="1"/>
    <xf numFmtId="3" fontId="66" fillId="5" borderId="0" xfId="0" applyNumberFormat="1" applyFont="1" applyFill="1" applyBorder="1"/>
    <xf numFmtId="0" fontId="65" fillId="5" borderId="0" xfId="0" applyFont="1" applyFill="1" applyBorder="1"/>
    <xf numFmtId="0" fontId="65" fillId="0" borderId="1" xfId="0" applyFont="1" applyBorder="1"/>
    <xf numFmtId="0" fontId="65" fillId="0" borderId="1" xfId="0" applyFont="1" applyFill="1" applyBorder="1" applyAlignment="1">
      <alignment horizontal="left" vertical="top" wrapText="1"/>
    </xf>
    <xf numFmtId="0" fontId="65" fillId="0" borderId="1" xfId="0" applyFont="1" applyFill="1" applyBorder="1" applyAlignment="1">
      <alignment horizontal="center" vertical="center"/>
    </xf>
    <xf numFmtId="3" fontId="65" fillId="5" borderId="0" xfId="0" applyNumberFormat="1" applyFont="1" applyFill="1" applyBorder="1"/>
    <xf numFmtId="49" fontId="65" fillId="0" borderId="0" xfId="2" applyNumberFormat="1" applyFont="1" applyAlignment="1">
      <alignment wrapText="1"/>
    </xf>
    <xf numFmtId="49" fontId="65" fillId="5" borderId="0" xfId="0" applyNumberFormat="1" applyFont="1" applyFill="1" applyBorder="1"/>
    <xf numFmtId="0" fontId="65" fillId="5" borderId="1" xfId="0" applyFont="1" applyFill="1" applyBorder="1" applyAlignment="1">
      <alignment horizontal="left" vertical="top" wrapText="1"/>
    </xf>
    <xf numFmtId="0" fontId="69" fillId="4" borderId="1" xfId="0" applyFont="1" applyFill="1" applyBorder="1" applyAlignment="1">
      <alignment horizontal="left" vertical="top" wrapText="1"/>
    </xf>
    <xf numFmtId="0" fontId="65" fillId="4" borderId="1" xfId="0" applyFont="1" applyFill="1" applyBorder="1" applyAlignment="1">
      <alignment horizontal="left" vertical="top" wrapText="1"/>
    </xf>
    <xf numFmtId="0" fontId="64" fillId="5" borderId="0" xfId="0" applyFont="1" applyFill="1" applyBorder="1"/>
    <xf numFmtId="0" fontId="64" fillId="0" borderId="1" xfId="0" applyFont="1" applyBorder="1"/>
    <xf numFmtId="3" fontId="64" fillId="5" borderId="0" xfId="0" applyNumberFormat="1" applyFont="1" applyFill="1" applyBorder="1"/>
    <xf numFmtId="0" fontId="64" fillId="0" borderId="1" xfId="0" applyFont="1" applyFill="1" applyBorder="1" applyAlignment="1">
      <alignment horizontal="left" vertical="top" wrapText="1"/>
    </xf>
    <xf numFmtId="0" fontId="64" fillId="0" borderId="1" xfId="0" applyFont="1" applyFill="1" applyBorder="1" applyAlignment="1">
      <alignment horizontal="center" vertical="center"/>
    </xf>
    <xf numFmtId="0" fontId="63" fillId="0" borderId="0" xfId="0" applyFont="1" applyFill="1" applyBorder="1"/>
    <xf numFmtId="0" fontId="63" fillId="5" borderId="0" xfId="0" applyFont="1" applyFill="1" applyBorder="1"/>
    <xf numFmtId="0" fontId="132" fillId="4" borderId="0" xfId="0" applyFont="1" applyFill="1" applyBorder="1"/>
    <xf numFmtId="0" fontId="128" fillId="4" borderId="0" xfId="0" applyFont="1" applyFill="1" applyBorder="1"/>
    <xf numFmtId="0" fontId="177" fillId="4" borderId="0" xfId="0" applyFont="1" applyFill="1" applyBorder="1"/>
    <xf numFmtId="0" fontId="63" fillId="4" borderId="0" xfId="0" applyFont="1" applyFill="1" applyBorder="1"/>
    <xf numFmtId="3" fontId="126" fillId="4" borderId="0" xfId="0" applyNumberFormat="1" applyFont="1" applyFill="1" applyBorder="1"/>
    <xf numFmtId="3" fontId="63" fillId="5" borderId="0" xfId="0" applyNumberFormat="1" applyFont="1" applyFill="1" applyBorder="1"/>
    <xf numFmtId="49" fontId="62" fillId="5" borderId="1" xfId="2" applyNumberFormat="1" applyFont="1" applyFill="1" applyBorder="1" applyAlignment="1">
      <alignment wrapText="1"/>
    </xf>
    <xf numFmtId="0" fontId="62" fillId="0" borderId="0" xfId="0" applyFont="1" applyFill="1" applyBorder="1"/>
    <xf numFmtId="0" fontId="62" fillId="0" borderId="1" xfId="0" applyFont="1" applyFill="1" applyBorder="1" applyAlignment="1">
      <alignment horizontal="center" vertical="center"/>
    </xf>
    <xf numFmtId="0" fontId="62" fillId="5" borderId="0" xfId="0" applyFont="1" applyFill="1" applyBorder="1"/>
    <xf numFmtId="49" fontId="62" fillId="5" borderId="0" xfId="0" applyNumberFormat="1" applyFont="1" applyFill="1" applyBorder="1"/>
    <xf numFmtId="3" fontId="62" fillId="0" borderId="0" xfId="0" applyNumberFormat="1" applyFont="1" applyFill="1" applyBorder="1"/>
    <xf numFmtId="3" fontId="62" fillId="5" borderId="0" xfId="0" applyNumberFormat="1" applyFont="1" applyFill="1" applyBorder="1"/>
    <xf numFmtId="0" fontId="61" fillId="5" borderId="0" xfId="0" applyFont="1" applyFill="1" applyBorder="1"/>
    <xf numFmtId="0" fontId="61" fillId="0" borderId="1" xfId="0" applyFont="1" applyFill="1" applyBorder="1" applyAlignment="1">
      <alignment horizontal="center" vertical="center"/>
    </xf>
    <xf numFmtId="0" fontId="61" fillId="0" borderId="1" xfId="0" applyFont="1" applyFill="1" applyBorder="1" applyAlignment="1">
      <alignment horizontal="left" vertical="top" wrapText="1"/>
    </xf>
    <xf numFmtId="0" fontId="61" fillId="0" borderId="1" xfId="0" applyFont="1" applyBorder="1"/>
    <xf numFmtId="0" fontId="61" fillId="0" borderId="3" xfId="0" applyFont="1" applyBorder="1"/>
    <xf numFmtId="3" fontId="61" fillId="5" borderId="0" xfId="0" applyNumberFormat="1" applyFont="1" applyFill="1" applyBorder="1"/>
    <xf numFmtId="0" fontId="60" fillId="0" borderId="1" xfId="0" applyFont="1" applyFill="1" applyBorder="1" applyAlignment="1">
      <alignment horizontal="center" vertical="center"/>
    </xf>
    <xf numFmtId="0" fontId="60" fillId="5" borderId="0" xfId="0" applyFont="1" applyFill="1" applyBorder="1"/>
    <xf numFmtId="0" fontId="450" fillId="0" borderId="0" xfId="0" applyFont="1" applyAlignment="1">
      <alignment horizontal="center" vertical="center"/>
    </xf>
    <xf numFmtId="0" fontId="59" fillId="0" borderId="1" xfId="0" applyFont="1" applyFill="1" applyBorder="1"/>
    <xf numFmtId="0" fontId="61" fillId="0" borderId="1" xfId="0" applyFont="1" applyFill="1" applyBorder="1"/>
    <xf numFmtId="0" fontId="59" fillId="0" borderId="1" xfId="0" applyFont="1" applyBorder="1"/>
    <xf numFmtId="0" fontId="59" fillId="5" borderId="0" xfId="0" applyFont="1" applyFill="1" applyBorder="1"/>
    <xf numFmtId="3" fontId="59" fillId="5" borderId="0" xfId="0" applyNumberFormat="1" applyFont="1" applyFill="1" applyBorder="1"/>
    <xf numFmtId="0" fontId="58" fillId="0" borderId="0" xfId="0" applyFont="1" applyFill="1" applyBorder="1"/>
    <xf numFmtId="0" fontId="58" fillId="0" borderId="1" xfId="0" applyFont="1" applyFill="1" applyBorder="1" applyAlignment="1">
      <alignment horizontal="center" vertical="center"/>
    </xf>
    <xf numFmtId="0" fontId="58" fillId="5" borderId="0" xfId="0" applyFont="1" applyFill="1" applyBorder="1"/>
    <xf numFmtId="0" fontId="57" fillId="0" borderId="0" xfId="0" applyFont="1" applyFill="1" applyBorder="1"/>
    <xf numFmtId="0" fontId="57" fillId="0" borderId="0" xfId="0" applyFont="1" applyFill="1"/>
    <xf numFmtId="3" fontId="57" fillId="0" borderId="0" xfId="0" applyNumberFormat="1" applyFont="1" applyFill="1" applyBorder="1"/>
    <xf numFmtId="0" fontId="57" fillId="5" borderId="0" xfId="0" applyFont="1" applyFill="1" applyBorder="1"/>
    <xf numFmtId="3" fontId="58" fillId="5" borderId="0" xfId="0" applyNumberFormat="1" applyFont="1" applyFill="1" applyBorder="1"/>
    <xf numFmtId="0" fontId="57" fillId="9" borderId="0" xfId="0" applyFont="1" applyFill="1" applyBorder="1"/>
    <xf numFmtId="0" fontId="56" fillId="0" borderId="0" xfId="0" applyFont="1" applyFill="1" applyBorder="1"/>
    <xf numFmtId="0" fontId="56" fillId="5" borderId="0" xfId="0" applyFont="1" applyFill="1" applyBorder="1"/>
    <xf numFmtId="3" fontId="57" fillId="5" borderId="0" xfId="0" applyNumberFormat="1" applyFont="1" applyFill="1" applyBorder="1"/>
    <xf numFmtId="0" fontId="63" fillId="14" borderId="0" xfId="0" applyFont="1" applyFill="1" applyBorder="1"/>
    <xf numFmtId="3" fontId="63" fillId="14" borderId="0" xfId="0" applyNumberFormat="1" applyFont="1" applyFill="1" applyBorder="1"/>
    <xf numFmtId="167" fontId="56" fillId="0" borderId="0" xfId="4" applyNumberFormat="1" applyFont="1" applyFill="1" applyBorder="1" applyAlignment="1">
      <alignment horizontal="right"/>
    </xf>
    <xf numFmtId="0" fontId="56" fillId="0" borderId="0" xfId="0" applyFont="1"/>
    <xf numFmtId="0" fontId="57" fillId="4" borderId="0" xfId="0" applyFont="1" applyFill="1" applyBorder="1"/>
    <xf numFmtId="0" fontId="55" fillId="0" borderId="0" xfId="0" applyFont="1" applyFill="1" applyBorder="1"/>
    <xf numFmtId="0" fontId="448" fillId="20" borderId="0" xfId="0" applyFont="1" applyFill="1" applyAlignment="1">
      <alignment horizontal="center" vertical="center" wrapText="1"/>
    </xf>
    <xf numFmtId="0" fontId="132" fillId="20" borderId="0" xfId="0" applyFont="1" applyFill="1" applyBorder="1"/>
    <xf numFmtId="0" fontId="128" fillId="20" borderId="0" xfId="0" applyFont="1" applyFill="1" applyBorder="1"/>
    <xf numFmtId="0" fontId="177" fillId="20" borderId="0" xfId="0" applyFont="1" applyFill="1" applyBorder="1"/>
    <xf numFmtId="0" fontId="0" fillId="20" borderId="0" xfId="0" applyFont="1" applyFill="1" applyBorder="1"/>
    <xf numFmtId="0" fontId="55" fillId="20" borderId="0" xfId="0" applyFont="1" applyFill="1" applyBorder="1"/>
    <xf numFmtId="3" fontId="126" fillId="20" borderId="0" xfId="0" applyNumberFormat="1" applyFont="1" applyFill="1" applyBorder="1"/>
    <xf numFmtId="0" fontId="55" fillId="14" borderId="0" xfId="0" applyFont="1" applyFill="1" applyBorder="1"/>
    <xf numFmtId="0" fontId="55" fillId="0" borderId="1" xfId="0" applyFont="1" applyFill="1" applyBorder="1" applyAlignment="1">
      <alignment horizontal="left" vertical="top" wrapText="1"/>
    </xf>
    <xf numFmtId="0" fontId="55" fillId="0" borderId="1" xfId="0" applyFont="1" applyFill="1" applyBorder="1" applyAlignment="1">
      <alignment horizontal="center" vertical="center"/>
    </xf>
    <xf numFmtId="3" fontId="56" fillId="5" borderId="0" xfId="0" applyNumberFormat="1" applyFont="1" applyFill="1" applyBorder="1"/>
    <xf numFmtId="3" fontId="55" fillId="0" borderId="0" xfId="0" applyNumberFormat="1" applyFont="1" applyFill="1" applyBorder="1"/>
    <xf numFmtId="0" fontId="55" fillId="5" borderId="0" xfId="0" applyFont="1" applyFill="1" applyBorder="1"/>
    <xf numFmtId="3" fontId="55" fillId="5" borderId="0" xfId="0" applyNumberFormat="1" applyFont="1" applyFill="1" applyBorder="1"/>
    <xf numFmtId="0" fontId="56" fillId="20" borderId="0" xfId="0" applyFont="1" applyFill="1" applyBorder="1"/>
    <xf numFmtId="0" fontId="55" fillId="0" borderId="1" xfId="0" applyFont="1" applyBorder="1"/>
    <xf numFmtId="0" fontId="54" fillId="0" borderId="0" xfId="0" applyFont="1" applyFill="1" applyBorder="1"/>
    <xf numFmtId="0" fontId="54" fillId="5" borderId="0" xfId="0" applyFont="1" applyFill="1" applyBorder="1"/>
    <xf numFmtId="0" fontId="54" fillId="0" borderId="1" xfId="0" applyFont="1" applyBorder="1" applyAlignment="1">
      <alignment wrapText="1"/>
    </xf>
    <xf numFmtId="167" fontId="54" fillId="5" borderId="0" xfId="4" applyNumberFormat="1" applyFont="1" applyFill="1" applyBorder="1" applyAlignment="1">
      <alignment horizontal="right"/>
    </xf>
    <xf numFmtId="0" fontId="97" fillId="14" borderId="0" xfId="0" applyFont="1" applyFill="1" applyBorder="1"/>
    <xf numFmtId="0" fontId="54" fillId="0" borderId="1" xfId="0" applyFont="1" applyFill="1" applyBorder="1" applyAlignment="1">
      <alignment horizontal="center" vertical="center"/>
    </xf>
    <xf numFmtId="0" fontId="53" fillId="5" borderId="0" xfId="0" applyFont="1" applyFill="1" applyBorder="1"/>
    <xf numFmtId="0" fontId="53" fillId="5" borderId="1" xfId="0" applyFont="1" applyFill="1" applyBorder="1"/>
    <xf numFmtId="49" fontId="53" fillId="0" borderId="1" xfId="2" applyNumberFormat="1" applyFont="1" applyBorder="1" applyAlignment="1">
      <alignment wrapText="1"/>
    </xf>
    <xf numFmtId="3" fontId="54" fillId="5" borderId="0" xfId="0" applyNumberFormat="1" applyFont="1" applyFill="1" applyBorder="1"/>
    <xf numFmtId="0" fontId="53" fillId="4" borderId="1" xfId="0" applyFont="1" applyFill="1" applyBorder="1"/>
    <xf numFmtId="0" fontId="53" fillId="14" borderId="1" xfId="0" applyFont="1" applyFill="1" applyBorder="1" applyAlignment="1">
      <alignment wrapText="1"/>
    </xf>
    <xf numFmtId="0" fontId="53" fillId="2" borderId="2" xfId="0" applyFont="1" applyFill="1" applyBorder="1"/>
    <xf numFmtId="0" fontId="53" fillId="4" borderId="1" xfId="0" applyFont="1" applyFill="1" applyBorder="1" applyAlignment="1">
      <alignment horizontal="left" vertical="top" wrapText="1"/>
    </xf>
    <xf numFmtId="0" fontId="53" fillId="0" borderId="1" xfId="0" applyFont="1" applyFill="1" applyBorder="1"/>
    <xf numFmtId="0" fontId="53" fillId="2" borderId="1" xfId="0" applyFont="1" applyFill="1" applyBorder="1"/>
    <xf numFmtId="0" fontId="53" fillId="14" borderId="1" xfId="0" applyFont="1" applyFill="1" applyBorder="1"/>
    <xf numFmtId="0" fontId="53" fillId="6" borderId="1" xfId="0" applyFont="1" applyFill="1" applyBorder="1"/>
    <xf numFmtId="49" fontId="53" fillId="5" borderId="0" xfId="0" applyNumberFormat="1" applyFont="1" applyFill="1" applyBorder="1"/>
    <xf numFmtId="0" fontId="52" fillId="0" borderId="1" xfId="0" applyFont="1" applyBorder="1"/>
    <xf numFmtId="43" fontId="0" fillId="0" borderId="0" xfId="0" applyNumberFormat="1"/>
    <xf numFmtId="0" fontId="52" fillId="0" borderId="1" xfId="0" applyFont="1" applyFill="1" applyBorder="1" applyAlignment="1">
      <alignment horizontal="left" vertical="top" wrapText="1"/>
    </xf>
    <xf numFmtId="0" fontId="50" fillId="0" borderId="1" xfId="0" applyFont="1" applyBorder="1"/>
    <xf numFmtId="0" fontId="50" fillId="0" borderId="1" xfId="0" applyFont="1" applyFill="1" applyBorder="1" applyAlignment="1">
      <alignment horizontal="left" vertical="top" wrapText="1"/>
    </xf>
    <xf numFmtId="0" fontId="50" fillId="0" borderId="1" xfId="0" applyFont="1" applyFill="1" applyBorder="1" applyAlignment="1">
      <alignment horizontal="center" vertical="center"/>
    </xf>
    <xf numFmtId="3" fontId="53" fillId="5" borderId="0" xfId="0" applyNumberFormat="1" applyFont="1" applyFill="1" applyBorder="1"/>
    <xf numFmtId="0" fontId="52" fillId="5" borderId="0" xfId="0" applyFont="1" applyFill="1" applyBorder="1"/>
    <xf numFmtId="0" fontId="49" fillId="0" borderId="1" xfId="0" applyFont="1" applyBorder="1"/>
    <xf numFmtId="0" fontId="49" fillId="0" borderId="1" xfId="0" applyFont="1" applyFill="1" applyBorder="1" applyAlignment="1">
      <alignment horizontal="center" vertical="center"/>
    </xf>
    <xf numFmtId="0" fontId="49" fillId="0" borderId="0" xfId="0" applyFont="1" applyFill="1" applyBorder="1"/>
    <xf numFmtId="0" fontId="49" fillId="0" borderId="3" xfId="0" applyFont="1" applyFill="1" applyBorder="1"/>
    <xf numFmtId="0" fontId="49" fillId="0" borderId="0" xfId="0" applyFont="1" applyFill="1"/>
    <xf numFmtId="3" fontId="49" fillId="0" borderId="0" xfId="0" applyNumberFormat="1" applyFont="1" applyFill="1" applyBorder="1"/>
    <xf numFmtId="0" fontId="49" fillId="5" borderId="0" xfId="0" applyFont="1" applyFill="1" applyBorder="1"/>
    <xf numFmtId="3" fontId="49" fillId="5" borderId="0" xfId="0" applyNumberFormat="1" applyFont="1" applyFill="1" applyBorder="1"/>
    <xf numFmtId="0" fontId="49" fillId="5" borderId="1" xfId="0" applyFont="1" applyFill="1" applyBorder="1"/>
    <xf numFmtId="49" fontId="49" fillId="0" borderId="1" xfId="2" applyNumberFormat="1" applyFont="1" applyBorder="1" applyAlignment="1">
      <alignment wrapText="1"/>
    </xf>
    <xf numFmtId="0" fontId="49" fillId="5" borderId="0" xfId="0" applyFont="1" applyFill="1"/>
    <xf numFmtId="3" fontId="49" fillId="0" borderId="1" xfId="0" applyNumberFormat="1" applyFont="1" applyBorder="1" applyAlignment="1">
      <alignment horizontal="left" vertical="top" wrapText="1"/>
    </xf>
    <xf numFmtId="49" fontId="48" fillId="0" borderId="0" xfId="2" applyNumberFormat="1" applyFont="1" applyAlignment="1">
      <alignment wrapText="1"/>
    </xf>
    <xf numFmtId="0" fontId="48" fillId="5" borderId="0" xfId="0" applyFont="1" applyFill="1" applyBorder="1"/>
    <xf numFmtId="0" fontId="47" fillId="0" borderId="0" xfId="0" applyFont="1" applyFill="1" applyBorder="1"/>
    <xf numFmtId="3" fontId="47" fillId="0" borderId="0" xfId="0" applyNumberFormat="1" applyFont="1" applyFill="1" applyBorder="1"/>
    <xf numFmtId="0" fontId="47" fillId="5" borderId="0" xfId="0" applyFont="1" applyFill="1" applyBorder="1"/>
    <xf numFmtId="0" fontId="51" fillId="5" borderId="1" xfId="0" applyFont="1" applyFill="1" applyBorder="1" applyAlignment="1">
      <alignment horizontal="left" vertical="top" wrapText="1"/>
    </xf>
    <xf numFmtId="0" fontId="46" fillId="0" borderId="1" xfId="0" applyFont="1" applyBorder="1"/>
    <xf numFmtId="0" fontId="46" fillId="0" borderId="0" xfId="0" applyFont="1" applyFill="1" applyBorder="1"/>
    <xf numFmtId="0" fontId="46" fillId="5" borderId="0" xfId="0" applyFont="1" applyFill="1" applyBorder="1"/>
    <xf numFmtId="0" fontId="45" fillId="0" borderId="0" xfId="0" applyFont="1" applyFill="1" applyBorder="1"/>
    <xf numFmtId="0" fontId="45" fillId="5" borderId="0" xfId="0" applyFont="1" applyFill="1" applyBorder="1"/>
    <xf numFmtId="0" fontId="49" fillId="0" borderId="1" xfId="0" applyFont="1" applyFill="1" applyBorder="1"/>
    <xf numFmtId="0" fontId="44" fillId="0" borderId="0" xfId="0" applyFont="1" applyFill="1" applyBorder="1"/>
    <xf numFmtId="0" fontId="44" fillId="5" borderId="0" xfId="0" applyFont="1" applyFill="1" applyBorder="1"/>
    <xf numFmtId="3" fontId="48" fillId="5" borderId="0" xfId="0" applyNumberFormat="1" applyFont="1" applyFill="1" applyBorder="1"/>
    <xf numFmtId="3" fontId="47" fillId="5" borderId="0" xfId="0" applyNumberFormat="1" applyFont="1" applyFill="1" applyBorder="1"/>
    <xf numFmtId="0" fontId="44" fillId="0" borderId="1" xfId="0" applyFont="1" applyBorder="1"/>
    <xf numFmtId="49" fontId="44" fillId="0" borderId="1" xfId="2" applyNumberFormat="1" applyFont="1" applyBorder="1" applyAlignment="1">
      <alignment wrapText="1"/>
    </xf>
    <xf numFmtId="0" fontId="44" fillId="0" borderId="1" xfId="0" applyFont="1" applyFill="1" applyBorder="1" applyAlignment="1">
      <alignment horizontal="left" vertical="top" wrapText="1"/>
    </xf>
    <xf numFmtId="3" fontId="45" fillId="5" borderId="0" xfId="0" applyNumberFormat="1" applyFont="1" applyFill="1" applyBorder="1"/>
    <xf numFmtId="0" fontId="49" fillId="14" borderId="0" xfId="0" applyFont="1" applyFill="1" applyBorder="1"/>
    <xf numFmtId="3" fontId="49" fillId="14" borderId="0" xfId="0" applyNumberFormat="1" applyFont="1" applyFill="1" applyBorder="1"/>
    <xf numFmtId="0" fontId="44" fillId="5" borderId="1" xfId="0" applyFont="1" applyFill="1" applyBorder="1"/>
    <xf numFmtId="0" fontId="43" fillId="0" borderId="1" xfId="0" applyFont="1" applyBorder="1"/>
    <xf numFmtId="0" fontId="43" fillId="5" borderId="0" xfId="0" applyFont="1" applyFill="1" applyBorder="1"/>
    <xf numFmtId="0" fontId="43" fillId="0" borderId="0" xfId="0" applyFont="1" applyFill="1" applyBorder="1"/>
    <xf numFmtId="3" fontId="43" fillId="0" borderId="0" xfId="0" applyNumberFormat="1" applyFont="1" applyFill="1" applyBorder="1"/>
    <xf numFmtId="3" fontId="44" fillId="5" borderId="0" xfId="0" applyNumberFormat="1" applyFont="1" applyFill="1" applyBorder="1"/>
    <xf numFmtId="3" fontId="43" fillId="5" borderId="0" xfId="0" applyNumberFormat="1" applyFont="1" applyFill="1" applyBorder="1"/>
    <xf numFmtId="0" fontId="42" fillId="0" borderId="0" xfId="0" applyFont="1" applyFill="1" applyBorder="1"/>
    <xf numFmtId="3" fontId="42" fillId="0" borderId="0" xfId="0" applyNumberFormat="1" applyFont="1" applyFill="1" applyBorder="1"/>
    <xf numFmtId="0" fontId="42" fillId="5" borderId="0" xfId="0" applyFont="1" applyFill="1" applyBorder="1"/>
    <xf numFmtId="0" fontId="42" fillId="0" borderId="1" xfId="0" applyFont="1" applyBorder="1"/>
    <xf numFmtId="0" fontId="108" fillId="0" borderId="3" xfId="0" applyFont="1" applyFill="1" applyBorder="1"/>
    <xf numFmtId="0" fontId="73" fillId="5" borderId="3" xfId="0" applyFont="1" applyFill="1" applyBorder="1"/>
    <xf numFmtId="167" fontId="42" fillId="5" borderId="0" xfId="4" applyNumberFormat="1" applyFont="1" applyFill="1" applyBorder="1" applyAlignment="1">
      <alignment horizontal="right"/>
    </xf>
    <xf numFmtId="0" fontId="87" fillId="0" borderId="1" xfId="0" applyFont="1" applyFill="1" applyBorder="1"/>
    <xf numFmtId="0" fontId="42" fillId="0" borderId="3" xfId="0" applyFont="1" applyFill="1" applyBorder="1"/>
    <xf numFmtId="0" fontId="42" fillId="5" borderId="0" xfId="0" applyFont="1" applyFill="1"/>
    <xf numFmtId="43" fontId="42" fillId="0" borderId="0" xfId="2" applyFont="1" applyFill="1"/>
    <xf numFmtId="0" fontId="42" fillId="0" borderId="0" xfId="0" applyFont="1"/>
    <xf numFmtId="0" fontId="42" fillId="5" borderId="1" xfId="0" applyFont="1" applyFill="1" applyBorder="1"/>
    <xf numFmtId="3" fontId="42" fillId="5" borderId="0" xfId="0" applyNumberFormat="1" applyFont="1" applyFill="1" applyBorder="1"/>
    <xf numFmtId="3" fontId="0" fillId="2" borderId="1" xfId="0" applyNumberFormat="1" applyFill="1" applyBorder="1"/>
    <xf numFmtId="0" fontId="44" fillId="2" borderId="1" xfId="0" applyFont="1" applyFill="1" applyBorder="1"/>
    <xf numFmtId="0" fontId="58" fillId="4" borderId="1" xfId="0" applyFont="1" applyFill="1" applyBorder="1" applyAlignment="1">
      <alignment horizontal="left" vertical="top" wrapText="1"/>
    </xf>
    <xf numFmtId="3" fontId="0" fillId="4" borderId="1" xfId="0" applyNumberFormat="1" applyFill="1" applyBorder="1" applyAlignment="1">
      <alignment horizontal="left" vertical="top" wrapText="1"/>
    </xf>
    <xf numFmtId="0" fontId="49" fillId="4" borderId="1" xfId="0" applyFont="1" applyFill="1" applyBorder="1" applyAlignment="1">
      <alignment horizontal="left" vertical="top" wrapText="1"/>
    </xf>
    <xf numFmtId="0" fontId="44" fillId="4" borderId="1" xfId="0" applyFont="1" applyFill="1" applyBorder="1"/>
    <xf numFmtId="3" fontId="42" fillId="0" borderId="1" xfId="0" applyNumberFormat="1" applyFont="1" applyBorder="1" applyAlignment="1">
      <alignment wrapText="1"/>
    </xf>
    <xf numFmtId="0" fontId="68" fillId="4" borderId="0" xfId="0" applyFont="1" applyFill="1" applyBorder="1"/>
    <xf numFmtId="0" fontId="42" fillId="4" borderId="0" xfId="0" applyFont="1" applyFill="1" applyBorder="1"/>
    <xf numFmtId="3" fontId="42" fillId="4" borderId="0" xfId="0" applyNumberFormat="1" applyFont="1" applyFill="1" applyBorder="1"/>
    <xf numFmtId="167" fontId="68" fillId="4" borderId="0" xfId="4" applyNumberFormat="1" applyFont="1" applyFill="1" applyBorder="1" applyAlignment="1">
      <alignment horizontal="right"/>
    </xf>
    <xf numFmtId="0" fontId="46" fillId="5" borderId="1" xfId="0" applyFont="1" applyFill="1" applyBorder="1"/>
    <xf numFmtId="0" fontId="41" fillId="5" borderId="0" xfId="0" applyFont="1" applyFill="1" applyBorder="1"/>
    <xf numFmtId="0" fontId="41" fillId="0" borderId="1" xfId="0" applyFont="1" applyBorder="1"/>
    <xf numFmtId="0" fontId="41" fillId="5" borderId="1" xfId="0" applyFont="1" applyFill="1" applyBorder="1"/>
    <xf numFmtId="0" fontId="49" fillId="9" borderId="1" xfId="0" applyFont="1" applyFill="1" applyBorder="1"/>
    <xf numFmtId="0" fontId="49" fillId="4" borderId="1" xfId="0" applyFont="1" applyFill="1" applyBorder="1"/>
    <xf numFmtId="3" fontId="0" fillId="4" borderId="1" xfId="0" applyNumberFormat="1" applyFill="1" applyBorder="1"/>
    <xf numFmtId="0" fontId="43" fillId="4" borderId="1" xfId="0" applyFont="1" applyFill="1" applyBorder="1"/>
    <xf numFmtId="0" fontId="42" fillId="2" borderId="1" xfId="0" applyFont="1" applyFill="1" applyBorder="1"/>
    <xf numFmtId="0" fontId="41" fillId="0" borderId="1" xfId="0" applyFont="1" applyBorder="1" applyAlignment="1">
      <alignment wrapText="1"/>
    </xf>
    <xf numFmtId="3" fontId="460" fillId="0" borderId="1" xfId="0" applyNumberFormat="1" applyFont="1" applyFill="1" applyBorder="1" applyAlignment="1">
      <alignment horizontal="left" vertical="top" wrapText="1"/>
    </xf>
    <xf numFmtId="3" fontId="0" fillId="6" borderId="1" xfId="0" applyNumberFormat="1" applyFill="1" applyBorder="1"/>
    <xf numFmtId="0" fontId="45" fillId="5" borderId="1" xfId="0" applyFont="1" applyFill="1" applyBorder="1"/>
    <xf numFmtId="0" fontId="45" fillId="9" borderId="1" xfId="0" applyFont="1" applyFill="1" applyBorder="1"/>
    <xf numFmtId="0" fontId="42" fillId="9" borderId="1" xfId="0" applyFont="1" applyFill="1" applyBorder="1"/>
    <xf numFmtId="0" fontId="43" fillId="9" borderId="1" xfId="0" applyFont="1" applyFill="1" applyBorder="1"/>
    <xf numFmtId="0" fontId="460" fillId="4" borderId="1" xfId="0" applyFont="1" applyFill="1" applyBorder="1"/>
    <xf numFmtId="0" fontId="40" fillId="0" borderId="1" xfId="0" applyFont="1" applyBorder="1"/>
    <xf numFmtId="0" fontId="40" fillId="10" borderId="0" xfId="0" applyFont="1" applyFill="1"/>
    <xf numFmtId="0" fontId="40" fillId="11" borderId="0" xfId="0" applyFont="1" applyFill="1" applyAlignment="1">
      <alignment wrapText="1"/>
    </xf>
    <xf numFmtId="0" fontId="40" fillId="11" borderId="0" xfId="0" applyFont="1" applyFill="1"/>
    <xf numFmtId="0" fontId="40" fillId="13" borderId="0" xfId="0" applyFont="1" applyFill="1"/>
    <xf numFmtId="0" fontId="40" fillId="5" borderId="0" xfId="0" applyFont="1" applyFill="1" applyBorder="1"/>
    <xf numFmtId="0" fontId="39" fillId="0" borderId="0" xfId="0" applyFont="1"/>
    <xf numFmtId="3" fontId="41" fillId="5" borderId="0" xfId="0" applyNumberFormat="1" applyFont="1" applyFill="1" applyBorder="1"/>
    <xf numFmtId="0" fontId="39" fillId="0" borderId="1" xfId="0" applyFont="1" applyBorder="1"/>
    <xf numFmtId="0" fontId="39" fillId="0" borderId="0" xfId="0" applyFont="1" applyFill="1" applyBorder="1"/>
    <xf numFmtId="49" fontId="39" fillId="5" borderId="0" xfId="0" applyNumberFormat="1" applyFont="1" applyFill="1" applyBorder="1"/>
    <xf numFmtId="3" fontId="40" fillId="5" borderId="0" xfId="0" applyNumberFormat="1" applyFont="1" applyFill="1" applyBorder="1"/>
    <xf numFmtId="0" fontId="39" fillId="0" borderId="0" xfId="0" applyFont="1" applyFill="1"/>
    <xf numFmtId="3" fontId="39" fillId="0" borderId="0" xfId="0" applyNumberFormat="1" applyFont="1" applyFill="1" applyBorder="1"/>
    <xf numFmtId="0" fontId="39" fillId="5" borderId="0" xfId="0" applyFont="1" applyFill="1" applyBorder="1"/>
    <xf numFmtId="3" fontId="39" fillId="0" borderId="1" xfId="0" applyNumberFormat="1" applyFont="1" applyBorder="1" applyAlignment="1">
      <alignment wrapText="1"/>
    </xf>
    <xf numFmtId="0" fontId="39" fillId="0" borderId="1" xfId="0" applyFont="1" applyBorder="1" applyAlignment="1">
      <alignment wrapText="1"/>
    </xf>
    <xf numFmtId="3" fontId="39" fillId="5" borderId="0" xfId="0" applyNumberFormat="1" applyFont="1" applyFill="1" applyBorder="1"/>
    <xf numFmtId="0" fontId="38" fillId="0" borderId="0" xfId="0" applyFont="1" applyFill="1" applyBorder="1"/>
    <xf numFmtId="0" fontId="38" fillId="0" borderId="1" xfId="0" applyFont="1" applyBorder="1"/>
    <xf numFmtId="3" fontId="38" fillId="0" borderId="0" xfId="0" applyNumberFormat="1" applyFont="1" applyFill="1" applyBorder="1"/>
    <xf numFmtId="0" fontId="38" fillId="5" borderId="0" xfId="0" applyFont="1" applyFill="1" applyBorder="1"/>
    <xf numFmtId="3" fontId="38" fillId="5" borderId="0" xfId="0" applyNumberFormat="1" applyFont="1" applyFill="1" applyBorder="1"/>
    <xf numFmtId="167" fontId="38" fillId="5" borderId="0" xfId="4" applyNumberFormat="1" applyFont="1" applyFill="1" applyBorder="1" applyAlignment="1">
      <alignment horizontal="right"/>
    </xf>
    <xf numFmtId="0" fontId="38" fillId="0" borderId="1" xfId="0" applyFont="1" applyBorder="1" applyAlignment="1">
      <alignment wrapText="1"/>
    </xf>
    <xf numFmtId="49" fontId="38" fillId="5" borderId="0" xfId="0" applyNumberFormat="1" applyFont="1" applyFill="1" applyBorder="1"/>
    <xf numFmtId="0" fontId="40" fillId="2" borderId="1" xfId="0" applyFont="1" applyFill="1" applyBorder="1"/>
    <xf numFmtId="0" fontId="39" fillId="2" borderId="1" xfId="0" applyFont="1" applyFill="1" applyBorder="1"/>
    <xf numFmtId="0" fontId="38" fillId="2" borderId="1" xfId="0" applyFont="1" applyFill="1" applyBorder="1" applyAlignment="1">
      <alignment wrapText="1"/>
    </xf>
    <xf numFmtId="0" fontId="42" fillId="0" borderId="1" xfId="0" applyFont="1" applyFill="1" applyBorder="1"/>
    <xf numFmtId="0" fontId="37" fillId="0" borderId="1" xfId="0" applyFont="1" applyBorder="1" applyAlignment="1">
      <alignment wrapText="1"/>
    </xf>
    <xf numFmtId="0" fontId="37" fillId="0" borderId="1" xfId="0" applyFont="1" applyBorder="1"/>
    <xf numFmtId="3" fontId="37" fillId="5" borderId="0" xfId="0" applyNumberFormat="1" applyFont="1" applyFill="1" applyBorder="1"/>
    <xf numFmtId="3" fontId="37" fillId="0" borderId="0" xfId="0" applyNumberFormat="1" applyFont="1" applyFill="1" applyBorder="1"/>
    <xf numFmtId="49" fontId="37" fillId="0" borderId="1" xfId="2" applyNumberFormat="1" applyFont="1" applyBorder="1" applyAlignment="1">
      <alignment wrapText="1"/>
    </xf>
    <xf numFmtId="49" fontId="37" fillId="5" borderId="1" xfId="2" applyNumberFormat="1" applyFont="1" applyFill="1" applyBorder="1" applyAlignment="1">
      <alignment wrapText="1"/>
    </xf>
    <xf numFmtId="0" fontId="37" fillId="5" borderId="0" xfId="0" applyFont="1" applyFill="1" applyBorder="1"/>
    <xf numFmtId="0" fontId="39" fillId="4" borderId="1" xfId="0" applyFont="1" applyFill="1" applyBorder="1"/>
    <xf numFmtId="0" fontId="37" fillId="0" borderId="0" xfId="0" applyFont="1"/>
    <xf numFmtId="0" fontId="461" fillId="5" borderId="1" xfId="0" applyFont="1" applyFill="1" applyBorder="1"/>
    <xf numFmtId="0" fontId="36" fillId="5" borderId="0" xfId="0" applyFont="1" applyFill="1" applyBorder="1"/>
    <xf numFmtId="0" fontId="39" fillId="9" borderId="1" xfId="0" applyFont="1" applyFill="1" applyBorder="1"/>
    <xf numFmtId="0" fontId="38" fillId="9" borderId="1" xfId="0" applyFont="1" applyFill="1" applyBorder="1"/>
    <xf numFmtId="0" fontId="36" fillId="0" borderId="1" xfId="0" applyFont="1" applyFill="1" applyBorder="1"/>
    <xf numFmtId="0" fontId="36" fillId="0" borderId="0" xfId="0" applyFont="1"/>
    <xf numFmtId="0" fontId="37" fillId="0" borderId="1" xfId="0" applyFont="1" applyFill="1" applyBorder="1"/>
    <xf numFmtId="3" fontId="36" fillId="5" borderId="0" xfId="0" applyNumberFormat="1" applyFont="1" applyFill="1" applyBorder="1"/>
    <xf numFmtId="0" fontId="36" fillId="0" borderId="0" xfId="0" applyFont="1" applyFill="1" applyBorder="1"/>
    <xf numFmtId="0" fontId="37" fillId="5" borderId="1" xfId="0" applyFont="1" applyFill="1" applyBorder="1" applyAlignment="1">
      <alignment wrapText="1"/>
    </xf>
    <xf numFmtId="3" fontId="36" fillId="0" borderId="0" xfId="0" applyNumberFormat="1" applyFont="1" applyFill="1" applyBorder="1"/>
    <xf numFmtId="0" fontId="35" fillId="0" borderId="0" xfId="0" applyFont="1"/>
    <xf numFmtId="0" fontId="35" fillId="0" borderId="0" xfId="0" applyFont="1" applyFill="1" applyBorder="1"/>
    <xf numFmtId="3" fontId="35" fillId="0" borderId="0" xfId="0" applyNumberFormat="1" applyFont="1" applyFill="1" applyBorder="1"/>
    <xf numFmtId="49" fontId="35" fillId="0" borderId="0" xfId="2" applyNumberFormat="1" applyFont="1" applyAlignment="1">
      <alignment wrapText="1"/>
    </xf>
    <xf numFmtId="0" fontId="35" fillId="0" borderId="1" xfId="0" applyFont="1" applyBorder="1"/>
    <xf numFmtId="14" fontId="333" fillId="0" borderId="0" xfId="0" applyNumberFormat="1" applyFont="1" applyFill="1"/>
    <xf numFmtId="14" fontId="37" fillId="0" borderId="0" xfId="0" applyNumberFormat="1" applyFont="1" applyFill="1"/>
    <xf numFmtId="14" fontId="405" fillId="0" borderId="0" xfId="0" applyNumberFormat="1" applyFont="1" applyFill="1"/>
    <xf numFmtId="14" fontId="396" fillId="0" borderId="0" xfId="0" applyNumberFormat="1" applyFont="1" applyFill="1"/>
    <xf numFmtId="14" fontId="395" fillId="0" borderId="0" xfId="0" applyNumberFormat="1" applyFont="1" applyFill="1"/>
    <xf numFmtId="14" fontId="390" fillId="0" borderId="0" xfId="0" applyNumberFormat="1" applyFont="1" applyFill="1"/>
    <xf numFmtId="14" fontId="389" fillId="0" borderId="0" xfId="0" applyNumberFormat="1" applyFont="1" applyFill="1"/>
    <xf numFmtId="14" fontId="388" fillId="0" borderId="0" xfId="0" applyNumberFormat="1" applyFont="1" applyFill="1"/>
    <xf numFmtId="14" fontId="387" fillId="0" borderId="0" xfId="0" applyNumberFormat="1" applyFont="1" applyFill="1"/>
    <xf numFmtId="14" fontId="386" fillId="0" borderId="0" xfId="0" applyNumberFormat="1" applyFont="1" applyFill="1"/>
    <xf numFmtId="14" fontId="385" fillId="0" borderId="0" xfId="0" applyNumberFormat="1" applyFont="1" applyFill="1"/>
    <xf numFmtId="14" fontId="384" fillId="0" borderId="0" xfId="0" applyNumberFormat="1" applyFont="1" applyFill="1"/>
    <xf numFmtId="14" fontId="383" fillId="0" borderId="0" xfId="0" applyNumberFormat="1" applyFont="1" applyFill="1"/>
    <xf numFmtId="14" fontId="382" fillId="0" borderId="0" xfId="0" applyNumberFormat="1" applyFont="1" applyFill="1"/>
    <xf numFmtId="14" fontId="381" fillId="0" borderId="0" xfId="0" applyNumberFormat="1" applyFont="1" applyFill="1"/>
    <xf numFmtId="14" fontId="379" fillId="0" borderId="0" xfId="0" applyNumberFormat="1" applyFont="1" applyFill="1"/>
    <xf numFmtId="14" fontId="378" fillId="0" borderId="0" xfId="0" applyNumberFormat="1" applyFont="1" applyFill="1"/>
    <xf numFmtId="14" fontId="377" fillId="0" borderId="0" xfId="0" applyNumberFormat="1" applyFont="1" applyFill="1"/>
    <xf numFmtId="14" fontId="376" fillId="0" borderId="0" xfId="0" applyNumberFormat="1" applyFont="1" applyFill="1"/>
    <xf numFmtId="14" fontId="375" fillId="0" borderId="0" xfId="0" applyNumberFormat="1" applyFont="1" applyFill="1"/>
    <xf numFmtId="14" fontId="374" fillId="0" borderId="0" xfId="0" applyNumberFormat="1" applyFont="1" applyFill="1"/>
    <xf numFmtId="14" fontId="373" fillId="0" borderId="0" xfId="0" applyNumberFormat="1" applyFont="1" applyFill="1"/>
    <xf numFmtId="14" fontId="371" fillId="0" borderId="0" xfId="0" applyNumberFormat="1" applyFont="1" applyFill="1"/>
    <xf numFmtId="14" fontId="370" fillId="0" borderId="0" xfId="0" applyNumberFormat="1" applyFont="1" applyFill="1"/>
    <xf numFmtId="14" fontId="369" fillId="0" borderId="0" xfId="0" applyNumberFormat="1" applyFont="1" applyFill="1"/>
    <xf numFmtId="14" fontId="368" fillId="0" borderId="0" xfId="0" applyNumberFormat="1" applyFont="1" applyFill="1"/>
    <xf numFmtId="14" fontId="367" fillId="0" borderId="0" xfId="0" applyNumberFormat="1" applyFont="1" applyFill="1"/>
    <xf numFmtId="14" fontId="366" fillId="0" borderId="0" xfId="0" applyNumberFormat="1" applyFont="1" applyFill="1"/>
    <xf numFmtId="14" fontId="365" fillId="0" borderId="0" xfId="0" applyNumberFormat="1" applyFont="1" applyFill="1"/>
    <xf numFmtId="14" fontId="363" fillId="0" borderId="0" xfId="0" applyNumberFormat="1" applyFont="1" applyFill="1"/>
    <xf numFmtId="14" fontId="363" fillId="5" borderId="0" xfId="0" applyNumberFormat="1" applyFont="1" applyFill="1"/>
    <xf numFmtId="14" fontId="361" fillId="0" borderId="0" xfId="0" applyNumberFormat="1" applyFont="1" applyFill="1"/>
    <xf numFmtId="14" fontId="360" fillId="0" borderId="0" xfId="0" applyNumberFormat="1" applyFont="1" applyFill="1"/>
    <xf numFmtId="14" fontId="358" fillId="0" borderId="0" xfId="0" applyNumberFormat="1" applyFont="1" applyFill="1"/>
    <xf numFmtId="14" fontId="357" fillId="0" borderId="0" xfId="0" applyNumberFormat="1" applyFont="1" applyFill="1"/>
    <xf numFmtId="14" fontId="357" fillId="5" borderId="0" xfId="0" applyNumberFormat="1" applyFont="1" applyFill="1"/>
    <xf numFmtId="14" fontId="356" fillId="0" borderId="0" xfId="0" applyNumberFormat="1" applyFont="1" applyFill="1"/>
    <xf numFmtId="14" fontId="354" fillId="0" borderId="0" xfId="0" applyNumberFormat="1" applyFont="1" applyFill="1"/>
    <xf numFmtId="14" fontId="353" fillId="0" borderId="0" xfId="0" applyNumberFormat="1" applyFont="1" applyFill="1"/>
    <xf numFmtId="14" fontId="352" fillId="0" borderId="0" xfId="0" applyNumberFormat="1" applyFont="1" applyFill="1"/>
    <xf numFmtId="14" fontId="351" fillId="0" borderId="0" xfId="0" applyNumberFormat="1" applyFont="1" applyFill="1"/>
    <xf numFmtId="14" fontId="350" fillId="0" borderId="0" xfId="0" applyNumberFormat="1" applyFont="1" applyFill="1"/>
    <xf numFmtId="14" fontId="349" fillId="0" borderId="0" xfId="0" applyNumberFormat="1" applyFont="1" applyFill="1"/>
    <xf numFmtId="14" fontId="348" fillId="0" borderId="0" xfId="0" applyNumberFormat="1" applyFont="1" applyFill="1"/>
    <xf numFmtId="14" fontId="347" fillId="0" borderId="0" xfId="0" applyNumberFormat="1" applyFont="1" applyFill="1"/>
    <xf numFmtId="14" fontId="346" fillId="0" borderId="0" xfId="0" applyNumberFormat="1" applyFont="1" applyFill="1"/>
    <xf numFmtId="14" fontId="346" fillId="9" borderId="0" xfId="0" applyNumberFormat="1" applyFont="1" applyFill="1"/>
    <xf numFmtId="14" fontId="345" fillId="0" borderId="0" xfId="0" applyNumberFormat="1" applyFont="1" applyFill="1"/>
    <xf numFmtId="14" fontId="344" fillId="0" borderId="0" xfId="0" applyNumberFormat="1" applyFont="1" applyFill="1"/>
    <xf numFmtId="14" fontId="343" fillId="0" borderId="0" xfId="0" applyNumberFormat="1" applyFont="1" applyFill="1"/>
    <xf numFmtId="14" fontId="342" fillId="0" borderId="0" xfId="0" applyNumberFormat="1" applyFont="1" applyFill="1"/>
    <xf numFmtId="14" fontId="341" fillId="0" borderId="0" xfId="0" applyNumberFormat="1" applyFont="1" applyFill="1"/>
    <xf numFmtId="14" fontId="340" fillId="0" borderId="0" xfId="0" applyNumberFormat="1" applyFont="1" applyFill="1"/>
    <xf numFmtId="14" fontId="339" fillId="0" borderId="0" xfId="0" applyNumberFormat="1" applyFont="1" applyFill="1"/>
    <xf numFmtId="14" fontId="338" fillId="0" borderId="0" xfId="0" applyNumberFormat="1" applyFont="1" applyFill="1"/>
    <xf numFmtId="14" fontId="337" fillId="0" borderId="0" xfId="0" applyNumberFormat="1" applyFont="1" applyFill="1"/>
    <xf numFmtId="14" fontId="336" fillId="0" borderId="0" xfId="0" applyNumberFormat="1" applyFont="1" applyFill="1"/>
    <xf numFmtId="14" fontId="335" fillId="0" borderId="0" xfId="0" applyNumberFormat="1" applyFont="1" applyFill="1"/>
    <xf numFmtId="14" fontId="332" fillId="0" borderId="0" xfId="0" applyNumberFormat="1" applyFont="1" applyFill="1"/>
    <xf numFmtId="14" fontId="331" fillId="0" borderId="0" xfId="0" applyNumberFormat="1" applyFont="1" applyFill="1"/>
    <xf numFmtId="14" fontId="330" fillId="0" borderId="0" xfId="0" applyNumberFormat="1" applyFont="1" applyFill="1"/>
    <xf numFmtId="14" fontId="329" fillId="0" borderId="0" xfId="0" applyNumberFormat="1" applyFont="1" applyFill="1"/>
    <xf numFmtId="14" fontId="328" fillId="0" borderId="0" xfId="0" applyNumberFormat="1" applyFont="1" applyFill="1"/>
    <xf numFmtId="14" fontId="327" fillId="0" borderId="0" xfId="0" applyNumberFormat="1" applyFont="1" applyFill="1"/>
    <xf numFmtId="14" fontId="326" fillId="0" borderId="0" xfId="0" applyNumberFormat="1" applyFont="1" applyFill="1"/>
    <xf numFmtId="14" fontId="325" fillId="0" borderId="0" xfId="0" applyNumberFormat="1" applyFont="1" applyFill="1"/>
    <xf numFmtId="14" fontId="324" fillId="0" borderId="0" xfId="0" applyNumberFormat="1" applyFont="1" applyFill="1"/>
    <xf numFmtId="14" fontId="323" fillId="0" borderId="0" xfId="0" applyNumberFormat="1" applyFont="1" applyFill="1"/>
    <xf numFmtId="14" fontId="322" fillId="0" borderId="0" xfId="0" applyNumberFormat="1" applyFont="1" applyFill="1"/>
    <xf numFmtId="14" fontId="322" fillId="5" borderId="0" xfId="0" applyNumberFormat="1" applyFont="1" applyFill="1"/>
    <xf numFmtId="14" fontId="321" fillId="0" borderId="0" xfId="0" applyNumberFormat="1" applyFont="1" applyFill="1"/>
    <xf numFmtId="14" fontId="320" fillId="0" borderId="0" xfId="0" applyNumberFormat="1" applyFont="1" applyFill="1"/>
    <xf numFmtId="14" fontId="319" fillId="0" borderId="0" xfId="0" applyNumberFormat="1" applyFont="1" applyFill="1"/>
    <xf numFmtId="14" fontId="318" fillId="0" borderId="0" xfId="0" applyNumberFormat="1" applyFont="1" applyFill="1"/>
    <xf numFmtId="14" fontId="317" fillId="0" borderId="0" xfId="0" applyNumberFormat="1" applyFont="1" applyFill="1"/>
    <xf numFmtId="14" fontId="316" fillId="0" borderId="0" xfId="0" applyNumberFormat="1" applyFont="1" applyFill="1"/>
    <xf numFmtId="14" fontId="315" fillId="0" borderId="0" xfId="0" applyNumberFormat="1" applyFont="1" applyFill="1"/>
    <xf numFmtId="14" fontId="313" fillId="0" borderId="0" xfId="0" applyNumberFormat="1" applyFont="1" applyFill="1"/>
    <xf numFmtId="14" fontId="311" fillId="0" borderId="0" xfId="0" applyNumberFormat="1" applyFont="1" applyFill="1"/>
    <xf numFmtId="14" fontId="310" fillId="0" borderId="0" xfId="0" applyNumberFormat="1" applyFont="1" applyFill="1"/>
    <xf numFmtId="14" fontId="310" fillId="5" borderId="0" xfId="0" applyNumberFormat="1" applyFont="1" applyFill="1"/>
    <xf numFmtId="14" fontId="310" fillId="15" borderId="0" xfId="0" applyNumberFormat="1" applyFont="1" applyFill="1"/>
    <xf numFmtId="14" fontId="309" fillId="0" borderId="0" xfId="0" applyNumberFormat="1" applyFont="1" applyFill="1"/>
    <xf numFmtId="14" fontId="308" fillId="0" borderId="0" xfId="0" applyNumberFormat="1" applyFont="1" applyFill="1"/>
    <xf numFmtId="14" fontId="307" fillId="0" borderId="0" xfId="0" applyNumberFormat="1" applyFont="1" applyFill="1"/>
    <xf numFmtId="14" fontId="306" fillId="0" borderId="0" xfId="0" applyNumberFormat="1" applyFont="1" applyFill="1"/>
    <xf numFmtId="14" fontId="305" fillId="0" borderId="0" xfId="0" applyNumberFormat="1" applyFont="1" applyFill="1"/>
    <xf numFmtId="14" fontId="303" fillId="0" borderId="0" xfId="0" applyNumberFormat="1" applyFont="1" applyFill="1"/>
    <xf numFmtId="14" fontId="302" fillId="0" borderId="0" xfId="0" applyNumberFormat="1" applyFont="1" applyFill="1"/>
    <xf numFmtId="14" fontId="301" fillId="0" borderId="0" xfId="0" applyNumberFormat="1" applyFont="1" applyFill="1"/>
    <xf numFmtId="14" fontId="300" fillId="0" borderId="0" xfId="0" applyNumberFormat="1" applyFont="1" applyFill="1"/>
    <xf numFmtId="14" fontId="299" fillId="0" borderId="0" xfId="0" applyNumberFormat="1" applyFont="1" applyFill="1"/>
    <xf numFmtId="14" fontId="298" fillId="0" borderId="0" xfId="0" applyNumberFormat="1" applyFont="1" applyFill="1"/>
    <xf numFmtId="14" fontId="297" fillId="0" borderId="0" xfId="0" applyNumberFormat="1" applyFont="1" applyFill="1"/>
    <xf numFmtId="14" fontId="296" fillId="0" borderId="0" xfId="0" applyNumberFormat="1" applyFont="1" applyFill="1"/>
    <xf numFmtId="14" fontId="295" fillId="0" borderId="0" xfId="0" applyNumberFormat="1" applyFont="1" applyFill="1"/>
    <xf numFmtId="14" fontId="294" fillId="0" borderId="0" xfId="0" applyNumberFormat="1" applyFont="1" applyFill="1"/>
    <xf numFmtId="14" fontId="293" fillId="0" borderId="0" xfId="0" applyNumberFormat="1" applyFont="1" applyFill="1"/>
    <xf numFmtId="14" fontId="292" fillId="0" borderId="0" xfId="0" applyNumberFormat="1" applyFont="1" applyFill="1"/>
    <xf numFmtId="14" fontId="291" fillId="0" borderId="0" xfId="0" applyNumberFormat="1" applyFont="1" applyFill="1"/>
    <xf numFmtId="14" fontId="290" fillId="0" borderId="0" xfId="0" applyNumberFormat="1" applyFont="1" applyFill="1"/>
    <xf numFmtId="14" fontId="289" fillId="0" borderId="0" xfId="0" applyNumberFormat="1" applyFont="1" applyFill="1"/>
    <xf numFmtId="14" fontId="288" fillId="4" borderId="0" xfId="0" applyNumberFormat="1" applyFont="1" applyFill="1"/>
    <xf numFmtId="14" fontId="288" fillId="0" borderId="0" xfId="0" applyNumberFormat="1" applyFont="1" applyFill="1"/>
    <xf numFmtId="14" fontId="287" fillId="0" borderId="0" xfId="0" applyNumberFormat="1" applyFont="1" applyFill="1"/>
    <xf numFmtId="14" fontId="286" fillId="0" borderId="0" xfId="0" applyNumberFormat="1" applyFont="1" applyFill="1"/>
    <xf numFmtId="14" fontId="285" fillId="0" borderId="0" xfId="0" applyNumberFormat="1" applyFont="1" applyFill="1"/>
    <xf numFmtId="14" fontId="285" fillId="4" borderId="0" xfId="0" applyNumberFormat="1" applyFont="1" applyFill="1"/>
    <xf numFmtId="14" fontId="284" fillId="0" borderId="0" xfId="0" applyNumberFormat="1" applyFont="1" applyFill="1"/>
    <xf numFmtId="14" fontId="282" fillId="0" borderId="0" xfId="0" applyNumberFormat="1" applyFont="1" applyFill="1"/>
    <xf numFmtId="14" fontId="281" fillId="0" borderId="0" xfId="0" applyNumberFormat="1" applyFont="1" applyFill="1"/>
    <xf numFmtId="14" fontId="280" fillId="0" borderId="0" xfId="0" applyNumberFormat="1" applyFont="1" applyFill="1"/>
    <xf numFmtId="14" fontId="279" fillId="0" borderId="0" xfId="0" applyNumberFormat="1" applyFont="1" applyFill="1"/>
    <xf numFmtId="14" fontId="278" fillId="0" borderId="0" xfId="0" applyNumberFormat="1" applyFont="1" applyFill="1"/>
    <xf numFmtId="14" fontId="277" fillId="0" borderId="0" xfId="0" applyNumberFormat="1" applyFont="1" applyFill="1"/>
    <xf numFmtId="14" fontId="276" fillId="0" borderId="0" xfId="0" applyNumberFormat="1" applyFont="1" applyFill="1"/>
    <xf numFmtId="14" fontId="275" fillId="0" borderId="0" xfId="0" applyNumberFormat="1" applyFont="1" applyFill="1"/>
    <xf numFmtId="14" fontId="245" fillId="0" borderId="0" xfId="0" applyNumberFormat="1" applyFont="1" applyFill="1"/>
    <xf numFmtId="14" fontId="274" fillId="0" borderId="0" xfId="0" applyNumberFormat="1" applyFont="1" applyFill="1"/>
    <xf numFmtId="14" fontId="273" fillId="0" borderId="0" xfId="0" applyNumberFormat="1" applyFont="1" applyFill="1"/>
    <xf numFmtId="14" fontId="271" fillId="0" borderId="0" xfId="0" applyNumberFormat="1" applyFont="1" applyFill="1"/>
    <xf numFmtId="14" fontId="270" fillId="0" borderId="0" xfId="0" applyNumberFormat="1" applyFont="1" applyFill="1"/>
    <xf numFmtId="14" fontId="269" fillId="0" borderId="0" xfId="0" applyNumberFormat="1" applyFont="1" applyFill="1"/>
    <xf numFmtId="14" fontId="268" fillId="0" borderId="0" xfId="0" applyNumberFormat="1" applyFont="1" applyFill="1"/>
    <xf numFmtId="14" fontId="267" fillId="4" borderId="0" xfId="0" applyNumberFormat="1" applyFont="1" applyFill="1"/>
    <xf numFmtId="14" fontId="267" fillId="0" borderId="0" xfId="0" applyNumberFormat="1" applyFont="1" applyFill="1"/>
    <xf numFmtId="14" fontId="266" fillId="0" borderId="0" xfId="0" applyNumberFormat="1" applyFont="1" applyFill="1"/>
    <xf numFmtId="14" fontId="266" fillId="5" borderId="0" xfId="0" applyNumberFormat="1" applyFont="1" applyFill="1"/>
    <xf numFmtId="14" fontId="264" fillId="0" borderId="0" xfId="0" applyNumberFormat="1" applyFont="1" applyFill="1"/>
    <xf numFmtId="14" fontId="263" fillId="0" borderId="0" xfId="0" applyNumberFormat="1" applyFont="1" applyFill="1"/>
    <xf numFmtId="14" fontId="262" fillId="0" borderId="0" xfId="0" applyNumberFormat="1" applyFont="1" applyFill="1"/>
    <xf numFmtId="14" fontId="261" fillId="0" borderId="0" xfId="0" applyNumberFormat="1" applyFont="1" applyFill="1"/>
    <xf numFmtId="14" fontId="260" fillId="0" borderId="0" xfId="0" applyNumberFormat="1" applyFont="1" applyFill="1"/>
    <xf numFmtId="14" fontId="259" fillId="0" borderId="0" xfId="0" applyNumberFormat="1" applyFont="1" applyFill="1"/>
    <xf numFmtId="14" fontId="258" fillId="0" borderId="0" xfId="0" applyNumberFormat="1" applyFont="1" applyFill="1"/>
    <xf numFmtId="14" fontId="257" fillId="0" borderId="0" xfId="0" applyNumberFormat="1" applyFont="1" applyFill="1"/>
    <xf numFmtId="14" fontId="256" fillId="0" borderId="0" xfId="0" applyNumberFormat="1" applyFont="1" applyFill="1"/>
    <xf numFmtId="14" fontId="255" fillId="0" borderId="0" xfId="0" applyNumberFormat="1" applyFont="1" applyFill="1"/>
    <xf numFmtId="14" fontId="254" fillId="0" borderId="0" xfId="0" applyNumberFormat="1" applyFont="1" applyFill="1"/>
    <xf numFmtId="14" fontId="252" fillId="0" borderId="0" xfId="0" applyNumberFormat="1" applyFont="1" applyFill="1"/>
    <xf numFmtId="14" fontId="251" fillId="0" borderId="0" xfId="0" applyNumberFormat="1" applyFont="1" applyFill="1"/>
    <xf numFmtId="14" fontId="250" fillId="0" borderId="0" xfId="0" applyNumberFormat="1" applyFont="1" applyFill="1"/>
    <xf numFmtId="14" fontId="249" fillId="0" borderId="0" xfId="0" applyNumberFormat="1" applyFont="1" applyFill="1"/>
    <xf numFmtId="14" fontId="248" fillId="0" borderId="0" xfId="0" applyNumberFormat="1" applyFont="1" applyFill="1"/>
    <xf numFmtId="14" fontId="247" fillId="0" borderId="0" xfId="0" applyNumberFormat="1" applyFont="1" applyFill="1"/>
    <xf numFmtId="14" fontId="246" fillId="0" borderId="0" xfId="0" applyNumberFormat="1" applyFont="1" applyFill="1"/>
    <xf numFmtId="14" fontId="244" fillId="0" borderId="0" xfId="0" applyNumberFormat="1" applyFont="1" applyFill="1"/>
    <xf numFmtId="14" fontId="243" fillId="0" borderId="0" xfId="0" applyNumberFormat="1" applyFont="1" applyFill="1"/>
    <xf numFmtId="14" fontId="242" fillId="0" borderId="0" xfId="0" applyNumberFormat="1" applyFont="1" applyFill="1"/>
    <xf numFmtId="14" fontId="241" fillId="0" borderId="0" xfId="0" applyNumberFormat="1" applyFont="1" applyFill="1"/>
    <xf numFmtId="14" fontId="240" fillId="0" borderId="0" xfId="0" applyNumberFormat="1" applyFont="1" applyFill="1"/>
    <xf numFmtId="14" fontId="239" fillId="0" borderId="0" xfId="0" applyNumberFormat="1" applyFont="1" applyFill="1"/>
    <xf numFmtId="14" fontId="238" fillId="0" borderId="0" xfId="0" applyNumberFormat="1" applyFont="1" applyFill="1"/>
    <xf numFmtId="14" fontId="237" fillId="0" borderId="0" xfId="0" applyNumberFormat="1" applyFont="1" applyFill="1"/>
    <xf numFmtId="14" fontId="235" fillId="0" borderId="0" xfId="0" applyNumberFormat="1" applyFont="1" applyFill="1"/>
    <xf numFmtId="14" fontId="234" fillId="0" borderId="0" xfId="0" applyNumberFormat="1" applyFont="1" applyFill="1"/>
    <xf numFmtId="14" fontId="233" fillId="0" borderId="0" xfId="0" applyNumberFormat="1" applyFont="1" applyFill="1"/>
    <xf numFmtId="14" fontId="232" fillId="0" borderId="0" xfId="0" applyNumberFormat="1" applyFont="1" applyFill="1"/>
    <xf numFmtId="14" fontId="231" fillId="0" borderId="0" xfId="0" applyNumberFormat="1" applyFont="1" applyFill="1"/>
    <xf numFmtId="14" fontId="231" fillId="0" borderId="0" xfId="0" applyNumberFormat="1" applyFont="1" applyFill="1" applyBorder="1" applyAlignment="1">
      <alignment vertical="top" wrapText="1"/>
    </xf>
    <xf numFmtId="14" fontId="229" fillId="0" borderId="0" xfId="0" applyNumberFormat="1" applyFont="1" applyFill="1"/>
    <xf numFmtId="14" fontId="228" fillId="0" borderId="0" xfId="0" applyNumberFormat="1" applyFont="1" applyFill="1"/>
    <xf numFmtId="14" fontId="227" fillId="0" borderId="0" xfId="0" applyNumberFormat="1" applyFont="1" applyFill="1"/>
    <xf numFmtId="14" fontId="226" fillId="0" borderId="0" xfId="0" applyNumberFormat="1" applyFont="1" applyFill="1"/>
    <xf numFmtId="14" fontId="225" fillId="0" borderId="0" xfId="0" applyNumberFormat="1" applyFont="1" applyFill="1"/>
    <xf numFmtId="14" fontId="224" fillId="0" borderId="0" xfId="0" applyNumberFormat="1" applyFont="1" applyFill="1"/>
    <xf numFmtId="14" fontId="223" fillId="0" borderId="0" xfId="0" applyNumberFormat="1" applyFont="1" applyFill="1"/>
    <xf numFmtId="14" fontId="222" fillId="0" borderId="0" xfId="0" applyNumberFormat="1" applyFont="1" applyFill="1"/>
    <xf numFmtId="14" fontId="221" fillId="0" borderId="0" xfId="0" applyNumberFormat="1" applyFont="1" applyFill="1"/>
    <xf numFmtId="14" fontId="219" fillId="0" borderId="0" xfId="0" applyNumberFormat="1" applyFont="1" applyFill="1"/>
    <xf numFmtId="14" fontId="218" fillId="0" borderId="0" xfId="0" applyNumberFormat="1" applyFont="1" applyFill="1"/>
    <xf numFmtId="14" fontId="217" fillId="0" borderId="0" xfId="0" applyNumberFormat="1" applyFont="1" applyFill="1"/>
    <xf numFmtId="14" fontId="216" fillId="0" borderId="0" xfId="0" applyNumberFormat="1" applyFont="1" applyFill="1"/>
    <xf numFmtId="14" fontId="215" fillId="0" borderId="0" xfId="0" applyNumberFormat="1" applyFont="1" applyFill="1"/>
    <xf numFmtId="14" fontId="214" fillId="0" borderId="0" xfId="0" applyNumberFormat="1" applyFont="1" applyFill="1"/>
    <xf numFmtId="14" fontId="212" fillId="0" borderId="0" xfId="0" applyNumberFormat="1" applyFont="1" applyFill="1"/>
    <xf numFmtId="14" fontId="211" fillId="0" borderId="0" xfId="0" applyNumberFormat="1" applyFont="1" applyFill="1"/>
    <xf numFmtId="14" fontId="209" fillId="0" borderId="0" xfId="0" applyNumberFormat="1" applyFont="1" applyFill="1"/>
    <xf numFmtId="14" fontId="208" fillId="0" borderId="0" xfId="0" applyNumberFormat="1" applyFont="1" applyFill="1"/>
    <xf numFmtId="14" fontId="206" fillId="0" borderId="0" xfId="0" applyNumberFormat="1" applyFont="1" applyFill="1"/>
    <xf numFmtId="14" fontId="205" fillId="0" borderId="0" xfId="0" applyNumberFormat="1" applyFont="1" applyFill="1"/>
    <xf numFmtId="14" fontId="204" fillId="0" borderId="0" xfId="0" applyNumberFormat="1" applyFont="1" applyFill="1"/>
    <xf numFmtId="14" fontId="203" fillId="0" borderId="0" xfId="0" applyNumberFormat="1" applyFont="1" applyFill="1"/>
    <xf numFmtId="14" fontId="202" fillId="0" borderId="0" xfId="0" applyNumberFormat="1" applyFont="1" applyFill="1"/>
    <xf numFmtId="14" fontId="201" fillId="0" borderId="0" xfId="0" applyNumberFormat="1" applyFont="1" applyFill="1"/>
    <xf numFmtId="14" fontId="200" fillId="0" borderId="0" xfId="0" applyNumberFormat="1" applyFont="1" applyFill="1"/>
    <xf numFmtId="14" fontId="199" fillId="0" borderId="0" xfId="0" applyNumberFormat="1" applyFont="1" applyFill="1"/>
    <xf numFmtId="14" fontId="198" fillId="0" borderId="0" xfId="0" applyNumberFormat="1" applyFont="1" applyFill="1"/>
    <xf numFmtId="14" fontId="182" fillId="0" borderId="0" xfId="0" applyNumberFormat="1" applyFont="1" applyFill="1"/>
    <xf numFmtId="14" fontId="197" fillId="0" borderId="0" xfId="0" applyNumberFormat="1" applyFont="1" applyFill="1"/>
    <xf numFmtId="14" fontId="196" fillId="0" borderId="0" xfId="0" applyNumberFormat="1" applyFont="1" applyFill="1"/>
    <xf numFmtId="14" fontId="195" fillId="0" borderId="0" xfId="0" applyNumberFormat="1" applyFont="1" applyFill="1"/>
    <xf numFmtId="14" fontId="194" fillId="0" borderId="0" xfId="0" applyNumberFormat="1" applyFont="1" applyFill="1"/>
    <xf numFmtId="14" fontId="193" fillId="0" borderId="0" xfId="0" applyNumberFormat="1" applyFont="1" applyFill="1"/>
    <xf numFmtId="14" fontId="192" fillId="0" borderId="0" xfId="0" applyNumberFormat="1" applyFont="1" applyFill="1"/>
    <xf numFmtId="14" fontId="191" fillId="0" borderId="0" xfId="0" applyNumberFormat="1" applyFont="1" applyFill="1"/>
    <xf numFmtId="14" fontId="190" fillId="0" borderId="0" xfId="0" applyNumberFormat="1" applyFont="1" applyFill="1"/>
    <xf numFmtId="14" fontId="188" fillId="0" borderId="0" xfId="0" applyNumberFormat="1" applyFont="1" applyFill="1"/>
    <xf numFmtId="14" fontId="185" fillId="0" borderId="0" xfId="0" applyNumberFormat="1" applyFont="1" applyFill="1"/>
    <xf numFmtId="14" fontId="183" fillId="0" borderId="0" xfId="0" applyNumberFormat="1" applyFont="1" applyFill="1"/>
    <xf numFmtId="14" fontId="181" fillId="0" borderId="0" xfId="0" applyNumberFormat="1" applyFont="1" applyFill="1"/>
    <xf numFmtId="14" fontId="180" fillId="0" borderId="0" xfId="0" applyNumberFormat="1" applyFont="1" applyFill="1"/>
    <xf numFmtId="14" fontId="179" fillId="0" borderId="0" xfId="0" applyNumberFormat="1" applyFont="1" applyFill="1"/>
    <xf numFmtId="14" fontId="178" fillId="0" borderId="0" xfId="0" applyNumberFormat="1" applyFont="1" applyFill="1"/>
    <xf numFmtId="14" fontId="177" fillId="0" borderId="0" xfId="0" applyNumberFormat="1" applyFont="1" applyFill="1"/>
    <xf numFmtId="14" fontId="176" fillId="0" borderId="0" xfId="0" applyNumberFormat="1" applyFont="1" applyFill="1"/>
    <xf numFmtId="14" fontId="175" fillId="0" borderId="0" xfId="0" applyNumberFormat="1" applyFont="1" applyFill="1"/>
    <xf numFmtId="14" fontId="173" fillId="0" borderId="0" xfId="0" applyNumberFormat="1" applyFont="1" applyFill="1"/>
    <xf numFmtId="14" fontId="172" fillId="0" borderId="0" xfId="0" applyNumberFormat="1" applyFont="1" applyFill="1"/>
    <xf numFmtId="14" fontId="170" fillId="0" borderId="0" xfId="0" applyNumberFormat="1" applyFont="1" applyFill="1"/>
    <xf numFmtId="14" fontId="169" fillId="0" borderId="0" xfId="0" applyNumberFormat="1" applyFont="1" applyFill="1"/>
    <xf numFmtId="14" fontId="168" fillId="0" borderId="0" xfId="0" applyNumberFormat="1" applyFont="1" applyFill="1"/>
    <xf numFmtId="14" fontId="166" fillId="0" borderId="0" xfId="0" applyNumberFormat="1" applyFont="1" applyFill="1"/>
    <xf numFmtId="14" fontId="165" fillId="0" borderId="0" xfId="0" applyNumberFormat="1" applyFont="1" applyFill="1"/>
    <xf numFmtId="14" fontId="164" fillId="0" borderId="0" xfId="0" applyNumberFormat="1" applyFont="1" applyFill="1"/>
    <xf numFmtId="14" fontId="162" fillId="0" borderId="0" xfId="0" applyNumberFormat="1" applyFont="1" applyFill="1"/>
    <xf numFmtId="14" fontId="157" fillId="0" borderId="0" xfId="0" applyNumberFormat="1" applyFont="1" applyFill="1"/>
    <xf numFmtId="14" fontId="156" fillId="0" borderId="0" xfId="0" applyNumberFormat="1" applyFont="1" applyFill="1"/>
    <xf numFmtId="14" fontId="154" fillId="0" borderId="0" xfId="0" applyNumberFormat="1" applyFont="1" applyFill="1"/>
    <xf numFmtId="14" fontId="153" fillId="0" borderId="0" xfId="0" applyNumberFormat="1" applyFont="1" applyFill="1"/>
    <xf numFmtId="14" fontId="152" fillId="0" borderId="0" xfId="0" applyNumberFormat="1" applyFont="1" applyFill="1"/>
    <xf numFmtId="14" fontId="151" fillId="0" borderId="0" xfId="0" applyNumberFormat="1" applyFont="1" applyFill="1"/>
    <xf numFmtId="14" fontId="149" fillId="0" borderId="0" xfId="0" applyNumberFormat="1" applyFont="1" applyFill="1"/>
    <xf numFmtId="14" fontId="148" fillId="0" borderId="0" xfId="0" applyNumberFormat="1" applyFont="1" applyFill="1"/>
    <xf numFmtId="14" fontId="147" fillId="0" borderId="0" xfId="0" applyNumberFormat="1" applyFont="1" applyFill="1"/>
    <xf numFmtId="14" fontId="146" fillId="0" borderId="0" xfId="0" applyNumberFormat="1" applyFont="1" applyFill="1"/>
    <xf numFmtId="14" fontId="145" fillId="0" borderId="0" xfId="0" applyNumberFormat="1" applyFont="1" applyFill="1"/>
    <xf numFmtId="14" fontId="144" fillId="0" borderId="0" xfId="0" applyNumberFormat="1" applyFont="1" applyFill="1"/>
    <xf numFmtId="14" fontId="140" fillId="0" borderId="0" xfId="0" applyNumberFormat="1" applyFont="1" applyFill="1"/>
    <xf numFmtId="14" fontId="139" fillId="0" borderId="0" xfId="0" applyNumberFormat="1" applyFont="1" applyFill="1"/>
    <xf numFmtId="14" fontId="138" fillId="0" borderId="0" xfId="0" applyNumberFormat="1" applyFont="1" applyFill="1"/>
    <xf numFmtId="14" fontId="136" fillId="0" borderId="0" xfId="0" applyNumberFormat="1" applyFont="1" applyFill="1"/>
    <xf numFmtId="14" fontId="132" fillId="0" borderId="0" xfId="0" applyNumberFormat="1" applyFont="1" applyFill="1"/>
    <xf numFmtId="14" fontId="136" fillId="5" borderId="0" xfId="0" applyNumberFormat="1" applyFont="1" applyFill="1"/>
    <xf numFmtId="14" fontId="135" fillId="5" borderId="0" xfId="0" applyNumberFormat="1" applyFont="1" applyFill="1"/>
    <xf numFmtId="14" fontId="134" fillId="0" borderId="0" xfId="0" applyNumberFormat="1" applyFont="1" applyFill="1"/>
    <xf numFmtId="14" fontId="134" fillId="5" borderId="0" xfId="0" applyNumberFormat="1" applyFont="1" applyFill="1"/>
    <xf numFmtId="14" fontId="132" fillId="5" borderId="0" xfId="0" applyNumberFormat="1" applyFont="1" applyFill="1"/>
    <xf numFmtId="14" fontId="131" fillId="0" borderId="0" xfId="0" applyNumberFormat="1" applyFont="1" applyFill="1"/>
    <xf numFmtId="14" fontId="131" fillId="2" borderId="0" xfId="0" applyNumberFormat="1" applyFont="1" applyFill="1"/>
    <xf numFmtId="14" fontId="131" fillId="9" borderId="0" xfId="0" applyNumberFormat="1" applyFont="1" applyFill="1"/>
    <xf numFmtId="14" fontId="129" fillId="0" borderId="0" xfId="0" applyNumberFormat="1" applyFont="1" applyFill="1"/>
    <xf numFmtId="14" fontId="129" fillId="5" borderId="0" xfId="0" applyNumberFormat="1" applyFont="1" applyFill="1"/>
    <xf numFmtId="14" fontId="129" fillId="2" borderId="0" xfId="0" applyNumberFormat="1" applyFont="1" applyFill="1"/>
    <xf numFmtId="14" fontId="129" fillId="9" borderId="0" xfId="0" applyNumberFormat="1" applyFont="1" applyFill="1"/>
    <xf numFmtId="14" fontId="128" fillId="0" borderId="0" xfId="0" applyNumberFormat="1" applyFont="1" applyFill="1"/>
    <xf numFmtId="14" fontId="127" fillId="0" borderId="0" xfId="0" applyNumberFormat="1" applyFont="1" applyFill="1"/>
    <xf numFmtId="14" fontId="127" fillId="5" borderId="0" xfId="0" applyNumberFormat="1" applyFont="1" applyFill="1"/>
    <xf numFmtId="14" fontId="126" fillId="5" borderId="0" xfId="0" applyNumberFormat="1" applyFont="1" applyFill="1"/>
    <xf numFmtId="14" fontId="126" fillId="2" borderId="0" xfId="0" applyNumberFormat="1" applyFont="1" applyFill="1"/>
    <xf numFmtId="14" fontId="126" fillId="0" borderId="0" xfId="0" applyNumberFormat="1" applyFont="1" applyFill="1"/>
    <xf numFmtId="14" fontId="124" fillId="5" borderId="0" xfId="0" applyNumberFormat="1" applyFont="1" applyFill="1"/>
    <xf numFmtId="14" fontId="124" fillId="2" borderId="0" xfId="0" applyNumberFormat="1" applyFont="1" applyFill="1"/>
    <xf numFmtId="14" fontId="124" fillId="0" borderId="0" xfId="0" applyNumberFormat="1" applyFont="1" applyFill="1"/>
    <xf numFmtId="14" fontId="122" fillId="0" borderId="0" xfId="0" applyNumberFormat="1" applyFont="1" applyFill="1"/>
    <xf numFmtId="14" fontId="122" fillId="2" borderId="0" xfId="0" applyNumberFormat="1" applyFont="1" applyFill="1"/>
    <xf numFmtId="14" fontId="121" fillId="2" borderId="0" xfId="0" applyNumberFormat="1" applyFont="1" applyFill="1"/>
    <xf numFmtId="14" fontId="121" fillId="0" borderId="0" xfId="0" applyNumberFormat="1" applyFont="1" applyFill="1"/>
    <xf numFmtId="14" fontId="121" fillId="9" borderId="0" xfId="0" applyNumberFormat="1" applyFont="1" applyFill="1"/>
    <xf numFmtId="14" fontId="120" fillId="0" borderId="0" xfId="0" applyNumberFormat="1" applyFont="1" applyFill="1"/>
    <xf numFmtId="14" fontId="120" fillId="4" borderId="0" xfId="0" applyNumberFormat="1" applyFont="1" applyFill="1"/>
    <xf numFmtId="14" fontId="120" fillId="2" borderId="0" xfId="0" applyNumberFormat="1" applyFont="1" applyFill="1"/>
    <xf numFmtId="14" fontId="120" fillId="9" borderId="0" xfId="0" applyNumberFormat="1" applyFont="1" applyFill="1"/>
    <xf numFmtId="14" fontId="119" fillId="5" borderId="0" xfId="0" applyNumberFormat="1" applyFont="1" applyFill="1"/>
    <xf numFmtId="14" fontId="119" fillId="2" borderId="0" xfId="0" applyNumberFormat="1" applyFont="1" applyFill="1"/>
    <xf numFmtId="14" fontId="118" fillId="0" borderId="0" xfId="0" applyNumberFormat="1" applyFont="1" applyFill="1"/>
    <xf numFmtId="14" fontId="118" fillId="2" borderId="0" xfId="0" applyNumberFormat="1" applyFont="1" applyFill="1"/>
    <xf numFmtId="14" fontId="118" fillId="9" borderId="0" xfId="0" applyNumberFormat="1" applyFont="1" applyFill="1"/>
    <xf numFmtId="14" fontId="117" fillId="0" borderId="0" xfId="0" applyNumberFormat="1" applyFont="1" applyFill="1"/>
    <xf numFmtId="14" fontId="117" fillId="2" borderId="0" xfId="0" applyNumberFormat="1" applyFont="1" applyFill="1"/>
    <xf numFmtId="14" fontId="116" fillId="2" borderId="0" xfId="0" applyNumberFormat="1" applyFont="1" applyFill="1"/>
    <xf numFmtId="14" fontId="115" fillId="0" borderId="0" xfId="0" applyNumberFormat="1" applyFont="1" applyFill="1"/>
    <xf numFmtId="14" fontId="115" fillId="2" borderId="0" xfId="0" applyNumberFormat="1" applyFont="1" applyFill="1"/>
    <xf numFmtId="14" fontId="115" fillId="5" borderId="0" xfId="0" applyNumberFormat="1" applyFont="1" applyFill="1"/>
    <xf numFmtId="14" fontId="113" fillId="4" borderId="0" xfId="0" applyNumberFormat="1" applyFont="1" applyFill="1"/>
    <xf numFmtId="14" fontId="113" fillId="0" borderId="0" xfId="0" applyNumberFormat="1" applyFont="1" applyFill="1"/>
    <xf numFmtId="14" fontId="113" fillId="2" borderId="0" xfId="0" applyNumberFormat="1" applyFont="1" applyFill="1"/>
    <xf numFmtId="14" fontId="113" fillId="5" borderId="0" xfId="0" applyNumberFormat="1" applyFont="1" applyFill="1"/>
    <xf numFmtId="14" fontId="112" fillId="0" borderId="0" xfId="0" applyNumberFormat="1" applyFont="1" applyFill="1"/>
    <xf numFmtId="14" fontId="112" fillId="2" borderId="0" xfId="0" applyNumberFormat="1" applyFont="1" applyFill="1"/>
    <xf numFmtId="14" fontId="112" fillId="4" borderId="0" xfId="0" applyNumberFormat="1" applyFont="1" applyFill="1"/>
    <xf numFmtId="14" fontId="95" fillId="0" borderId="0" xfId="0" applyNumberFormat="1" applyFont="1" applyFill="1"/>
    <xf numFmtId="14" fontId="111" fillId="2" borderId="0" xfId="0" applyNumberFormat="1" applyFont="1" applyFill="1"/>
    <xf numFmtId="14" fontId="111" fillId="0" borderId="0" xfId="0" applyNumberFormat="1" applyFont="1" applyFill="1"/>
    <xf numFmtId="14" fontId="105" fillId="2" borderId="0" xfId="0" applyNumberFormat="1" applyFont="1" applyFill="1"/>
    <xf numFmtId="14" fontId="110" fillId="0" borderId="0" xfId="0" applyNumberFormat="1" applyFont="1" applyFill="1"/>
    <xf numFmtId="14" fontId="110" fillId="4" borderId="0" xfId="0" applyNumberFormat="1" applyFont="1" applyFill="1"/>
    <xf numFmtId="14" fontId="110" fillId="2" borderId="0" xfId="0" applyNumberFormat="1" applyFont="1" applyFill="1"/>
    <xf numFmtId="14" fontId="110" fillId="5" borderId="0" xfId="0" applyNumberFormat="1" applyFont="1" applyFill="1"/>
    <xf numFmtId="14" fontId="109" fillId="0" borderId="0" xfId="0" applyNumberFormat="1" applyFont="1" applyFill="1"/>
    <xf numFmtId="14" fontId="109" fillId="4" borderId="0" xfId="0" applyNumberFormat="1" applyFont="1" applyFill="1"/>
    <xf numFmtId="14" fontId="109" fillId="2" borderId="0" xfId="0" applyNumberFormat="1" applyFont="1" applyFill="1"/>
    <xf numFmtId="14" fontId="103" fillId="0" borderId="0" xfId="0" applyNumberFormat="1" applyFont="1" applyFill="1"/>
    <xf numFmtId="14" fontId="108" fillId="0" borderId="0" xfId="0" applyNumberFormat="1" applyFont="1" applyFill="1"/>
    <xf numFmtId="14" fontId="101" fillId="2" borderId="0" xfId="0" applyNumberFormat="1" applyFont="1" applyFill="1"/>
    <xf numFmtId="14" fontId="108" fillId="2" borderId="0" xfId="0" applyNumberFormat="1" applyFont="1" applyFill="1"/>
    <xf numFmtId="14" fontId="108" fillId="4" borderId="0" xfId="0" applyNumberFormat="1" applyFont="1" applyFill="1"/>
    <xf numFmtId="14" fontId="107" fillId="2" borderId="0" xfId="0" applyNumberFormat="1" applyFont="1" applyFill="1"/>
    <xf numFmtId="14" fontId="107" fillId="0" borderId="0" xfId="0" applyNumberFormat="1" applyFont="1" applyFill="1"/>
    <xf numFmtId="14" fontId="106" fillId="2" borderId="0" xfId="0" applyNumberFormat="1" applyFont="1" applyFill="1"/>
    <xf numFmtId="14" fontId="106" fillId="4" borderId="0" xfId="0" applyNumberFormat="1" applyFont="1" applyFill="1"/>
    <xf numFmtId="14" fontId="106" fillId="0" borderId="0" xfId="0" applyNumberFormat="1" applyFont="1" applyFill="1"/>
    <xf numFmtId="14" fontId="106" fillId="14" borderId="0" xfId="0" applyNumberFormat="1" applyFont="1" applyFill="1"/>
    <xf numFmtId="14" fontId="105" fillId="4" borderId="0" xfId="0" applyNumberFormat="1" applyFont="1" applyFill="1"/>
    <xf numFmtId="14" fontId="97" fillId="2" borderId="0" xfId="0" applyNumberFormat="1" applyFont="1" applyFill="1"/>
    <xf numFmtId="14" fontId="105" fillId="0" borderId="0" xfId="0" applyNumberFormat="1" applyFont="1" applyFill="1"/>
    <xf numFmtId="14" fontId="104" fillId="4" borderId="0" xfId="0" applyNumberFormat="1" applyFont="1" applyFill="1"/>
    <xf numFmtId="14" fontId="104" fillId="2" borderId="0" xfId="0" applyNumberFormat="1" applyFont="1" applyFill="1"/>
    <xf numFmtId="14" fontId="104" fillId="0" borderId="0" xfId="0" applyNumberFormat="1" applyFont="1" applyFill="1"/>
    <xf numFmtId="14" fontId="104" fillId="14" borderId="0" xfId="0" applyNumberFormat="1" applyFont="1" applyFill="1"/>
    <xf numFmtId="14" fontId="111" fillId="4" borderId="0" xfId="0" applyNumberFormat="1" applyFont="1" applyFill="1"/>
    <xf numFmtId="14" fontId="95" fillId="5" borderId="0" xfId="0" applyNumberFormat="1" applyFont="1" applyFill="1"/>
    <xf numFmtId="14" fontId="98" fillId="2" borderId="0" xfId="0" applyNumberFormat="1" applyFont="1" applyFill="1"/>
    <xf numFmtId="14" fontId="103" fillId="2" borderId="0" xfId="0" applyNumberFormat="1" applyFont="1" applyFill="1"/>
    <xf numFmtId="14" fontId="103" fillId="9" borderId="0" xfId="0" applyNumberFormat="1" applyFont="1" applyFill="1"/>
    <xf numFmtId="14" fontId="102" fillId="2" borderId="0" xfId="0" applyNumberFormat="1" applyFont="1" applyFill="1"/>
    <xf numFmtId="14" fontId="102" fillId="0" borderId="0" xfId="0" applyNumberFormat="1" applyFont="1" applyFill="1"/>
    <xf numFmtId="14" fontId="102" fillId="5" borderId="0" xfId="0" applyNumberFormat="1" applyFont="1" applyFill="1"/>
    <xf numFmtId="14" fontId="101" fillId="0" borderId="0" xfId="0" applyNumberFormat="1" applyFont="1" applyFill="1"/>
    <xf numFmtId="14" fontId="109" fillId="5" borderId="0" xfId="0" applyNumberFormat="1" applyFont="1" applyFill="1"/>
    <xf numFmtId="14" fontId="100" fillId="2" borderId="0" xfId="0" applyNumberFormat="1" applyFont="1" applyFill="1"/>
    <xf numFmtId="14" fontId="100" fillId="0" borderId="0" xfId="0" applyNumberFormat="1" applyFont="1" applyFill="1"/>
    <xf numFmtId="14" fontId="100" fillId="9" borderId="0" xfId="0" applyNumberFormat="1" applyFont="1" applyFill="1"/>
    <xf numFmtId="14" fontId="99" fillId="0" borderId="0" xfId="0" applyNumberFormat="1" applyFont="1" applyFill="1"/>
    <xf numFmtId="14" fontId="98" fillId="0" borderId="0" xfId="0" applyNumberFormat="1" applyFont="1" applyFill="1"/>
    <xf numFmtId="14" fontId="108" fillId="5" borderId="0" xfId="0" applyNumberFormat="1" applyFont="1" applyFill="1"/>
    <xf numFmtId="14" fontId="97" fillId="0" borderId="0" xfId="0" applyNumberFormat="1" applyFont="1" applyFill="1"/>
    <xf numFmtId="14" fontId="95" fillId="2" borderId="0" xfId="0" applyNumberFormat="1" applyFont="1" applyFill="1"/>
    <xf numFmtId="14" fontId="94" fillId="2" borderId="0" xfId="0" applyNumberFormat="1" applyFont="1" applyFill="1"/>
    <xf numFmtId="14" fontId="93" fillId="2" borderId="0" xfId="0" applyNumberFormat="1" applyFont="1" applyFill="1"/>
    <xf numFmtId="14" fontId="92" fillId="5" borderId="0" xfId="0" applyNumberFormat="1" applyFont="1" applyFill="1"/>
    <xf numFmtId="14" fontId="91" fillId="0" borderId="0" xfId="0" applyNumberFormat="1" applyFont="1" applyFill="1"/>
    <xf numFmtId="14" fontId="91" fillId="2" borderId="0" xfId="0" applyNumberFormat="1" applyFont="1" applyFill="1"/>
    <xf numFmtId="14" fontId="90" fillId="0" borderId="0" xfId="0" applyNumberFormat="1" applyFont="1" applyFill="1"/>
    <xf numFmtId="14" fontId="90" fillId="2" borderId="0" xfId="0" applyNumberFormat="1" applyFont="1" applyFill="1"/>
    <xf numFmtId="14" fontId="89" fillId="2" borderId="0" xfId="0" applyNumberFormat="1" applyFont="1" applyFill="1"/>
    <xf numFmtId="14" fontId="89" fillId="0" borderId="0" xfId="0" applyNumberFormat="1" applyFont="1" applyFill="1"/>
    <xf numFmtId="14" fontId="88" fillId="2" borderId="0" xfId="0" applyNumberFormat="1" applyFont="1" applyFill="1"/>
    <xf numFmtId="14" fontId="87" fillId="2" borderId="0" xfId="0" applyNumberFormat="1" applyFont="1" applyFill="1"/>
    <xf numFmtId="14" fontId="87" fillId="0" borderId="0" xfId="0" applyNumberFormat="1" applyFont="1" applyFill="1"/>
    <xf numFmtId="14" fontId="87" fillId="4" borderId="0" xfId="0" applyNumberFormat="1" applyFont="1" applyFill="1"/>
    <xf numFmtId="14" fontId="86" fillId="2" borderId="0" xfId="0" applyNumberFormat="1" applyFont="1" applyFill="1"/>
    <xf numFmtId="14" fontId="85" fillId="0" borderId="0" xfId="0" applyNumberFormat="1" applyFont="1" applyFill="1"/>
    <xf numFmtId="14" fontId="84" fillId="0" borderId="0" xfId="0" applyNumberFormat="1" applyFont="1" applyFill="1"/>
    <xf numFmtId="14" fontId="83" fillId="0" borderId="0" xfId="0" applyNumberFormat="1" applyFont="1" applyFill="1"/>
    <xf numFmtId="14" fontId="82" fillId="0" borderId="0" xfId="0" applyNumberFormat="1" applyFont="1" applyFill="1"/>
    <xf numFmtId="14" fontId="81" fillId="0" borderId="0" xfId="0" applyNumberFormat="1" applyFont="1" applyFill="1"/>
    <xf numFmtId="14" fontId="81" fillId="2" borderId="0" xfId="0" applyNumberFormat="1" applyFont="1" applyFill="1"/>
    <xf numFmtId="14" fontId="80" fillId="0" borderId="0" xfId="0" applyNumberFormat="1" applyFont="1" applyFill="1"/>
    <xf numFmtId="14" fontId="79" fillId="9" borderId="0" xfId="0" applyNumberFormat="1" applyFont="1" applyFill="1"/>
    <xf numFmtId="14" fontId="79" fillId="0" borderId="0" xfId="0" applyNumberFormat="1" applyFont="1" applyFill="1"/>
    <xf numFmtId="14" fontId="79" fillId="4" borderId="0" xfId="0" applyNumberFormat="1" applyFont="1" applyFill="1"/>
    <xf numFmtId="14" fontId="78" fillId="4" borderId="0" xfId="0" applyNumberFormat="1" applyFont="1" applyFill="1"/>
    <xf numFmtId="14" fontId="78" fillId="0" borderId="0" xfId="0" applyNumberFormat="1" applyFont="1" applyFill="1"/>
    <xf numFmtId="14" fontId="77" fillId="0" borderId="0" xfId="0" applyNumberFormat="1" applyFont="1" applyFill="1"/>
    <xf numFmtId="14" fontId="76" fillId="0" borderId="0" xfId="0" applyNumberFormat="1" applyFont="1" applyFill="1"/>
    <xf numFmtId="14" fontId="75" fillId="0" borderId="0" xfId="0" applyNumberFormat="1" applyFont="1" applyFill="1"/>
    <xf numFmtId="14" fontId="73" fillId="0" borderId="0" xfId="0" applyNumberFormat="1" applyFont="1" applyFill="1"/>
    <xf numFmtId="14" fontId="71" fillId="0" borderId="0" xfId="0" applyNumberFormat="1" applyFont="1" applyFill="1"/>
    <xf numFmtId="14" fontId="69" fillId="0" borderId="0" xfId="0" applyNumberFormat="1" applyFont="1" applyFill="1"/>
    <xf numFmtId="14" fontId="68" fillId="0" borderId="0" xfId="0" applyNumberFormat="1" applyFont="1" applyFill="1"/>
    <xf numFmtId="14" fontId="67" fillId="0" borderId="0" xfId="0" applyNumberFormat="1" applyFont="1" applyFill="1"/>
    <xf numFmtId="14" fontId="65" fillId="0" borderId="0" xfId="0" applyNumberFormat="1" applyFont="1" applyFill="1"/>
    <xf numFmtId="14" fontId="64" fillId="0" borderId="0" xfId="0" applyNumberFormat="1" applyFont="1" applyFill="1"/>
    <xf numFmtId="14" fontId="63" fillId="0" borderId="0" xfId="0" applyNumberFormat="1" applyFont="1" applyFill="1"/>
    <xf numFmtId="14" fontId="62" fillId="0" borderId="0" xfId="0" applyNumberFormat="1" applyFont="1" applyFill="1"/>
    <xf numFmtId="14" fontId="61" fillId="0" borderId="0" xfId="0" applyNumberFormat="1" applyFont="1" applyFill="1"/>
    <xf numFmtId="14" fontId="53" fillId="0" borderId="0" xfId="0" applyNumberFormat="1" applyFont="1" applyFill="1"/>
    <xf numFmtId="14" fontId="59" fillId="0" borderId="0" xfId="0" applyNumberFormat="1" applyFont="1" applyFill="1"/>
    <xf numFmtId="14" fontId="58" fillId="0" borderId="0" xfId="0" applyNumberFormat="1" applyFont="1" applyFill="1"/>
    <xf numFmtId="14" fontId="57" fillId="0" borderId="0" xfId="0" applyNumberFormat="1" applyFont="1" applyFill="1"/>
    <xf numFmtId="14" fontId="56" fillId="0" borderId="0" xfId="0" applyNumberFormat="1" applyFont="1" applyFill="1"/>
    <xf numFmtId="14" fontId="55" fillId="0" borderId="0" xfId="0" applyNumberFormat="1" applyFont="1" applyFill="1"/>
    <xf numFmtId="14" fontId="54" fillId="0" borderId="0" xfId="0" applyNumberFormat="1" applyFont="1" applyFill="1"/>
    <xf numFmtId="14" fontId="49" fillId="0" borderId="0" xfId="0" applyNumberFormat="1" applyFont="1" applyFill="1"/>
    <xf numFmtId="14" fontId="48" fillId="0" borderId="0" xfId="0" applyNumberFormat="1" applyFont="1" applyFill="1"/>
    <xf numFmtId="14" fontId="47" fillId="0" borderId="0" xfId="0" applyNumberFormat="1" applyFont="1" applyFill="1"/>
    <xf numFmtId="14" fontId="45" fillId="0" borderId="0" xfId="0" applyNumberFormat="1" applyFont="1" applyFill="1"/>
    <xf numFmtId="14" fontId="44" fillId="0" borderId="0" xfId="0" applyNumberFormat="1" applyFont="1" applyFill="1"/>
    <xf numFmtId="14" fontId="44" fillId="5" borderId="0" xfId="0" applyNumberFormat="1" applyFont="1" applyFill="1"/>
    <xf numFmtId="14" fontId="43" fillId="0" borderId="0" xfId="0" applyNumberFormat="1" applyFont="1" applyFill="1"/>
    <xf numFmtId="14" fontId="42" fillId="0" borderId="0" xfId="0" applyNumberFormat="1" applyFont="1" applyFill="1"/>
    <xf numFmtId="14" fontId="42" fillId="5" borderId="0" xfId="0" applyNumberFormat="1" applyFont="1" applyFill="1"/>
    <xf numFmtId="14" fontId="41" fillId="9" borderId="0" xfId="0" applyNumberFormat="1" applyFont="1" applyFill="1"/>
    <xf numFmtId="14" fontId="41" fillId="0" borderId="0" xfId="0" applyNumberFormat="1" applyFont="1" applyFill="1"/>
    <xf numFmtId="14" fontId="40" fillId="5" borderId="0" xfId="0" applyNumberFormat="1" applyFont="1" applyFill="1"/>
    <xf numFmtId="14" fontId="40" fillId="0" borderId="0" xfId="0" applyNumberFormat="1" applyFont="1" applyFill="1"/>
    <xf numFmtId="14" fontId="39" fillId="0" borderId="0" xfId="0" applyNumberFormat="1" applyFont="1" applyFill="1"/>
    <xf numFmtId="14" fontId="39" fillId="9" borderId="0" xfId="0" applyNumberFormat="1" applyFont="1" applyFill="1"/>
    <xf numFmtId="14" fontId="36" fillId="0" borderId="0" xfId="0" applyNumberFormat="1" applyFont="1" applyFill="1"/>
    <xf numFmtId="14" fontId="35" fillId="0" borderId="0" xfId="0" applyNumberFormat="1" applyFont="1" applyFill="1"/>
    <xf numFmtId="14" fontId="97" fillId="5" borderId="0" xfId="0" applyNumberFormat="1" applyFont="1" applyFill="1"/>
    <xf numFmtId="14" fontId="312" fillId="0" borderId="0" xfId="0" applyNumberFormat="1" applyFont="1" applyFill="1"/>
    <xf numFmtId="0" fontId="35" fillId="5" borderId="0" xfId="0" applyFont="1" applyFill="1"/>
    <xf numFmtId="0" fontId="35" fillId="5" borderId="0" xfId="0" applyFont="1" applyFill="1" applyAlignment="1">
      <alignment wrapText="1"/>
    </xf>
    <xf numFmtId="0" fontId="35" fillId="5" borderId="0" xfId="0" applyFont="1" applyFill="1" applyBorder="1"/>
    <xf numFmtId="3" fontId="0" fillId="0" borderId="0" xfId="0" applyNumberFormat="1" applyBorder="1"/>
    <xf numFmtId="0" fontId="35" fillId="0" borderId="0" xfId="0" applyFont="1" applyBorder="1"/>
    <xf numFmtId="0" fontId="34" fillId="0" borderId="0" xfId="0" applyFont="1"/>
    <xf numFmtId="0" fontId="34" fillId="5" borderId="0" xfId="0" applyFont="1" applyFill="1" applyBorder="1"/>
    <xf numFmtId="0" fontId="41" fillId="0" borderId="0" xfId="0" applyFont="1" applyBorder="1"/>
    <xf numFmtId="0" fontId="34" fillId="0" borderId="0" xfId="0" applyFont="1" applyBorder="1"/>
    <xf numFmtId="3" fontId="35" fillId="5" borderId="0" xfId="0" applyNumberFormat="1" applyFont="1" applyFill="1" applyBorder="1"/>
    <xf numFmtId="0" fontId="33" fillId="5" borderId="0" xfId="0" applyFont="1" applyFill="1" applyBorder="1"/>
    <xf numFmtId="0" fontId="33" fillId="0" borderId="1" xfId="0" applyFont="1" applyBorder="1"/>
    <xf numFmtId="3" fontId="0" fillId="0" borderId="1" xfId="0" applyNumberFormat="1" applyFill="1" applyBorder="1"/>
    <xf numFmtId="14" fontId="33" fillId="0" borderId="1" xfId="0" applyNumberFormat="1" applyFont="1" applyBorder="1"/>
    <xf numFmtId="0" fontId="32" fillId="0" borderId="1" xfId="0" applyFont="1" applyBorder="1"/>
    <xf numFmtId="0" fontId="31" fillId="0" borderId="0" xfId="0" applyFont="1" applyFill="1" applyBorder="1"/>
    <xf numFmtId="3" fontId="31" fillId="0" borderId="0" xfId="0" applyNumberFormat="1" applyFont="1" applyFill="1" applyBorder="1"/>
    <xf numFmtId="0" fontId="30" fillId="0" borderId="0" xfId="0" applyFont="1" applyFill="1" applyBorder="1"/>
    <xf numFmtId="14" fontId="30" fillId="0" borderId="0" xfId="0" applyNumberFormat="1" applyFont="1" applyFill="1"/>
    <xf numFmtId="0" fontId="30" fillId="5" borderId="0" xfId="0" applyFont="1" applyFill="1" applyBorder="1"/>
    <xf numFmtId="0" fontId="30" fillId="0" borderId="2" xfId="0" applyFont="1" applyFill="1" applyBorder="1"/>
    <xf numFmtId="3" fontId="0" fillId="0" borderId="2" xfId="0" applyNumberFormat="1" applyFill="1" applyBorder="1"/>
    <xf numFmtId="0" fontId="30" fillId="14" borderId="0" xfId="0" applyFont="1" applyFill="1" applyBorder="1"/>
    <xf numFmtId="3" fontId="30" fillId="5" borderId="0" xfId="0" applyNumberFormat="1" applyFont="1" applyFill="1" applyBorder="1"/>
    <xf numFmtId="0" fontId="29" fillId="5" borderId="0" xfId="0" applyFont="1" applyFill="1" applyBorder="1"/>
    <xf numFmtId="49" fontId="29" fillId="5" borderId="1" xfId="2" applyNumberFormat="1" applyFont="1" applyFill="1" applyBorder="1" applyAlignment="1">
      <alignment wrapText="1"/>
    </xf>
    <xf numFmtId="0" fontId="29" fillId="5" borderId="1" xfId="0" applyFont="1" applyFill="1" applyBorder="1"/>
    <xf numFmtId="3" fontId="29" fillId="5" borderId="0" xfId="0" applyNumberFormat="1" applyFont="1" applyFill="1" applyBorder="1"/>
    <xf numFmtId="0" fontId="29" fillId="0" borderId="2" xfId="0" applyFont="1" applyFill="1" applyBorder="1"/>
    <xf numFmtId="0" fontId="28" fillId="0" borderId="0" xfId="0" applyFont="1" applyFill="1" applyBorder="1"/>
    <xf numFmtId="0" fontId="28" fillId="0" borderId="2" xfId="0" applyFont="1" applyFill="1" applyBorder="1"/>
    <xf numFmtId="0" fontId="28" fillId="5" borderId="0" xfId="0" applyFont="1" applyFill="1" applyBorder="1"/>
    <xf numFmtId="0" fontId="33" fillId="4" borderId="1" xfId="0" applyFont="1" applyFill="1" applyBorder="1"/>
    <xf numFmtId="3" fontId="33" fillId="4" borderId="1" xfId="0" applyNumberFormat="1" applyFont="1" applyFill="1" applyBorder="1" applyAlignment="1">
      <alignment wrapText="1"/>
    </xf>
    <xf numFmtId="0" fontId="42" fillId="4" borderId="1" xfId="0" applyFont="1" applyFill="1" applyBorder="1"/>
    <xf numFmtId="3" fontId="28" fillId="5" borderId="0" xfId="0" applyNumberFormat="1" applyFont="1" applyFill="1" applyBorder="1"/>
    <xf numFmtId="0" fontId="27" fillId="5" borderId="0" xfId="0" applyFont="1" applyFill="1" applyBorder="1"/>
    <xf numFmtId="0" fontId="27" fillId="0" borderId="2" xfId="0" applyFont="1" applyFill="1" applyBorder="1"/>
    <xf numFmtId="3" fontId="0" fillId="0" borderId="0" xfId="0" applyNumberFormat="1" applyFill="1" applyBorder="1"/>
    <xf numFmtId="0" fontId="26" fillId="0" borderId="0" xfId="0" applyFont="1"/>
    <xf numFmtId="0" fontId="26" fillId="0" borderId="2" xfId="0" applyFont="1" applyFill="1" applyBorder="1"/>
    <xf numFmtId="0" fontId="26" fillId="0" borderId="0" xfId="0" applyFont="1" applyFill="1" applyBorder="1"/>
    <xf numFmtId="3" fontId="26" fillId="0" borderId="0" xfId="0" applyNumberFormat="1" applyFont="1" applyFill="1" applyBorder="1"/>
    <xf numFmtId="0" fontId="26" fillId="9" borderId="0" xfId="0" applyFont="1" applyFill="1" applyBorder="1"/>
    <xf numFmtId="3" fontId="26" fillId="9" borderId="0" xfId="0" applyNumberFormat="1" applyFont="1" applyFill="1" applyBorder="1"/>
    <xf numFmtId="0" fontId="26" fillId="5" borderId="0" xfId="0" applyFont="1" applyFill="1" applyBorder="1"/>
    <xf numFmtId="3" fontId="26" fillId="5" borderId="0" xfId="0" applyNumberFormat="1" applyFont="1" applyFill="1" applyBorder="1"/>
    <xf numFmtId="0" fontId="26" fillId="0" borderId="1" xfId="0" applyFont="1" applyBorder="1"/>
    <xf numFmtId="0" fontId="25" fillId="0" borderId="0" xfId="0" applyFont="1" applyFill="1" applyBorder="1"/>
    <xf numFmtId="0" fontId="25" fillId="0" borderId="0" xfId="0" applyFont="1"/>
    <xf numFmtId="0" fontId="25" fillId="0" borderId="0" xfId="0" applyFont="1" applyAlignment="1">
      <alignment wrapText="1"/>
    </xf>
    <xf numFmtId="0" fontId="24" fillId="0" borderId="2" xfId="0" applyFont="1" applyFill="1" applyBorder="1"/>
    <xf numFmtId="0" fontId="22" fillId="0" borderId="0" xfId="0" applyFont="1"/>
    <xf numFmtId="0" fontId="22" fillId="0" borderId="0" xfId="0" applyFont="1" applyAlignment="1">
      <alignment wrapText="1"/>
    </xf>
    <xf numFmtId="0" fontId="22" fillId="0" borderId="2" xfId="0" applyFont="1" applyFill="1" applyBorder="1"/>
    <xf numFmtId="0" fontId="21" fillId="0" borderId="0" xfId="0" applyFont="1"/>
    <xf numFmtId="0" fontId="21" fillId="0" borderId="0" xfId="0" applyFont="1" applyFill="1" applyBorder="1"/>
    <xf numFmtId="0" fontId="21" fillId="2" borderId="0" xfId="0" applyFont="1" applyFill="1" applyBorder="1"/>
    <xf numFmtId="3" fontId="21" fillId="2" borderId="0" xfId="0" applyNumberFormat="1" applyFont="1" applyFill="1" applyBorder="1"/>
    <xf numFmtId="0" fontId="21" fillId="5" borderId="1" xfId="0" applyFont="1" applyFill="1" applyBorder="1"/>
    <xf numFmtId="0" fontId="20" fillId="5" borderId="0" xfId="0" applyFont="1" applyFill="1" applyBorder="1"/>
    <xf numFmtId="0" fontId="20" fillId="0" borderId="0" xfId="0" applyFont="1"/>
    <xf numFmtId="49" fontId="20" fillId="0" borderId="1" xfId="2" applyNumberFormat="1" applyFont="1" applyBorder="1" applyAlignment="1">
      <alignment wrapText="1"/>
    </xf>
    <xf numFmtId="0" fontId="20" fillId="0" borderId="1" xfId="0" applyFont="1" applyBorder="1"/>
    <xf numFmtId="0" fontId="20" fillId="0" borderId="0" xfId="0" applyFont="1" applyAlignment="1">
      <alignment wrapText="1"/>
    </xf>
    <xf numFmtId="0" fontId="31" fillId="0" borderId="0" xfId="0" applyFont="1" applyFill="1"/>
    <xf numFmtId="43" fontId="0" fillId="0" borderId="0" xfId="0" applyNumberFormat="1" applyFill="1"/>
    <xf numFmtId="3" fontId="20" fillId="0" borderId="0" xfId="0" applyNumberFormat="1" applyFont="1" applyFill="1" applyBorder="1"/>
    <xf numFmtId="0" fontId="20" fillId="0" borderId="0" xfId="0" applyFont="1" applyFill="1" applyBorder="1"/>
    <xf numFmtId="49" fontId="20" fillId="5" borderId="1" xfId="2" applyNumberFormat="1" applyFont="1" applyFill="1" applyBorder="1" applyAlignment="1">
      <alignment wrapText="1"/>
    </xf>
    <xf numFmtId="0" fontId="20" fillId="5" borderId="1" xfId="0" applyFont="1" applyFill="1" applyBorder="1"/>
    <xf numFmtId="49" fontId="20" fillId="0" borderId="0" xfId="2" applyNumberFormat="1" applyFont="1" applyAlignment="1">
      <alignment wrapText="1"/>
    </xf>
    <xf numFmtId="0" fontId="19" fillId="0" borderId="0" xfId="0" applyFont="1" applyAlignment="1">
      <alignment wrapText="1"/>
    </xf>
    <xf numFmtId="49" fontId="19" fillId="5" borderId="1" xfId="2" applyNumberFormat="1" applyFont="1" applyFill="1" applyBorder="1" applyAlignment="1">
      <alignment wrapText="1"/>
    </xf>
    <xf numFmtId="49" fontId="19" fillId="0" borderId="1" xfId="2" applyNumberFormat="1" applyFont="1" applyBorder="1" applyAlignment="1">
      <alignment wrapText="1"/>
    </xf>
    <xf numFmtId="0" fontId="19" fillId="0" borderId="2" xfId="0" applyFont="1" applyFill="1" applyBorder="1"/>
    <xf numFmtId="49" fontId="19" fillId="0" borderId="0" xfId="2" applyNumberFormat="1" applyFont="1" applyAlignment="1">
      <alignment wrapText="1"/>
    </xf>
    <xf numFmtId="0" fontId="19" fillId="0" borderId="0" xfId="0" applyFont="1" applyFill="1" applyBorder="1"/>
    <xf numFmtId="0" fontId="19" fillId="9" borderId="0" xfId="0" applyFont="1" applyFill="1" applyBorder="1"/>
    <xf numFmtId="3" fontId="19" fillId="9" borderId="0" xfId="0" applyNumberFormat="1" applyFont="1" applyFill="1" applyBorder="1"/>
    <xf numFmtId="0" fontId="19" fillId="0" borderId="1" xfId="0" applyFont="1" applyBorder="1"/>
    <xf numFmtId="0" fontId="19" fillId="2" borderId="0" xfId="0" applyFont="1" applyFill="1" applyBorder="1"/>
    <xf numFmtId="3" fontId="19" fillId="2" borderId="0" xfId="0" applyNumberFormat="1" applyFont="1" applyFill="1" applyBorder="1"/>
    <xf numFmtId="0" fontId="19" fillId="5" borderId="0" xfId="0" applyFont="1" applyFill="1" applyBorder="1"/>
    <xf numFmtId="3" fontId="19" fillId="5" borderId="0" xfId="0" applyNumberFormat="1" applyFont="1" applyFill="1" applyBorder="1"/>
    <xf numFmtId="0" fontId="18" fillId="9" borderId="0" xfId="0" applyFont="1" applyFill="1" applyBorder="1"/>
    <xf numFmtId="0" fontId="18" fillId="5" borderId="0" xfId="0" applyFont="1" applyFill="1" applyBorder="1"/>
    <xf numFmtId="49" fontId="18" fillId="5" borderId="1" xfId="2" applyNumberFormat="1" applyFont="1" applyFill="1" applyBorder="1" applyAlignment="1">
      <alignment wrapText="1"/>
    </xf>
    <xf numFmtId="14" fontId="17" fillId="0" borderId="0" xfId="0" applyNumberFormat="1" applyFont="1" applyFill="1"/>
    <xf numFmtId="0" fontId="17" fillId="5" borderId="0" xfId="0" applyFont="1" applyFill="1" applyBorder="1"/>
    <xf numFmtId="3" fontId="17" fillId="5" borderId="0" xfId="0" applyNumberFormat="1" applyFont="1" applyFill="1" applyBorder="1"/>
    <xf numFmtId="0" fontId="17" fillId="14" borderId="0" xfId="0" applyFont="1" applyFill="1" applyBorder="1"/>
    <xf numFmtId="3" fontId="17" fillId="14" borderId="0" xfId="0" applyNumberFormat="1" applyFont="1" applyFill="1" applyBorder="1"/>
    <xf numFmtId="0" fontId="16" fillId="0" borderId="0" xfId="0" applyFont="1" applyFill="1" applyBorder="1"/>
    <xf numFmtId="14" fontId="16" fillId="0" borderId="0" xfId="0" applyNumberFormat="1" applyFont="1" applyFill="1"/>
    <xf numFmtId="3" fontId="16" fillId="0" borderId="0" xfId="0" applyNumberFormat="1" applyFont="1" applyFill="1" applyBorder="1"/>
    <xf numFmtId="0" fontId="16" fillId="5" borderId="0" xfId="0" applyFont="1" applyFill="1" applyBorder="1"/>
    <xf numFmtId="0" fontId="18" fillId="0" borderId="0" xfId="0" applyFont="1" applyFill="1"/>
    <xf numFmtId="0" fontId="15" fillId="14" borderId="0" xfId="0" applyFont="1" applyFill="1" applyBorder="1"/>
    <xf numFmtId="0" fontId="14" fillId="0" borderId="0" xfId="0" applyFont="1"/>
    <xf numFmtId="14" fontId="13" fillId="0" borderId="0" xfId="0" applyNumberFormat="1" applyFont="1" applyFill="1"/>
    <xf numFmtId="0" fontId="13" fillId="0" borderId="0" xfId="0" applyFont="1" applyFill="1" applyBorder="1"/>
    <xf numFmtId="14" fontId="12" fillId="0" borderId="0" xfId="0" applyNumberFormat="1" applyFont="1" applyFill="1"/>
    <xf numFmtId="0" fontId="12" fillId="0" borderId="0" xfId="0" applyFont="1" applyFill="1" applyBorder="1"/>
    <xf numFmtId="0" fontId="12" fillId="5" borderId="0" xfId="0" applyFont="1" applyFill="1" applyBorder="1"/>
    <xf numFmtId="0" fontId="11" fillId="0" borderId="0" xfId="0" applyFont="1"/>
    <xf numFmtId="0" fontId="11" fillId="0" borderId="0" xfId="0" applyFont="1" applyAlignment="1">
      <alignment wrapText="1"/>
    </xf>
    <xf numFmtId="3" fontId="11" fillId="0" borderId="0" xfId="0" applyNumberFormat="1" applyFont="1"/>
    <xf numFmtId="0" fontId="11" fillId="5" borderId="0" xfId="0" applyFont="1" applyFill="1"/>
    <xf numFmtId="0" fontId="11" fillId="0" borderId="0" xfId="0" applyFont="1" applyFill="1"/>
    <xf numFmtId="0" fontId="11" fillId="5" borderId="0" xfId="0" applyFont="1" applyFill="1" applyAlignment="1">
      <alignment wrapText="1"/>
    </xf>
    <xf numFmtId="3" fontId="11" fillId="0" borderId="0" xfId="0" applyNumberFormat="1" applyFont="1" applyAlignment="1">
      <alignment wrapText="1"/>
    </xf>
    <xf numFmtId="0" fontId="11" fillId="0" borderId="0" xfId="0" applyFont="1" applyFill="1" applyAlignment="1">
      <alignment wrapText="1"/>
    </xf>
    <xf numFmtId="0" fontId="10" fillId="0" borderId="0" xfId="0" applyFont="1" applyAlignment="1">
      <alignment wrapText="1"/>
    </xf>
    <xf numFmtId="0" fontId="10" fillId="0" borderId="0" xfId="0" applyFont="1"/>
    <xf numFmtId="0" fontId="11" fillId="9" borderId="0" xfId="0" applyFont="1" applyFill="1"/>
    <xf numFmtId="3" fontId="11" fillId="9" borderId="0" xfId="0" applyNumberFormat="1" applyFont="1" applyFill="1" applyAlignment="1">
      <alignment wrapText="1"/>
    </xf>
    <xf numFmtId="3" fontId="11" fillId="9" borderId="0" xfId="0" applyNumberFormat="1" applyFont="1" applyFill="1"/>
    <xf numFmtId="0" fontId="0" fillId="5" borderId="2" xfId="0" applyFill="1" applyBorder="1"/>
    <xf numFmtId="0" fontId="9" fillId="0" borderId="0" xfId="0" applyFont="1"/>
    <xf numFmtId="3" fontId="9" fillId="0" borderId="0" xfId="0" applyNumberFormat="1" applyFont="1"/>
    <xf numFmtId="49" fontId="7" fillId="0" borderId="0" xfId="0" applyNumberFormat="1" applyFont="1"/>
    <xf numFmtId="0" fontId="7" fillId="0" borderId="0" xfId="0" applyFont="1"/>
    <xf numFmtId="0" fontId="6" fillId="0" borderId="0" xfId="0" applyFont="1"/>
    <xf numFmtId="43" fontId="0" fillId="0" borderId="1" xfId="2" applyFont="1" applyBorder="1" applyAlignment="1">
      <alignment horizontal="center" vertical="center"/>
    </xf>
    <xf numFmtId="43" fontId="0" fillId="0" borderId="3" xfId="2" applyFont="1" applyBorder="1"/>
    <xf numFmtId="43" fontId="0" fillId="2" borderId="1" xfId="2" applyFont="1" applyFill="1" applyBorder="1"/>
    <xf numFmtId="43" fontId="0" fillId="0" borderId="4" xfId="2" applyFont="1" applyBorder="1"/>
    <xf numFmtId="43" fontId="0" fillId="0" borderId="0" xfId="2" applyFont="1" applyBorder="1"/>
    <xf numFmtId="43" fontId="0" fillId="0" borderId="1" xfId="2" applyFont="1" applyFill="1" applyBorder="1"/>
    <xf numFmtId="43" fontId="460" fillId="0" borderId="1" xfId="2" applyFont="1" applyFill="1" applyBorder="1"/>
    <xf numFmtId="43" fontId="39" fillId="0" borderId="1" xfId="2" applyFont="1" applyBorder="1"/>
    <xf numFmtId="43" fontId="23" fillId="0" borderId="0" xfId="2" applyFont="1" applyFill="1" applyBorder="1"/>
    <xf numFmtId="43" fontId="11" fillId="0" borderId="0" xfId="2" applyFont="1"/>
    <xf numFmtId="43" fontId="211" fillId="0" borderId="0" xfId="2" applyFont="1"/>
    <xf numFmtId="0" fontId="6" fillId="0" borderId="1" xfId="0" applyFont="1" applyBorder="1"/>
    <xf numFmtId="0" fontId="5" fillId="0" borderId="0" xfId="0" applyFont="1" applyFill="1"/>
    <xf numFmtId="0" fontId="5" fillId="5" borderId="0" xfId="0" applyFont="1" applyFill="1" applyAlignment="1">
      <alignment wrapText="1"/>
    </xf>
    <xf numFmtId="0" fontId="4" fillId="0" borderId="0" xfId="0" applyFont="1"/>
    <xf numFmtId="0" fontId="3" fillId="0" borderId="0" xfId="0" applyFont="1"/>
    <xf numFmtId="43" fontId="3" fillId="0" borderId="0" xfId="2" applyFont="1"/>
    <xf numFmtId="0" fontId="3" fillId="0" borderId="0" xfId="0" applyFont="1" applyAlignment="1">
      <alignment wrapText="1"/>
    </xf>
    <xf numFmtId="0" fontId="3" fillId="2" borderId="0" xfId="0" applyFont="1" applyFill="1"/>
    <xf numFmtId="0" fontId="4" fillId="2" borderId="0" xfId="0" applyFont="1" applyFill="1"/>
    <xf numFmtId="0" fontId="2" fillId="0" borderId="0" xfId="0" applyFont="1" applyFill="1"/>
    <xf numFmtId="0" fontId="2" fillId="0" borderId="0" xfId="0" applyFont="1" applyFill="1" applyBorder="1"/>
    <xf numFmtId="0" fontId="2" fillId="0" borderId="1" xfId="0" applyFont="1" applyBorder="1"/>
    <xf numFmtId="0" fontId="8" fillId="0" borderId="1" xfId="0" applyFont="1" applyFill="1" applyBorder="1"/>
    <xf numFmtId="0" fontId="0" fillId="5" borderId="0" xfId="0" applyFill="1" applyAlignment="1">
      <alignment horizontal="center" vertical="center"/>
    </xf>
    <xf numFmtId="0" fontId="0" fillId="5" borderId="0" xfId="0" applyFill="1" applyAlignment="1">
      <alignment horizontal="center" vertical="center" wrapText="1"/>
    </xf>
    <xf numFmtId="0" fontId="425" fillId="5" borderId="0" xfId="0" applyFont="1" applyFill="1" applyAlignment="1">
      <alignment horizontal="center" vertical="center" wrapText="1"/>
    </xf>
    <xf numFmtId="0" fontId="425" fillId="3" borderId="0" xfId="0" applyFont="1" applyFill="1" applyAlignment="1">
      <alignment horizontal="center" vertical="center"/>
    </xf>
    <xf numFmtId="0" fontId="0" fillId="5" borderId="0" xfId="0" applyFill="1" applyBorder="1" applyAlignment="1">
      <alignment horizontal="center" vertical="center" wrapText="1"/>
    </xf>
    <xf numFmtId="0" fontId="1" fillId="0" borderId="0" xfId="0" applyFont="1" applyFill="1" applyBorder="1"/>
    <xf numFmtId="0" fontId="1" fillId="0" borderId="0" xfId="0" applyFont="1" applyFill="1"/>
    <xf numFmtId="0" fontId="1" fillId="0" borderId="0" xfId="0" applyFont="1"/>
    <xf numFmtId="0" fontId="1" fillId="5" borderId="0" xfId="0" applyFont="1" applyFill="1" applyBorder="1"/>
  </cellXfs>
  <cellStyles count="6">
    <cellStyle name="Гиперссылка" xfId="5" builtinId="8"/>
    <cellStyle name="Обычный" xfId="0" builtinId="0"/>
    <cellStyle name="Обычный 2" xfId="1"/>
    <cellStyle name="Финансовый" xfId="2" builtinId="3"/>
    <cellStyle name="Финансовый [0] 2" xfId="4"/>
    <cellStyle name="Финансовый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theme" Target="theme/theme1.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customXml" Target="../customXml/item1.xml"/><Relationship Id="rId2" Type="http://schemas.openxmlformats.org/officeDocument/2006/relationships/worksheet" Target="worksheets/sheet1.xml"/><Relationship Id="rId16" Type="http://schemas.openxmlformats.org/officeDocument/2006/relationships/calcChain" Target="calcChain.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sharedStrings" Target="sharedStrings.xml"/><Relationship Id="rId10" Type="http://schemas.openxmlformats.org/officeDocument/2006/relationships/worksheet" Target="worksheets/sheet9.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495762768"/>
        <c:axId val="503252176"/>
      </c:barChart>
      <c:catAx>
        <c:axId val="4957627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03252176"/>
        <c:crosses val="autoZero"/>
        <c:auto val="1"/>
        <c:lblAlgn val="ctr"/>
        <c:lblOffset val="100"/>
        <c:noMultiLvlLbl val="0"/>
      </c:catAx>
      <c:valAx>
        <c:axId val="503252176"/>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95762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0" y="0"/>
    <xdr:ext cx="9294725" cy="6070879"/>
    <xdr:graphicFrame macro="">
      <xdr:nvGraphicFramePr>
        <xdr:cNvPr id="2" name="Диаграмма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3</xdr:col>
      <xdr:colOff>68580</xdr:colOff>
      <xdr:row>7</xdr:row>
      <xdr:rowOff>0</xdr:rowOff>
    </xdr:from>
    <xdr:to>
      <xdr:col>4</xdr:col>
      <xdr:colOff>7620</xdr:colOff>
      <xdr:row>7</xdr:row>
      <xdr:rowOff>1089660</xdr:rowOff>
    </xdr:to>
    <xdr:pic>
      <xdr:nvPicPr>
        <xdr:cNvPr id="3" name="Рисунок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79320" y="2354580"/>
          <a:ext cx="3383280" cy="1089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2400300</xdr:colOff>
      <xdr:row>6</xdr:row>
      <xdr:rowOff>30480</xdr:rowOff>
    </xdr:from>
    <xdr:to>
      <xdr:col>3</xdr:col>
      <xdr:colOff>3230880</xdr:colOff>
      <xdr:row>6</xdr:row>
      <xdr:rowOff>670560</xdr:rowOff>
    </xdr:to>
    <xdr:pic>
      <xdr:nvPicPr>
        <xdr:cNvPr id="4" name="Рисунок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41520" y="1127760"/>
          <a:ext cx="830580" cy="640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2453640</xdr:colOff>
      <xdr:row>4</xdr:row>
      <xdr:rowOff>129540</xdr:rowOff>
    </xdr:from>
    <xdr:to>
      <xdr:col>3</xdr:col>
      <xdr:colOff>3162300</xdr:colOff>
      <xdr:row>4</xdr:row>
      <xdr:rowOff>678180</xdr:rowOff>
    </xdr:to>
    <xdr:pic>
      <xdr:nvPicPr>
        <xdr:cNvPr id="5" name="Рисунок 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94860" y="861060"/>
          <a:ext cx="70866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68580</xdr:colOff>
      <xdr:row>24</xdr:row>
      <xdr:rowOff>0</xdr:rowOff>
    </xdr:from>
    <xdr:ext cx="3383280" cy="1089660"/>
    <xdr:pic>
      <xdr:nvPicPr>
        <xdr:cNvPr id="9" name="Рисунок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79320" y="2354580"/>
          <a:ext cx="3383280" cy="10896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2400300</xdr:colOff>
      <xdr:row>23</xdr:row>
      <xdr:rowOff>30480</xdr:rowOff>
    </xdr:from>
    <xdr:ext cx="830580" cy="640080"/>
    <xdr:pic>
      <xdr:nvPicPr>
        <xdr:cNvPr id="10" name="Рисунок 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11040" y="1653540"/>
          <a:ext cx="830580" cy="6400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2453640</xdr:colOff>
      <xdr:row>21</xdr:row>
      <xdr:rowOff>129540</xdr:rowOff>
    </xdr:from>
    <xdr:ext cx="708660" cy="548640"/>
    <xdr:pic>
      <xdr:nvPicPr>
        <xdr:cNvPr id="11" name="Рисунок 1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64380" y="861060"/>
          <a:ext cx="708660" cy="5486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1:X3664"/>
  <sheetViews>
    <sheetView topLeftCell="A1229" zoomScale="85" zoomScaleNormal="85" workbookViewId="0">
      <selection activeCell="I1697" sqref="I1697"/>
    </sheetView>
  </sheetViews>
  <sheetFormatPr defaultRowHeight="14.4" zeroHeight="1"/>
  <cols>
    <col min="1" max="1" width="14.33203125" bestFit="1" customWidth="1"/>
    <col min="2" max="2" width="42.6640625" customWidth="1"/>
    <col min="3" max="3" width="16.5546875" customWidth="1"/>
    <col min="4" max="5" width="16.21875" customWidth="1"/>
    <col min="6" max="6" width="18.21875" customWidth="1"/>
    <col min="7" max="7" width="14.21875" customWidth="1"/>
    <col min="8" max="8" width="37.77734375" customWidth="1"/>
    <col min="9" max="9" width="24.44140625" customWidth="1"/>
    <col min="10" max="10" width="20.5546875" style="7" customWidth="1"/>
    <col min="11" max="11" width="31.5546875" bestFit="1" customWidth="1"/>
    <col min="12" max="12" width="31.5546875" customWidth="1"/>
    <col min="13" max="13" width="42.44140625" bestFit="1" customWidth="1"/>
    <col min="14" max="14" width="38.6640625" style="4" bestFit="1" customWidth="1"/>
    <col min="15" max="15" width="24.44140625" bestFit="1" customWidth="1"/>
    <col min="16" max="16" width="35.5546875" style="4" bestFit="1" customWidth="1"/>
    <col min="17" max="17" width="16.5546875" hidden="1" customWidth="1"/>
    <col min="18" max="19" width="0" hidden="1" customWidth="1"/>
    <col min="20" max="20" width="16.5546875" hidden="1" customWidth="1"/>
    <col min="21" max="24" width="0" hidden="1" customWidth="1"/>
  </cols>
  <sheetData>
    <row r="1" spans="1:16"/>
    <row r="2" spans="1:16"/>
    <row r="3" spans="1:16">
      <c r="J3" s="7">
        <v>7</v>
      </c>
    </row>
    <row r="4" spans="1:16" ht="14.4" hidden="1" customHeight="1">
      <c r="A4" s="1995">
        <v>44629</v>
      </c>
      <c r="B4" s="292" t="s">
        <v>1978</v>
      </c>
      <c r="C4" s="6">
        <v>98529134</v>
      </c>
      <c r="D4" s="6"/>
      <c r="E4" s="6" t="s">
        <v>6443</v>
      </c>
      <c r="F4" s="1481" t="s">
        <v>6196</v>
      </c>
      <c r="G4" s="6" t="s">
        <v>6047</v>
      </c>
      <c r="H4" s="6"/>
      <c r="I4" s="6"/>
      <c r="J4" s="7">
        <v>5</v>
      </c>
      <c r="K4" s="291">
        <v>4</v>
      </c>
      <c r="L4" s="291"/>
      <c r="M4" s="1304"/>
      <c r="O4" s="1304"/>
    </row>
    <row r="5" spans="1:16" ht="14.4" customHeight="1">
      <c r="A5" s="1996">
        <v>44612</v>
      </c>
      <c r="B5" s="1636" t="s">
        <v>1976</v>
      </c>
      <c r="C5" s="6">
        <v>40509212</v>
      </c>
      <c r="D5" s="6"/>
      <c r="E5" s="6" t="s">
        <v>6443</v>
      </c>
      <c r="F5" s="1481" t="s">
        <v>6196</v>
      </c>
      <c r="G5" s="1550" t="s">
        <v>736</v>
      </c>
      <c r="H5" s="1635" t="s">
        <v>6849</v>
      </c>
      <c r="I5" s="85">
        <v>1</v>
      </c>
      <c r="J5" s="7" t="s">
        <v>6852</v>
      </c>
      <c r="K5" s="1634" t="s">
        <v>1977</v>
      </c>
      <c r="L5" s="291"/>
      <c r="M5" s="1304"/>
      <c r="O5" s="1304"/>
    </row>
    <row r="6" spans="1:16" s="7" customFormat="1" ht="14.4" hidden="1" customHeight="1">
      <c r="A6" s="1997">
        <v>44630</v>
      </c>
      <c r="B6" s="701" t="s">
        <v>3467</v>
      </c>
      <c r="C6" s="6"/>
      <c r="D6" s="796" t="s">
        <v>4081</v>
      </c>
      <c r="E6" s="701"/>
      <c r="F6" s="6" t="s">
        <v>2755</v>
      </c>
      <c r="G6" s="6" t="s">
        <v>1921</v>
      </c>
      <c r="H6" s="6" t="s">
        <v>806</v>
      </c>
      <c r="I6" s="6"/>
      <c r="K6" s="95">
        <v>9</v>
      </c>
      <c r="L6" s="95"/>
      <c r="N6" s="166"/>
      <c r="P6" s="166"/>
    </row>
    <row r="7" spans="1:16" s="7" customFormat="1" ht="14.4" hidden="1" customHeight="1">
      <c r="A7" s="1998">
        <v>44643</v>
      </c>
      <c r="B7" s="677"/>
      <c r="C7" s="3"/>
      <c r="D7" s="3" t="s">
        <v>3570</v>
      </c>
      <c r="E7" s="3" t="s">
        <v>2905</v>
      </c>
      <c r="F7" s="3" t="s">
        <v>3581</v>
      </c>
      <c r="G7" s="3" t="s">
        <v>1922</v>
      </c>
      <c r="H7" s="1139" t="s">
        <v>4975</v>
      </c>
      <c r="I7" s="3"/>
      <c r="K7" s="121"/>
      <c r="L7" s="121"/>
      <c r="M7" s="7">
        <v>2</v>
      </c>
      <c r="N7" s="166"/>
      <c r="P7" s="166"/>
    </row>
    <row r="8" spans="1:16" s="7" customFormat="1" ht="14.4" hidden="1" customHeight="1">
      <c r="A8" s="1999">
        <v>44645</v>
      </c>
      <c r="B8" s="229" t="s">
        <v>915</v>
      </c>
      <c r="C8" s="6">
        <v>26706601</v>
      </c>
      <c r="D8" s="6"/>
      <c r="E8" s="6"/>
      <c r="F8" s="6">
        <v>20</v>
      </c>
      <c r="G8" s="6" t="s">
        <v>1923</v>
      </c>
      <c r="H8" s="6" t="s">
        <v>908</v>
      </c>
      <c r="I8" s="6"/>
      <c r="K8" s="121"/>
      <c r="L8" s="121"/>
      <c r="N8" s="166"/>
      <c r="P8" s="166"/>
    </row>
    <row r="9" spans="1:16" s="7" customFormat="1" ht="14.4" hidden="1" customHeight="1">
      <c r="A9" s="1999">
        <v>44645</v>
      </c>
      <c r="B9" s="145" t="s">
        <v>914</v>
      </c>
      <c r="C9" s="6">
        <v>75591482</v>
      </c>
      <c r="D9" s="6"/>
      <c r="E9" s="6"/>
      <c r="F9" s="6">
        <v>23</v>
      </c>
      <c r="G9" s="6" t="s">
        <v>1924</v>
      </c>
      <c r="H9" s="6" t="s">
        <v>713</v>
      </c>
      <c r="I9" s="6"/>
      <c r="K9" s="121"/>
      <c r="L9" s="121"/>
      <c r="N9" s="166"/>
      <c r="P9" s="166"/>
    </row>
    <row r="10" spans="1:16" s="7" customFormat="1" ht="14.4" hidden="1" customHeight="1">
      <c r="A10" s="2000">
        <v>44649</v>
      </c>
      <c r="B10" s="158" t="s">
        <v>799</v>
      </c>
      <c r="C10" s="6">
        <v>97198640</v>
      </c>
      <c r="D10" s="6"/>
      <c r="E10" s="6"/>
      <c r="F10" s="6">
        <v>23</v>
      </c>
      <c r="G10" s="6" t="s">
        <v>1923</v>
      </c>
      <c r="H10" s="6" t="s">
        <v>800</v>
      </c>
      <c r="I10" s="6"/>
      <c r="K10" s="121"/>
      <c r="L10" s="121"/>
      <c r="N10" s="166"/>
      <c r="P10" s="166"/>
    </row>
    <row r="11" spans="1:16" s="7" customFormat="1" ht="14.4" hidden="1" customHeight="1">
      <c r="A11" s="2001">
        <v>44650</v>
      </c>
      <c r="B11" s="2388" t="s">
        <v>956</v>
      </c>
      <c r="C11" s="6">
        <v>69346425</v>
      </c>
      <c r="D11" s="6"/>
      <c r="E11" s="6"/>
      <c r="F11" s="6">
        <v>18</v>
      </c>
      <c r="G11" s="6" t="s">
        <v>1925</v>
      </c>
      <c r="H11" s="6" t="s">
        <v>960</v>
      </c>
      <c r="I11" s="6"/>
      <c r="K11" s="121"/>
      <c r="L11" s="121"/>
      <c r="N11" s="166"/>
      <c r="P11" s="166"/>
    </row>
    <row r="12" spans="1:16" s="7" customFormat="1" ht="14.4" hidden="1" customHeight="1">
      <c r="A12" s="2001">
        <v>44650</v>
      </c>
      <c r="B12" s="154" t="s">
        <v>957</v>
      </c>
      <c r="C12" s="6">
        <v>29675034</v>
      </c>
      <c r="D12" s="6"/>
      <c r="E12" s="6"/>
      <c r="F12" s="6">
        <v>22</v>
      </c>
      <c r="G12" s="6" t="s">
        <v>2678</v>
      </c>
      <c r="H12" s="6" t="s">
        <v>958</v>
      </c>
      <c r="I12" s="6"/>
      <c r="K12" s="151" t="s">
        <v>122</v>
      </c>
      <c r="L12" s="151"/>
      <c r="N12" s="166"/>
      <c r="P12" s="166"/>
    </row>
    <row r="13" spans="1:16" s="7" customFormat="1" ht="14.4" hidden="1" customHeight="1">
      <c r="A13" s="2001">
        <v>44650</v>
      </c>
      <c r="B13" s="164" t="s">
        <v>966</v>
      </c>
      <c r="C13" s="6">
        <v>41699722</v>
      </c>
      <c r="D13" s="6" t="s">
        <v>989</v>
      </c>
      <c r="E13" s="6"/>
      <c r="F13" s="6">
        <v>22</v>
      </c>
      <c r="G13" s="7" t="s">
        <v>2215</v>
      </c>
      <c r="H13" s="6" t="s">
        <v>967</v>
      </c>
      <c r="I13" s="6"/>
      <c r="K13" s="121"/>
      <c r="L13" s="121"/>
      <c r="N13" s="166" t="s">
        <v>1908</v>
      </c>
      <c r="P13" s="166"/>
    </row>
    <row r="14" spans="1:16" s="7" customFormat="1" ht="14.4" hidden="1" customHeight="1">
      <c r="A14" s="2002">
        <v>44651</v>
      </c>
      <c r="B14" s="160" t="s">
        <v>962</v>
      </c>
      <c r="C14" s="6">
        <v>11498321</v>
      </c>
      <c r="D14" s="6"/>
      <c r="E14" s="6"/>
      <c r="F14" s="6">
        <v>22.5</v>
      </c>
      <c r="G14" s="6">
        <v>22.5</v>
      </c>
      <c r="H14" s="6" t="s">
        <v>971</v>
      </c>
      <c r="I14" s="6"/>
      <c r="K14" s="121"/>
      <c r="L14" s="121"/>
      <c r="N14" s="166" t="s">
        <v>2090</v>
      </c>
      <c r="P14" s="166"/>
    </row>
    <row r="15" spans="1:16" s="7" customFormat="1" ht="14.4" hidden="1" customHeight="1">
      <c r="A15" s="2002">
        <v>44651</v>
      </c>
      <c r="B15" s="170" t="s">
        <v>972</v>
      </c>
      <c r="C15" s="6">
        <v>30183671</v>
      </c>
      <c r="D15" s="6"/>
      <c r="E15" s="6"/>
      <c r="F15" s="6"/>
      <c r="G15" s="6" t="s">
        <v>1927</v>
      </c>
      <c r="H15" s="6" t="s">
        <v>973</v>
      </c>
      <c r="I15" s="6"/>
      <c r="K15" s="121"/>
      <c r="L15" s="121"/>
      <c r="N15" s="166"/>
      <c r="P15" s="166"/>
    </row>
    <row r="16" spans="1:16" s="7" customFormat="1" ht="14.4" hidden="1" customHeight="1">
      <c r="A16" s="2002">
        <v>44651</v>
      </c>
      <c r="B16" s="1867" t="s">
        <v>1037</v>
      </c>
      <c r="C16" s="6"/>
      <c r="D16" s="6"/>
      <c r="E16" s="6"/>
      <c r="F16" s="6">
        <v>25</v>
      </c>
      <c r="G16" s="6" t="s">
        <v>1955</v>
      </c>
      <c r="H16" s="6" t="s">
        <v>765</v>
      </c>
      <c r="I16" s="6"/>
      <c r="K16" s="121">
        <v>2</v>
      </c>
      <c r="L16" s="121"/>
      <c r="N16" s="166"/>
      <c r="P16" s="166"/>
    </row>
    <row r="17" spans="1:16" s="7" customFormat="1" ht="14.4" hidden="1" customHeight="1">
      <c r="A17" s="2002">
        <v>44651</v>
      </c>
      <c r="B17" s="164" t="s">
        <v>1038</v>
      </c>
      <c r="C17" s="6">
        <v>91142276</v>
      </c>
      <c r="D17" s="6"/>
      <c r="E17" s="6"/>
      <c r="F17" s="6">
        <v>25</v>
      </c>
      <c r="G17" s="6" t="s">
        <v>1955</v>
      </c>
      <c r="H17" s="6" t="s">
        <v>765</v>
      </c>
      <c r="I17" s="6"/>
      <c r="K17" s="121">
        <v>3</v>
      </c>
      <c r="L17" s="121"/>
      <c r="N17" s="166"/>
      <c r="P17" s="166"/>
    </row>
    <row r="18" spans="1:16" s="7" customFormat="1" ht="14.4" hidden="1" customHeight="1">
      <c r="A18" s="2002">
        <v>44651</v>
      </c>
      <c r="B18" s="162" t="s">
        <v>978</v>
      </c>
      <c r="C18" s="6">
        <v>19605444</v>
      </c>
      <c r="D18" s="6" t="s">
        <v>989</v>
      </c>
      <c r="E18" s="6"/>
      <c r="F18" s="6"/>
      <c r="G18" s="6" t="s">
        <v>1955</v>
      </c>
      <c r="H18" s="6" t="s">
        <v>979</v>
      </c>
      <c r="I18" s="6"/>
      <c r="K18" s="121">
        <v>4</v>
      </c>
      <c r="L18" s="121"/>
      <c r="N18" s="166"/>
      <c r="P18" s="166"/>
    </row>
    <row r="19" spans="1:16" s="7" customFormat="1" ht="14.4" hidden="1" customHeight="1">
      <c r="A19" s="2002">
        <v>44651</v>
      </c>
      <c r="B19" s="170" t="s">
        <v>950</v>
      </c>
      <c r="C19" s="6">
        <v>81026374</v>
      </c>
      <c r="D19" s="6"/>
      <c r="E19" s="6"/>
      <c r="F19" s="6"/>
      <c r="G19" s="6" t="s">
        <v>1955</v>
      </c>
      <c r="H19" s="6" t="s">
        <v>951</v>
      </c>
      <c r="I19" s="6"/>
      <c r="K19" s="155" t="s">
        <v>987</v>
      </c>
      <c r="L19" s="155"/>
      <c r="N19" s="166"/>
      <c r="P19" s="166"/>
    </row>
    <row r="20" spans="1:16" s="7" customFormat="1" ht="14.4" hidden="1" customHeight="1">
      <c r="A20" s="2003">
        <v>45017</v>
      </c>
      <c r="B20" s="189" t="s">
        <v>981</v>
      </c>
      <c r="C20" s="6">
        <v>72673422</v>
      </c>
      <c r="D20" s="6"/>
      <c r="E20" s="6"/>
      <c r="F20" s="6"/>
      <c r="G20" s="6">
        <v>13</v>
      </c>
      <c r="H20" s="6" t="s">
        <v>982</v>
      </c>
      <c r="I20" s="6"/>
      <c r="K20" s="121"/>
      <c r="L20" s="121"/>
      <c r="N20" s="166" t="s">
        <v>1460</v>
      </c>
      <c r="P20" s="166"/>
    </row>
    <row r="21" spans="1:16" s="7" customFormat="1" ht="14.4" hidden="1" customHeight="1">
      <c r="A21" s="2003">
        <v>45017</v>
      </c>
      <c r="B21" s="189" t="s">
        <v>983</v>
      </c>
      <c r="C21" s="6">
        <v>29829339</v>
      </c>
      <c r="D21" s="6"/>
      <c r="E21" s="6"/>
      <c r="F21" s="6"/>
      <c r="G21" s="6" t="s">
        <v>1955</v>
      </c>
      <c r="H21" s="6" t="s">
        <v>984</v>
      </c>
      <c r="I21" s="6"/>
      <c r="K21" s="121">
        <v>7</v>
      </c>
      <c r="L21" s="121"/>
      <c r="N21" s="166" t="s">
        <v>1460</v>
      </c>
      <c r="P21" s="166"/>
    </row>
    <row r="22" spans="1:16" s="7" customFormat="1" ht="14.4" hidden="1" customHeight="1">
      <c r="A22" s="2004">
        <v>45017</v>
      </c>
      <c r="B22" s="170" t="s">
        <v>990</v>
      </c>
      <c r="C22" s="6">
        <v>67505033</v>
      </c>
      <c r="D22" s="6"/>
      <c r="E22" s="6"/>
      <c r="F22" s="6">
        <v>25</v>
      </c>
      <c r="G22" s="6" t="s">
        <v>1955</v>
      </c>
      <c r="H22" s="6" t="s">
        <v>986</v>
      </c>
      <c r="I22" s="6"/>
      <c r="K22" s="121">
        <v>8</v>
      </c>
      <c r="L22" s="121"/>
      <c r="N22" s="166"/>
      <c r="P22" s="166"/>
    </row>
    <row r="23" spans="1:16" s="7" customFormat="1" ht="14.4" hidden="1" customHeight="1">
      <c r="A23" s="2005">
        <v>45018</v>
      </c>
      <c r="B23" s="203" t="s">
        <v>994</v>
      </c>
      <c r="C23" s="6">
        <v>34772565</v>
      </c>
      <c r="D23" s="6"/>
      <c r="E23" s="6"/>
      <c r="F23" s="6"/>
      <c r="G23" s="6" t="s">
        <v>988</v>
      </c>
      <c r="H23" s="6" t="s">
        <v>991</v>
      </c>
      <c r="I23" s="6"/>
      <c r="K23" s="121"/>
      <c r="L23" s="121"/>
      <c r="N23" s="166"/>
      <c r="P23" s="166"/>
    </row>
    <row r="24" spans="1:16" s="7" customFormat="1" ht="14.4" hidden="1" customHeight="1">
      <c r="A24" s="2005">
        <v>45018</v>
      </c>
      <c r="B24" s="170" t="s">
        <v>992</v>
      </c>
      <c r="C24" s="6">
        <v>92554392</v>
      </c>
      <c r="D24" s="6"/>
      <c r="E24" s="6"/>
      <c r="F24" s="6">
        <v>33</v>
      </c>
      <c r="G24" s="6" t="s">
        <v>686</v>
      </c>
      <c r="H24" s="6" t="s">
        <v>993</v>
      </c>
      <c r="I24" s="6"/>
      <c r="K24" s="121"/>
      <c r="L24" s="121"/>
      <c r="N24" s="166"/>
      <c r="P24" s="166"/>
    </row>
    <row r="25" spans="1:16" s="7" customFormat="1" ht="14.4" hidden="1" customHeight="1">
      <c r="A25" s="2005">
        <v>45018</v>
      </c>
      <c r="B25" s="170" t="s">
        <v>997</v>
      </c>
      <c r="C25" s="6">
        <v>40316239</v>
      </c>
      <c r="D25" s="6"/>
      <c r="E25" s="6"/>
      <c r="F25" s="6"/>
      <c r="G25" s="6" t="s">
        <v>1922</v>
      </c>
      <c r="H25" s="6" t="s">
        <v>736</v>
      </c>
      <c r="I25" s="6"/>
      <c r="K25" s="121"/>
      <c r="L25" s="121"/>
      <c r="N25" s="166" t="s">
        <v>1460</v>
      </c>
      <c r="P25" s="166"/>
    </row>
    <row r="26" spans="1:16" s="7" customFormat="1" ht="14.4" hidden="1" customHeight="1">
      <c r="A26" s="2005">
        <v>45018</v>
      </c>
      <c r="B26" s="163" t="s">
        <v>1000</v>
      </c>
      <c r="C26" s="6">
        <v>27780518</v>
      </c>
      <c r="D26" s="6" t="s">
        <v>989</v>
      </c>
      <c r="E26" s="6"/>
      <c r="F26" s="6">
        <v>25</v>
      </c>
      <c r="G26" s="6" t="s">
        <v>1973</v>
      </c>
      <c r="H26" s="6" t="s">
        <v>765</v>
      </c>
      <c r="I26" s="6"/>
      <c r="K26" s="121"/>
      <c r="L26" s="121"/>
      <c r="N26" s="166"/>
      <c r="P26" s="166"/>
    </row>
    <row r="27" spans="1:16" s="7" customFormat="1" ht="14.4" hidden="1" customHeight="1">
      <c r="A27" s="2005">
        <v>45018</v>
      </c>
      <c r="B27" s="177" t="s">
        <v>1001</v>
      </c>
      <c r="C27" s="6">
        <v>56211981</v>
      </c>
      <c r="D27" s="6"/>
      <c r="E27" s="6"/>
      <c r="F27" s="6">
        <v>23</v>
      </c>
      <c r="G27" s="6" t="s">
        <v>1927</v>
      </c>
      <c r="H27" s="6" t="s">
        <v>1006</v>
      </c>
      <c r="I27" s="6"/>
      <c r="K27" s="121"/>
      <c r="L27" s="121"/>
      <c r="N27" s="166"/>
      <c r="P27" s="166"/>
    </row>
    <row r="28" spans="1:16" s="7" customFormat="1" ht="14.4" hidden="1" customHeight="1">
      <c r="A28" s="2005">
        <v>45018</v>
      </c>
      <c r="B28" s="164" t="s">
        <v>936</v>
      </c>
      <c r="C28" s="6">
        <v>15215403</v>
      </c>
      <c r="D28" s="6" t="s">
        <v>1058</v>
      </c>
      <c r="E28" s="6"/>
      <c r="F28" s="6">
        <v>33</v>
      </c>
      <c r="G28" s="6" t="s">
        <v>1936</v>
      </c>
      <c r="H28" s="6" t="s">
        <v>937</v>
      </c>
      <c r="I28" s="6"/>
      <c r="K28" s="121"/>
      <c r="L28" s="121"/>
      <c r="N28" s="166"/>
      <c r="P28" s="166"/>
    </row>
    <row r="29" spans="1:16" s="7" customFormat="1" ht="14.4" hidden="1" customHeight="1">
      <c r="A29" s="2006">
        <v>45019</v>
      </c>
      <c r="B29" s="162" t="s">
        <v>1010</v>
      </c>
      <c r="C29" s="6">
        <v>46213614</v>
      </c>
      <c r="D29" s="6"/>
      <c r="E29" s="6"/>
      <c r="F29" s="6">
        <v>25</v>
      </c>
      <c r="G29" s="6" t="s">
        <v>1928</v>
      </c>
      <c r="H29" s="6" t="s">
        <v>1009</v>
      </c>
      <c r="I29" s="6"/>
      <c r="K29" s="121"/>
      <c r="L29" s="121"/>
      <c r="N29" s="166"/>
      <c r="P29" s="166"/>
    </row>
    <row r="30" spans="1:16" s="7" customFormat="1" ht="14.4" hidden="1" customHeight="1">
      <c r="A30" s="2006">
        <v>45021</v>
      </c>
      <c r="B30" s="170" t="s">
        <v>1011</v>
      </c>
      <c r="C30" s="6">
        <v>38951800</v>
      </c>
      <c r="D30" s="6"/>
      <c r="E30" s="6"/>
      <c r="F30" s="6">
        <v>33</v>
      </c>
      <c r="G30" s="6" t="s">
        <v>1970</v>
      </c>
      <c r="H30" s="6" t="s">
        <v>1012</v>
      </c>
      <c r="I30" s="6"/>
      <c r="K30" s="121"/>
      <c r="L30" s="121"/>
      <c r="N30" s="166"/>
      <c r="P30" s="166"/>
    </row>
    <row r="31" spans="1:16" s="7" customFormat="1" ht="14.4" hidden="1" customHeight="1">
      <c r="A31" s="2006">
        <v>45021</v>
      </c>
      <c r="B31" s="177" t="s">
        <v>1018</v>
      </c>
      <c r="C31" s="6">
        <v>30306539</v>
      </c>
      <c r="D31" s="6"/>
      <c r="E31" s="6"/>
      <c r="F31" s="6">
        <v>25</v>
      </c>
      <c r="G31" s="6" t="s">
        <v>1923</v>
      </c>
      <c r="H31" s="6" t="s">
        <v>1019</v>
      </c>
      <c r="I31" s="6"/>
      <c r="K31" s="121"/>
      <c r="L31" s="121"/>
      <c r="N31" s="166"/>
      <c r="P31" s="166"/>
    </row>
    <row r="32" spans="1:16" s="7" customFormat="1" ht="14.4" hidden="1" customHeight="1">
      <c r="A32" s="2007">
        <v>45021</v>
      </c>
      <c r="B32" s="190" t="s">
        <v>1020</v>
      </c>
      <c r="C32" s="6">
        <v>12539075</v>
      </c>
      <c r="D32" s="6" t="s">
        <v>1030</v>
      </c>
      <c r="E32" s="6"/>
      <c r="F32" s="6" t="s">
        <v>1066</v>
      </c>
      <c r="G32" s="6" t="s">
        <v>988</v>
      </c>
      <c r="H32" s="6" t="s">
        <v>1021</v>
      </c>
      <c r="I32" s="6"/>
      <c r="K32" s="121"/>
      <c r="L32" s="121"/>
      <c r="N32" s="166"/>
      <c r="P32" s="166"/>
    </row>
    <row r="33" spans="1:16" s="7" customFormat="1" ht="14.4" hidden="1" customHeight="1">
      <c r="A33" s="2008">
        <v>45022</v>
      </c>
      <c r="B33" s="164" t="s">
        <v>1031</v>
      </c>
      <c r="C33" s="6">
        <v>63804637</v>
      </c>
      <c r="D33" s="6"/>
      <c r="E33" s="6"/>
      <c r="F33" s="6">
        <v>20</v>
      </c>
      <c r="G33" s="6" t="s">
        <v>686</v>
      </c>
      <c r="H33" s="6" t="s">
        <v>1032</v>
      </c>
      <c r="I33" s="6"/>
      <c r="K33" s="121"/>
      <c r="L33" s="121"/>
      <c r="N33" s="166"/>
      <c r="P33" s="166"/>
    </row>
    <row r="34" spans="1:16" s="7" customFormat="1" ht="14.4" hidden="1" customHeight="1">
      <c r="A34" s="2008">
        <v>45022</v>
      </c>
      <c r="B34" s="189" t="s">
        <v>963</v>
      </c>
      <c r="C34" s="6">
        <v>95583528</v>
      </c>
      <c r="D34" s="6"/>
      <c r="E34" s="6"/>
      <c r="F34" s="6"/>
      <c r="G34" s="6" t="s">
        <v>1929</v>
      </c>
      <c r="H34" s="6" t="s">
        <v>1035</v>
      </c>
      <c r="I34" s="6"/>
      <c r="K34" s="121"/>
      <c r="L34" s="121"/>
      <c r="N34" s="166"/>
      <c r="P34" s="166"/>
    </row>
    <row r="35" spans="1:16" s="7" customFormat="1" ht="14.4" hidden="1" customHeight="1">
      <c r="A35" s="2008">
        <v>45022</v>
      </c>
      <c r="B35" s="233" t="s">
        <v>1039</v>
      </c>
      <c r="C35" s="6">
        <v>99087510</v>
      </c>
      <c r="D35" s="6"/>
      <c r="E35" s="6"/>
      <c r="F35" s="6"/>
      <c r="G35" s="6" t="s">
        <v>1923</v>
      </c>
      <c r="H35" s="6" t="s">
        <v>1040</v>
      </c>
      <c r="I35" s="6"/>
      <c r="K35" s="121"/>
      <c r="L35" s="121"/>
      <c r="N35" s="166" t="s">
        <v>1673</v>
      </c>
      <c r="P35" s="166"/>
    </row>
    <row r="36" spans="1:16" s="7" customFormat="1" ht="14.4" hidden="1" customHeight="1">
      <c r="A36" s="2008">
        <v>45022</v>
      </c>
      <c r="B36" s="183" t="s">
        <v>1042</v>
      </c>
      <c r="C36" s="6"/>
      <c r="D36" s="6"/>
      <c r="E36" s="6"/>
      <c r="F36" s="6"/>
      <c r="G36" s="6" t="s">
        <v>1930</v>
      </c>
      <c r="H36" s="6" t="s">
        <v>1043</v>
      </c>
      <c r="I36" s="6"/>
      <c r="K36" s="121"/>
      <c r="L36" s="121"/>
      <c r="N36" s="166"/>
      <c r="P36" s="166"/>
    </row>
    <row r="37" spans="1:16" s="7" customFormat="1" ht="14.4" hidden="1" customHeight="1">
      <c r="A37" s="2009">
        <v>45023</v>
      </c>
      <c r="B37" s="170" t="s">
        <v>1046</v>
      </c>
      <c r="C37" s="6">
        <v>40665497</v>
      </c>
      <c r="D37" s="6"/>
      <c r="E37" s="6"/>
      <c r="F37" s="6">
        <v>24</v>
      </c>
      <c r="G37" s="6" t="s">
        <v>1955</v>
      </c>
      <c r="H37" s="6" t="s">
        <v>1047</v>
      </c>
      <c r="I37" s="6"/>
      <c r="K37" s="165" t="s">
        <v>1057</v>
      </c>
      <c r="L37" s="165"/>
      <c r="N37" s="166"/>
      <c r="P37" s="166"/>
    </row>
    <row r="38" spans="1:16" s="7" customFormat="1" ht="14.4" hidden="1" customHeight="1">
      <c r="A38" s="2009">
        <v>45023</v>
      </c>
      <c r="B38" s="170" t="s">
        <v>1064</v>
      </c>
      <c r="C38" s="6">
        <v>57135624</v>
      </c>
      <c r="D38" s="6"/>
      <c r="E38" s="6"/>
      <c r="F38" s="6">
        <v>33</v>
      </c>
      <c r="G38" s="6" t="s">
        <v>1955</v>
      </c>
      <c r="H38" s="6" t="s">
        <v>1048</v>
      </c>
      <c r="I38" s="6"/>
      <c r="K38" s="165" t="s">
        <v>1058</v>
      </c>
      <c r="L38" s="165"/>
      <c r="N38" s="166"/>
      <c r="P38" s="166"/>
    </row>
    <row r="39" spans="1:16" s="7" customFormat="1" ht="14.4" hidden="1" customHeight="1">
      <c r="A39" s="2009">
        <v>45023</v>
      </c>
      <c r="B39" s="176" t="s">
        <v>1050</v>
      </c>
      <c r="C39" s="6">
        <v>43037916</v>
      </c>
      <c r="D39" s="6"/>
      <c r="E39" s="6"/>
      <c r="F39" s="6"/>
      <c r="G39" s="6" t="s">
        <v>1971</v>
      </c>
      <c r="H39" s="6" t="s">
        <v>1051</v>
      </c>
      <c r="I39" s="6"/>
      <c r="K39" s="165" t="s">
        <v>1059</v>
      </c>
      <c r="L39" s="165"/>
      <c r="N39" s="166"/>
      <c r="P39" s="166"/>
    </row>
    <row r="40" spans="1:16" s="7" customFormat="1" ht="14.4" hidden="1" customHeight="1">
      <c r="A40" s="2009">
        <v>45023</v>
      </c>
      <c r="B40" s="189" t="s">
        <v>1054</v>
      </c>
      <c r="C40" s="6">
        <v>57656509</v>
      </c>
      <c r="D40" s="6" t="s">
        <v>1065</v>
      </c>
      <c r="E40" s="6"/>
      <c r="F40" s="6"/>
      <c r="G40" s="6" t="s">
        <v>1932</v>
      </c>
      <c r="H40" s="6" t="s">
        <v>1200</v>
      </c>
      <c r="I40" s="6"/>
      <c r="K40" s="165" t="s">
        <v>1060</v>
      </c>
      <c r="L40" s="165"/>
      <c r="N40" s="166"/>
      <c r="P40" s="166"/>
    </row>
    <row r="41" spans="1:16" s="7" customFormat="1" ht="14.4" hidden="1" customHeight="1">
      <c r="A41" s="2009">
        <v>45023</v>
      </c>
      <c r="B41" s="170" t="s">
        <v>1055</v>
      </c>
      <c r="C41" s="6">
        <v>25491838</v>
      </c>
      <c r="D41" s="6"/>
      <c r="E41" s="6"/>
      <c r="F41" s="6">
        <v>33</v>
      </c>
      <c r="G41" s="6" t="s">
        <v>1955</v>
      </c>
      <c r="H41" s="6" t="s">
        <v>1056</v>
      </c>
      <c r="I41" s="6"/>
      <c r="K41" s="165" t="s">
        <v>1061</v>
      </c>
      <c r="L41" s="165"/>
      <c r="N41" s="166"/>
      <c r="P41" s="166"/>
    </row>
    <row r="42" spans="1:16" s="7" customFormat="1" ht="14.4" hidden="1" customHeight="1">
      <c r="A42" s="2009">
        <v>45023</v>
      </c>
      <c r="B42" s="233" t="s">
        <v>1013</v>
      </c>
      <c r="C42" s="6">
        <v>68347276</v>
      </c>
      <c r="D42" s="262" t="s">
        <v>1740</v>
      </c>
      <c r="E42" s="262"/>
      <c r="F42" s="262" t="s">
        <v>1340</v>
      </c>
      <c r="G42" s="6" t="s">
        <v>736</v>
      </c>
      <c r="H42" s="6" t="s">
        <v>1014</v>
      </c>
      <c r="I42" s="6"/>
      <c r="K42" s="121"/>
      <c r="L42" s="121"/>
      <c r="N42" s="166" t="s">
        <v>2090</v>
      </c>
      <c r="P42" s="166"/>
    </row>
    <row r="43" spans="1:16" s="7" customFormat="1" ht="14.4" hidden="1" customHeight="1">
      <c r="A43" s="2010">
        <v>45025</v>
      </c>
      <c r="B43" s="188" t="s">
        <v>1110</v>
      </c>
      <c r="C43" s="6">
        <v>36748622</v>
      </c>
      <c r="D43" s="6" t="s">
        <v>651</v>
      </c>
      <c r="E43" s="6"/>
      <c r="F43" s="6"/>
      <c r="G43" s="6" t="s">
        <v>1972</v>
      </c>
      <c r="H43" s="6" t="s">
        <v>1111</v>
      </c>
      <c r="I43" s="6"/>
      <c r="K43" s="121"/>
      <c r="L43" s="121"/>
      <c r="N43" s="166"/>
      <c r="P43" s="166"/>
    </row>
    <row r="44" spans="1:16" s="7" customFormat="1" ht="14.4" hidden="1" customHeight="1">
      <c r="A44" s="2010">
        <v>45025</v>
      </c>
      <c r="B44" s="170" t="s">
        <v>1072</v>
      </c>
      <c r="C44" s="6"/>
      <c r="D44" s="6"/>
      <c r="E44" s="6"/>
      <c r="F44" s="6">
        <v>24</v>
      </c>
      <c r="G44" s="6" t="s">
        <v>686</v>
      </c>
      <c r="H44" s="6" t="s">
        <v>1073</v>
      </c>
      <c r="I44" s="6"/>
      <c r="K44" s="121"/>
      <c r="L44" s="121"/>
      <c r="N44" s="166"/>
      <c r="P44" s="166"/>
    </row>
    <row r="45" spans="1:16" s="7" customFormat="1" ht="14.4" hidden="1" customHeight="1">
      <c r="A45" s="2010">
        <v>45025</v>
      </c>
      <c r="B45" s="189" t="s">
        <v>1074</v>
      </c>
      <c r="C45" s="6">
        <v>42332860</v>
      </c>
      <c r="D45" s="6"/>
      <c r="E45" s="6"/>
      <c r="F45" s="6"/>
      <c r="G45" s="401" t="s">
        <v>2719</v>
      </c>
      <c r="H45" s="6" t="s">
        <v>1075</v>
      </c>
      <c r="I45" s="6"/>
      <c r="K45" s="121"/>
      <c r="L45" s="121"/>
      <c r="M45" s="525" t="s">
        <v>3223</v>
      </c>
      <c r="N45" s="166"/>
      <c r="P45" s="166"/>
    </row>
    <row r="46" spans="1:16" s="7" customFormat="1" ht="14.4" hidden="1" customHeight="1">
      <c r="A46" s="2010">
        <v>45026</v>
      </c>
      <c r="B46" s="170" t="s">
        <v>1076</v>
      </c>
      <c r="C46" s="6">
        <v>90718005</v>
      </c>
      <c r="D46" s="6"/>
      <c r="E46" s="6"/>
      <c r="F46" s="6"/>
      <c r="G46" s="6"/>
      <c r="H46" s="6"/>
      <c r="I46" s="6"/>
      <c r="K46" s="121"/>
      <c r="L46" s="121"/>
      <c r="N46" s="166"/>
      <c r="P46" s="166"/>
    </row>
    <row r="47" spans="1:16" s="7" customFormat="1" ht="14.4" hidden="1" customHeight="1">
      <c r="A47" s="2011">
        <v>45027</v>
      </c>
      <c r="B47" s="176" t="s">
        <v>1081</v>
      </c>
      <c r="C47" s="6">
        <v>27931029</v>
      </c>
      <c r="D47" s="6"/>
      <c r="E47" s="6"/>
      <c r="F47" s="6"/>
      <c r="G47" s="6" t="s">
        <v>1941</v>
      </c>
      <c r="H47" s="6" t="s">
        <v>1082</v>
      </c>
      <c r="I47" s="6"/>
      <c r="K47" s="121"/>
      <c r="L47" s="121"/>
      <c r="N47" s="166"/>
      <c r="P47" s="166"/>
    </row>
    <row r="48" spans="1:16" s="7" customFormat="1" ht="14.4" hidden="1" customHeight="1">
      <c r="A48" s="2011">
        <v>45027</v>
      </c>
      <c r="B48" s="277" t="s">
        <v>1083</v>
      </c>
      <c r="C48" s="6">
        <v>72456879</v>
      </c>
      <c r="D48" s="6"/>
      <c r="E48" s="6"/>
      <c r="F48" s="6"/>
      <c r="G48" s="6" t="s">
        <v>1941</v>
      </c>
      <c r="H48" s="6" t="s">
        <v>1082</v>
      </c>
      <c r="I48" s="6"/>
      <c r="K48" s="121"/>
      <c r="L48" s="121"/>
      <c r="N48" s="166"/>
      <c r="P48" s="166"/>
    </row>
    <row r="49" spans="1:16" s="7" customFormat="1" ht="14.4" hidden="1" customHeight="1">
      <c r="A49" s="2011">
        <v>45027</v>
      </c>
      <c r="B49" s="177" t="s">
        <v>1088</v>
      </c>
      <c r="C49" s="6">
        <v>41777269</v>
      </c>
      <c r="D49" s="6"/>
      <c r="E49" s="6"/>
      <c r="F49" s="6">
        <v>22</v>
      </c>
      <c r="G49" s="6" t="s">
        <v>1934</v>
      </c>
      <c r="H49" s="6" t="s">
        <v>1089</v>
      </c>
      <c r="I49" s="6"/>
      <c r="K49" s="121"/>
      <c r="L49" s="121"/>
      <c r="N49" s="166"/>
      <c r="P49" s="166"/>
    </row>
    <row r="50" spans="1:16" s="7" customFormat="1" ht="14.4" hidden="1" customHeight="1">
      <c r="A50" s="2011">
        <v>45027</v>
      </c>
      <c r="B50" s="177" t="s">
        <v>1096</v>
      </c>
      <c r="C50" s="6">
        <v>26421370</v>
      </c>
      <c r="D50" s="6"/>
      <c r="E50" s="6"/>
      <c r="F50" s="6"/>
      <c r="G50" s="6" t="s">
        <v>1955</v>
      </c>
      <c r="H50" s="6" t="s">
        <v>1097</v>
      </c>
      <c r="I50" s="6"/>
      <c r="K50" s="121">
        <v>32</v>
      </c>
      <c r="L50" s="121"/>
      <c r="N50" s="166"/>
      <c r="P50" s="166"/>
    </row>
    <row r="51" spans="1:16" s="7" customFormat="1" ht="14.4" customHeight="1">
      <c r="A51" s="2012">
        <v>45028</v>
      </c>
      <c r="B51" s="205" t="s">
        <v>765</v>
      </c>
      <c r="E51" s="7">
        <v>10</v>
      </c>
      <c r="F51" s="7" t="s">
        <v>1975</v>
      </c>
      <c r="G51" s="7" t="s">
        <v>1973</v>
      </c>
      <c r="H51" s="7" t="s">
        <v>765</v>
      </c>
      <c r="I51" s="205" t="s">
        <v>1290</v>
      </c>
      <c r="J51" s="205"/>
      <c r="K51" s="121"/>
      <c r="L51" s="121"/>
      <c r="N51" s="166"/>
      <c r="P51" s="166"/>
    </row>
    <row r="52" spans="1:16" s="7" customFormat="1" ht="14.4" hidden="1" customHeight="1">
      <c r="A52" s="2012">
        <v>45028</v>
      </c>
      <c r="B52" s="206" t="s">
        <v>1153</v>
      </c>
      <c r="C52" s="6">
        <v>40578829</v>
      </c>
      <c r="D52" s="6"/>
      <c r="E52" s="6"/>
      <c r="F52" s="6" t="s">
        <v>1342</v>
      </c>
      <c r="G52" s="6" t="s">
        <v>1972</v>
      </c>
      <c r="H52" s="6" t="s">
        <v>1113</v>
      </c>
      <c r="I52" s="6"/>
      <c r="K52" s="121"/>
      <c r="L52" s="121"/>
      <c r="N52" s="166"/>
      <c r="P52" s="166"/>
    </row>
    <row r="53" spans="1:16" s="7" customFormat="1" ht="14.4" hidden="1" customHeight="1">
      <c r="A53" s="2012">
        <v>45028</v>
      </c>
      <c r="B53" s="189" t="s">
        <v>1118</v>
      </c>
      <c r="C53" s="6">
        <v>65658348</v>
      </c>
      <c r="D53" s="6"/>
      <c r="E53" s="6"/>
      <c r="F53" s="6"/>
      <c r="G53" s="6" t="s">
        <v>1924</v>
      </c>
      <c r="H53" s="6" t="s">
        <v>1121</v>
      </c>
      <c r="I53" s="6"/>
      <c r="K53" s="121"/>
      <c r="L53" s="121"/>
      <c r="N53" s="166"/>
      <c r="P53" s="166"/>
    </row>
    <row r="54" spans="1:16" s="7" customFormat="1" ht="14.4" hidden="1" customHeight="1">
      <c r="A54" s="2012">
        <v>45028</v>
      </c>
      <c r="B54" s="189" t="s">
        <v>1119</v>
      </c>
      <c r="C54" s="6">
        <v>37816128</v>
      </c>
      <c r="D54" s="6"/>
      <c r="E54" s="6"/>
      <c r="F54" s="6" t="s">
        <v>1342</v>
      </c>
      <c r="G54" s="6" t="s">
        <v>1924</v>
      </c>
      <c r="H54" s="6" t="s">
        <v>1122</v>
      </c>
      <c r="I54" s="6"/>
      <c r="K54" s="121"/>
      <c r="L54" s="121"/>
      <c r="N54" s="166"/>
      <c r="P54" s="166"/>
    </row>
    <row r="55" spans="1:16" s="7" customFormat="1" ht="14.4" hidden="1" customHeight="1">
      <c r="A55" s="2012">
        <v>45028</v>
      </c>
      <c r="B55" s="204" t="s">
        <v>1249</v>
      </c>
      <c r="C55" s="6">
        <v>25226906</v>
      </c>
      <c r="D55" s="6"/>
      <c r="E55" s="6"/>
      <c r="F55" s="6" t="s">
        <v>1340</v>
      </c>
      <c r="G55" s="6" t="s">
        <v>1941</v>
      </c>
      <c r="H55" s="6" t="s">
        <v>1120</v>
      </c>
      <c r="I55" s="6"/>
      <c r="K55" s="121"/>
      <c r="L55" s="121"/>
      <c r="N55" s="166"/>
      <c r="P55" s="166"/>
    </row>
    <row r="56" spans="1:16" s="7" customFormat="1" ht="14.4" hidden="1" customHeight="1">
      <c r="A56" s="2013">
        <v>45029</v>
      </c>
      <c r="B56" s="203" t="s">
        <v>1142</v>
      </c>
      <c r="C56" s="6">
        <v>21101008</v>
      </c>
      <c r="D56" s="6"/>
      <c r="E56" s="6"/>
      <c r="F56" s="6"/>
      <c r="G56" s="6" t="s">
        <v>1936</v>
      </c>
      <c r="H56" s="6" t="s">
        <v>1143</v>
      </c>
      <c r="I56" s="6"/>
      <c r="K56" s="121"/>
      <c r="L56" s="121"/>
      <c r="N56" s="166"/>
      <c r="P56" s="166"/>
    </row>
    <row r="57" spans="1:16" s="7" customFormat="1" ht="14.4" hidden="1" customHeight="1">
      <c r="A57" s="2013">
        <v>45029</v>
      </c>
      <c r="B57" s="183" t="s">
        <v>1158</v>
      </c>
      <c r="C57" s="6">
        <v>41199038</v>
      </c>
      <c r="D57" s="6"/>
      <c r="E57" s="6"/>
      <c r="F57" s="6"/>
      <c r="G57" s="6" t="s">
        <v>1973</v>
      </c>
      <c r="H57" s="6" t="s">
        <v>1172</v>
      </c>
      <c r="I57" s="6"/>
      <c r="K57" s="121"/>
      <c r="L57" s="121"/>
      <c r="N57" s="166"/>
      <c r="P57" s="166"/>
    </row>
    <row r="58" spans="1:16" s="7" customFormat="1" ht="14.4" hidden="1" customHeight="1">
      <c r="A58" s="2013">
        <v>45029</v>
      </c>
      <c r="B58" s="189" t="s">
        <v>1144</v>
      </c>
      <c r="C58" s="6">
        <v>89285266</v>
      </c>
      <c r="D58" s="6"/>
      <c r="E58" s="6"/>
      <c r="F58" s="6"/>
      <c r="G58" s="6" t="s">
        <v>1928</v>
      </c>
      <c r="H58" s="6" t="s">
        <v>1145</v>
      </c>
      <c r="I58" s="6"/>
      <c r="K58" s="121">
        <v>29.8</v>
      </c>
      <c r="L58" s="121"/>
      <c r="N58" s="166"/>
      <c r="P58" s="166"/>
    </row>
    <row r="59" spans="1:16" s="7" customFormat="1" ht="14.4" hidden="1" customHeight="1">
      <c r="A59" s="2013">
        <v>45029</v>
      </c>
      <c r="B59" s="188" t="s">
        <v>1146</v>
      </c>
      <c r="C59" s="6">
        <v>44166927</v>
      </c>
      <c r="D59" s="6"/>
      <c r="E59" s="6"/>
      <c r="F59" s="6"/>
      <c r="G59" s="6" t="s">
        <v>2335</v>
      </c>
      <c r="H59" s="6" t="s">
        <v>1147</v>
      </c>
      <c r="I59" s="6"/>
      <c r="K59" s="121"/>
      <c r="L59" s="121"/>
      <c r="N59" s="166"/>
      <c r="P59" s="166"/>
    </row>
    <row r="60" spans="1:16" s="7" customFormat="1" ht="14.4" hidden="1" customHeight="1">
      <c r="A60" s="2013">
        <v>45029</v>
      </c>
      <c r="B60" s="188" t="s">
        <v>1148</v>
      </c>
      <c r="C60" s="6">
        <v>28545320</v>
      </c>
      <c r="D60" s="6"/>
      <c r="E60" s="6"/>
      <c r="F60" s="6"/>
      <c r="G60" s="6" t="s">
        <v>988</v>
      </c>
      <c r="H60" s="6" t="s">
        <v>1149</v>
      </c>
      <c r="I60" s="6"/>
      <c r="K60" s="121"/>
      <c r="L60" s="121"/>
      <c r="N60" s="166"/>
      <c r="P60" s="166"/>
    </row>
    <row r="61" spans="1:16" s="7" customFormat="1" ht="14.4" hidden="1" customHeight="1">
      <c r="A61" s="2014">
        <v>45030</v>
      </c>
      <c r="B61" s="189" t="s">
        <v>1161</v>
      </c>
      <c r="C61" s="6">
        <v>25970646</v>
      </c>
      <c r="D61" s="6"/>
      <c r="E61" s="6"/>
      <c r="F61" s="6"/>
      <c r="G61" s="6" t="s">
        <v>1928</v>
      </c>
      <c r="H61" s="6" t="s">
        <v>1162</v>
      </c>
      <c r="I61" s="6"/>
      <c r="K61" s="121"/>
      <c r="L61" s="121"/>
      <c r="N61" s="166"/>
      <c r="P61" s="166"/>
    </row>
    <row r="62" spans="1:16" s="7" customFormat="1" ht="14.4" hidden="1" customHeight="1">
      <c r="A62" s="2014">
        <v>45030</v>
      </c>
      <c r="B62" s="189" t="s">
        <v>1168</v>
      </c>
      <c r="C62" s="6">
        <v>43923254</v>
      </c>
      <c r="D62" s="6"/>
      <c r="E62" s="6"/>
      <c r="F62" s="6" t="s">
        <v>1340</v>
      </c>
      <c r="G62" s="6" t="s">
        <v>1922</v>
      </c>
      <c r="H62" s="6" t="s">
        <v>1169</v>
      </c>
      <c r="I62" s="6"/>
      <c r="K62" s="121"/>
      <c r="L62" s="121"/>
      <c r="N62" s="166" t="s">
        <v>2090</v>
      </c>
      <c r="P62" s="166"/>
    </row>
    <row r="63" spans="1:16" s="7" customFormat="1" ht="14.4" hidden="1" customHeight="1">
      <c r="A63" s="2014">
        <v>45030</v>
      </c>
      <c r="B63" s="311" t="s">
        <v>1196</v>
      </c>
      <c r="C63" s="6">
        <v>77939522</v>
      </c>
      <c r="D63" s="6" t="s">
        <v>2095</v>
      </c>
      <c r="E63" s="6"/>
      <c r="F63" s="6" t="s">
        <v>1975</v>
      </c>
      <c r="G63" s="6" t="s">
        <v>1922</v>
      </c>
      <c r="H63" s="6" t="s">
        <v>1170</v>
      </c>
      <c r="I63" s="6"/>
      <c r="J63" s="3" t="s">
        <v>2941</v>
      </c>
      <c r="K63" s="121"/>
      <c r="L63" s="121"/>
      <c r="M63" s="7">
        <v>2</v>
      </c>
      <c r="N63" s="166"/>
      <c r="P63" s="166"/>
    </row>
    <row r="64" spans="1:16" s="7" customFormat="1" ht="14.4" hidden="1" customHeight="1">
      <c r="A64" s="2014">
        <v>45030</v>
      </c>
      <c r="B64" s="203" t="s">
        <v>1094</v>
      </c>
      <c r="C64" s="6">
        <v>89586855</v>
      </c>
      <c r="D64" s="6"/>
      <c r="E64" s="6"/>
      <c r="F64" s="6" t="s">
        <v>1341</v>
      </c>
      <c r="G64" s="6" t="s">
        <v>1937</v>
      </c>
      <c r="H64" s="6" t="s">
        <v>1095</v>
      </c>
      <c r="I64" s="6"/>
      <c r="K64" s="121"/>
      <c r="L64" s="121"/>
      <c r="N64" s="166"/>
      <c r="P64" s="166"/>
    </row>
    <row r="65" spans="1:16" s="7" customFormat="1" ht="14.4" hidden="1" customHeight="1">
      <c r="A65" s="2015">
        <v>45031</v>
      </c>
      <c r="B65" s="188" t="s">
        <v>1173</v>
      </c>
      <c r="C65" s="6">
        <v>65519116</v>
      </c>
      <c r="D65" s="6"/>
      <c r="E65" s="6"/>
      <c r="F65" s="6"/>
      <c r="G65" s="6" t="s">
        <v>1972</v>
      </c>
      <c r="H65" s="6" t="s">
        <v>1174</v>
      </c>
      <c r="I65" s="6"/>
      <c r="K65" s="121"/>
      <c r="L65" s="121"/>
      <c r="N65" s="166"/>
      <c r="P65" s="166"/>
    </row>
    <row r="66" spans="1:16" s="7" customFormat="1" ht="14.4" hidden="1" customHeight="1">
      <c r="A66" s="2015">
        <v>45031</v>
      </c>
      <c r="B66" s="1720" t="s">
        <v>1171</v>
      </c>
      <c r="C66" s="6">
        <v>55755913</v>
      </c>
      <c r="D66" s="6"/>
      <c r="E66" s="6"/>
      <c r="F66" s="6" t="s">
        <v>1343</v>
      </c>
      <c r="G66" s="6" t="s">
        <v>1938</v>
      </c>
      <c r="H66" s="6" t="s">
        <v>1175</v>
      </c>
      <c r="I66" s="6"/>
      <c r="K66" s="121"/>
      <c r="L66" s="121"/>
      <c r="N66" s="166"/>
      <c r="P66" s="166"/>
    </row>
    <row r="67" spans="1:16" s="7" customFormat="1" ht="14.4" hidden="1" customHeight="1">
      <c r="A67" s="2015">
        <v>45031</v>
      </c>
      <c r="B67" s="534" t="s">
        <v>3202</v>
      </c>
      <c r="C67" s="6" t="s">
        <v>3203</v>
      </c>
      <c r="D67" s="6" t="s">
        <v>2094</v>
      </c>
      <c r="E67" s="6"/>
      <c r="F67" s="521" t="s">
        <v>3173</v>
      </c>
      <c r="G67" s="6" t="s">
        <v>1922</v>
      </c>
      <c r="H67" s="6" t="s">
        <v>1176</v>
      </c>
      <c r="I67" s="6"/>
      <c r="K67" s="121"/>
      <c r="L67" s="121"/>
      <c r="N67" s="553" t="s">
        <v>3280</v>
      </c>
      <c r="P67" s="166"/>
    </row>
    <row r="68" spans="1:16" s="7" customFormat="1" ht="14.4" hidden="1" customHeight="1">
      <c r="A68" s="2016">
        <v>45033</v>
      </c>
      <c r="B68" s="188" t="s">
        <v>1179</v>
      </c>
      <c r="C68" s="6">
        <v>92856984</v>
      </c>
      <c r="D68" s="6"/>
      <c r="E68" s="6"/>
      <c r="F68" s="6"/>
      <c r="G68" s="6" t="s">
        <v>1931</v>
      </c>
      <c r="H68" s="6" t="s">
        <v>1180</v>
      </c>
      <c r="I68" s="6"/>
      <c r="K68" s="121"/>
      <c r="L68" s="121"/>
      <c r="N68" s="166"/>
      <c r="P68" s="166"/>
    </row>
    <row r="69" spans="1:16" s="7" customFormat="1" ht="14.4" hidden="1" customHeight="1">
      <c r="A69" s="2016">
        <v>45033</v>
      </c>
      <c r="B69" s="206" t="s">
        <v>1182</v>
      </c>
      <c r="C69" s="6">
        <v>64184532</v>
      </c>
      <c r="D69" s="6"/>
      <c r="E69" s="6"/>
      <c r="F69" s="6" t="s">
        <v>1340</v>
      </c>
      <c r="G69" s="6" t="s">
        <v>1922</v>
      </c>
      <c r="H69" s="6" t="s">
        <v>1183</v>
      </c>
      <c r="I69" s="6"/>
      <c r="K69" s="121"/>
      <c r="L69" s="121"/>
      <c r="N69" s="166" t="s">
        <v>2090</v>
      </c>
      <c r="P69" s="166"/>
    </row>
    <row r="70" spans="1:16" s="7" customFormat="1" ht="14.4" hidden="1" customHeight="1">
      <c r="A70" s="2016">
        <v>45033</v>
      </c>
      <c r="B70" s="949" t="s">
        <v>1184</v>
      </c>
      <c r="C70" s="6">
        <v>63877171</v>
      </c>
      <c r="D70" s="6"/>
      <c r="E70" s="6"/>
      <c r="F70" s="6"/>
      <c r="G70" s="6" t="s">
        <v>2019</v>
      </c>
      <c r="H70" s="6" t="s">
        <v>1185</v>
      </c>
      <c r="I70" s="6"/>
      <c r="K70" s="121"/>
      <c r="L70" s="121"/>
      <c r="N70" s="166"/>
      <c r="P70" s="166"/>
    </row>
    <row r="71" spans="1:16" s="7" customFormat="1" ht="14.4" hidden="1" customHeight="1">
      <c r="A71" s="2016">
        <v>45033</v>
      </c>
      <c r="B71" s="222" t="s">
        <v>1188</v>
      </c>
      <c r="C71" s="6">
        <v>63638334</v>
      </c>
      <c r="D71" s="6"/>
      <c r="E71" s="6"/>
      <c r="F71" s="6"/>
      <c r="G71" s="6" t="s">
        <v>1939</v>
      </c>
      <c r="H71" s="6" t="s">
        <v>1189</v>
      </c>
      <c r="I71" s="6"/>
      <c r="K71" s="121"/>
      <c r="L71" s="121"/>
      <c r="N71" s="244" t="s">
        <v>1505</v>
      </c>
      <c r="P71" s="166"/>
    </row>
    <row r="72" spans="1:16" s="7" customFormat="1" ht="14.4" hidden="1" customHeight="1">
      <c r="A72" s="2017">
        <v>45034</v>
      </c>
      <c r="B72" s="204" t="s">
        <v>1209</v>
      </c>
      <c r="C72" s="6">
        <v>37191548</v>
      </c>
      <c r="D72" s="6"/>
      <c r="E72" s="6"/>
      <c r="F72" s="6"/>
      <c r="G72" s="6" t="s">
        <v>1940</v>
      </c>
      <c r="H72" s="6" t="s">
        <v>1210</v>
      </c>
      <c r="I72" s="6"/>
      <c r="K72" s="121"/>
      <c r="L72" s="121"/>
      <c r="N72" s="166"/>
      <c r="P72" s="166"/>
    </row>
    <row r="73" spans="1:16" s="7" customFormat="1" ht="14.4" hidden="1" customHeight="1">
      <c r="A73" s="2018">
        <v>45035</v>
      </c>
      <c r="B73" s="203" t="s">
        <v>1198</v>
      </c>
      <c r="C73" s="6">
        <v>31541163</v>
      </c>
      <c r="D73" s="6"/>
      <c r="E73" s="6"/>
      <c r="F73" s="6"/>
      <c r="G73" s="7" t="s">
        <v>2215</v>
      </c>
      <c r="H73" s="6" t="s">
        <v>1199</v>
      </c>
      <c r="I73" s="6"/>
      <c r="K73" s="121"/>
      <c r="L73" s="121"/>
      <c r="N73" s="166"/>
      <c r="P73" s="166"/>
    </row>
    <row r="74" spans="1:16" s="7" customFormat="1" ht="14.4" hidden="1" customHeight="1">
      <c r="A74" s="2018">
        <v>45035</v>
      </c>
      <c r="B74" s="203" t="s">
        <v>1217</v>
      </c>
      <c r="C74" s="6">
        <v>55979210</v>
      </c>
      <c r="D74" s="6"/>
      <c r="E74" s="6"/>
      <c r="F74" s="6" t="s">
        <v>1343</v>
      </c>
      <c r="G74" s="6" t="s">
        <v>1941</v>
      </c>
      <c r="H74" s="6" t="s">
        <v>1218</v>
      </c>
      <c r="I74" s="6"/>
      <c r="K74" s="121"/>
      <c r="L74" s="121"/>
      <c r="N74" s="166"/>
      <c r="P74" s="166"/>
    </row>
    <row r="75" spans="1:16" s="7" customFormat="1" ht="14.4" hidden="1" customHeight="1">
      <c r="A75" s="2018">
        <v>45035</v>
      </c>
      <c r="B75" s="764" t="s">
        <v>3934</v>
      </c>
      <c r="E75" s="820">
        <v>10</v>
      </c>
      <c r="F75" s="7" t="s">
        <v>1975</v>
      </c>
      <c r="K75" s="121"/>
      <c r="L75" s="121"/>
      <c r="N75" s="166"/>
      <c r="P75" s="166"/>
    </row>
    <row r="76" spans="1:16" s="7" customFormat="1" ht="14.4" hidden="1" customHeight="1">
      <c r="A76" s="2018">
        <v>45035</v>
      </c>
      <c r="B76" s="203" t="s">
        <v>1220</v>
      </c>
      <c r="C76" s="6">
        <v>76400542</v>
      </c>
      <c r="D76" s="6"/>
      <c r="E76" s="6"/>
      <c r="F76" s="6"/>
      <c r="G76" s="6" t="s">
        <v>1928</v>
      </c>
      <c r="H76" s="190" t="s">
        <v>1221</v>
      </c>
      <c r="I76" s="6"/>
      <c r="K76" s="121"/>
      <c r="L76" s="121"/>
      <c r="N76" s="166"/>
      <c r="P76" s="166"/>
    </row>
    <row r="77" spans="1:16" s="7" customFormat="1" ht="14.4" hidden="1" customHeight="1">
      <c r="A77" s="2019">
        <v>45036</v>
      </c>
      <c r="B77" s="204" t="s">
        <v>1237</v>
      </c>
      <c r="C77" s="6">
        <v>41041576</v>
      </c>
      <c r="D77" s="6"/>
      <c r="E77" s="6"/>
      <c r="F77" s="6" t="s">
        <v>1342</v>
      </c>
      <c r="G77" s="6" t="s">
        <v>1955</v>
      </c>
      <c r="H77" s="6" t="s">
        <v>1238</v>
      </c>
      <c r="I77" s="6"/>
      <c r="K77" s="191" t="s">
        <v>1239</v>
      </c>
      <c r="L77" s="191"/>
      <c r="M77" s="3">
        <v>1.5</v>
      </c>
      <c r="N77" s="67" t="s">
        <v>1459</v>
      </c>
      <c r="P77" s="166"/>
    </row>
    <row r="78" spans="1:16" s="7" customFormat="1" ht="14.4" hidden="1" customHeight="1">
      <c r="A78" s="2019">
        <v>45036</v>
      </c>
      <c r="B78" s="206" t="s">
        <v>1243</v>
      </c>
      <c r="C78" s="6">
        <v>70020043</v>
      </c>
      <c r="D78" s="6"/>
      <c r="E78" s="6"/>
      <c r="F78" s="6" t="s">
        <v>1341</v>
      </c>
      <c r="G78" s="6" t="s">
        <v>1928</v>
      </c>
      <c r="H78" s="6" t="s">
        <v>1244</v>
      </c>
      <c r="I78" s="6"/>
      <c r="K78" s="121"/>
      <c r="L78" s="121"/>
      <c r="N78" s="166"/>
      <c r="P78" s="166"/>
    </row>
    <row r="79" spans="1:16" s="7" customFormat="1" ht="14.4" hidden="1" customHeight="1">
      <c r="A79" s="2019">
        <v>45036</v>
      </c>
      <c r="B79" s="204" t="s">
        <v>1245</v>
      </c>
      <c r="C79" s="6">
        <v>71495170</v>
      </c>
      <c r="D79" s="6"/>
      <c r="E79" s="6"/>
      <c r="F79" s="6" t="s">
        <v>1343</v>
      </c>
      <c r="G79" s="6" t="s">
        <v>1955</v>
      </c>
      <c r="H79" s="6" t="s">
        <v>1246</v>
      </c>
      <c r="I79" s="6"/>
      <c r="K79" s="191" t="s">
        <v>1239</v>
      </c>
      <c r="L79" s="191"/>
      <c r="N79" s="166"/>
      <c r="P79" s="166"/>
    </row>
    <row r="80" spans="1:16" s="7" customFormat="1" ht="14.4" hidden="1" customHeight="1">
      <c r="A80" s="2019">
        <v>45036</v>
      </c>
      <c r="B80" s="262" t="s">
        <v>1450</v>
      </c>
      <c r="C80" s="6">
        <v>29506023</v>
      </c>
      <c r="D80" s="6"/>
      <c r="E80" s="6"/>
      <c r="F80" s="6"/>
      <c r="G80" s="6" t="s">
        <v>1955</v>
      </c>
      <c r="H80" s="225" t="s">
        <v>1257</v>
      </c>
      <c r="I80" s="6"/>
      <c r="K80" s="191" t="s">
        <v>1239</v>
      </c>
      <c r="L80" s="191"/>
      <c r="M80" s="205" t="s">
        <v>1287</v>
      </c>
      <c r="N80" s="166"/>
      <c r="P80" s="166"/>
    </row>
    <row r="81" spans="1:16" s="7" customFormat="1" ht="14.4" hidden="1" customHeight="1">
      <c r="A81" s="2019">
        <v>45036</v>
      </c>
      <c r="B81" s="204" t="s">
        <v>1265</v>
      </c>
      <c r="C81" s="6">
        <v>28075206</v>
      </c>
      <c r="D81" s="6"/>
      <c r="E81" s="6"/>
      <c r="F81" s="6" t="s">
        <v>1343</v>
      </c>
      <c r="G81" s="6" t="s">
        <v>1955</v>
      </c>
      <c r="H81" s="6" t="s">
        <v>1266</v>
      </c>
      <c r="I81" s="6"/>
      <c r="K81" s="191" t="s">
        <v>1240</v>
      </c>
      <c r="L81" s="191"/>
      <c r="N81" s="166"/>
      <c r="P81" s="166"/>
    </row>
    <row r="82" spans="1:16" s="7" customFormat="1" ht="13.8" hidden="1" customHeight="1">
      <c r="A82" s="2020">
        <v>45037</v>
      </c>
      <c r="B82" s="246" t="s">
        <v>1593</v>
      </c>
      <c r="C82" s="6">
        <v>29201871</v>
      </c>
      <c r="D82" s="262" t="s">
        <v>1740</v>
      </c>
      <c r="E82" s="262"/>
      <c r="F82" s="262" t="s">
        <v>1341</v>
      </c>
      <c r="G82" s="6" t="s">
        <v>1955</v>
      </c>
      <c r="H82" s="6" t="s">
        <v>1272</v>
      </c>
      <c r="I82" s="6"/>
      <c r="K82" s="193" t="s">
        <v>1239</v>
      </c>
      <c r="L82" s="193"/>
      <c r="N82" s="166"/>
      <c r="P82" s="166"/>
    </row>
    <row r="83" spans="1:16" s="7" customFormat="1" ht="14.4" hidden="1" customHeight="1">
      <c r="A83" s="2021">
        <v>45038</v>
      </c>
      <c r="B83" s="253" t="s">
        <v>1273</v>
      </c>
      <c r="C83" s="6">
        <v>44716439</v>
      </c>
      <c r="D83" s="262" t="s">
        <v>1740</v>
      </c>
      <c r="E83" s="262"/>
      <c r="F83" s="262" t="s">
        <v>1743</v>
      </c>
      <c r="G83" s="305" t="s">
        <v>1943</v>
      </c>
      <c r="H83" s="253" t="s">
        <v>1674</v>
      </c>
      <c r="I83" s="302"/>
      <c r="J83" s="194"/>
      <c r="K83" s="194" t="s">
        <v>1239</v>
      </c>
      <c r="L83" s="194"/>
      <c r="N83" s="166"/>
      <c r="O83" s="7" t="s">
        <v>2050</v>
      </c>
      <c r="P83" s="166"/>
    </row>
    <row r="84" spans="1:16" s="7" customFormat="1" ht="43.2" hidden="1" customHeight="1">
      <c r="A84" s="2022">
        <v>45039</v>
      </c>
      <c r="B84" s="315" t="s">
        <v>2122</v>
      </c>
      <c r="C84" s="6">
        <v>77593076</v>
      </c>
      <c r="D84" s="6" t="s">
        <v>2095</v>
      </c>
      <c r="E84" s="6"/>
      <c r="F84" s="6" t="s">
        <v>1975</v>
      </c>
      <c r="G84" s="6" t="s">
        <v>1946</v>
      </c>
      <c r="H84" s="6" t="s">
        <v>1801</v>
      </c>
      <c r="I84" s="6"/>
      <c r="K84" s="197" t="s">
        <v>1239</v>
      </c>
      <c r="L84" s="197"/>
      <c r="M84" s="7">
        <v>23</v>
      </c>
      <c r="N84" s="166"/>
      <c r="P84" s="166"/>
    </row>
    <row r="85" spans="1:16" s="7" customFormat="1" ht="14.4" hidden="1" customHeight="1">
      <c r="A85" s="2022">
        <v>45039</v>
      </c>
      <c r="B85" s="206" t="s">
        <v>1308</v>
      </c>
      <c r="C85" s="6">
        <v>26610061</v>
      </c>
      <c r="D85" s="6"/>
      <c r="E85" s="6"/>
      <c r="F85" s="6"/>
      <c r="G85" s="6" t="s">
        <v>1955</v>
      </c>
      <c r="H85" s="6" t="s">
        <v>1009</v>
      </c>
      <c r="I85" s="6"/>
      <c r="K85" s="197" t="s">
        <v>1239</v>
      </c>
      <c r="L85" s="197"/>
      <c r="N85" s="166"/>
      <c r="P85" s="166"/>
    </row>
    <row r="86" spans="1:16" s="7" customFormat="1" ht="14.4" hidden="1" customHeight="1">
      <c r="A86" s="2022">
        <v>45039</v>
      </c>
      <c r="B86" s="224" t="s">
        <v>1430</v>
      </c>
      <c r="C86" s="6">
        <v>40113265</v>
      </c>
      <c r="D86" s="262" t="s">
        <v>1740</v>
      </c>
      <c r="E86" s="262"/>
      <c r="F86" s="262"/>
      <c r="G86" s="6" t="s">
        <v>2120</v>
      </c>
      <c r="H86" s="6" t="s">
        <v>1358</v>
      </c>
      <c r="I86" s="6"/>
      <c r="K86" s="197" t="s">
        <v>1239</v>
      </c>
      <c r="L86" s="197"/>
      <c r="N86" s="166"/>
      <c r="P86" s="166"/>
    </row>
    <row r="87" spans="1:16" s="7" customFormat="1" ht="25.2" hidden="1" customHeight="1">
      <c r="A87" s="2022">
        <v>45039</v>
      </c>
      <c r="B87" s="267" t="s">
        <v>1785</v>
      </c>
      <c r="C87" s="6"/>
      <c r="D87" s="6"/>
      <c r="E87" s="6"/>
      <c r="F87" s="6"/>
      <c r="G87" s="6" t="s">
        <v>1955</v>
      </c>
      <c r="H87" s="6" t="s">
        <v>765</v>
      </c>
      <c r="I87" s="6"/>
      <c r="K87" s="197" t="s">
        <v>1239</v>
      </c>
      <c r="L87" s="197"/>
      <c r="N87" s="166" t="s">
        <v>1907</v>
      </c>
      <c r="P87" s="166"/>
    </row>
    <row r="88" spans="1:16" s="7" customFormat="1" ht="14.4" hidden="1" customHeight="1">
      <c r="A88" s="2023">
        <v>45040</v>
      </c>
      <c r="B88" s="208" t="s">
        <v>1361</v>
      </c>
      <c r="C88" s="6">
        <v>48264618</v>
      </c>
      <c r="D88" s="6"/>
      <c r="E88" s="6"/>
      <c r="F88" s="6"/>
      <c r="G88" s="6" t="s">
        <v>1955</v>
      </c>
      <c r="H88" s="6" t="s">
        <v>1284</v>
      </c>
      <c r="I88" s="6"/>
      <c r="K88" s="202" t="s">
        <v>1285</v>
      </c>
      <c r="L88" s="202"/>
      <c r="N88" s="166" t="s">
        <v>122</v>
      </c>
      <c r="P88" s="166"/>
    </row>
    <row r="89" spans="1:16" s="7" customFormat="1" ht="14.4" hidden="1" customHeight="1">
      <c r="A89" s="2023">
        <v>45040</v>
      </c>
      <c r="B89" s="182" t="s">
        <v>1742</v>
      </c>
      <c r="C89" s="6">
        <v>38173626</v>
      </c>
      <c r="D89" s="6" t="s">
        <v>2096</v>
      </c>
      <c r="E89" s="6"/>
      <c r="F89" s="6" t="s">
        <v>1975</v>
      </c>
      <c r="G89" s="6" t="s">
        <v>1923</v>
      </c>
      <c r="H89" s="326" t="s">
        <v>2206</v>
      </c>
      <c r="I89" s="6"/>
      <c r="K89" s="121"/>
      <c r="L89" s="121"/>
      <c r="M89" s="7">
        <v>1</v>
      </c>
      <c r="N89" s="166"/>
      <c r="O89" s="7" t="s">
        <v>2325</v>
      </c>
      <c r="P89" s="166"/>
    </row>
    <row r="90" spans="1:16" s="7" customFormat="1" ht="14.4" hidden="1" customHeight="1">
      <c r="A90" s="2023">
        <v>45040</v>
      </c>
      <c r="B90" s="233" t="s">
        <v>1392</v>
      </c>
      <c r="C90" s="6">
        <v>76162609</v>
      </c>
      <c r="D90" s="6"/>
      <c r="E90" s="6"/>
      <c r="F90" s="6"/>
      <c r="G90" s="6"/>
      <c r="H90" s="216" t="s">
        <v>1379</v>
      </c>
      <c r="I90" s="6"/>
      <c r="K90" s="121"/>
      <c r="L90" s="121"/>
      <c r="M90" s="261" t="s">
        <v>1747</v>
      </c>
      <c r="N90" s="166"/>
      <c r="P90" s="166"/>
    </row>
    <row r="91" spans="1:16" s="7" customFormat="1" ht="14.4" hidden="1" customHeight="1">
      <c r="A91" s="2023">
        <v>45040</v>
      </c>
      <c r="B91" s="253" t="s">
        <v>1529</v>
      </c>
      <c r="C91" s="6">
        <v>72279341</v>
      </c>
      <c r="D91" s="262" t="s">
        <v>1740</v>
      </c>
      <c r="E91" s="262"/>
      <c r="F91" s="262" t="s">
        <v>1341</v>
      </c>
      <c r="G91" s="6" t="s">
        <v>1926</v>
      </c>
      <c r="H91" s="247" t="s">
        <v>1286</v>
      </c>
      <c r="I91" s="6"/>
      <c r="K91" s="121"/>
      <c r="L91" s="121"/>
      <c r="N91" s="166"/>
      <c r="O91" s="7" t="s">
        <v>1908</v>
      </c>
      <c r="P91" s="166"/>
    </row>
    <row r="92" spans="1:16" s="7" customFormat="1" ht="14.4" hidden="1" customHeight="1">
      <c r="A92" s="2024">
        <v>45041</v>
      </c>
      <c r="B92" s="233" t="s">
        <v>1288</v>
      </c>
      <c r="C92" s="6">
        <v>81115891</v>
      </c>
      <c r="D92" s="6"/>
      <c r="E92" s="6"/>
      <c r="F92" s="6" t="s">
        <v>1342</v>
      </c>
      <c r="G92" s="6" t="s">
        <v>1974</v>
      </c>
      <c r="H92" s="204" t="s">
        <v>1289</v>
      </c>
      <c r="I92" s="6"/>
      <c r="K92" s="121"/>
      <c r="L92" s="121"/>
      <c r="N92" s="166"/>
      <c r="P92" s="166"/>
    </row>
    <row r="93" spans="1:16" s="7" customFormat="1" ht="14.4" hidden="1" customHeight="1">
      <c r="A93" s="2024">
        <v>45041</v>
      </c>
      <c r="B93" s="277" t="s">
        <v>1293</v>
      </c>
      <c r="C93" s="6">
        <v>82210723</v>
      </c>
      <c r="D93" s="6"/>
      <c r="E93" s="6"/>
      <c r="F93" s="6" t="s">
        <v>1341</v>
      </c>
      <c r="G93" s="6" t="s">
        <v>1944</v>
      </c>
      <c r="H93" s="204" t="s">
        <v>1297</v>
      </c>
      <c r="I93" s="6"/>
      <c r="K93" s="121"/>
      <c r="L93" s="121"/>
      <c r="N93" s="166"/>
      <c r="P93" s="166"/>
    </row>
    <row r="94" spans="1:16" s="7" customFormat="1" ht="14.4" hidden="1" customHeight="1">
      <c r="A94" s="2024">
        <v>45041</v>
      </c>
      <c r="B94" s="206" t="s">
        <v>1294</v>
      </c>
      <c r="C94" s="6">
        <v>79361527</v>
      </c>
      <c r="D94" s="6"/>
      <c r="E94" s="6"/>
      <c r="F94" s="6" t="s">
        <v>1341</v>
      </c>
      <c r="G94" s="6" t="s">
        <v>1943</v>
      </c>
      <c r="H94" s="227" t="s">
        <v>1481</v>
      </c>
      <c r="I94" s="6"/>
      <c r="K94" s="121"/>
      <c r="L94" s="121"/>
      <c r="N94" s="166"/>
      <c r="O94" s="7" t="s">
        <v>2072</v>
      </c>
      <c r="P94" s="166"/>
    </row>
    <row r="95" spans="1:16" s="7" customFormat="1" ht="14.4" hidden="1" customHeight="1">
      <c r="A95" s="2024">
        <v>45041</v>
      </c>
      <c r="B95" s="2388" t="s">
        <v>1295</v>
      </c>
      <c r="C95" s="6">
        <v>30875959</v>
      </c>
      <c r="D95" s="6"/>
      <c r="E95" s="6"/>
      <c r="F95" s="6"/>
      <c r="G95" s="6" t="s">
        <v>1925</v>
      </c>
      <c r="H95" s="204" t="s">
        <v>1296</v>
      </c>
      <c r="I95" s="6"/>
      <c r="K95" s="121"/>
      <c r="L95" s="121"/>
      <c r="N95" s="166"/>
      <c r="P95" s="166"/>
    </row>
    <row r="96" spans="1:16" s="7" customFormat="1" ht="14.4" hidden="1" customHeight="1">
      <c r="A96" s="2025">
        <v>45041</v>
      </c>
      <c r="B96" s="227" t="s">
        <v>1298</v>
      </c>
      <c r="C96" s="6">
        <v>81181734</v>
      </c>
      <c r="D96" s="6"/>
      <c r="E96" s="6"/>
      <c r="F96" s="6" t="s">
        <v>1342</v>
      </c>
      <c r="G96" s="6" t="s">
        <v>1944</v>
      </c>
      <c r="H96" s="204" t="s">
        <v>1299</v>
      </c>
      <c r="I96" s="6"/>
      <c r="K96" s="121"/>
      <c r="L96" s="121"/>
      <c r="N96" s="166"/>
      <c r="P96" s="166"/>
    </row>
    <row r="97" spans="1:16" s="7" customFormat="1" ht="14.4" hidden="1" customHeight="1">
      <c r="A97" s="2024">
        <v>45041</v>
      </c>
      <c r="B97" s="208" t="s">
        <v>1300</v>
      </c>
      <c r="C97" s="6"/>
      <c r="D97" s="6"/>
      <c r="E97" s="6"/>
      <c r="F97" s="6"/>
      <c r="G97" s="6" t="s">
        <v>1945</v>
      </c>
      <c r="H97" s="204" t="s">
        <v>1301</v>
      </c>
      <c r="I97" s="6"/>
      <c r="K97" s="121"/>
      <c r="L97" s="121"/>
      <c r="N97" s="166" t="s">
        <v>1687</v>
      </c>
      <c r="P97" s="166"/>
    </row>
    <row r="98" spans="1:16" s="7" customFormat="1" ht="14.4" hidden="1" customHeight="1">
      <c r="A98" s="2024">
        <v>45041</v>
      </c>
      <c r="B98" s="227" t="s">
        <v>1478</v>
      </c>
      <c r="C98" s="6"/>
      <c r="D98" s="6"/>
      <c r="E98" s="6"/>
      <c r="F98" s="6"/>
      <c r="G98" s="6" t="s">
        <v>1973</v>
      </c>
      <c r="H98" s="204" t="s">
        <v>765</v>
      </c>
      <c r="I98" s="6"/>
      <c r="K98" s="121"/>
      <c r="L98" s="121"/>
      <c r="N98" s="166" t="s">
        <v>1908</v>
      </c>
      <c r="P98" s="166"/>
    </row>
    <row r="99" spans="1:16" s="7" customFormat="1" ht="14.4" hidden="1" customHeight="1">
      <c r="A99" s="2024">
        <v>45041</v>
      </c>
      <c r="B99" s="218" t="s">
        <v>1302</v>
      </c>
      <c r="C99" s="6">
        <v>44279882</v>
      </c>
      <c r="D99" s="262" t="s">
        <v>1740</v>
      </c>
      <c r="E99" s="262"/>
      <c r="F99" s="262" t="s">
        <v>1341</v>
      </c>
      <c r="G99" s="262" t="s">
        <v>1922</v>
      </c>
      <c r="H99" s="204" t="s">
        <v>1303</v>
      </c>
      <c r="I99" s="6"/>
      <c r="K99" s="121"/>
      <c r="L99" s="121"/>
      <c r="N99" s="166" t="s">
        <v>2090</v>
      </c>
      <c r="P99" s="166"/>
    </row>
    <row r="100" spans="1:16" s="7" customFormat="1" ht="14.4" hidden="1" customHeight="1">
      <c r="A100" s="2024">
        <v>45041</v>
      </c>
      <c r="B100" s="208" t="s">
        <v>1304</v>
      </c>
      <c r="C100" s="6">
        <v>17602036</v>
      </c>
      <c r="D100" s="6"/>
      <c r="E100" s="6"/>
      <c r="F100" s="6"/>
      <c r="G100" s="7" t="s">
        <v>2215</v>
      </c>
      <c r="H100" s="204" t="s">
        <v>1306</v>
      </c>
      <c r="I100" s="204"/>
      <c r="J100" s="205"/>
      <c r="K100" s="121"/>
      <c r="L100" s="121"/>
      <c r="N100" s="244" t="s">
        <v>1505</v>
      </c>
      <c r="P100" s="166"/>
    </row>
    <row r="101" spans="1:16" s="7" customFormat="1" ht="14.4" hidden="1" customHeight="1">
      <c r="A101" s="2024">
        <v>45041</v>
      </c>
      <c r="B101" s="206" t="s">
        <v>1305</v>
      </c>
      <c r="C101" s="6">
        <v>51830800</v>
      </c>
      <c r="D101" s="6"/>
      <c r="E101" s="6"/>
      <c r="F101" s="6"/>
      <c r="G101" s="6" t="s">
        <v>1928</v>
      </c>
      <c r="H101" s="204" t="s">
        <v>1307</v>
      </c>
      <c r="I101" s="6"/>
      <c r="K101" s="121"/>
      <c r="L101" s="121"/>
      <c r="N101" s="166"/>
      <c r="P101" s="166"/>
    </row>
    <row r="102" spans="1:16" s="7" customFormat="1" ht="14.4" hidden="1" customHeight="1">
      <c r="A102" s="2024">
        <v>45041</v>
      </c>
      <c r="B102" s="206" t="s">
        <v>1310</v>
      </c>
      <c r="C102" s="6">
        <v>18498694</v>
      </c>
      <c r="D102" s="6"/>
      <c r="E102" s="6"/>
      <c r="F102" s="6" t="s">
        <v>1341</v>
      </c>
      <c r="G102" s="6" t="s">
        <v>1931</v>
      </c>
      <c r="H102" s="204" t="s">
        <v>1311</v>
      </c>
      <c r="I102" s="6"/>
      <c r="K102" s="121"/>
      <c r="L102" s="121"/>
      <c r="N102" s="166"/>
      <c r="P102" s="166"/>
    </row>
    <row r="103" spans="1:16" s="7" customFormat="1" ht="14.4" hidden="1" customHeight="1">
      <c r="A103" s="2024">
        <v>45041</v>
      </c>
      <c r="B103" s="216" t="s">
        <v>1226</v>
      </c>
      <c r="C103" s="6">
        <v>37631834</v>
      </c>
      <c r="D103" s="6"/>
      <c r="E103" s="6"/>
      <c r="F103" s="6"/>
      <c r="G103" s="6" t="s">
        <v>1935</v>
      </c>
      <c r="H103" s="6" t="s">
        <v>1227</v>
      </c>
      <c r="I103" s="6"/>
      <c r="K103" s="121"/>
      <c r="L103" s="121"/>
      <c r="N103" s="166"/>
      <c r="P103" s="166"/>
    </row>
    <row r="104" spans="1:16" s="7" customFormat="1" ht="14.4" hidden="1" customHeight="1">
      <c r="A104" s="2026">
        <v>45042</v>
      </c>
      <c r="B104" s="206" t="s">
        <v>1348</v>
      </c>
      <c r="C104" s="6">
        <v>87543539</v>
      </c>
      <c r="D104" s="6"/>
      <c r="E104" s="6"/>
      <c r="F104" s="6"/>
      <c r="G104" s="6" t="s">
        <v>1931</v>
      </c>
      <c r="H104" s="6" t="s">
        <v>1351</v>
      </c>
      <c r="I104" s="6"/>
      <c r="K104" s="121"/>
      <c r="L104" s="121"/>
      <c r="N104" s="166"/>
      <c r="P104" s="166"/>
    </row>
    <row r="105" spans="1:16" s="7" customFormat="1" ht="14.4" hidden="1" customHeight="1">
      <c r="A105" s="2026">
        <v>45042</v>
      </c>
      <c r="B105" s="218" t="s">
        <v>1356</v>
      </c>
      <c r="C105" s="6">
        <v>77797132</v>
      </c>
      <c r="D105" s="262" t="s">
        <v>1740</v>
      </c>
      <c r="E105" s="262"/>
      <c r="F105" s="262" t="s">
        <v>1341</v>
      </c>
      <c r="G105" s="6" t="s">
        <v>1946</v>
      </c>
      <c r="H105" s="6" t="s">
        <v>1357</v>
      </c>
      <c r="I105" s="6"/>
      <c r="K105" s="121"/>
      <c r="L105" s="121"/>
      <c r="N105" s="166"/>
      <c r="P105" s="166"/>
    </row>
    <row r="106" spans="1:16" s="7" customFormat="1" ht="14.4" hidden="1" customHeight="1">
      <c r="A106" s="2027">
        <v>45043</v>
      </c>
      <c r="B106" s="233" t="s">
        <v>1364</v>
      </c>
      <c r="C106" s="6">
        <v>62416283</v>
      </c>
      <c r="D106" s="6"/>
      <c r="E106" s="6"/>
      <c r="F106" s="6"/>
      <c r="G106" s="6" t="s">
        <v>1972</v>
      </c>
      <c r="H106" s="6" t="s">
        <v>1365</v>
      </c>
      <c r="I106" s="6"/>
      <c r="K106" s="121"/>
      <c r="L106" s="121"/>
      <c r="N106" s="166"/>
      <c r="P106" s="166"/>
    </row>
    <row r="107" spans="1:16" s="7" customFormat="1" ht="14.4" hidden="1" customHeight="1">
      <c r="A107" s="2028">
        <v>45046</v>
      </c>
      <c r="B107" s="233" t="s">
        <v>1525</v>
      </c>
      <c r="C107" s="6">
        <v>21447098</v>
      </c>
      <c r="D107" s="262" t="s">
        <v>1740</v>
      </c>
      <c r="E107" s="262"/>
      <c r="F107" s="262"/>
      <c r="G107" s="262" t="s">
        <v>1959</v>
      </c>
      <c r="H107" s="6" t="s">
        <v>1451</v>
      </c>
      <c r="I107" s="6"/>
      <c r="K107" s="121"/>
      <c r="L107" s="121"/>
      <c r="N107" s="166"/>
      <c r="P107" s="166"/>
    </row>
    <row r="108" spans="1:16" s="7" customFormat="1" ht="14.4" hidden="1" customHeight="1">
      <c r="A108" s="2028">
        <v>45046</v>
      </c>
      <c r="B108" s="404" t="s">
        <v>1524</v>
      </c>
      <c r="C108" s="6">
        <v>70915322</v>
      </c>
      <c r="D108" s="420" t="s">
        <v>2794</v>
      </c>
      <c r="E108" s="420"/>
      <c r="F108" s="404" t="s">
        <v>1743</v>
      </c>
      <c r="G108" s="313" t="s">
        <v>1965</v>
      </c>
      <c r="H108" s="229" t="s">
        <v>1388</v>
      </c>
      <c r="I108" s="6"/>
      <c r="J108" s="3"/>
      <c r="K108" s="121">
        <v>24</v>
      </c>
      <c r="L108" s="121"/>
      <c r="N108" s="166"/>
      <c r="P108" s="166"/>
    </row>
    <row r="109" spans="1:16" s="7" customFormat="1" ht="14.4" hidden="1" customHeight="1">
      <c r="A109" s="2028">
        <v>45046</v>
      </c>
      <c r="B109" s="246" t="s">
        <v>1371</v>
      </c>
      <c r="C109" s="6">
        <v>31525283</v>
      </c>
      <c r="D109" s="6"/>
      <c r="E109" s="6"/>
      <c r="F109" s="6" t="s">
        <v>1372</v>
      </c>
      <c r="G109" s="6" t="s">
        <v>1928</v>
      </c>
      <c r="H109" s="6" t="s">
        <v>1389</v>
      </c>
      <c r="I109" s="6"/>
      <c r="K109" s="121"/>
      <c r="L109" s="121"/>
      <c r="N109" s="166"/>
      <c r="P109" s="166"/>
    </row>
    <row r="110" spans="1:16" s="7" customFormat="1" ht="14.4" hidden="1" customHeight="1">
      <c r="A110" s="2028">
        <v>45046</v>
      </c>
      <c r="B110" s="2388" t="s">
        <v>1412</v>
      </c>
      <c r="C110" s="6"/>
      <c r="D110" s="6"/>
      <c r="E110" s="6"/>
      <c r="F110" s="6"/>
      <c r="G110" s="6" t="s">
        <v>1925</v>
      </c>
      <c r="H110" s="6" t="s">
        <v>1390</v>
      </c>
      <c r="I110" s="6"/>
      <c r="K110" s="121"/>
      <c r="L110" s="121"/>
      <c r="N110" s="166"/>
      <c r="P110" s="166"/>
    </row>
    <row r="111" spans="1:16" s="7" customFormat="1" ht="14.4" hidden="1" customHeight="1">
      <c r="A111" s="2028">
        <v>45046</v>
      </c>
      <c r="B111" s="540" t="s">
        <v>1526</v>
      </c>
      <c r="C111" s="6">
        <v>43125634</v>
      </c>
      <c r="D111" s="6" t="s">
        <v>2094</v>
      </c>
      <c r="E111" s="6"/>
      <c r="F111" s="521" t="s">
        <v>3173</v>
      </c>
      <c r="G111" s="6" t="s">
        <v>1922</v>
      </c>
      <c r="H111" s="6" t="s">
        <v>1439</v>
      </c>
      <c r="I111" s="6"/>
      <c r="K111" s="121"/>
      <c r="L111" s="121"/>
      <c r="M111" s="7">
        <v>2</v>
      </c>
      <c r="N111" s="642">
        <v>2</v>
      </c>
      <c r="O111" s="7" t="s">
        <v>3503</v>
      </c>
      <c r="P111" s="166"/>
    </row>
    <row r="112" spans="1:16" s="7" customFormat="1" ht="14.4" hidden="1" customHeight="1">
      <c r="A112" s="2028">
        <v>45046</v>
      </c>
      <c r="B112" s="229" t="s">
        <v>1401</v>
      </c>
      <c r="C112" s="6">
        <v>11999024</v>
      </c>
      <c r="D112" s="6"/>
      <c r="E112" s="6"/>
      <c r="F112" s="6"/>
      <c r="G112" s="6" t="s">
        <v>1955</v>
      </c>
      <c r="H112" s="6" t="s">
        <v>1391</v>
      </c>
      <c r="I112" s="6"/>
      <c r="K112" s="121">
        <v>24</v>
      </c>
      <c r="L112" s="121"/>
      <c r="N112" s="166"/>
      <c r="P112" s="166"/>
    </row>
    <row r="113" spans="1:16" s="7" customFormat="1" ht="14.4" hidden="1" customHeight="1">
      <c r="A113" s="2028">
        <v>45047</v>
      </c>
      <c r="B113" s="227" t="s">
        <v>1479</v>
      </c>
      <c r="C113" s="6"/>
      <c r="D113" s="6"/>
      <c r="E113" s="6"/>
      <c r="F113" s="6"/>
      <c r="G113" s="6" t="s">
        <v>1973</v>
      </c>
      <c r="H113" s="6" t="s">
        <v>765</v>
      </c>
      <c r="I113" s="6"/>
      <c r="K113" s="121"/>
      <c r="L113" s="121"/>
      <c r="N113" s="166" t="s">
        <v>1908</v>
      </c>
      <c r="P113" s="166"/>
    </row>
    <row r="114" spans="1:16" s="7" customFormat="1" ht="14.4" hidden="1" customHeight="1">
      <c r="A114" s="2028">
        <v>45047</v>
      </c>
      <c r="B114" s="714" t="s">
        <v>3594</v>
      </c>
      <c r="C114" s="6">
        <v>73471120</v>
      </c>
      <c r="D114" s="6" t="s">
        <v>3650</v>
      </c>
      <c r="E114" s="6"/>
      <c r="F114" s="6" t="s">
        <v>2755</v>
      </c>
      <c r="G114" s="6" t="s">
        <v>1922</v>
      </c>
      <c r="H114" s="6" t="s">
        <v>3595</v>
      </c>
      <c r="I114" s="6"/>
      <c r="K114" s="121"/>
      <c r="L114" s="121"/>
      <c r="N114" s="67">
        <v>2</v>
      </c>
      <c r="O114" s="7" t="s">
        <v>3836</v>
      </c>
      <c r="P114" s="166"/>
    </row>
    <row r="115" spans="1:16" s="7" customFormat="1" ht="14.4" hidden="1" customHeight="1">
      <c r="A115" s="2028">
        <v>45047</v>
      </c>
      <c r="B115" s="246" t="s">
        <v>1629</v>
      </c>
      <c r="C115" s="6"/>
      <c r="D115" s="6"/>
      <c r="E115" s="6"/>
      <c r="F115" s="6"/>
      <c r="G115" s="6" t="s">
        <v>1973</v>
      </c>
      <c r="H115" s="6" t="s">
        <v>765</v>
      </c>
      <c r="I115" s="6"/>
      <c r="K115" s="121"/>
      <c r="L115" s="121"/>
      <c r="N115" s="166" t="s">
        <v>1908</v>
      </c>
      <c r="O115" s="7">
        <f>37-10-4-8-2</f>
        <v>13</v>
      </c>
      <c r="P115" s="166"/>
    </row>
    <row r="116" spans="1:16" s="7" customFormat="1" ht="20.399999999999999" hidden="1" customHeight="1">
      <c r="A116" s="2028">
        <v>45047</v>
      </c>
      <c r="B116" s="235" t="s">
        <v>1536</v>
      </c>
      <c r="C116" s="6"/>
      <c r="D116" s="6"/>
      <c r="E116" s="6"/>
      <c r="F116" s="6"/>
      <c r="G116" s="6" t="s">
        <v>1973</v>
      </c>
      <c r="H116" s="6" t="s">
        <v>765</v>
      </c>
      <c r="I116" s="6"/>
      <c r="K116" s="121"/>
      <c r="L116" s="121"/>
      <c r="N116" s="166" t="s">
        <v>1908</v>
      </c>
      <c r="P116" s="166"/>
    </row>
    <row r="117" spans="1:16" s="7" customFormat="1" ht="14.4" hidden="1" customHeight="1">
      <c r="A117" s="2028">
        <v>45047</v>
      </c>
      <c r="B117" s="182" t="s">
        <v>1393</v>
      </c>
      <c r="C117" s="6">
        <v>40855598</v>
      </c>
      <c r="D117" s="6"/>
      <c r="E117" s="6"/>
      <c r="F117" s="6"/>
      <c r="G117" s="6" t="s">
        <v>686</v>
      </c>
      <c r="H117" s="216" t="s">
        <v>1394</v>
      </c>
      <c r="I117" s="6"/>
      <c r="K117" s="121"/>
      <c r="L117" s="121"/>
      <c r="N117" s="166"/>
      <c r="O117" s="250" t="s">
        <v>1645</v>
      </c>
      <c r="P117" s="166"/>
    </row>
    <row r="118" spans="1:16" s="7" customFormat="1" ht="14.4" hidden="1" customHeight="1">
      <c r="A118" s="2028">
        <v>45047</v>
      </c>
      <c r="B118" s="262" t="s">
        <v>1754</v>
      </c>
      <c r="C118" s="6">
        <v>67357805</v>
      </c>
      <c r="D118" s="6"/>
      <c r="E118" s="6"/>
      <c r="F118" s="6"/>
      <c r="G118" s="6" t="s">
        <v>617</v>
      </c>
      <c r="H118" s="6" t="s">
        <v>1395</v>
      </c>
      <c r="I118" s="6"/>
      <c r="K118" s="121"/>
      <c r="L118" s="121"/>
      <c r="N118" s="166"/>
      <c r="P118" s="166"/>
    </row>
    <row r="119" spans="1:16" s="7" customFormat="1" ht="14.4" hidden="1" customHeight="1">
      <c r="A119" s="2028">
        <v>45047</v>
      </c>
      <c r="B119" s="233" t="s">
        <v>1476</v>
      </c>
      <c r="C119" s="6">
        <v>94789970</v>
      </c>
      <c r="D119" s="6"/>
      <c r="E119" s="6"/>
      <c r="F119" s="6"/>
      <c r="G119" s="6" t="s">
        <v>1941</v>
      </c>
      <c r="H119" s="6" t="s">
        <v>1396</v>
      </c>
      <c r="I119" s="6"/>
      <c r="K119" s="121"/>
      <c r="L119" s="121"/>
      <c r="N119" s="166"/>
      <c r="P119" s="166"/>
    </row>
    <row r="120" spans="1:16" s="7" customFormat="1" ht="14.4" hidden="1" customHeight="1">
      <c r="A120" s="2028">
        <v>45047</v>
      </c>
      <c r="B120" s="257" t="s">
        <v>1399</v>
      </c>
      <c r="C120" s="6">
        <v>66761535</v>
      </c>
      <c r="D120" s="6"/>
      <c r="E120" s="6"/>
      <c r="F120" s="6"/>
      <c r="G120" s="6" t="s">
        <v>1926</v>
      </c>
      <c r="H120" s="6" t="s">
        <v>1400</v>
      </c>
      <c r="I120" s="6"/>
      <c r="K120" s="121"/>
      <c r="L120" s="121"/>
      <c r="N120" s="166" t="s">
        <v>1772</v>
      </c>
      <c r="P120" s="166"/>
    </row>
    <row r="121" spans="1:16" s="7" customFormat="1" ht="14.4" hidden="1" customHeight="1">
      <c r="A121" s="2028">
        <v>45047</v>
      </c>
      <c r="B121" s="233" t="s">
        <v>1397</v>
      </c>
      <c r="C121" s="6">
        <v>63184280</v>
      </c>
      <c r="D121" s="6"/>
      <c r="E121" s="6"/>
      <c r="F121" s="6"/>
      <c r="G121" s="6" t="s">
        <v>2056</v>
      </c>
      <c r="H121" s="6" t="s">
        <v>1398</v>
      </c>
      <c r="I121" s="6"/>
      <c r="K121" s="121"/>
      <c r="L121" s="121"/>
      <c r="N121" s="166" t="s">
        <v>1772</v>
      </c>
      <c r="P121" s="166"/>
    </row>
    <row r="122" spans="1:16" s="7" customFormat="1" ht="14.4" hidden="1" customHeight="1">
      <c r="A122" s="2028">
        <v>45047</v>
      </c>
      <c r="B122" s="222" t="s">
        <v>1402</v>
      </c>
      <c r="C122" s="6">
        <v>84322065</v>
      </c>
      <c r="D122" s="6"/>
      <c r="E122" s="6"/>
      <c r="F122" s="6"/>
      <c r="G122" s="6" t="s">
        <v>1931</v>
      </c>
      <c r="H122" s="6" t="s">
        <v>667</v>
      </c>
      <c r="I122" s="6"/>
      <c r="K122" s="121"/>
      <c r="L122" s="121"/>
      <c r="N122" s="166"/>
      <c r="P122" s="166"/>
    </row>
    <row r="123" spans="1:16" s="7" customFormat="1" ht="14.4" hidden="1" customHeight="1">
      <c r="A123" s="2028">
        <v>45047</v>
      </c>
      <c r="B123" s="294" t="s">
        <v>1997</v>
      </c>
      <c r="C123" s="6">
        <v>10212792</v>
      </c>
      <c r="D123" s="6"/>
      <c r="E123" s="6"/>
      <c r="F123" s="6"/>
      <c r="G123" s="6" t="s">
        <v>713</v>
      </c>
      <c r="H123" s="6" t="s">
        <v>1738</v>
      </c>
      <c r="I123" s="6"/>
      <c r="K123" s="121"/>
      <c r="L123" s="121"/>
      <c r="N123" s="166">
        <v>1</v>
      </c>
      <c r="O123" s="7" t="s">
        <v>2365</v>
      </c>
      <c r="P123" s="166"/>
    </row>
    <row r="124" spans="1:16" s="7" customFormat="1" ht="14.4" hidden="1" customHeight="1">
      <c r="A124" s="2029">
        <v>45048</v>
      </c>
      <c r="B124" s="540" t="s">
        <v>1594</v>
      </c>
      <c r="C124" s="6">
        <v>96503632</v>
      </c>
      <c r="D124" s="6" t="s">
        <v>2094</v>
      </c>
      <c r="E124" s="6"/>
      <c r="F124" s="521" t="s">
        <v>3173</v>
      </c>
      <c r="G124" s="6" t="s">
        <v>1922</v>
      </c>
      <c r="H124" s="6" t="s">
        <v>1444</v>
      </c>
      <c r="I124" s="6"/>
      <c r="K124" s="121"/>
      <c r="L124" s="121"/>
      <c r="N124" s="642">
        <v>1</v>
      </c>
      <c r="O124" s="7" t="s">
        <v>3503</v>
      </c>
      <c r="P124" s="166"/>
    </row>
    <row r="125" spans="1:16" s="7" customFormat="1" ht="14.4" hidden="1" customHeight="1">
      <c r="A125" s="2029">
        <v>45048</v>
      </c>
      <c r="B125" s="246" t="s">
        <v>1630</v>
      </c>
      <c r="C125" s="6"/>
      <c r="D125" s="6"/>
      <c r="E125" s="6"/>
      <c r="F125" s="6"/>
      <c r="G125" s="6"/>
      <c r="H125" s="6"/>
      <c r="I125" s="6"/>
      <c r="K125" s="121"/>
      <c r="L125" s="121"/>
      <c r="N125" s="166"/>
      <c r="O125" s="7" t="s">
        <v>1645</v>
      </c>
      <c r="P125" s="166"/>
    </row>
    <row r="126" spans="1:16" s="7" customFormat="1" ht="14.4" hidden="1" customHeight="1">
      <c r="A126" s="2029">
        <v>45048</v>
      </c>
      <c r="B126" s="227" t="s">
        <v>1496</v>
      </c>
      <c r="C126" s="6"/>
      <c r="D126" s="6"/>
      <c r="E126" s="6"/>
      <c r="F126" s="6"/>
      <c r="G126" s="6" t="s">
        <v>1973</v>
      </c>
      <c r="H126" s="6" t="s">
        <v>765</v>
      </c>
      <c r="I126" s="6"/>
      <c r="K126" s="121"/>
      <c r="L126" s="121"/>
      <c r="N126" s="166"/>
      <c r="O126" s="7" t="s">
        <v>1645</v>
      </c>
      <c r="P126" s="166"/>
    </row>
    <row r="127" spans="1:16" s="7" customFormat="1" ht="14.4" hidden="1" customHeight="1">
      <c r="A127" s="2029">
        <v>45048</v>
      </c>
      <c r="B127" s="224" t="s">
        <v>1414</v>
      </c>
      <c r="C127" s="6">
        <v>70671628</v>
      </c>
      <c r="D127" s="262" t="s">
        <v>1740</v>
      </c>
      <c r="E127" s="262"/>
      <c r="F127" s="262" t="s">
        <v>1341</v>
      </c>
      <c r="G127" s="6" t="s">
        <v>1955</v>
      </c>
      <c r="H127" s="218" t="s">
        <v>1422</v>
      </c>
      <c r="I127" s="6"/>
      <c r="K127" s="121">
        <v>24</v>
      </c>
      <c r="L127" s="121"/>
      <c r="N127" s="166">
        <v>2</v>
      </c>
      <c r="P127" s="166"/>
    </row>
    <row r="128" spans="1:16" s="7" customFormat="1" ht="14.4" hidden="1" customHeight="1">
      <c r="A128" s="2029">
        <v>45048</v>
      </c>
      <c r="B128" s="233" t="s">
        <v>1418</v>
      </c>
      <c r="C128" s="6"/>
      <c r="D128" s="6"/>
      <c r="E128" s="6"/>
      <c r="F128" s="6"/>
      <c r="G128" s="6" t="s">
        <v>1945</v>
      </c>
      <c r="H128" s="218" t="s">
        <v>1419</v>
      </c>
      <c r="I128" s="6"/>
      <c r="K128" s="121"/>
      <c r="L128" s="121"/>
      <c r="N128" s="166"/>
      <c r="O128" s="7" t="s">
        <v>1687</v>
      </c>
      <c r="P128" s="166"/>
    </row>
    <row r="129" spans="1:16" s="7" customFormat="1" ht="14.4" hidden="1" customHeight="1">
      <c r="A129" s="2029">
        <v>45048</v>
      </c>
      <c r="B129" s="404" t="s">
        <v>1420</v>
      </c>
      <c r="C129" s="6">
        <v>79202315</v>
      </c>
      <c r="D129" s="404" t="s">
        <v>2710</v>
      </c>
      <c r="E129" s="404"/>
      <c r="F129" s="406" t="s">
        <v>2733</v>
      </c>
      <c r="G129" s="262" t="s">
        <v>1959</v>
      </c>
      <c r="H129" s="218" t="s">
        <v>1421</v>
      </c>
      <c r="I129" s="6"/>
      <c r="K129" s="121"/>
      <c r="L129" s="121"/>
      <c r="N129" s="166"/>
      <c r="P129" s="166"/>
    </row>
    <row r="130" spans="1:16" s="7" customFormat="1" ht="14.4" hidden="1" customHeight="1">
      <c r="A130" s="2030">
        <v>45048</v>
      </c>
      <c r="B130" s="222" t="s">
        <v>1440</v>
      </c>
      <c r="C130" s="6"/>
      <c r="D130" s="6"/>
      <c r="E130" s="6"/>
      <c r="F130" s="6"/>
      <c r="G130" s="6" t="s">
        <v>1935</v>
      </c>
      <c r="H130" s="218" t="s">
        <v>1426</v>
      </c>
      <c r="I130" s="6"/>
      <c r="K130" s="121"/>
      <c r="L130" s="121"/>
      <c r="N130" s="166"/>
      <c r="P130" s="166"/>
    </row>
    <row r="131" spans="1:16" s="7" customFormat="1" ht="14.4" hidden="1" customHeight="1">
      <c r="A131" s="2031">
        <v>45049</v>
      </c>
      <c r="B131" s="224" t="s">
        <v>1431</v>
      </c>
      <c r="C131" s="6">
        <v>97606964</v>
      </c>
      <c r="D131" s="6"/>
      <c r="E131" s="6"/>
      <c r="F131" s="6"/>
      <c r="G131" s="6" t="s">
        <v>1933</v>
      </c>
      <c r="H131" s="222" t="s">
        <v>1432</v>
      </c>
      <c r="I131" s="6"/>
      <c r="K131" s="121"/>
      <c r="L131" s="121"/>
      <c r="N131" s="166"/>
      <c r="P131" s="166"/>
    </row>
    <row r="132" spans="1:16" s="7" customFormat="1" ht="14.4" hidden="1" customHeight="1">
      <c r="A132" s="2031">
        <v>45049</v>
      </c>
      <c r="B132" s="246" t="s">
        <v>1433</v>
      </c>
      <c r="C132" s="6">
        <v>68468739</v>
      </c>
      <c r="D132" s="6"/>
      <c r="E132" s="6"/>
      <c r="F132" s="6"/>
      <c r="G132" s="6" t="s">
        <v>1926</v>
      </c>
      <c r="H132" s="239" t="s">
        <v>1568</v>
      </c>
      <c r="I132" s="6"/>
      <c r="K132" s="121"/>
      <c r="L132" s="121"/>
      <c r="N132" s="166"/>
      <c r="O132" s="7" t="s">
        <v>1772</v>
      </c>
      <c r="P132" s="166"/>
    </row>
    <row r="133" spans="1:16" s="7" customFormat="1" ht="14.4" hidden="1" customHeight="1">
      <c r="A133" s="2031">
        <v>45049</v>
      </c>
      <c r="B133" s="229" t="s">
        <v>1434</v>
      </c>
      <c r="C133" s="6">
        <v>24006739</v>
      </c>
      <c r="D133" s="6"/>
      <c r="E133" s="6"/>
      <c r="F133" s="6"/>
      <c r="G133" s="6" t="s">
        <v>1941</v>
      </c>
      <c r="H133" s="222" t="s">
        <v>1435</v>
      </c>
      <c r="I133" s="6"/>
      <c r="K133" s="121"/>
      <c r="L133" s="121"/>
      <c r="N133" s="166"/>
      <c r="P133" s="166"/>
    </row>
    <row r="134" spans="1:16" s="7" customFormat="1" ht="13.8" hidden="1" customHeight="1">
      <c r="A134" s="2032">
        <v>45050</v>
      </c>
      <c r="B134" s="263" t="s">
        <v>1769</v>
      </c>
      <c r="C134" s="6"/>
      <c r="D134" s="6"/>
      <c r="E134" s="6"/>
      <c r="F134" s="6"/>
      <c r="G134" s="6" t="s">
        <v>1955</v>
      </c>
      <c r="H134" s="224" t="s">
        <v>765</v>
      </c>
      <c r="I134" s="6"/>
      <c r="K134" s="121">
        <v>2</v>
      </c>
      <c r="L134" s="121"/>
      <c r="N134" s="166"/>
      <c r="O134" s="7" t="s">
        <v>1908</v>
      </c>
      <c r="P134" s="166"/>
    </row>
    <row r="135" spans="1:16" s="7" customFormat="1" ht="13.8" hidden="1" customHeight="1">
      <c r="A135" s="2032">
        <v>45050</v>
      </c>
      <c r="B135" s="229" t="s">
        <v>1461</v>
      </c>
      <c r="C135" s="6">
        <v>80607965</v>
      </c>
      <c r="D135" s="6"/>
      <c r="E135" s="6"/>
      <c r="F135" s="6"/>
      <c r="G135" s="6" t="s">
        <v>1941</v>
      </c>
      <c r="H135" s="224" t="s">
        <v>1435</v>
      </c>
      <c r="I135" s="6"/>
      <c r="K135" s="121"/>
      <c r="L135" s="121"/>
      <c r="N135" s="166"/>
      <c r="P135" s="166"/>
    </row>
    <row r="136" spans="1:16" s="7" customFormat="1" ht="14.4" hidden="1" customHeight="1">
      <c r="A136" s="2032">
        <v>45050</v>
      </c>
      <c r="B136" s="1026" t="s">
        <v>1463</v>
      </c>
      <c r="C136" s="6">
        <v>12175990</v>
      </c>
      <c r="D136" s="6"/>
      <c r="E136" s="6"/>
      <c r="F136" s="521" t="s">
        <v>3173</v>
      </c>
      <c r="G136" s="6" t="s">
        <v>1922</v>
      </c>
      <c r="H136" s="224" t="s">
        <v>736</v>
      </c>
      <c r="I136" s="6"/>
      <c r="K136" s="121"/>
      <c r="L136" s="121"/>
      <c r="N136" s="642">
        <v>2</v>
      </c>
      <c r="O136" s="7" t="s">
        <v>3503</v>
      </c>
      <c r="P136" s="166"/>
    </row>
    <row r="137" spans="1:16" s="7" customFormat="1" ht="14.4" hidden="1" customHeight="1">
      <c r="A137" s="2032">
        <v>45050</v>
      </c>
      <c r="B137" s="233" t="s">
        <v>1464</v>
      </c>
      <c r="C137" s="6">
        <v>28304836</v>
      </c>
      <c r="D137" s="6"/>
      <c r="E137" s="6"/>
      <c r="F137" s="6"/>
      <c r="G137" s="6" t="s">
        <v>686</v>
      </c>
      <c r="H137" s="224" t="s">
        <v>1465</v>
      </c>
      <c r="I137" s="6"/>
      <c r="K137" s="121"/>
      <c r="L137" s="121"/>
      <c r="N137" s="166"/>
      <c r="O137" s="250" t="s">
        <v>1645</v>
      </c>
      <c r="P137" s="166"/>
    </row>
    <row r="138" spans="1:16" s="7" customFormat="1" ht="14.4" hidden="1" customHeight="1">
      <c r="A138" s="2032">
        <v>45050</v>
      </c>
      <c r="B138" s="233" t="s">
        <v>1457</v>
      </c>
      <c r="C138" s="6">
        <v>24172568</v>
      </c>
      <c r="D138" s="6"/>
      <c r="E138" s="6"/>
      <c r="F138" s="6"/>
      <c r="G138" s="6" t="s">
        <v>2056</v>
      </c>
      <c r="H138" s="237" t="s">
        <v>1458</v>
      </c>
      <c r="I138" s="6"/>
      <c r="K138" s="121"/>
      <c r="L138" s="121"/>
      <c r="N138" s="166"/>
      <c r="O138" s="7" t="s">
        <v>1772</v>
      </c>
      <c r="P138" s="166"/>
    </row>
    <row r="139" spans="1:16" s="7" customFormat="1" ht="14.4" hidden="1" customHeight="1">
      <c r="A139" s="2032">
        <v>45051</v>
      </c>
      <c r="B139" s="233" t="s">
        <v>1466</v>
      </c>
      <c r="C139" s="6">
        <v>73926259</v>
      </c>
      <c r="D139" s="262" t="s">
        <v>1740</v>
      </c>
      <c r="E139" s="262"/>
      <c r="F139" s="262" t="s">
        <v>1341</v>
      </c>
      <c r="G139" s="262" t="s">
        <v>1922</v>
      </c>
      <c r="H139" s="224" t="s">
        <v>1467</v>
      </c>
      <c r="I139" s="6"/>
      <c r="K139" s="121"/>
      <c r="L139" s="121"/>
      <c r="N139" s="166"/>
      <c r="O139" s="7" t="s">
        <v>2090</v>
      </c>
      <c r="P139" s="166"/>
    </row>
    <row r="140" spans="1:16" s="7" customFormat="1" ht="14.4" hidden="1" customHeight="1">
      <c r="A140" s="2033">
        <v>45051</v>
      </c>
      <c r="B140" s="246" t="s">
        <v>1489</v>
      </c>
      <c r="C140" s="6">
        <v>66401939</v>
      </c>
      <c r="D140" s="262" t="s">
        <v>1740</v>
      </c>
      <c r="E140" s="262"/>
      <c r="F140" s="262" t="s">
        <v>1341</v>
      </c>
      <c r="G140" s="262" t="s">
        <v>1922</v>
      </c>
      <c r="H140" s="227" t="s">
        <v>1477</v>
      </c>
      <c r="I140" s="6"/>
      <c r="K140" s="121"/>
      <c r="L140" s="121"/>
      <c r="N140" s="166"/>
      <c r="O140" s="7" t="s">
        <v>2090</v>
      </c>
      <c r="P140" s="166"/>
    </row>
    <row r="141" spans="1:16" s="7" customFormat="1" ht="14.4" hidden="1" customHeight="1">
      <c r="A141" s="2033">
        <v>45051</v>
      </c>
      <c r="B141" s="227" t="s">
        <v>1497</v>
      </c>
      <c r="C141" s="6"/>
      <c r="D141" s="6"/>
      <c r="E141" s="6"/>
      <c r="F141" s="6"/>
      <c r="G141" s="6" t="s">
        <v>1973</v>
      </c>
      <c r="H141" s="227" t="s">
        <v>1486</v>
      </c>
      <c r="I141" s="6"/>
      <c r="K141" s="121"/>
      <c r="L141" s="121"/>
      <c r="N141" s="166"/>
      <c r="O141" s="7" t="s">
        <v>1908</v>
      </c>
      <c r="P141" s="166"/>
    </row>
    <row r="142" spans="1:16" s="7" customFormat="1" ht="14.4" hidden="1" customHeight="1">
      <c r="A142" s="2033">
        <v>45051</v>
      </c>
      <c r="B142" s="294" t="s">
        <v>1905</v>
      </c>
      <c r="C142" s="6">
        <v>77684782</v>
      </c>
      <c r="D142" s="6"/>
      <c r="E142" s="6"/>
      <c r="F142" s="6"/>
      <c r="G142" s="6" t="s">
        <v>1960</v>
      </c>
      <c r="H142" s="280" t="s">
        <v>1906</v>
      </c>
      <c r="I142" s="6"/>
      <c r="K142" s="121"/>
      <c r="L142" s="121"/>
      <c r="N142" s="166"/>
      <c r="P142" s="166"/>
    </row>
    <row r="143" spans="1:16" s="7" customFormat="1" ht="14.4" hidden="1" customHeight="1">
      <c r="A143" s="2034">
        <v>45052</v>
      </c>
      <c r="B143" s="242" t="s">
        <v>1494</v>
      </c>
      <c r="C143" s="242">
        <v>80364094</v>
      </c>
      <c r="D143" s="262" t="s">
        <v>1740</v>
      </c>
      <c r="E143" s="262"/>
      <c r="F143" s="262" t="s">
        <v>1341</v>
      </c>
      <c r="G143" s="262" t="s">
        <v>1922</v>
      </c>
      <c r="H143" s="242" t="s">
        <v>1495</v>
      </c>
      <c r="I143" s="242"/>
      <c r="J143" s="241"/>
      <c r="K143" s="121"/>
      <c r="L143" s="121"/>
      <c r="N143" s="166"/>
      <c r="O143" s="7" t="s">
        <v>2090</v>
      </c>
      <c r="P143" s="166"/>
    </row>
    <row r="144" spans="1:16" s="7" customFormat="1" ht="14.4" hidden="1" customHeight="1">
      <c r="A144" s="221"/>
      <c r="B144" s="257" t="s">
        <v>1438</v>
      </c>
      <c r="C144" s="6">
        <v>33650104</v>
      </c>
      <c r="D144" s="6"/>
      <c r="E144" s="6"/>
      <c r="F144" s="6"/>
      <c r="G144" s="6" t="s">
        <v>1955</v>
      </c>
      <c r="H144" s="222" t="s">
        <v>1441</v>
      </c>
      <c r="I144" s="6"/>
      <c r="K144" s="121">
        <v>24</v>
      </c>
      <c r="L144" s="121"/>
      <c r="N144" s="166"/>
      <c r="P144" s="166"/>
    </row>
    <row r="145" spans="1:16" s="7" customFormat="1" ht="14.4" hidden="1" customHeight="1">
      <c r="A145" s="221"/>
      <c r="B145" s="534" t="s">
        <v>1506</v>
      </c>
      <c r="C145" s="6">
        <v>46431380</v>
      </c>
      <c r="D145" s="6" t="s">
        <v>2094</v>
      </c>
      <c r="E145" s="6"/>
      <c r="F145" s="521" t="s">
        <v>3173</v>
      </c>
      <c r="G145" s="6" t="s">
        <v>1922</v>
      </c>
      <c r="H145" s="229" t="s">
        <v>1507</v>
      </c>
      <c r="I145" s="6"/>
      <c r="K145" s="121">
        <v>24</v>
      </c>
      <c r="L145" s="121"/>
      <c r="N145" s="166"/>
      <c r="O145" s="542" t="s">
        <v>3280</v>
      </c>
      <c r="P145" s="166"/>
    </row>
    <row r="146" spans="1:16" s="7" customFormat="1" ht="14.4" hidden="1" customHeight="1">
      <c r="A146" s="2034">
        <v>45052</v>
      </c>
      <c r="B146" s="233" t="s">
        <v>1508</v>
      </c>
      <c r="C146" s="6">
        <v>91731812</v>
      </c>
      <c r="D146" s="6"/>
      <c r="E146" s="6"/>
      <c r="F146" s="6"/>
      <c r="G146" s="6" t="s">
        <v>1949</v>
      </c>
      <c r="H146" s="229" t="s">
        <v>1509</v>
      </c>
      <c r="I146" s="6"/>
      <c r="K146" s="121"/>
      <c r="L146" s="121"/>
      <c r="N146" s="166"/>
      <c r="O146" s="7" t="s">
        <v>1856</v>
      </c>
      <c r="P146" s="166"/>
    </row>
    <row r="147" spans="1:16" s="7" customFormat="1" ht="14.4" hidden="1" customHeight="1">
      <c r="A147" s="2034">
        <v>45052</v>
      </c>
      <c r="B147" s="319" t="s">
        <v>1512</v>
      </c>
      <c r="C147" s="6">
        <v>97328453</v>
      </c>
      <c r="D147" s="6"/>
      <c r="E147" s="6"/>
      <c r="F147" s="6"/>
      <c r="G147" s="6" t="s">
        <v>1950</v>
      </c>
      <c r="H147" s="229" t="s">
        <v>1513</v>
      </c>
      <c r="I147" s="6"/>
      <c r="K147" s="121"/>
      <c r="L147" s="121"/>
      <c r="N147" s="166"/>
      <c r="P147" s="166"/>
    </row>
    <row r="148" spans="1:16" s="7" customFormat="1" ht="14.4" hidden="1" customHeight="1">
      <c r="A148" s="2034">
        <v>45052</v>
      </c>
      <c r="B148" s="182" t="s">
        <v>1515</v>
      </c>
      <c r="C148" s="6">
        <v>34783388</v>
      </c>
      <c r="D148" s="6" t="s">
        <v>3650</v>
      </c>
      <c r="E148" s="6"/>
      <c r="F148" s="6" t="s">
        <v>2755</v>
      </c>
      <c r="G148" s="6" t="s">
        <v>1922</v>
      </c>
      <c r="H148" s="655" t="s">
        <v>3557</v>
      </c>
      <c r="I148" s="6"/>
      <c r="K148" s="121"/>
      <c r="L148" s="121"/>
      <c r="N148" s="67">
        <v>1</v>
      </c>
      <c r="O148" s="7" t="s">
        <v>3836</v>
      </c>
      <c r="P148" s="166"/>
    </row>
    <row r="149" spans="1:16" s="7" customFormat="1" ht="14.4" hidden="1" customHeight="1">
      <c r="A149" s="2034">
        <v>45052</v>
      </c>
      <c r="B149" s="714" t="s">
        <v>1516</v>
      </c>
      <c r="C149" s="6">
        <v>98785941</v>
      </c>
      <c r="D149" s="6" t="s">
        <v>3650</v>
      </c>
      <c r="E149" s="6"/>
      <c r="F149" s="6" t="s">
        <v>2755</v>
      </c>
      <c r="G149" s="6" t="s">
        <v>1922</v>
      </c>
      <c r="H149" s="229" t="s">
        <v>1517</v>
      </c>
      <c r="I149" s="6"/>
      <c r="J149" s="675"/>
      <c r="K149" s="121"/>
      <c r="L149" s="121"/>
      <c r="N149" s="67">
        <v>2</v>
      </c>
      <c r="O149" s="7" t="s">
        <v>3836</v>
      </c>
      <c r="P149" s="166"/>
    </row>
    <row r="150" spans="1:16" s="7" customFormat="1" ht="14.4" hidden="1" customHeight="1">
      <c r="A150" s="2034">
        <v>45052</v>
      </c>
      <c r="B150" s="309" t="s">
        <v>1518</v>
      </c>
      <c r="C150" s="6">
        <v>82862180</v>
      </c>
      <c r="D150" s="6"/>
      <c r="E150" s="6"/>
      <c r="F150" s="6"/>
      <c r="G150" s="6" t="s">
        <v>1949</v>
      </c>
      <c r="H150" s="229" t="s">
        <v>1519</v>
      </c>
      <c r="I150" s="6"/>
      <c r="K150" s="121"/>
      <c r="L150" s="121"/>
      <c r="N150" s="166"/>
      <c r="O150" s="7" t="s">
        <v>1856</v>
      </c>
      <c r="P150" s="166"/>
    </row>
    <row r="151" spans="1:16" s="7" customFormat="1" ht="14.4" hidden="1" customHeight="1">
      <c r="A151" s="2034">
        <v>45052</v>
      </c>
      <c r="B151" s="233" t="s">
        <v>1521</v>
      </c>
      <c r="C151" s="6">
        <v>34419218</v>
      </c>
      <c r="D151" s="262" t="s">
        <v>1740</v>
      </c>
      <c r="E151" s="262"/>
      <c r="F151" s="262" t="s">
        <v>1341</v>
      </c>
      <c r="G151" s="303" t="s">
        <v>2049</v>
      </c>
      <c r="H151" s="229" t="s">
        <v>1522</v>
      </c>
      <c r="I151" s="6"/>
      <c r="K151" s="228" t="s">
        <v>1520</v>
      </c>
      <c r="L151" s="228"/>
      <c r="N151" s="166"/>
      <c r="P151" s="166"/>
    </row>
    <row r="152" spans="1:16" s="7" customFormat="1" ht="14.4" hidden="1" customHeight="1">
      <c r="A152" s="2034">
        <v>45052</v>
      </c>
      <c r="B152" s="714" t="s">
        <v>3476</v>
      </c>
      <c r="C152" s="6">
        <v>31670110</v>
      </c>
      <c r="D152" s="6" t="s">
        <v>3650</v>
      </c>
      <c r="E152" s="6"/>
      <c r="F152" s="6" t="s">
        <v>2755</v>
      </c>
      <c r="G152" s="462" t="s">
        <v>736</v>
      </c>
      <c r="H152" s="680" t="s">
        <v>3477</v>
      </c>
      <c r="I152" s="6"/>
      <c r="K152" s="121"/>
      <c r="L152" s="121"/>
      <c r="N152" s="67">
        <v>2</v>
      </c>
      <c r="O152" s="7">
        <v>11.102023000000001</v>
      </c>
      <c r="P152" s="166"/>
    </row>
    <row r="153" spans="1:16" s="7" customFormat="1" ht="14.4" hidden="1" customHeight="1">
      <c r="A153" s="2034">
        <v>45052</v>
      </c>
      <c r="B153" s="877" t="s">
        <v>1487</v>
      </c>
      <c r="C153" s="6">
        <v>37743024</v>
      </c>
      <c r="D153" s="6"/>
      <c r="E153" s="6"/>
      <c r="F153" s="6"/>
      <c r="G153" s="6" t="s">
        <v>1934</v>
      </c>
      <c r="H153" s="227" t="s">
        <v>1488</v>
      </c>
      <c r="I153" s="6"/>
      <c r="K153" s="121"/>
      <c r="L153" s="121"/>
      <c r="M153" s="228"/>
      <c r="N153" s="166"/>
      <c r="P153" s="166"/>
    </row>
    <row r="154" spans="1:16" s="7" customFormat="1" ht="14.4" hidden="1" customHeight="1">
      <c r="A154" s="2035">
        <v>45054</v>
      </c>
      <c r="B154" s="253" t="s">
        <v>1530</v>
      </c>
      <c r="C154" s="6">
        <v>76443557</v>
      </c>
      <c r="D154" s="6"/>
      <c r="E154" s="6"/>
      <c r="F154" s="6"/>
      <c r="G154" s="6" t="s">
        <v>1943</v>
      </c>
      <c r="H154" s="233" t="s">
        <v>1531</v>
      </c>
      <c r="I154" s="6"/>
      <c r="K154" s="121"/>
      <c r="L154" s="121"/>
      <c r="M154" s="228"/>
      <c r="N154" s="166"/>
      <c r="O154" s="7" t="s">
        <v>1832</v>
      </c>
      <c r="P154" s="166"/>
    </row>
    <row r="155" spans="1:16" s="7" customFormat="1" ht="14.4" hidden="1" customHeight="1">
      <c r="A155" s="2035">
        <v>45054</v>
      </c>
      <c r="B155" s="246" t="s">
        <v>1532</v>
      </c>
      <c r="C155" s="6">
        <v>56245999</v>
      </c>
      <c r="D155" s="6"/>
      <c r="E155" s="6"/>
      <c r="F155" s="6"/>
      <c r="G155" s="6" t="s">
        <v>1943</v>
      </c>
      <c r="H155" s="233" t="s">
        <v>1533</v>
      </c>
      <c r="I155" s="6"/>
      <c r="K155" s="121"/>
      <c r="L155" s="121"/>
      <c r="M155" s="228"/>
      <c r="N155" s="166"/>
      <c r="O155" s="7" t="s">
        <v>1832</v>
      </c>
      <c r="P155" s="166"/>
    </row>
    <row r="156" spans="1:16" s="7" customFormat="1" ht="14.4" hidden="1" customHeight="1">
      <c r="A156" s="2035">
        <v>45054</v>
      </c>
      <c r="B156" s="275" t="s">
        <v>1534</v>
      </c>
      <c r="C156" s="6">
        <v>14147905</v>
      </c>
      <c r="D156" s="6" t="s">
        <v>1753</v>
      </c>
      <c r="E156" s="6"/>
      <c r="F156" s="6"/>
      <c r="G156" s="6" t="s">
        <v>1946</v>
      </c>
      <c r="H156" s="233" t="s">
        <v>1535</v>
      </c>
      <c r="I156" s="6"/>
      <c r="K156" s="121"/>
      <c r="L156" s="121"/>
      <c r="M156" s="228"/>
      <c r="N156" s="166"/>
      <c r="P156" s="166"/>
    </row>
    <row r="157" spans="1:16" s="7" customFormat="1" ht="14.4" hidden="1" customHeight="1">
      <c r="A157" s="2035">
        <v>45054</v>
      </c>
      <c r="B157" s="242" t="s">
        <v>1543</v>
      </c>
      <c r="C157" s="6">
        <v>10688764</v>
      </c>
      <c r="D157" s="6"/>
      <c r="E157" s="6"/>
      <c r="F157" s="6"/>
      <c r="G157" s="6" t="s">
        <v>686</v>
      </c>
      <c r="H157" s="233" t="s">
        <v>1544</v>
      </c>
      <c r="I157" s="6"/>
      <c r="K157" s="121"/>
      <c r="L157" s="121"/>
      <c r="M157" s="228"/>
      <c r="N157" s="166"/>
      <c r="O157" s="7" t="s">
        <v>1820</v>
      </c>
      <c r="P157" s="166"/>
    </row>
    <row r="158" spans="1:16" s="7" customFormat="1" ht="14.4" hidden="1" customHeight="1">
      <c r="A158" s="2035">
        <v>45054</v>
      </c>
      <c r="B158" s="246" t="s">
        <v>1545</v>
      </c>
      <c r="C158" s="6">
        <v>12823840</v>
      </c>
      <c r="D158" s="6"/>
      <c r="E158" s="6"/>
      <c r="F158" s="6"/>
      <c r="G158" s="6" t="s">
        <v>1926</v>
      </c>
      <c r="H158" s="233" t="s">
        <v>1546</v>
      </c>
      <c r="I158" s="6"/>
      <c r="K158" s="236"/>
      <c r="L158" s="236"/>
      <c r="M158" s="228"/>
      <c r="N158" s="166"/>
      <c r="O158" s="7" t="s">
        <v>1772</v>
      </c>
      <c r="P158" s="166"/>
    </row>
    <row r="159" spans="1:16" s="7" customFormat="1" ht="14.4" hidden="1" customHeight="1">
      <c r="A159" s="2035">
        <v>45054</v>
      </c>
      <c r="B159" s="246" t="s">
        <v>1548</v>
      </c>
      <c r="C159" s="6" t="s">
        <v>1547</v>
      </c>
      <c r="D159" s="262" t="s">
        <v>1740</v>
      </c>
      <c r="E159" s="262"/>
      <c r="F159" s="262" t="s">
        <v>1341</v>
      </c>
      <c r="G159" s="401" t="s">
        <v>2719</v>
      </c>
      <c r="H159" s="233" t="s">
        <v>1549</v>
      </c>
      <c r="I159" s="6"/>
      <c r="K159" s="121"/>
      <c r="L159" s="121"/>
      <c r="M159" s="525" t="s">
        <v>3223</v>
      </c>
      <c r="N159" s="166"/>
      <c r="P159" s="166"/>
    </row>
    <row r="160" spans="1:16" s="7" customFormat="1" ht="14.4" hidden="1" customHeight="1">
      <c r="A160" s="2035">
        <v>45054</v>
      </c>
      <c r="B160" s="2388" t="s">
        <v>1572</v>
      </c>
      <c r="C160" s="6">
        <v>21838528</v>
      </c>
      <c r="D160" s="6"/>
      <c r="E160" s="6"/>
      <c r="F160" s="6"/>
      <c r="G160" s="6" t="s">
        <v>1925</v>
      </c>
      <c r="H160" s="233" t="s">
        <v>1550</v>
      </c>
      <c r="I160" s="6"/>
      <c r="K160" s="121"/>
      <c r="L160" s="121"/>
      <c r="M160" s="228"/>
      <c r="N160" s="166"/>
      <c r="O160" s="250" t="s">
        <v>1645</v>
      </c>
      <c r="P160" s="166"/>
    </row>
    <row r="161" spans="1:16" s="7" customFormat="1" ht="14.4" hidden="1" customHeight="1">
      <c r="A161" s="2035">
        <v>45054</v>
      </c>
      <c r="B161" s="417" t="s">
        <v>1555</v>
      </c>
      <c r="C161" s="6">
        <v>18290363</v>
      </c>
      <c r="D161" s="262" t="s">
        <v>1740</v>
      </c>
      <c r="E161" s="262"/>
      <c r="F161" s="262" t="s">
        <v>1341</v>
      </c>
      <c r="G161" s="6" t="s">
        <v>763</v>
      </c>
      <c r="H161" s="233" t="s">
        <v>1556</v>
      </c>
      <c r="I161" s="6"/>
      <c r="J161" s="412" t="s">
        <v>2791</v>
      </c>
      <c r="K161" s="121">
        <v>23</v>
      </c>
      <c r="L161" s="121"/>
      <c r="M161" s="228"/>
      <c r="N161" s="166"/>
      <c r="O161" s="7" t="s">
        <v>1856</v>
      </c>
      <c r="P161" s="166"/>
    </row>
    <row r="162" spans="1:16" s="7" customFormat="1" ht="14.4" hidden="1" customHeight="1">
      <c r="A162" s="2035">
        <v>45054</v>
      </c>
      <c r="B162" s="277" t="s">
        <v>1559</v>
      </c>
      <c r="C162" s="6">
        <v>52109350</v>
      </c>
      <c r="D162" s="262"/>
      <c r="E162" s="262"/>
      <c r="F162" s="262"/>
      <c r="G162" s="6" t="s">
        <v>1955</v>
      </c>
      <c r="H162" s="233" t="s">
        <v>1560</v>
      </c>
      <c r="I162" s="6"/>
      <c r="K162" s="121">
        <v>32</v>
      </c>
      <c r="L162" s="121"/>
      <c r="M162" s="228">
        <v>23</v>
      </c>
      <c r="N162" s="166"/>
      <c r="P162" s="166"/>
    </row>
    <row r="163" spans="1:16" s="7" customFormat="1" ht="14.4" hidden="1" customHeight="1">
      <c r="A163" s="2035">
        <v>45054</v>
      </c>
      <c r="B163" s="251" t="s">
        <v>1651</v>
      </c>
      <c r="C163" s="6"/>
      <c r="D163" s="6" t="s">
        <v>1563</v>
      </c>
      <c r="E163" s="6"/>
      <c r="F163" s="262" t="s">
        <v>1341</v>
      </c>
      <c r="G163" s="6" t="s">
        <v>1951</v>
      </c>
      <c r="H163" s="6" t="s">
        <v>1563</v>
      </c>
      <c r="I163" s="6"/>
      <c r="K163" s="121"/>
      <c r="L163" s="121"/>
      <c r="M163" s="228"/>
      <c r="N163" s="166"/>
      <c r="P163" s="166"/>
    </row>
    <row r="164" spans="1:16" s="7" customFormat="1" ht="14.4" hidden="1" customHeight="1">
      <c r="A164" s="2035">
        <v>45054</v>
      </c>
      <c r="B164" s="246" t="s">
        <v>1565</v>
      </c>
      <c r="C164" s="6">
        <v>76825160</v>
      </c>
      <c r="D164" s="404" t="s">
        <v>2710</v>
      </c>
      <c r="E164" s="404"/>
      <c r="F164" s="420" t="s">
        <v>2802</v>
      </c>
      <c r="G164" s="262" t="s">
        <v>1961</v>
      </c>
      <c r="H164" s="233" t="s">
        <v>1566</v>
      </c>
      <c r="I164" s="6"/>
      <c r="J164" s="3"/>
      <c r="K164" s="121"/>
      <c r="L164" s="121"/>
      <c r="M164" s="228"/>
      <c r="N164" s="166"/>
      <c r="P164" s="166"/>
    </row>
    <row r="165" spans="1:16" s="7" customFormat="1" ht="19.2" hidden="1" customHeight="1">
      <c r="A165" s="2035">
        <v>45054</v>
      </c>
      <c r="B165" s="182" t="s">
        <v>1664</v>
      </c>
      <c r="C165" s="6">
        <v>51039797</v>
      </c>
      <c r="D165" s="262" t="s">
        <v>1740</v>
      </c>
      <c r="E165" s="262"/>
      <c r="F165" s="262" t="s">
        <v>1341</v>
      </c>
      <c r="G165" s="6" t="s">
        <v>1006</v>
      </c>
      <c r="H165" s="233" t="s">
        <v>1567</v>
      </c>
      <c r="I165" s="6"/>
      <c r="K165" s="121"/>
      <c r="L165" s="121"/>
      <c r="M165" s="228"/>
      <c r="N165" s="166">
        <v>1</v>
      </c>
      <c r="P165" s="166"/>
    </row>
    <row r="166" spans="1:16" s="7" customFormat="1" ht="14.4" hidden="1" customHeight="1">
      <c r="A166" s="2035">
        <v>45054</v>
      </c>
      <c r="B166" s="606" t="s">
        <v>1627</v>
      </c>
      <c r="C166" s="6">
        <v>60556699</v>
      </c>
      <c r="D166" s="467" t="s">
        <v>2985</v>
      </c>
      <c r="E166" s="467"/>
      <c r="F166" s="606" t="s">
        <v>3407</v>
      </c>
      <c r="G166" s="290" t="s">
        <v>1009</v>
      </c>
      <c r="H166" s="246" t="s">
        <v>1628</v>
      </c>
      <c r="I166" s="6"/>
      <c r="J166" s="3"/>
      <c r="K166" s="121"/>
      <c r="L166" s="121"/>
      <c r="M166" s="228"/>
      <c r="N166" s="166"/>
      <c r="P166" s="166"/>
    </row>
    <row r="167" spans="1:16" s="7" customFormat="1" ht="14.4" hidden="1" customHeight="1">
      <c r="A167" s="2036">
        <v>45055</v>
      </c>
      <c r="B167" s="1067" t="s">
        <v>4476</v>
      </c>
      <c r="C167" s="989">
        <v>45356792</v>
      </c>
      <c r="D167" s="1067" t="s">
        <v>4738</v>
      </c>
      <c r="E167" s="85">
        <v>10</v>
      </c>
      <c r="F167" s="985" t="s">
        <v>2969</v>
      </c>
      <c r="G167" s="85" t="s">
        <v>1959</v>
      </c>
      <c r="H167" s="985" t="s">
        <v>2970</v>
      </c>
      <c r="I167" s="85"/>
      <c r="J167" s="7">
        <v>5</v>
      </c>
      <c r="K167" s="121"/>
      <c r="L167" s="121"/>
      <c r="M167" s="228"/>
      <c r="N167" s="166"/>
      <c r="P167" s="166"/>
    </row>
    <row r="168" spans="1:16" s="7" customFormat="1" ht="14.4" customHeight="1">
      <c r="A168" s="2036">
        <v>45055</v>
      </c>
      <c r="B168" s="1117" t="s">
        <v>1573</v>
      </c>
      <c r="C168" s="563" t="s">
        <v>2018</v>
      </c>
      <c r="D168" s="674"/>
      <c r="E168" s="3" t="s">
        <v>6443</v>
      </c>
      <c r="F168" s="1481" t="s">
        <v>6196</v>
      </c>
      <c r="G168" s="3" t="s">
        <v>1959</v>
      </c>
      <c r="H168" s="988" t="s">
        <v>2017</v>
      </c>
      <c r="I168" s="3">
        <f>22-15</f>
        <v>7</v>
      </c>
      <c r="J168" s="3" t="s">
        <v>6845</v>
      </c>
      <c r="K168" s="121"/>
      <c r="L168" s="121"/>
      <c r="M168" s="228">
        <v>26.75</v>
      </c>
      <c r="N168" s="166"/>
      <c r="P168" s="166"/>
    </row>
    <row r="169" spans="1:16" s="7" customFormat="1" ht="14.4" hidden="1" customHeight="1">
      <c r="A169" s="2036">
        <v>45055</v>
      </c>
      <c r="B169" s="781" t="s">
        <v>2343</v>
      </c>
      <c r="C169" s="6">
        <v>65016391</v>
      </c>
      <c r="D169" s="796" t="s">
        <v>4081</v>
      </c>
      <c r="E169" s="750"/>
      <c r="F169" s="6" t="s">
        <v>2755</v>
      </c>
      <c r="G169" s="6" t="s">
        <v>1959</v>
      </c>
      <c r="H169" s="294" t="s">
        <v>2016</v>
      </c>
      <c r="I169" s="6"/>
      <c r="K169" s="121">
        <v>22</v>
      </c>
      <c r="L169" s="121"/>
      <c r="M169" s="228">
        <v>27.35</v>
      </c>
      <c r="N169" s="166"/>
      <c r="P169" s="166"/>
    </row>
    <row r="170" spans="1:16" s="7" customFormat="1" ht="14.4" hidden="1" customHeight="1">
      <c r="A170" s="2037">
        <v>45056</v>
      </c>
      <c r="B170" s="246" t="s">
        <v>1574</v>
      </c>
      <c r="C170" s="6">
        <v>17237769</v>
      </c>
      <c r="D170" s="6"/>
      <c r="E170" s="6"/>
      <c r="F170" s="6"/>
      <c r="G170" s="6" t="s">
        <v>2019</v>
      </c>
      <c r="H170" s="242" t="s">
        <v>1575</v>
      </c>
      <c r="I170" s="6"/>
      <c r="K170" s="121"/>
      <c r="L170" s="121"/>
      <c r="M170" s="228">
        <f>28.25*3</f>
        <v>84.75</v>
      </c>
      <c r="N170" s="166"/>
      <c r="P170" s="166"/>
    </row>
    <row r="171" spans="1:16" s="7" customFormat="1" ht="14.4" hidden="1" customHeight="1">
      <c r="A171" s="2037">
        <v>45056</v>
      </c>
      <c r="B171" s="884" t="s">
        <v>1591</v>
      </c>
      <c r="C171" s="6">
        <v>74583640</v>
      </c>
      <c r="D171" s="262" t="s">
        <v>1740</v>
      </c>
      <c r="E171" s="262">
        <v>0</v>
      </c>
      <c r="F171" s="262" t="s">
        <v>1341</v>
      </c>
      <c r="G171" s="6" t="s">
        <v>1947</v>
      </c>
      <c r="H171" s="242" t="s">
        <v>1592</v>
      </c>
      <c r="I171" s="6"/>
      <c r="K171" s="121"/>
      <c r="L171" s="121"/>
      <c r="M171" s="264" t="s">
        <v>1793</v>
      </c>
      <c r="N171" s="166"/>
      <c r="P171" s="166"/>
    </row>
    <row r="172" spans="1:16" s="7" customFormat="1" ht="14.4" hidden="1" customHeight="1">
      <c r="A172" s="2037">
        <v>45056</v>
      </c>
      <c r="B172" s="884" t="s">
        <v>1597</v>
      </c>
      <c r="C172" s="6">
        <v>54496206</v>
      </c>
      <c r="D172" s="262" t="s">
        <v>1740</v>
      </c>
      <c r="E172" s="262">
        <v>0</v>
      </c>
      <c r="F172" s="262" t="s">
        <v>1341</v>
      </c>
      <c r="G172" s="6" t="s">
        <v>1947</v>
      </c>
      <c r="H172" s="242" t="s">
        <v>1598</v>
      </c>
      <c r="I172" s="6"/>
      <c r="K172" s="241" t="s">
        <v>1599</v>
      </c>
      <c r="L172" s="241"/>
      <c r="M172" s="228"/>
      <c r="N172" s="166"/>
      <c r="P172" s="166"/>
    </row>
    <row r="173" spans="1:16" s="7" customFormat="1" ht="14.4" hidden="1" customHeight="1">
      <c r="A173" s="2037">
        <v>45056</v>
      </c>
      <c r="B173" s="254" t="s">
        <v>1595</v>
      </c>
      <c r="C173" s="6">
        <v>85837563</v>
      </c>
      <c r="D173" s="262" t="s">
        <v>1740</v>
      </c>
      <c r="E173" s="262"/>
      <c r="F173" s="262" t="s">
        <v>1744</v>
      </c>
      <c r="G173" s="6" t="s">
        <v>1943</v>
      </c>
      <c r="H173" s="242" t="s">
        <v>1596</v>
      </c>
      <c r="I173" s="6"/>
      <c r="K173" s="121"/>
      <c r="L173" s="121"/>
      <c r="M173" s="228"/>
      <c r="N173" s="166"/>
      <c r="O173" s="7" t="s">
        <v>1832</v>
      </c>
      <c r="P173" s="166"/>
    </row>
    <row r="174" spans="1:16" s="7" customFormat="1" ht="14.4" hidden="1" customHeight="1">
      <c r="A174" s="2037">
        <v>45056</v>
      </c>
      <c r="B174" s="2388" t="s">
        <v>1602</v>
      </c>
      <c r="C174" s="6">
        <v>20256458</v>
      </c>
      <c r="D174" s="262" t="s">
        <v>1740</v>
      </c>
      <c r="E174" s="262"/>
      <c r="F174" s="262" t="s">
        <v>1341</v>
      </c>
      <c r="G174" s="6" t="s">
        <v>1925</v>
      </c>
      <c r="H174" s="242" t="s">
        <v>1603</v>
      </c>
      <c r="I174" s="6"/>
      <c r="K174" s="121"/>
      <c r="L174" s="121"/>
      <c r="M174" s="228"/>
      <c r="N174" s="166"/>
      <c r="O174" s="250" t="s">
        <v>1645</v>
      </c>
      <c r="P174" s="166"/>
    </row>
    <row r="175" spans="1:16" s="7" customFormat="1" ht="14.4" hidden="1" customHeight="1">
      <c r="A175" s="2037">
        <v>45056</v>
      </c>
      <c r="B175" s="1713" t="s">
        <v>1621</v>
      </c>
      <c r="C175" s="6">
        <v>22839851</v>
      </c>
      <c r="D175" s="6"/>
      <c r="E175" s="6"/>
      <c r="F175" s="6"/>
      <c r="G175" s="6" t="s">
        <v>1973</v>
      </c>
      <c r="H175" s="242" t="s">
        <v>1622</v>
      </c>
      <c r="I175" s="6"/>
      <c r="K175" s="121"/>
      <c r="L175" s="121"/>
      <c r="M175" s="228"/>
      <c r="N175" s="166"/>
      <c r="O175" s="7" t="s">
        <v>1908</v>
      </c>
      <c r="P175" s="166"/>
    </row>
    <row r="176" spans="1:16" s="7" customFormat="1" ht="14.4" hidden="1" customHeight="1">
      <c r="A176" s="2037">
        <v>45056</v>
      </c>
      <c r="B176" s="254" t="s">
        <v>1606</v>
      </c>
      <c r="C176" s="6">
        <v>17072617</v>
      </c>
      <c r="D176" s="6"/>
      <c r="E176" s="6"/>
      <c r="F176" s="6"/>
      <c r="G176" s="6" t="s">
        <v>1926</v>
      </c>
      <c r="H176" s="242" t="s">
        <v>1607</v>
      </c>
      <c r="I176" s="6"/>
      <c r="K176" s="121"/>
      <c r="L176" s="121"/>
      <c r="M176" s="228"/>
      <c r="N176" s="166"/>
      <c r="O176" s="7" t="s">
        <v>1877</v>
      </c>
      <c r="P176" s="166"/>
    </row>
    <row r="177" spans="1:16" s="7" customFormat="1" ht="14.4" hidden="1" customHeight="1">
      <c r="A177" s="2037">
        <v>45056</v>
      </c>
      <c r="B177" s="558" t="s">
        <v>1608</v>
      </c>
      <c r="C177" s="6">
        <v>79027757</v>
      </c>
      <c r="D177" s="311" t="s">
        <v>2094</v>
      </c>
      <c r="E177" s="311"/>
      <c r="F177" s="521" t="s">
        <v>3173</v>
      </c>
      <c r="G177" s="6" t="s">
        <v>1922</v>
      </c>
      <c r="H177" s="242" t="s">
        <v>1609</v>
      </c>
      <c r="I177" s="6"/>
      <c r="K177" s="121"/>
      <c r="L177" s="121"/>
      <c r="M177" s="228"/>
      <c r="N177" s="642">
        <v>2</v>
      </c>
      <c r="O177" s="7" t="s">
        <v>3503</v>
      </c>
      <c r="P177" s="166"/>
    </row>
    <row r="178" spans="1:16" s="7" customFormat="1" ht="14.4" hidden="1" customHeight="1">
      <c r="A178" s="2037">
        <v>45056</v>
      </c>
      <c r="B178" s="262" t="s">
        <v>1610</v>
      </c>
      <c r="C178" s="6">
        <v>12133758</v>
      </c>
      <c r="D178" s="6" t="s">
        <v>4370</v>
      </c>
      <c r="E178" s="6" t="s">
        <v>6847</v>
      </c>
      <c r="F178" s="1481" t="s">
        <v>6196</v>
      </c>
      <c r="G178" s="403" t="s">
        <v>2719</v>
      </c>
      <c r="H178" s="1636" t="s">
        <v>6853</v>
      </c>
      <c r="I178" s="6"/>
      <c r="J178" s="7" t="s">
        <v>6973</v>
      </c>
      <c r="K178" s="121"/>
      <c r="L178" s="121"/>
      <c r="M178" s="228"/>
      <c r="N178" s="166"/>
      <c r="P178" s="166"/>
    </row>
    <row r="179" spans="1:16" s="7" customFormat="1" ht="14.4" hidden="1" customHeight="1">
      <c r="A179" s="2037">
        <v>45056</v>
      </c>
      <c r="B179" s="266" t="s">
        <v>1615</v>
      </c>
      <c r="C179" s="6">
        <v>87456700</v>
      </c>
      <c r="D179" s="6"/>
      <c r="E179" s="6"/>
      <c r="F179" s="6"/>
      <c r="G179" s="6" t="s">
        <v>1957</v>
      </c>
      <c r="H179" s="242" t="s">
        <v>1616</v>
      </c>
      <c r="I179" s="6"/>
      <c r="K179" s="241"/>
      <c r="L179" s="241"/>
      <c r="M179" s="228"/>
      <c r="N179" s="166"/>
      <c r="P179" s="166"/>
    </row>
    <row r="180" spans="1:16" s="7" customFormat="1" ht="14.4" hidden="1" customHeight="1">
      <c r="A180" s="2037">
        <v>45056</v>
      </c>
      <c r="B180" s="714" t="s">
        <v>1617</v>
      </c>
      <c r="C180" s="6">
        <v>85451230</v>
      </c>
      <c r="D180" s="6" t="s">
        <v>3663</v>
      </c>
      <c r="E180" s="6"/>
      <c r="F180" s="6" t="s">
        <v>2755</v>
      </c>
      <c r="G180" s="6" t="s">
        <v>1922</v>
      </c>
      <c r="H180" s="242" t="s">
        <v>1618</v>
      </c>
      <c r="I180" s="6"/>
      <c r="K180" s="241"/>
      <c r="L180" s="241"/>
      <c r="M180" s="228"/>
      <c r="N180" s="67">
        <v>2</v>
      </c>
      <c r="O180" s="7" t="s">
        <v>3836</v>
      </c>
      <c r="P180" s="166"/>
    </row>
    <row r="181" spans="1:16" s="7" customFormat="1" ht="14.4" hidden="1" customHeight="1">
      <c r="A181" s="2037">
        <v>45056</v>
      </c>
      <c r="B181" s="558" t="s">
        <v>1619</v>
      </c>
      <c r="C181" s="6">
        <v>37404420</v>
      </c>
      <c r="D181" s="6" t="s">
        <v>2094</v>
      </c>
      <c r="E181" s="6"/>
      <c r="F181" s="521" t="s">
        <v>3173</v>
      </c>
      <c r="G181" s="6" t="s">
        <v>1922</v>
      </c>
      <c r="H181" s="242" t="s">
        <v>1620</v>
      </c>
      <c r="I181" s="6"/>
      <c r="K181" s="241"/>
      <c r="L181" s="241"/>
      <c r="M181" s="228"/>
      <c r="N181" s="642">
        <v>2</v>
      </c>
      <c r="O181" s="7" t="s">
        <v>3503</v>
      </c>
      <c r="P181" s="166"/>
    </row>
    <row r="182" spans="1:16" s="7" customFormat="1" ht="14.4" hidden="1" customHeight="1">
      <c r="A182" s="2037">
        <v>45056</v>
      </c>
      <c r="B182" s="300" t="s">
        <v>1786</v>
      </c>
      <c r="C182" s="6">
        <v>23351970</v>
      </c>
      <c r="D182" s="6"/>
      <c r="E182" s="6"/>
      <c r="F182" s="6"/>
      <c r="G182" s="6" t="s">
        <v>1962</v>
      </c>
      <c r="H182" s="266" t="s">
        <v>1787</v>
      </c>
      <c r="I182" s="6"/>
      <c r="K182" s="241"/>
      <c r="L182" s="241"/>
      <c r="M182" s="228"/>
      <c r="N182" s="166"/>
      <c r="O182" s="7" t="s">
        <v>2114</v>
      </c>
      <c r="P182" s="166"/>
    </row>
    <row r="183" spans="1:16" s="7" customFormat="1" ht="14.4" hidden="1" customHeight="1">
      <c r="A183" s="2038">
        <v>45056</v>
      </c>
      <c r="B183" s="796" t="s">
        <v>3302</v>
      </c>
      <c r="C183" s="6">
        <v>57814082</v>
      </c>
      <c r="D183" s="6" t="s">
        <v>4081</v>
      </c>
      <c r="E183" s="6"/>
      <c r="F183" s="6" t="s">
        <v>2755</v>
      </c>
      <c r="G183" s="6" t="s">
        <v>1922</v>
      </c>
      <c r="H183" s="558" t="s">
        <v>3303</v>
      </c>
      <c r="I183" s="6"/>
      <c r="K183" s="241"/>
      <c r="L183" s="241"/>
      <c r="M183" s="245">
        <f>88200+12400</f>
        <v>100600</v>
      </c>
      <c r="N183" s="166"/>
      <c r="P183" s="166"/>
    </row>
    <row r="184" spans="1:16" s="7" customFormat="1" ht="14.4" hidden="1" customHeight="1">
      <c r="A184" s="2039">
        <v>45057</v>
      </c>
      <c r="B184" s="262" t="s">
        <v>1770</v>
      </c>
      <c r="C184" s="6">
        <v>71646036</v>
      </c>
      <c r="D184" s="6"/>
      <c r="E184" s="6"/>
      <c r="F184" s="6"/>
      <c r="G184" s="6" t="s">
        <v>1943</v>
      </c>
      <c r="H184" s="246" t="s">
        <v>1631</v>
      </c>
      <c r="I184" s="6"/>
      <c r="K184" s="241"/>
      <c r="L184" s="241"/>
      <c r="M184" s="244"/>
      <c r="N184" s="166"/>
      <c r="O184" s="7" t="s">
        <v>2050</v>
      </c>
      <c r="P184" s="166"/>
    </row>
    <row r="185" spans="1:16" s="7" customFormat="1" ht="14.4" hidden="1" customHeight="1">
      <c r="A185" s="2039">
        <v>45057</v>
      </c>
      <c r="B185" s="254" t="s">
        <v>1683</v>
      </c>
      <c r="C185" s="6">
        <v>50198954</v>
      </c>
      <c r="D185" s="6"/>
      <c r="E185" s="6"/>
      <c r="F185" s="6"/>
      <c r="G185" s="6" t="s">
        <v>1952</v>
      </c>
      <c r="H185" s="246" t="s">
        <v>1632</v>
      </c>
      <c r="I185" s="6"/>
      <c r="K185" s="241"/>
      <c r="L185" s="241"/>
      <c r="M185" s="244"/>
      <c r="N185" s="166"/>
      <c r="O185" s="7" t="s">
        <v>2050</v>
      </c>
      <c r="P185" s="166"/>
    </row>
    <row r="186" spans="1:16" s="7" customFormat="1" ht="14.4" hidden="1" customHeight="1">
      <c r="A186" s="2039">
        <v>45057</v>
      </c>
      <c r="B186" s="714" t="s">
        <v>1633</v>
      </c>
      <c r="C186" s="6">
        <v>21771394</v>
      </c>
      <c r="D186" s="6" t="s">
        <v>3663</v>
      </c>
      <c r="E186" s="6"/>
      <c r="F186" s="6" t="s">
        <v>2755</v>
      </c>
      <c r="G186" s="6" t="s">
        <v>1963</v>
      </c>
      <c r="H186" s="646" t="s">
        <v>1634</v>
      </c>
      <c r="I186" s="6"/>
      <c r="K186" s="241">
        <v>2</v>
      </c>
      <c r="L186" s="241"/>
      <c r="M186" s="815" t="s">
        <v>4142</v>
      </c>
      <c r="N186" s="166"/>
      <c r="P186" s="166"/>
    </row>
    <row r="187" spans="1:16" s="7" customFormat="1" ht="14.4" hidden="1" customHeight="1">
      <c r="A187" s="2039">
        <v>45057</v>
      </c>
      <c r="B187" s="257" t="s">
        <v>1611</v>
      </c>
      <c r="C187" s="6">
        <v>28317231</v>
      </c>
      <c r="D187" s="6"/>
      <c r="E187" s="6"/>
      <c r="F187" s="242" t="s">
        <v>1612</v>
      </c>
      <c r="G187" s="305" t="s">
        <v>1199</v>
      </c>
      <c r="H187" s="246" t="s">
        <v>1637</v>
      </c>
      <c r="I187" s="6"/>
      <c r="K187" s="241"/>
      <c r="L187" s="241"/>
      <c r="M187" s="244"/>
      <c r="N187" s="372"/>
      <c r="O187" s="7" t="s">
        <v>2050</v>
      </c>
      <c r="P187" s="166"/>
    </row>
    <row r="188" spans="1:16" s="7" customFormat="1" ht="14.4" hidden="1" customHeight="1">
      <c r="A188" s="2039">
        <v>45057</v>
      </c>
      <c r="B188" s="668" t="s">
        <v>1802</v>
      </c>
      <c r="C188" s="6" t="s">
        <v>1636</v>
      </c>
      <c r="D188" s="6"/>
      <c r="E188" s="6"/>
      <c r="F188" s="6"/>
      <c r="G188" s="6" t="s">
        <v>1964</v>
      </c>
      <c r="H188" s="246" t="s">
        <v>1635</v>
      </c>
      <c r="I188" s="6"/>
      <c r="K188" s="241"/>
      <c r="L188" s="241"/>
      <c r="M188" s="666" t="s">
        <v>3558</v>
      </c>
      <c r="N188" s="166">
        <v>2</v>
      </c>
      <c r="P188" s="166"/>
    </row>
    <row r="189" spans="1:16" s="7" customFormat="1" ht="14.4" hidden="1" customHeight="1">
      <c r="A189" s="2039">
        <v>45057</v>
      </c>
      <c r="B189" s="1720" t="s">
        <v>1638</v>
      </c>
      <c r="C189" s="6">
        <v>48460023</v>
      </c>
      <c r="D189" s="262" t="s">
        <v>1740</v>
      </c>
      <c r="E189" s="262"/>
      <c r="F189" s="262" t="s">
        <v>1341</v>
      </c>
      <c r="G189" s="262" t="s">
        <v>1965</v>
      </c>
      <c r="H189" s="246" t="s">
        <v>1639</v>
      </c>
      <c r="I189" s="6"/>
      <c r="K189" s="241"/>
      <c r="L189" s="241"/>
      <c r="M189" s="244"/>
      <c r="N189" s="166"/>
      <c r="P189" s="166"/>
    </row>
    <row r="190" spans="1:16" s="7" customFormat="1" ht="14.4" hidden="1" customHeight="1">
      <c r="A190" s="2039">
        <v>45057</v>
      </c>
      <c r="B190" s="266" t="s">
        <v>1698</v>
      </c>
      <c r="C190" s="6">
        <v>43649418</v>
      </c>
      <c r="D190" s="6"/>
      <c r="E190" s="6"/>
      <c r="F190" s="6"/>
      <c r="G190" s="6" t="s">
        <v>1965</v>
      </c>
      <c r="H190" s="257" t="s">
        <v>1699</v>
      </c>
      <c r="I190" s="6"/>
      <c r="K190" s="241"/>
      <c r="L190" s="241"/>
      <c r="M190" s="244"/>
      <c r="N190" s="166"/>
      <c r="P190" s="166"/>
    </row>
    <row r="191" spans="1:16" s="7" customFormat="1" ht="14.4" hidden="1" customHeight="1">
      <c r="A191" s="2040">
        <v>45058</v>
      </c>
      <c r="B191" s="251" t="s">
        <v>1644</v>
      </c>
      <c r="C191" s="6">
        <v>24337396</v>
      </c>
      <c r="D191" s="6"/>
      <c r="E191" s="6"/>
      <c r="F191" s="6"/>
      <c r="G191" s="6" t="s">
        <v>1953</v>
      </c>
      <c r="H191" s="251" t="s">
        <v>1646</v>
      </c>
      <c r="I191" s="6"/>
      <c r="K191" s="326" t="s">
        <v>628</v>
      </c>
      <c r="L191" s="326"/>
      <c r="M191" s="244"/>
      <c r="N191" s="166"/>
      <c r="P191" s="166"/>
    </row>
    <row r="192" spans="1:16" s="7" customFormat="1" ht="14.4" hidden="1" customHeight="1">
      <c r="A192" s="2040">
        <v>45058</v>
      </c>
      <c r="B192" s="257" t="s">
        <v>1680</v>
      </c>
      <c r="C192" s="6">
        <v>50936046</v>
      </c>
      <c r="D192" s="262" t="s">
        <v>1740</v>
      </c>
      <c r="E192" s="262"/>
      <c r="F192" s="262" t="s">
        <v>1341</v>
      </c>
      <c r="G192" s="6" t="s">
        <v>686</v>
      </c>
      <c r="H192" s="251" t="s">
        <v>1647</v>
      </c>
      <c r="I192" s="6"/>
      <c r="K192" s="241"/>
      <c r="L192" s="241"/>
      <c r="M192" s="244"/>
      <c r="N192" s="166"/>
      <c r="O192" s="7" t="s">
        <v>2090</v>
      </c>
      <c r="P192" s="166"/>
    </row>
    <row r="193" spans="1:16" s="7" customFormat="1" ht="14.4" hidden="1" customHeight="1">
      <c r="A193" s="2041">
        <v>45058</v>
      </c>
      <c r="B193" s="558" t="s">
        <v>1648</v>
      </c>
      <c r="C193" s="242">
        <v>58809582</v>
      </c>
      <c r="D193" s="6" t="s">
        <v>2094</v>
      </c>
      <c r="E193" s="6"/>
      <c r="F193" s="6" t="s">
        <v>1975</v>
      </c>
      <c r="G193" s="6" t="s">
        <v>1922</v>
      </c>
      <c r="H193" s="251" t="s">
        <v>1649</v>
      </c>
      <c r="I193" s="6"/>
      <c r="K193" s="241"/>
      <c r="L193" s="241"/>
      <c r="M193" s="244"/>
      <c r="N193" s="642">
        <v>2</v>
      </c>
      <c r="O193" s="7" t="s">
        <v>3503</v>
      </c>
      <c r="P193" s="166"/>
    </row>
    <row r="194" spans="1:16" s="7" customFormat="1" ht="21.6" hidden="1" customHeight="1">
      <c r="A194" s="2040">
        <v>45058</v>
      </c>
      <c r="B194" s="252" t="s">
        <v>1652</v>
      </c>
      <c r="C194" s="6">
        <v>68640308</v>
      </c>
      <c r="D194" s="6"/>
      <c r="E194" s="6"/>
      <c r="F194" s="6"/>
      <c r="G194" s="403" t="s">
        <v>2284</v>
      </c>
      <c r="H194" s="251" t="s">
        <v>1653</v>
      </c>
      <c r="I194" s="6"/>
      <c r="K194" s="241"/>
      <c r="L194" s="241"/>
      <c r="M194" s="244"/>
      <c r="N194" s="166"/>
      <c r="P194" s="166"/>
    </row>
    <row r="195" spans="1:16" s="7" customFormat="1" ht="14.4" hidden="1" customHeight="1">
      <c r="A195" s="2040">
        <v>45058</v>
      </c>
      <c r="B195" s="251" t="s">
        <v>1654</v>
      </c>
      <c r="C195" s="6">
        <v>98927127</v>
      </c>
      <c r="D195" s="6"/>
      <c r="E195" s="6"/>
      <c r="F195" s="6"/>
      <c r="G195" s="6" t="s">
        <v>2019</v>
      </c>
      <c r="H195" s="251" t="s">
        <v>1655</v>
      </c>
      <c r="I195" s="6"/>
      <c r="K195" s="241"/>
      <c r="L195" s="241"/>
      <c r="M195" s="244"/>
      <c r="N195" s="166"/>
      <c r="P195" s="166"/>
    </row>
    <row r="196" spans="1:16" s="7" customFormat="1" ht="14.4" hidden="1" customHeight="1">
      <c r="A196" s="2040">
        <v>45058</v>
      </c>
      <c r="B196" s="796" t="s">
        <v>1657</v>
      </c>
      <c r="C196" s="6">
        <v>66356377</v>
      </c>
      <c r="D196" s="6" t="s">
        <v>4081</v>
      </c>
      <c r="E196" s="6"/>
      <c r="F196" s="6" t="s">
        <v>2755</v>
      </c>
      <c r="G196" s="6" t="s">
        <v>1922</v>
      </c>
      <c r="H196" s="251" t="s">
        <v>1658</v>
      </c>
      <c r="I196" s="6"/>
      <c r="K196" s="325" t="s">
        <v>628</v>
      </c>
      <c r="L196" s="325"/>
      <c r="M196" s="244"/>
      <c r="N196" s="166"/>
      <c r="P196" s="166"/>
    </row>
    <row r="197" spans="1:16" s="7" customFormat="1" ht="14.4" hidden="1" customHeight="1">
      <c r="A197" s="2040">
        <v>45058</v>
      </c>
      <c r="B197" s="266" t="s">
        <v>1660</v>
      </c>
      <c r="C197" s="6">
        <v>82530709</v>
      </c>
      <c r="D197" s="6"/>
      <c r="E197" s="6"/>
      <c r="F197" s="6"/>
      <c r="G197" s="6" t="s">
        <v>1923</v>
      </c>
      <c r="H197" s="251" t="s">
        <v>1661</v>
      </c>
      <c r="I197" s="6"/>
      <c r="K197" s="326" t="s">
        <v>628</v>
      </c>
      <c r="L197" s="326"/>
      <c r="M197" s="244"/>
      <c r="N197" s="166"/>
      <c r="O197" s="7" t="s">
        <v>2325</v>
      </c>
      <c r="P197" s="166"/>
    </row>
    <row r="198" spans="1:16" s="7" customFormat="1" ht="14.4" hidden="1" customHeight="1">
      <c r="A198" s="2040">
        <v>45058</v>
      </c>
      <c r="B198" s="257" t="s">
        <v>1662</v>
      </c>
      <c r="C198" s="6">
        <v>67733603</v>
      </c>
      <c r="D198" s="6"/>
      <c r="E198" s="6"/>
      <c r="F198" s="6"/>
      <c r="G198" s="6" t="s">
        <v>1954</v>
      </c>
      <c r="H198" s="251" t="s">
        <v>1663</v>
      </c>
      <c r="I198" s="6"/>
      <c r="K198" s="241"/>
      <c r="L198" s="241"/>
      <c r="M198" s="244"/>
      <c r="N198" s="166"/>
      <c r="P198" s="166"/>
    </row>
    <row r="199" spans="1:16" s="7" customFormat="1" ht="14.4" hidden="1" customHeight="1">
      <c r="A199" s="2040">
        <v>45058</v>
      </c>
      <c r="B199" s="257" t="s">
        <v>1665</v>
      </c>
      <c r="C199" s="6">
        <v>52219413</v>
      </c>
      <c r="D199" s="262" t="s">
        <v>1740</v>
      </c>
      <c r="E199" s="262"/>
      <c r="F199" s="262" t="s">
        <v>1341</v>
      </c>
      <c r="G199" s="6" t="s">
        <v>686</v>
      </c>
      <c r="H199" s="251" t="s">
        <v>1666</v>
      </c>
      <c r="I199" s="6"/>
      <c r="K199" s="241"/>
      <c r="L199" s="241"/>
      <c r="M199" s="244"/>
      <c r="N199" s="166"/>
      <c r="O199" s="7" t="s">
        <v>1820</v>
      </c>
      <c r="P199" s="166"/>
    </row>
    <row r="200" spans="1:16" s="7" customFormat="1" ht="14.4" hidden="1" customHeight="1">
      <c r="A200" s="2040">
        <v>45058</v>
      </c>
      <c r="B200" s="884" t="s">
        <v>2020</v>
      </c>
      <c r="C200" s="6">
        <v>38478539</v>
      </c>
      <c r="D200" s="750" t="s">
        <v>3800</v>
      </c>
      <c r="E200" s="888">
        <v>1</v>
      </c>
      <c r="F200" s="6" t="s">
        <v>2755</v>
      </c>
      <c r="G200" s="6" t="s">
        <v>2012</v>
      </c>
      <c r="H200" s="251" t="s">
        <v>1667</v>
      </c>
      <c r="I200" s="251"/>
      <c r="J200" s="250"/>
      <c r="K200" s="250" t="s">
        <v>1670</v>
      </c>
      <c r="L200" s="250"/>
      <c r="M200" s="244"/>
      <c r="N200" s="166"/>
      <c r="P200" s="166"/>
    </row>
    <row r="201" spans="1:16" s="7" customFormat="1" ht="14.4" hidden="1" customHeight="1">
      <c r="A201" s="2040">
        <v>45058</v>
      </c>
      <c r="B201" s="673" t="s">
        <v>1671</v>
      </c>
      <c r="C201" s="6">
        <v>54664003</v>
      </c>
      <c r="D201" s="6" t="s">
        <v>3570</v>
      </c>
      <c r="E201" s="6"/>
      <c r="F201" s="645" t="s">
        <v>3528</v>
      </c>
      <c r="G201" s="6" t="s">
        <v>1922</v>
      </c>
      <c r="H201" s="558" t="s">
        <v>3301</v>
      </c>
      <c r="I201" s="6"/>
      <c r="K201" s="241"/>
      <c r="L201" s="241"/>
      <c r="M201" s="244"/>
      <c r="N201" s="67">
        <v>2</v>
      </c>
      <c r="O201" s="7" t="s">
        <v>3836</v>
      </c>
      <c r="P201" s="166"/>
    </row>
    <row r="202" spans="1:16" s="7" customFormat="1" ht="14.4" hidden="1" customHeight="1">
      <c r="A202" s="2040">
        <v>45058</v>
      </c>
      <c r="B202" s="311" t="s">
        <v>1771</v>
      </c>
      <c r="C202" s="6">
        <v>24668628</v>
      </c>
      <c r="D202" s="6"/>
      <c r="E202" s="6"/>
      <c r="F202" s="6"/>
      <c r="G202" s="6" t="s">
        <v>1956</v>
      </c>
      <c r="H202" s="251" t="s">
        <v>1672</v>
      </c>
      <c r="I202" s="6"/>
      <c r="K202" s="241"/>
      <c r="L202" s="241"/>
      <c r="M202" s="244"/>
      <c r="N202" s="166"/>
      <c r="P202" s="166"/>
    </row>
    <row r="203" spans="1:16" s="7" customFormat="1" ht="14.4" hidden="1" customHeight="1">
      <c r="A203" s="2042">
        <v>45059</v>
      </c>
      <c r="B203" s="378" t="s">
        <v>2139</v>
      </c>
      <c r="C203" s="6">
        <v>65745950</v>
      </c>
      <c r="D203" s="6"/>
      <c r="E203" s="6"/>
      <c r="F203" s="6"/>
      <c r="G203" s="6" t="s">
        <v>2019</v>
      </c>
      <c r="H203" s="253" t="s">
        <v>1676</v>
      </c>
      <c r="I203" s="6"/>
      <c r="K203" s="241"/>
      <c r="L203" s="241"/>
      <c r="M203" s="244"/>
      <c r="N203" s="166"/>
      <c r="P203" s="166"/>
    </row>
    <row r="204" spans="1:16" s="7" customFormat="1" ht="14.4" hidden="1" customHeight="1">
      <c r="A204" s="2042">
        <v>45059</v>
      </c>
      <c r="B204" s="257" t="s">
        <v>1677</v>
      </c>
      <c r="C204" s="6">
        <v>43623021</v>
      </c>
      <c r="D204" s="262" t="s">
        <v>1740</v>
      </c>
      <c r="E204" s="262"/>
      <c r="F204" s="262" t="s">
        <v>1341</v>
      </c>
      <c r="G204" s="6" t="s">
        <v>1957</v>
      </c>
      <c r="H204" s="253" t="s">
        <v>1678</v>
      </c>
      <c r="I204" s="6"/>
      <c r="K204" s="241"/>
      <c r="L204" s="241"/>
      <c r="M204" s="244"/>
      <c r="N204" s="166"/>
      <c r="P204" s="166"/>
    </row>
    <row r="205" spans="1:16" s="7" customFormat="1" ht="14.4" hidden="1" customHeight="1">
      <c r="A205" s="2042">
        <v>45059</v>
      </c>
      <c r="B205" s="266" t="s">
        <v>1696</v>
      </c>
      <c r="C205" s="6">
        <v>30411495</v>
      </c>
      <c r="D205" s="6"/>
      <c r="E205" s="6"/>
      <c r="F205" s="6"/>
      <c r="G205" s="6" t="s">
        <v>1959</v>
      </c>
      <c r="H205" s="253" t="s">
        <v>1679</v>
      </c>
      <c r="I205" s="6"/>
      <c r="K205" s="241"/>
      <c r="L205" s="241"/>
      <c r="M205" s="244"/>
      <c r="N205" s="166">
        <v>1</v>
      </c>
      <c r="P205" s="166"/>
    </row>
    <row r="206" spans="1:16" s="7" customFormat="1" hidden="1">
      <c r="A206" s="2042">
        <v>45059</v>
      </c>
      <c r="B206" s="257" t="s">
        <v>1681</v>
      </c>
      <c r="C206" s="6"/>
      <c r="D206" s="6"/>
      <c r="E206" s="6"/>
      <c r="F206" s="6"/>
      <c r="G206" s="6" t="s">
        <v>1948</v>
      </c>
      <c r="H206" s="254" t="s">
        <v>1682</v>
      </c>
      <c r="I206" s="6"/>
      <c r="K206" s="241"/>
      <c r="L206" s="241"/>
      <c r="M206" s="244"/>
      <c r="N206" s="166"/>
      <c r="O206" s="7" t="s">
        <v>2050</v>
      </c>
      <c r="P206" s="166"/>
    </row>
    <row r="207" spans="1:16" s="7" customFormat="1" hidden="1">
      <c r="A207" s="2042">
        <v>45059</v>
      </c>
      <c r="B207" s="270" t="s">
        <v>1684</v>
      </c>
      <c r="C207" s="6">
        <v>10198061</v>
      </c>
      <c r="D207" s="6"/>
      <c r="E207" s="6"/>
      <c r="F207" s="6"/>
      <c r="G207" s="6" t="s">
        <v>1926</v>
      </c>
      <c r="H207" s="253" t="s">
        <v>1685</v>
      </c>
      <c r="I207" s="6"/>
      <c r="K207" s="241"/>
      <c r="L207" s="241"/>
      <c r="M207" s="244"/>
      <c r="N207" s="166"/>
      <c r="O207" s="7" t="s">
        <v>1908</v>
      </c>
      <c r="P207" s="166"/>
    </row>
    <row r="208" spans="1:16" s="7" customFormat="1" ht="28.8" hidden="1">
      <c r="A208" s="2042">
        <v>45059</v>
      </c>
      <c r="B208" s="2389" t="s">
        <v>1902</v>
      </c>
      <c r="C208" s="6"/>
      <c r="D208" s="6"/>
      <c r="E208" s="6"/>
      <c r="F208" s="6"/>
      <c r="G208" s="6" t="s">
        <v>2000</v>
      </c>
      <c r="H208" s="253" t="s">
        <v>1686</v>
      </c>
      <c r="I208" s="6"/>
      <c r="K208" s="241"/>
      <c r="L208" s="241"/>
      <c r="M208" s="244"/>
      <c r="N208" s="166"/>
      <c r="O208" s="7" t="s">
        <v>2537</v>
      </c>
      <c r="P208" s="166"/>
    </row>
    <row r="209" spans="1:16" s="7" customFormat="1" ht="14.4" hidden="1" customHeight="1">
      <c r="A209" s="2043">
        <v>45060</v>
      </c>
      <c r="B209" s="781" t="s">
        <v>2093</v>
      </c>
      <c r="C209" s="6">
        <v>52202536</v>
      </c>
      <c r="D209" s="750" t="s">
        <v>3800</v>
      </c>
      <c r="E209" s="750"/>
      <c r="F209" s="6" t="s">
        <v>2755</v>
      </c>
      <c r="G209" s="6" t="s">
        <v>1959</v>
      </c>
      <c r="H209" s="295" t="s">
        <v>1690</v>
      </c>
      <c r="I209" s="6"/>
      <c r="K209" s="241"/>
      <c r="L209" s="241"/>
      <c r="M209" s="244"/>
      <c r="N209" s="166">
        <f>5000*11430</f>
        <v>57150000</v>
      </c>
      <c r="P209" s="166"/>
    </row>
    <row r="210" spans="1:16" s="7" customFormat="1" ht="14.4" hidden="1" customHeight="1">
      <c r="A210" s="2044">
        <v>45060</v>
      </c>
      <c r="B210" s="368" t="s">
        <v>1691</v>
      </c>
      <c r="C210" s="6">
        <v>96678506</v>
      </c>
      <c r="D210" s="6" t="s">
        <v>2094</v>
      </c>
      <c r="E210" s="6"/>
      <c r="F210" s="6" t="s">
        <v>1975</v>
      </c>
      <c r="G210" s="6" t="s">
        <v>1956</v>
      </c>
      <c r="H210" s="257" t="s">
        <v>1692</v>
      </c>
      <c r="I210" s="6"/>
      <c r="K210" s="353">
        <v>31</v>
      </c>
      <c r="L210" s="353"/>
      <c r="M210" s="244"/>
      <c r="N210" s="166"/>
      <c r="P210" s="166"/>
    </row>
    <row r="211" spans="1:16" s="7" customFormat="1" ht="14.4" hidden="1" customHeight="1">
      <c r="A211" s="2044">
        <v>45061</v>
      </c>
      <c r="B211" s="870" t="s">
        <v>3837</v>
      </c>
      <c r="C211" s="6" t="s">
        <v>3838</v>
      </c>
      <c r="D211" s="877" t="s">
        <v>4370</v>
      </c>
      <c r="E211" s="750"/>
      <c r="F211" s="6" t="s">
        <v>2755</v>
      </c>
      <c r="G211" s="6" t="s">
        <v>1959</v>
      </c>
      <c r="H211" s="257" t="s">
        <v>1697</v>
      </c>
      <c r="I211" s="6"/>
      <c r="K211" s="241"/>
      <c r="L211" s="241"/>
      <c r="M211" s="244"/>
      <c r="N211" s="166"/>
      <c r="P211" s="166"/>
    </row>
    <row r="212" spans="1:16" s="7" customFormat="1" ht="14.4" hidden="1" customHeight="1">
      <c r="A212" s="2044">
        <v>45061</v>
      </c>
      <c r="B212" s="266" t="s">
        <v>1701</v>
      </c>
      <c r="C212" s="6">
        <v>58346091</v>
      </c>
      <c r="D212" s="6"/>
      <c r="E212" s="6"/>
      <c r="F212" s="6"/>
      <c r="G212" s="6" t="s">
        <v>1199</v>
      </c>
      <c r="H212" s="257" t="s">
        <v>1700</v>
      </c>
      <c r="I212" s="6"/>
      <c r="K212" s="324" t="s">
        <v>628</v>
      </c>
      <c r="L212" s="324"/>
      <c r="M212" s="244"/>
      <c r="N212" s="166"/>
      <c r="O212" s="7" t="s">
        <v>2244</v>
      </c>
      <c r="P212" s="166"/>
    </row>
    <row r="213" spans="1:16" s="7" customFormat="1" ht="14.4" hidden="1" customHeight="1">
      <c r="A213" s="2044">
        <v>45092</v>
      </c>
      <c r="B213" s="266" t="s">
        <v>1780</v>
      </c>
      <c r="C213" s="6">
        <v>20610723</v>
      </c>
      <c r="D213" s="6"/>
      <c r="E213" s="6"/>
      <c r="F213" s="6"/>
      <c r="G213" s="6" t="s">
        <v>1955</v>
      </c>
      <c r="H213" s="257" t="s">
        <v>1702</v>
      </c>
      <c r="I213" s="6"/>
      <c r="K213" s="255" t="s">
        <v>1715</v>
      </c>
      <c r="L213" s="255"/>
      <c r="M213" s="244"/>
      <c r="N213" s="166"/>
      <c r="P213" s="166"/>
    </row>
    <row r="214" spans="1:16" s="7" customFormat="1" ht="14.4" hidden="1" customHeight="1">
      <c r="A214" s="2044">
        <v>45092</v>
      </c>
      <c r="B214" s="378" t="s">
        <v>1998</v>
      </c>
      <c r="C214" s="6">
        <v>45988414</v>
      </c>
      <c r="D214" s="6" t="s">
        <v>1776</v>
      </c>
      <c r="E214" s="6"/>
      <c r="F214" s="6" t="s">
        <v>1975</v>
      </c>
      <c r="G214" s="6" t="s">
        <v>1943</v>
      </c>
      <c r="H214" s="257" t="s">
        <v>1716</v>
      </c>
      <c r="I214" s="6"/>
      <c r="K214" s="241">
        <v>27.5</v>
      </c>
      <c r="L214" s="241"/>
      <c r="M214" s="244"/>
      <c r="N214" s="166"/>
      <c r="O214" s="7" t="s">
        <v>2414</v>
      </c>
      <c r="P214" s="166"/>
    </row>
    <row r="215" spans="1:16" s="7" customFormat="1" ht="14.4" hidden="1" customHeight="1">
      <c r="A215" s="2044">
        <v>45092</v>
      </c>
      <c r="B215" s="294" t="s">
        <v>1717</v>
      </c>
      <c r="C215" s="6">
        <v>49091040</v>
      </c>
      <c r="D215" s="6"/>
      <c r="E215" s="6"/>
      <c r="F215" s="6"/>
      <c r="G215" s="6" t="s">
        <v>1926</v>
      </c>
      <c r="H215" s="257" t="s">
        <v>1718</v>
      </c>
      <c r="I215" s="6"/>
      <c r="K215" s="241"/>
      <c r="L215" s="241"/>
      <c r="M215" s="244"/>
      <c r="N215" s="166"/>
      <c r="O215" s="7" t="s">
        <v>1908</v>
      </c>
      <c r="P215" s="166"/>
    </row>
    <row r="216" spans="1:16" s="7" customFormat="1" ht="14.4" hidden="1" customHeight="1">
      <c r="A216" s="2044">
        <v>45092</v>
      </c>
      <c r="B216" s="1720" t="s">
        <v>1731</v>
      </c>
      <c r="C216" s="6">
        <v>92138207</v>
      </c>
      <c r="D216" s="6">
        <v>619146160</v>
      </c>
      <c r="E216" s="6"/>
      <c r="F216" s="6"/>
      <c r="G216" s="6" t="s">
        <v>1923</v>
      </c>
      <c r="H216" s="257" t="s">
        <v>1732</v>
      </c>
      <c r="I216" s="6"/>
      <c r="K216" s="241"/>
      <c r="L216" s="241"/>
      <c r="M216" s="244"/>
      <c r="N216" s="166"/>
      <c r="O216" s="7" t="s">
        <v>1908</v>
      </c>
      <c r="P216" s="166"/>
    </row>
    <row r="217" spans="1:16" s="7" customFormat="1" ht="14.4" hidden="1" customHeight="1">
      <c r="A217" s="2045">
        <v>45062</v>
      </c>
      <c r="B217" s="606" t="s">
        <v>1739</v>
      </c>
      <c r="C217" s="6">
        <v>95732316</v>
      </c>
      <c r="D217" s="6" t="s">
        <v>3002</v>
      </c>
      <c r="E217" s="6"/>
      <c r="F217" s="6" t="s">
        <v>3407</v>
      </c>
      <c r="G217" s="6" t="s">
        <v>1933</v>
      </c>
      <c r="H217" s="262" t="s">
        <v>1741</v>
      </c>
      <c r="I217" s="6"/>
      <c r="K217" s="241"/>
      <c r="L217" s="241"/>
      <c r="M217" s="244"/>
      <c r="N217" s="166"/>
      <c r="P217" s="166"/>
    </row>
    <row r="218" spans="1:16" s="7" customFormat="1" ht="14.4" hidden="1" customHeight="1">
      <c r="A218" s="2045">
        <v>45062</v>
      </c>
      <c r="B218" s="765" t="s">
        <v>1745</v>
      </c>
      <c r="C218" s="6">
        <v>92466322</v>
      </c>
      <c r="D218" s="760" t="s">
        <v>3836</v>
      </c>
      <c r="E218" s="760"/>
      <c r="F218" s="760" t="s">
        <v>3571</v>
      </c>
      <c r="G218" s="6" t="s">
        <v>1933</v>
      </c>
      <c r="H218" s="262" t="s">
        <v>1746</v>
      </c>
      <c r="I218" s="6"/>
      <c r="K218" s="241"/>
      <c r="L218" s="241"/>
      <c r="M218" s="244"/>
      <c r="N218" s="166"/>
      <c r="P218" s="166"/>
    </row>
    <row r="219" spans="1:16" s="7" customFormat="1" ht="14.4" hidden="1" customHeight="1">
      <c r="A219" s="2045">
        <v>45062</v>
      </c>
      <c r="B219" s="953" t="s">
        <v>1750</v>
      </c>
      <c r="C219" s="3">
        <v>27606617</v>
      </c>
      <c r="D219" s="3" t="s">
        <v>3845</v>
      </c>
      <c r="E219" s="3">
        <v>10</v>
      </c>
      <c r="F219" s="3" t="s">
        <v>3845</v>
      </c>
      <c r="G219" s="3" t="s">
        <v>1959</v>
      </c>
      <c r="H219" s="612" t="s">
        <v>1751</v>
      </c>
      <c r="I219" s="3"/>
      <c r="K219" s="1071" t="s">
        <v>4747</v>
      </c>
      <c r="L219" s="241"/>
      <c r="M219" s="244"/>
      <c r="N219" s="166"/>
      <c r="P219" s="166"/>
    </row>
    <row r="220" spans="1:16" s="7" customFormat="1" ht="14.4" hidden="1" customHeight="1">
      <c r="A220" s="2045">
        <v>45062</v>
      </c>
      <c r="B220" s="765" t="s">
        <v>1774</v>
      </c>
      <c r="C220" s="6">
        <v>36384791</v>
      </c>
      <c r="D220" s="6" t="s">
        <v>3836</v>
      </c>
      <c r="E220" s="6"/>
      <c r="F220" s="6" t="s">
        <v>3571</v>
      </c>
      <c r="G220" s="6" t="s">
        <v>1933</v>
      </c>
      <c r="H220" s="645" t="s">
        <v>3541</v>
      </c>
      <c r="I220" s="6"/>
      <c r="K220" s="241"/>
      <c r="L220" s="241"/>
      <c r="M220" s="244"/>
      <c r="N220" s="166"/>
      <c r="P220" s="166"/>
    </row>
    <row r="221" spans="1:16" s="7" customFormat="1" ht="14.4" hidden="1" customHeight="1">
      <c r="A221" s="2045">
        <v>45062</v>
      </c>
      <c r="B221" s="262" t="s">
        <v>1767</v>
      </c>
      <c r="C221" s="6">
        <v>51880906</v>
      </c>
      <c r="D221" s="6"/>
      <c r="E221" s="6"/>
      <c r="F221" s="6"/>
      <c r="G221" s="6" t="s">
        <v>1958</v>
      </c>
      <c r="H221" s="262" t="s">
        <v>1768</v>
      </c>
      <c r="I221" s="6"/>
      <c r="K221" s="241"/>
      <c r="L221" s="241"/>
      <c r="M221" s="244"/>
      <c r="N221" s="166"/>
      <c r="P221" s="166"/>
    </row>
    <row r="222" spans="1:16" s="7" customFormat="1" ht="14.4" hidden="1" customHeight="1">
      <c r="A222" s="2046">
        <v>45063</v>
      </c>
      <c r="B222" s="294" t="s">
        <v>1855</v>
      </c>
      <c r="C222" s="6">
        <v>79414424</v>
      </c>
      <c r="D222" s="6"/>
      <c r="E222" s="6"/>
      <c r="F222" s="6"/>
      <c r="G222" s="6" t="s">
        <v>1996</v>
      </c>
      <c r="H222" s="266" t="s">
        <v>1775</v>
      </c>
      <c r="I222" s="6"/>
      <c r="K222" s="241"/>
      <c r="L222" s="241"/>
      <c r="M222" s="244"/>
      <c r="N222" s="166"/>
      <c r="P222" s="166"/>
    </row>
    <row r="223" spans="1:16" s="7" customFormat="1" ht="14.4" customHeight="1">
      <c r="A223" s="2046">
        <v>45063</v>
      </c>
      <c r="B223" s="953" t="s">
        <v>1773</v>
      </c>
      <c r="C223" s="3">
        <v>14848487</v>
      </c>
      <c r="D223" s="611" t="s">
        <v>2971</v>
      </c>
      <c r="E223" s="3" t="s">
        <v>6443</v>
      </c>
      <c r="F223" s="1481" t="s">
        <v>6196</v>
      </c>
      <c r="G223" s="3" t="s">
        <v>1959</v>
      </c>
      <c r="H223" s="1482" t="s">
        <v>6197</v>
      </c>
      <c r="I223" s="3">
        <v>22</v>
      </c>
      <c r="J223" s="3" t="s">
        <v>6972</v>
      </c>
      <c r="K223" s="241"/>
      <c r="L223" s="241"/>
      <c r="M223" s="244"/>
      <c r="N223" s="166"/>
      <c r="P223" s="166"/>
    </row>
    <row r="224" spans="1:16" s="7" customFormat="1" ht="14.4" hidden="1" customHeight="1">
      <c r="A224" s="2046">
        <v>45063</v>
      </c>
      <c r="B224" s="309" t="s">
        <v>2087</v>
      </c>
      <c r="C224" s="6"/>
      <c r="D224" s="6"/>
      <c r="E224" s="6"/>
      <c r="F224" s="6"/>
      <c r="G224" s="6" t="s">
        <v>686</v>
      </c>
      <c r="H224" s="266" t="s">
        <v>1777</v>
      </c>
      <c r="I224" s="6"/>
      <c r="K224" s="241"/>
      <c r="L224" s="241"/>
      <c r="M224" s="244"/>
      <c r="N224" s="166"/>
      <c r="O224" s="7" t="s">
        <v>2090</v>
      </c>
      <c r="P224" s="166"/>
    </row>
    <row r="225" spans="1:16" s="7" customFormat="1" ht="14.4" hidden="1" customHeight="1">
      <c r="A225" s="2046">
        <v>45063</v>
      </c>
      <c r="B225" s="300" t="s">
        <v>1778</v>
      </c>
      <c r="C225" s="6">
        <v>36473390</v>
      </c>
      <c r="D225" s="6"/>
      <c r="E225" s="6"/>
      <c r="F225" s="6"/>
      <c r="G225" s="6" t="s">
        <v>1923</v>
      </c>
      <c r="H225" s="266" t="s">
        <v>1779</v>
      </c>
      <c r="I225" s="6"/>
      <c r="K225" s="241"/>
      <c r="L225" s="241"/>
      <c r="M225" s="244"/>
      <c r="N225" s="166"/>
      <c r="O225" s="7" t="s">
        <v>2114</v>
      </c>
      <c r="P225" s="166"/>
    </row>
    <row r="226" spans="1:16" s="7" customFormat="1" ht="13.8" hidden="1" customHeight="1">
      <c r="A226" s="2046">
        <v>45063</v>
      </c>
      <c r="B226" s="294" t="s">
        <v>1781</v>
      </c>
      <c r="C226" s="6">
        <v>67650164</v>
      </c>
      <c r="D226" s="6"/>
      <c r="E226" s="6"/>
      <c r="F226" s="6"/>
      <c r="G226" s="6" t="s">
        <v>2019</v>
      </c>
      <c r="H226" s="266" t="s">
        <v>1782</v>
      </c>
      <c r="I226" s="6"/>
      <c r="K226" s="241"/>
      <c r="L226" s="241"/>
      <c r="M226" s="244"/>
      <c r="N226" s="166"/>
      <c r="P226" s="166"/>
    </row>
    <row r="227" spans="1:16" s="7" customFormat="1" ht="14.4" hidden="1" customHeight="1">
      <c r="A227" s="2046">
        <v>45063</v>
      </c>
      <c r="B227" s="266" t="s">
        <v>1789</v>
      </c>
      <c r="C227" s="6"/>
      <c r="D227" s="6"/>
      <c r="E227" s="6"/>
      <c r="F227" s="6"/>
      <c r="G227" s="6" t="s">
        <v>1996</v>
      </c>
      <c r="H227" s="266" t="s">
        <v>1790</v>
      </c>
      <c r="I227" s="6"/>
      <c r="K227" s="241"/>
      <c r="L227" s="241"/>
      <c r="M227" s="244"/>
      <c r="N227" s="166"/>
      <c r="P227" s="166"/>
    </row>
    <row r="228" spans="1:16" s="7" customFormat="1" ht="14.4" hidden="1" customHeight="1">
      <c r="A228" s="2047">
        <v>45064</v>
      </c>
      <c r="B228" s="270" t="s">
        <v>1818</v>
      </c>
      <c r="C228" s="6">
        <v>30180059</v>
      </c>
      <c r="D228" s="6"/>
      <c r="E228" s="6"/>
      <c r="F228" s="6"/>
      <c r="G228" s="6" t="s">
        <v>1955</v>
      </c>
      <c r="H228" s="270" t="s">
        <v>1821</v>
      </c>
      <c r="I228" s="6"/>
      <c r="K228" s="241">
        <v>27</v>
      </c>
      <c r="L228" s="241"/>
      <c r="M228" s="244"/>
      <c r="N228" s="166"/>
      <c r="P228" s="166"/>
    </row>
    <row r="229" spans="1:16" s="7" customFormat="1" ht="14.4" hidden="1" customHeight="1">
      <c r="A229" s="2047">
        <v>45064</v>
      </c>
      <c r="B229" s="294" t="s">
        <v>1824</v>
      </c>
      <c r="C229" s="6">
        <v>91478324</v>
      </c>
      <c r="D229" s="6"/>
      <c r="E229" s="6"/>
      <c r="F229" s="6"/>
      <c r="G229" s="6" t="s">
        <v>1926</v>
      </c>
      <c r="H229" s="270" t="s">
        <v>1825</v>
      </c>
      <c r="I229" s="6"/>
      <c r="K229" s="241"/>
      <c r="L229" s="241"/>
      <c r="M229" s="244"/>
      <c r="N229" s="166"/>
      <c r="O229" s="7" t="s">
        <v>2132</v>
      </c>
      <c r="P229" s="166"/>
    </row>
    <row r="230" spans="1:16" s="7" customFormat="1" ht="14.4" hidden="1" customHeight="1">
      <c r="A230" s="2047">
        <v>45064</v>
      </c>
      <c r="B230" s="2388" t="s">
        <v>2011</v>
      </c>
      <c r="C230" s="6"/>
      <c r="D230" s="6"/>
      <c r="E230" s="6"/>
      <c r="F230" s="6"/>
      <c r="G230" s="6" t="s">
        <v>1925</v>
      </c>
      <c r="H230" s="270" t="s">
        <v>1826</v>
      </c>
      <c r="I230" s="6"/>
      <c r="K230" s="241"/>
      <c r="L230" s="241"/>
      <c r="M230" s="244"/>
      <c r="N230" s="166"/>
      <c r="O230" s="7" t="s">
        <v>2537</v>
      </c>
      <c r="P230" s="166"/>
    </row>
    <row r="231" spans="1:16" s="7" customFormat="1" ht="14.4" hidden="1" customHeight="1">
      <c r="A231" s="2048">
        <v>45065</v>
      </c>
      <c r="B231" s="294" t="s">
        <v>1858</v>
      </c>
      <c r="C231" s="6">
        <v>15846882</v>
      </c>
      <c r="D231" s="6"/>
      <c r="E231" s="6"/>
      <c r="F231" s="6"/>
      <c r="G231" s="6" t="s">
        <v>1941</v>
      </c>
      <c r="H231" s="275" t="s">
        <v>1833</v>
      </c>
      <c r="I231" s="6"/>
      <c r="K231" s="241"/>
      <c r="L231" s="241"/>
      <c r="M231" s="244"/>
      <c r="N231" s="166"/>
      <c r="P231" s="166"/>
    </row>
    <row r="232" spans="1:16" s="7" customFormat="1" ht="14.4" hidden="1" customHeight="1">
      <c r="A232" s="2048">
        <v>45065</v>
      </c>
      <c r="B232" s="714" t="s">
        <v>1830</v>
      </c>
      <c r="C232" s="6">
        <v>38682088</v>
      </c>
      <c r="D232" s="6" t="s">
        <v>3663</v>
      </c>
      <c r="E232" s="6"/>
      <c r="F232" s="6" t="s">
        <v>2755</v>
      </c>
      <c r="G232" s="6" t="s">
        <v>1933</v>
      </c>
      <c r="H232" s="275" t="s">
        <v>1834</v>
      </c>
      <c r="I232" s="6"/>
      <c r="K232" s="241"/>
      <c r="L232" s="241"/>
      <c r="M232" s="244"/>
      <c r="N232" s="166"/>
      <c r="P232" s="166"/>
    </row>
    <row r="233" spans="1:16" s="7" customFormat="1" ht="14.4" hidden="1" customHeight="1">
      <c r="A233" s="2048">
        <v>45065</v>
      </c>
      <c r="B233" s="294" t="s">
        <v>1835</v>
      </c>
      <c r="C233" s="6">
        <v>84629784</v>
      </c>
      <c r="D233" s="6"/>
      <c r="E233" s="6"/>
      <c r="F233" s="6"/>
      <c r="G233" s="6" t="s">
        <v>1943</v>
      </c>
      <c r="H233" s="295" t="s">
        <v>1909</v>
      </c>
      <c r="I233" s="6"/>
      <c r="K233" s="241"/>
      <c r="L233" s="241"/>
      <c r="M233" s="276">
        <f>45*1400</f>
        <v>63000</v>
      </c>
      <c r="N233" s="166"/>
      <c r="O233" s="7" t="s">
        <v>2414</v>
      </c>
      <c r="P233" s="166"/>
    </row>
    <row r="234" spans="1:16" s="7" customFormat="1" ht="14.4" hidden="1" customHeight="1">
      <c r="A234" s="2048">
        <v>45065</v>
      </c>
      <c r="B234" s="294" t="s">
        <v>1836</v>
      </c>
      <c r="C234" s="6">
        <v>59369524</v>
      </c>
      <c r="D234" s="6"/>
      <c r="E234" s="6"/>
      <c r="F234" s="6"/>
      <c r="G234" s="6" t="s">
        <v>1932</v>
      </c>
      <c r="H234" s="275" t="s">
        <v>1837</v>
      </c>
      <c r="I234" s="6"/>
      <c r="K234" s="241"/>
      <c r="L234" s="241"/>
      <c r="M234" s="244"/>
      <c r="N234" s="166"/>
      <c r="P234" s="166"/>
    </row>
    <row r="235" spans="1:16" s="7" customFormat="1" ht="14.4" hidden="1" customHeight="1">
      <c r="A235" s="2048">
        <v>45065</v>
      </c>
      <c r="B235" s="332" t="s">
        <v>1838</v>
      </c>
      <c r="C235" s="6">
        <v>14101987</v>
      </c>
      <c r="D235" s="6"/>
      <c r="E235" s="6"/>
      <c r="F235" s="6"/>
      <c r="G235" s="6" t="s">
        <v>1932</v>
      </c>
      <c r="H235" s="332" t="s">
        <v>2303</v>
      </c>
      <c r="I235" s="6"/>
      <c r="K235" s="241"/>
      <c r="L235" s="241"/>
      <c r="M235" s="244"/>
      <c r="N235" s="166"/>
      <c r="P235" s="166"/>
    </row>
    <row r="236" spans="1:16" s="7" customFormat="1" ht="14.4" hidden="1" customHeight="1">
      <c r="A236" s="2048">
        <v>45065</v>
      </c>
      <c r="B236" s="294" t="s">
        <v>1839</v>
      </c>
      <c r="C236" s="6">
        <v>12345678</v>
      </c>
      <c r="D236" s="6"/>
      <c r="E236" s="6"/>
      <c r="F236" s="6"/>
      <c r="G236" s="6" t="s">
        <v>1932</v>
      </c>
      <c r="H236" s="275" t="s">
        <v>1840</v>
      </c>
      <c r="I236" s="6"/>
      <c r="K236" s="241"/>
      <c r="L236" s="241"/>
      <c r="M236" s="244"/>
      <c r="N236" s="166"/>
      <c r="P236" s="166"/>
    </row>
    <row r="237" spans="1:16" s="7" customFormat="1" ht="14.4" hidden="1" customHeight="1">
      <c r="A237" s="2048">
        <v>45065</v>
      </c>
      <c r="B237" s="294" t="s">
        <v>1841</v>
      </c>
      <c r="C237" s="6">
        <v>42882667</v>
      </c>
      <c r="D237" s="6"/>
      <c r="E237" s="6"/>
      <c r="F237" s="6"/>
      <c r="G237" s="6" t="s">
        <v>1932</v>
      </c>
      <c r="H237" s="275" t="s">
        <v>1837</v>
      </c>
      <c r="I237" s="6"/>
      <c r="K237" s="241"/>
      <c r="L237" s="241"/>
      <c r="M237" s="244"/>
      <c r="N237" s="166"/>
      <c r="P237" s="166"/>
    </row>
    <row r="238" spans="1:16" s="7" customFormat="1" ht="14.4" hidden="1" customHeight="1">
      <c r="A238" s="2048">
        <v>45065</v>
      </c>
      <c r="B238" s="275" t="s">
        <v>1842</v>
      </c>
      <c r="C238" s="6">
        <v>48339428</v>
      </c>
      <c r="D238" s="6"/>
      <c r="E238" s="6"/>
      <c r="F238" s="6"/>
      <c r="G238" s="6" t="s">
        <v>1955</v>
      </c>
      <c r="H238" s="275" t="s">
        <v>1843</v>
      </c>
      <c r="I238" s="6"/>
      <c r="K238" s="241">
        <v>25</v>
      </c>
      <c r="L238" s="241"/>
      <c r="M238" s="244"/>
      <c r="N238" s="166"/>
      <c r="O238" s="7" t="s">
        <v>1908</v>
      </c>
      <c r="P238" s="166"/>
    </row>
    <row r="239" spans="1:16" s="7" customFormat="1" ht="14.4" hidden="1" customHeight="1">
      <c r="A239" s="2048">
        <v>45065</v>
      </c>
      <c r="B239" s="404" t="s">
        <v>1844</v>
      </c>
      <c r="C239" s="6">
        <v>20071965</v>
      </c>
      <c r="D239" s="6" t="s">
        <v>2710</v>
      </c>
      <c r="E239" s="6"/>
      <c r="F239" s="6"/>
      <c r="G239" s="6" t="s">
        <v>1966</v>
      </c>
      <c r="H239" s="275" t="s">
        <v>1854</v>
      </c>
      <c r="I239" s="6"/>
      <c r="K239" s="241"/>
      <c r="L239" s="241"/>
      <c r="M239" s="244"/>
      <c r="N239" s="166"/>
      <c r="P239" s="166"/>
    </row>
    <row r="240" spans="1:16" s="7" customFormat="1" ht="14.4" hidden="1" customHeight="1">
      <c r="A240" s="2048">
        <v>45065</v>
      </c>
      <c r="B240" s="294" t="s">
        <v>1847</v>
      </c>
      <c r="C240" s="6">
        <v>97203357</v>
      </c>
      <c r="D240" s="6"/>
      <c r="E240" s="6"/>
      <c r="F240" s="6"/>
      <c r="G240" s="403" t="s">
        <v>2284</v>
      </c>
      <c r="H240" s="275" t="s">
        <v>1848</v>
      </c>
      <c r="I240" s="6"/>
      <c r="K240" s="241"/>
      <c r="L240" s="241"/>
      <c r="M240" s="244"/>
      <c r="N240" s="166"/>
      <c r="O240" s="7" t="s">
        <v>2074</v>
      </c>
      <c r="P240" s="166"/>
    </row>
    <row r="241" spans="1:16" s="7" customFormat="1" ht="14.4" hidden="1" customHeight="1">
      <c r="A241" s="2048">
        <v>45065</v>
      </c>
      <c r="B241" s="275" t="s">
        <v>1849</v>
      </c>
      <c r="C241" s="6">
        <v>91432213</v>
      </c>
      <c r="D241" s="6"/>
      <c r="E241" s="6"/>
      <c r="F241" s="6"/>
      <c r="G241" s="6" t="s">
        <v>1967</v>
      </c>
      <c r="H241" s="275" t="s">
        <v>1853</v>
      </c>
      <c r="I241" s="6"/>
      <c r="K241" s="241"/>
      <c r="L241" s="241"/>
      <c r="M241" s="244"/>
      <c r="N241" s="166"/>
      <c r="O241" s="7" t="s">
        <v>2156</v>
      </c>
      <c r="P241" s="166"/>
    </row>
    <row r="242" spans="1:16" s="7" customFormat="1" ht="14.4" hidden="1" customHeight="1">
      <c r="A242" s="2048">
        <v>45065</v>
      </c>
      <c r="B242" s="275" t="s">
        <v>1819</v>
      </c>
      <c r="C242" s="6">
        <v>49755672</v>
      </c>
      <c r="D242" s="6"/>
      <c r="E242" s="6"/>
      <c r="F242" s="6"/>
      <c r="G242" s="6" t="s">
        <v>1942</v>
      </c>
      <c r="H242" s="275" t="s">
        <v>1850</v>
      </c>
      <c r="I242" s="6"/>
      <c r="K242" s="241"/>
      <c r="L242" s="241"/>
      <c r="M242" s="244"/>
      <c r="N242" s="166"/>
      <c r="P242" s="166"/>
    </row>
    <row r="243" spans="1:16" s="7" customFormat="1" ht="14.4" hidden="1" customHeight="1">
      <c r="A243" s="2048">
        <v>45065</v>
      </c>
      <c r="B243" s="275" t="s">
        <v>1851</v>
      </c>
      <c r="C243" s="6">
        <v>75519136</v>
      </c>
      <c r="D243" s="6"/>
      <c r="E243" s="6"/>
      <c r="F243" s="6"/>
      <c r="G243" s="6" t="s">
        <v>2061</v>
      </c>
      <c r="H243" s="275" t="s">
        <v>1852</v>
      </c>
      <c r="I243" s="6"/>
      <c r="K243" s="241">
        <v>6.5</v>
      </c>
      <c r="L243" s="241"/>
      <c r="M243" s="244"/>
      <c r="N243" s="166"/>
      <c r="P243" s="166"/>
    </row>
    <row r="244" spans="1:16" s="7" customFormat="1" ht="14.4" hidden="1" customHeight="1">
      <c r="A244" s="2049">
        <v>45066</v>
      </c>
      <c r="B244" s="277" t="s">
        <v>1791</v>
      </c>
      <c r="C244" s="6">
        <v>75552198</v>
      </c>
      <c r="D244" s="6"/>
      <c r="E244" s="6"/>
      <c r="F244" s="6"/>
      <c r="G244" s="6" t="s">
        <v>1955</v>
      </c>
      <c r="H244" s="266" t="s">
        <v>1792</v>
      </c>
      <c r="I244" s="6"/>
      <c r="K244" s="241">
        <v>27</v>
      </c>
      <c r="L244" s="241"/>
      <c r="M244" s="244"/>
      <c r="N244" s="166"/>
      <c r="P244" s="166"/>
    </row>
    <row r="245" spans="1:16" s="7" customFormat="1" ht="14.4" hidden="1" customHeight="1">
      <c r="A245" s="2049">
        <v>45066</v>
      </c>
      <c r="B245" s="363" t="s">
        <v>1859</v>
      </c>
      <c r="C245" s="6">
        <v>18902346</v>
      </c>
      <c r="D245" s="6" t="s">
        <v>2094</v>
      </c>
      <c r="E245" s="6"/>
      <c r="F245" s="6" t="s">
        <v>2084</v>
      </c>
      <c r="G245" s="6" t="s">
        <v>1926</v>
      </c>
      <c r="H245" s="277" t="s">
        <v>1860</v>
      </c>
      <c r="I245" s="6"/>
      <c r="K245" s="241"/>
      <c r="L245" s="241"/>
      <c r="M245" s="244"/>
      <c r="N245" s="166"/>
      <c r="P245" s="166"/>
    </row>
    <row r="246" spans="1:16" s="7" customFormat="1" ht="14.4" hidden="1" customHeight="1">
      <c r="A246" s="2049">
        <v>45066</v>
      </c>
      <c r="B246" s="294" t="s">
        <v>1861</v>
      </c>
      <c r="C246" s="6">
        <v>88888888</v>
      </c>
      <c r="D246" s="6"/>
      <c r="E246" s="6"/>
      <c r="F246" s="6"/>
      <c r="G246" s="6" t="s">
        <v>2076</v>
      </c>
      <c r="H246" s="277" t="s">
        <v>1862</v>
      </c>
      <c r="I246" s="6"/>
      <c r="K246" s="241">
        <v>23</v>
      </c>
      <c r="L246" s="241"/>
      <c r="M246" s="244"/>
      <c r="N246" s="373"/>
      <c r="P246" s="166"/>
    </row>
    <row r="247" spans="1:16" s="7" customFormat="1" ht="14.4" hidden="1" customHeight="1">
      <c r="A247" s="2050">
        <v>45067</v>
      </c>
      <c r="B247" s="294" t="s">
        <v>1868</v>
      </c>
      <c r="C247" s="6">
        <v>937170315</v>
      </c>
      <c r="D247" s="6"/>
      <c r="E247" s="6"/>
      <c r="F247" s="6"/>
      <c r="G247" s="6" t="s">
        <v>1968</v>
      </c>
      <c r="H247" s="280" t="s">
        <v>1869</v>
      </c>
      <c r="I247" s="6"/>
      <c r="K247" s="241"/>
      <c r="L247" s="241"/>
      <c r="M247" s="244"/>
      <c r="N247" s="166"/>
      <c r="P247" s="166"/>
    </row>
    <row r="248" spans="1:16" s="7" customFormat="1" ht="14.4" hidden="1" customHeight="1">
      <c r="A248" s="2050">
        <v>45067</v>
      </c>
      <c r="B248" s="591" t="s">
        <v>3368</v>
      </c>
      <c r="C248" s="6"/>
      <c r="D248" s="6"/>
      <c r="E248" s="6"/>
      <c r="F248" s="6"/>
      <c r="G248" s="6" t="s">
        <v>1973</v>
      </c>
      <c r="H248" s="280" t="s">
        <v>1867</v>
      </c>
      <c r="I248" s="6"/>
      <c r="K248" s="241"/>
      <c r="L248" s="241"/>
      <c r="M248" s="244"/>
      <c r="N248" s="166">
        <v>2</v>
      </c>
      <c r="O248" s="7" t="s">
        <v>4128</v>
      </c>
      <c r="P248" s="166"/>
    </row>
    <row r="249" spans="1:16" s="7" customFormat="1" ht="14.4" hidden="1" customHeight="1">
      <c r="A249" s="2050">
        <v>45067</v>
      </c>
      <c r="B249" s="328" t="s">
        <v>1865</v>
      </c>
      <c r="C249" s="6">
        <v>53473969</v>
      </c>
      <c r="D249" s="6"/>
      <c r="E249" s="6"/>
      <c r="F249" s="6"/>
      <c r="G249" s="6" t="s">
        <v>2071</v>
      </c>
      <c r="H249" s="280" t="s">
        <v>1866</v>
      </c>
      <c r="I249" s="6"/>
      <c r="K249" s="241">
        <v>32</v>
      </c>
      <c r="L249" s="241"/>
      <c r="M249" s="244"/>
      <c r="N249" s="166"/>
      <c r="O249" s="7" t="s">
        <v>2050</v>
      </c>
      <c r="P249" s="166"/>
    </row>
    <row r="250" spans="1:16" s="7" customFormat="1" ht="14.4" hidden="1" customHeight="1">
      <c r="A250" s="2050">
        <v>45068</v>
      </c>
      <c r="B250" s="294" t="s">
        <v>1876</v>
      </c>
      <c r="C250" s="6">
        <v>45287986</v>
      </c>
      <c r="D250" s="6"/>
      <c r="E250" s="6"/>
      <c r="F250" s="6"/>
      <c r="G250" s="6" t="s">
        <v>1931</v>
      </c>
      <c r="H250" s="280" t="s">
        <v>1878</v>
      </c>
      <c r="I250" s="6"/>
      <c r="K250" s="241"/>
      <c r="L250" s="241"/>
      <c r="M250" s="244"/>
      <c r="N250" s="166">
        <v>1</v>
      </c>
      <c r="P250" s="166"/>
    </row>
    <row r="251" spans="1:16" s="7" customFormat="1" ht="14.4" hidden="1" customHeight="1">
      <c r="A251" s="2050">
        <v>45068</v>
      </c>
      <c r="B251" s="796" t="s">
        <v>1879</v>
      </c>
      <c r="C251" s="6">
        <v>54092179</v>
      </c>
      <c r="D251" s="6" t="s">
        <v>4081</v>
      </c>
      <c r="E251" s="6"/>
      <c r="F251" s="6" t="s">
        <v>2755</v>
      </c>
      <c r="G251" s="6" t="s">
        <v>1922</v>
      </c>
      <c r="H251" s="280" t="s">
        <v>1880</v>
      </c>
      <c r="I251" s="6"/>
      <c r="K251" s="241"/>
      <c r="L251" s="241"/>
      <c r="M251" s="244"/>
      <c r="N251" s="166">
        <v>2</v>
      </c>
      <c r="P251" s="166"/>
    </row>
    <row r="252" spans="1:16" s="7" customFormat="1" ht="14.4" hidden="1" customHeight="1">
      <c r="A252" s="2050">
        <v>45068</v>
      </c>
      <c r="B252" s="728" t="s">
        <v>1884</v>
      </c>
      <c r="C252" s="6">
        <v>81468635</v>
      </c>
      <c r="D252" s="6" t="s">
        <v>3663</v>
      </c>
      <c r="E252" s="6"/>
      <c r="F252" s="6" t="s">
        <v>2755</v>
      </c>
      <c r="G252" s="6" t="s">
        <v>1922</v>
      </c>
      <c r="H252" s="280" t="s">
        <v>1885</v>
      </c>
      <c r="I252" s="6"/>
      <c r="K252" s="241"/>
      <c r="L252" s="241"/>
      <c r="M252" s="244"/>
      <c r="N252" s="67">
        <v>2</v>
      </c>
      <c r="O252" s="7" t="s">
        <v>3836</v>
      </c>
      <c r="P252" s="166"/>
    </row>
    <row r="253" spans="1:16" s="7" customFormat="1" ht="14.4" hidden="1" customHeight="1">
      <c r="A253" s="2050">
        <v>45068</v>
      </c>
      <c r="B253" s="294" t="s">
        <v>1894</v>
      </c>
      <c r="C253" s="6">
        <v>44978161</v>
      </c>
      <c r="D253" s="6"/>
      <c r="E253" s="6"/>
      <c r="F253" s="6"/>
      <c r="G253" s="6" t="s">
        <v>2121</v>
      </c>
      <c r="H253" s="280" t="s">
        <v>1895</v>
      </c>
      <c r="I253" s="6"/>
      <c r="K253" s="241">
        <v>22</v>
      </c>
      <c r="L253" s="241"/>
      <c r="M253" s="244"/>
      <c r="N253" s="166"/>
      <c r="P253" s="166"/>
    </row>
    <row r="254" spans="1:16" s="7" customFormat="1" ht="14.4" hidden="1" customHeight="1">
      <c r="A254" s="2050">
        <v>45068</v>
      </c>
      <c r="B254" s="877" t="s">
        <v>1896</v>
      </c>
      <c r="C254" s="6">
        <v>63892669</v>
      </c>
      <c r="D254" s="6"/>
      <c r="E254" s="6"/>
      <c r="F254" s="6"/>
      <c r="G254" s="6" t="s">
        <v>1934</v>
      </c>
      <c r="H254" s="280" t="s">
        <v>1897</v>
      </c>
      <c r="I254" s="6"/>
      <c r="K254" s="241"/>
      <c r="L254" s="241"/>
      <c r="M254" s="244"/>
      <c r="N254" s="166"/>
      <c r="P254" s="166"/>
    </row>
    <row r="255" spans="1:16" s="7" customFormat="1" ht="14.4" hidden="1" customHeight="1">
      <c r="A255" s="2050">
        <v>45068</v>
      </c>
      <c r="B255" s="404" t="s">
        <v>1900</v>
      </c>
      <c r="C255" s="6">
        <v>94781400</v>
      </c>
      <c r="D255" s="6" t="s">
        <v>2710</v>
      </c>
      <c r="E255" s="6"/>
      <c r="F255" s="6" t="s">
        <v>2755</v>
      </c>
      <c r="G255" s="6" t="s">
        <v>2061</v>
      </c>
      <c r="H255" s="280" t="s">
        <v>1901</v>
      </c>
      <c r="I255" s="6"/>
      <c r="J255" s="3"/>
      <c r="K255" s="241">
        <v>30</v>
      </c>
      <c r="L255" s="241"/>
      <c r="M255" s="244"/>
      <c r="N255" s="166"/>
      <c r="P255" s="166"/>
    </row>
    <row r="256" spans="1:16" s="7" customFormat="1" ht="14.4" hidden="1" customHeight="1">
      <c r="A256" s="2050">
        <v>45068</v>
      </c>
      <c r="B256" s="714" t="s">
        <v>3628</v>
      </c>
      <c r="C256" s="6">
        <v>53630474</v>
      </c>
      <c r="D256" s="6" t="s">
        <v>3663</v>
      </c>
      <c r="E256" s="6"/>
      <c r="F256" s="6" t="s">
        <v>2755</v>
      </c>
      <c r="G256" s="6" t="s">
        <v>1996</v>
      </c>
      <c r="H256" s="280" t="s">
        <v>1500</v>
      </c>
      <c r="I256" s="6"/>
      <c r="K256" s="241"/>
      <c r="L256" s="241"/>
      <c r="M256" s="244"/>
      <c r="N256" s="166"/>
      <c r="P256" s="166"/>
    </row>
    <row r="257" spans="1:16" s="7" customFormat="1" ht="14.4" hidden="1" customHeight="1">
      <c r="A257" s="2051">
        <v>45069</v>
      </c>
      <c r="B257" s="300" t="s">
        <v>1910</v>
      </c>
      <c r="C257" s="6">
        <v>73700328</v>
      </c>
      <c r="D257" s="6"/>
      <c r="E257" s="6"/>
      <c r="F257" s="6"/>
      <c r="G257" s="7" t="s">
        <v>2215</v>
      </c>
      <c r="H257" s="295" t="s">
        <v>1911</v>
      </c>
      <c r="I257" s="6"/>
      <c r="K257" s="286" t="s">
        <v>1912</v>
      </c>
      <c r="L257" s="286"/>
      <c r="M257" s="244"/>
      <c r="N257" s="166">
        <v>1</v>
      </c>
      <c r="P257" s="166"/>
    </row>
    <row r="258" spans="1:16" s="7" customFormat="1" ht="14.4" hidden="1" customHeight="1">
      <c r="A258" s="2051">
        <v>45069</v>
      </c>
      <c r="B258" s="877" t="s">
        <v>1913</v>
      </c>
      <c r="C258" s="6">
        <v>15908877</v>
      </c>
      <c r="D258" s="6"/>
      <c r="E258" s="6"/>
      <c r="F258" s="6"/>
      <c r="G258" s="6" t="s">
        <v>1934</v>
      </c>
      <c r="H258" s="295" t="s">
        <v>1914</v>
      </c>
      <c r="I258" s="6"/>
      <c r="K258" s="241"/>
      <c r="L258" s="241"/>
      <c r="M258" s="244"/>
      <c r="N258" s="166"/>
      <c r="P258" s="166"/>
    </row>
    <row r="259" spans="1:16" s="7" customFormat="1" ht="14.4" hidden="1" customHeight="1">
      <c r="A259" s="2051">
        <v>45069</v>
      </c>
      <c r="B259" s="319" t="s">
        <v>2166</v>
      </c>
      <c r="C259" s="6"/>
      <c r="D259" s="6"/>
      <c r="E259" s="6"/>
      <c r="F259" s="6"/>
      <c r="G259" s="6" t="s">
        <v>713</v>
      </c>
      <c r="H259" s="295" t="s">
        <v>664</v>
      </c>
      <c r="I259" s="6"/>
      <c r="K259" s="293" t="s">
        <v>1999</v>
      </c>
      <c r="L259" s="293"/>
      <c r="M259" s="244"/>
      <c r="N259" s="166"/>
      <c r="O259" s="7" t="s">
        <v>2156</v>
      </c>
      <c r="P259" s="166"/>
    </row>
    <row r="260" spans="1:16" s="7" customFormat="1" ht="14.4" hidden="1" customHeight="1">
      <c r="A260" s="2051">
        <v>45069</v>
      </c>
      <c r="B260" s="294" t="s">
        <v>1915</v>
      </c>
      <c r="C260" s="6">
        <v>32342854</v>
      </c>
      <c r="D260" s="6"/>
      <c r="E260" s="6"/>
      <c r="F260" s="6"/>
      <c r="G260" s="6" t="s">
        <v>1969</v>
      </c>
      <c r="H260" s="295" t="s">
        <v>1916</v>
      </c>
      <c r="I260" s="6"/>
      <c r="K260" s="241"/>
      <c r="L260" s="241"/>
      <c r="M260" s="244"/>
      <c r="N260" s="166"/>
      <c r="P260" s="166"/>
    </row>
    <row r="261" spans="1:16" s="7" customFormat="1" ht="14.4" hidden="1" customHeight="1">
      <c r="A261" s="2052">
        <v>45069</v>
      </c>
      <c r="B261" s="645" t="s">
        <v>3517</v>
      </c>
      <c r="C261" s="6"/>
      <c r="D261" s="645" t="s">
        <v>3527</v>
      </c>
      <c r="E261" s="645"/>
      <c r="F261" s="6" t="s">
        <v>1743</v>
      </c>
      <c r="G261" s="6" t="s">
        <v>1973</v>
      </c>
      <c r="H261" s="289" t="s">
        <v>1917</v>
      </c>
      <c r="I261" s="6"/>
      <c r="K261" s="241"/>
      <c r="L261" s="241"/>
      <c r="M261" s="244"/>
      <c r="N261" s="708" t="s">
        <v>3653</v>
      </c>
      <c r="P261" s="166"/>
    </row>
    <row r="262" spans="1:16" s="7" customFormat="1" ht="14.4" hidden="1" customHeight="1">
      <c r="A262" s="2053">
        <v>45070</v>
      </c>
      <c r="B262" s="2388" t="s">
        <v>2010</v>
      </c>
      <c r="C262" s="6"/>
      <c r="D262" s="6"/>
      <c r="E262" s="6"/>
      <c r="F262" s="6"/>
      <c r="G262" s="6" t="s">
        <v>2000</v>
      </c>
      <c r="H262" s="294" t="s">
        <v>1981</v>
      </c>
      <c r="I262" s="6"/>
      <c r="K262" s="241"/>
      <c r="L262" s="241"/>
      <c r="M262" s="244"/>
      <c r="N262" s="166"/>
      <c r="O262" s="7" t="s">
        <v>2537</v>
      </c>
      <c r="P262" s="166"/>
    </row>
    <row r="263" spans="1:16" s="7" customFormat="1" ht="14.4" hidden="1" customHeight="1">
      <c r="A263" s="2053">
        <v>45070</v>
      </c>
      <c r="B263" s="737" t="s">
        <v>1982</v>
      </c>
      <c r="C263" s="6">
        <v>30080424</v>
      </c>
      <c r="D263" s="728" t="s">
        <v>3679</v>
      </c>
      <c r="E263" s="728"/>
      <c r="F263" s="6" t="s">
        <v>3569</v>
      </c>
      <c r="G263" s="403" t="s">
        <v>2719</v>
      </c>
      <c r="H263" s="294" t="s">
        <v>1983</v>
      </c>
      <c r="I263" s="6"/>
      <c r="K263" s="241"/>
      <c r="L263" s="241"/>
      <c r="M263" s="244"/>
      <c r="N263" s="166"/>
      <c r="P263" s="166"/>
    </row>
    <row r="264" spans="1:16" s="7" customFormat="1" ht="14.4" hidden="1" customHeight="1">
      <c r="A264" s="2053">
        <v>45070</v>
      </c>
      <c r="B264" s="760" t="s">
        <v>3871</v>
      </c>
      <c r="C264" s="6"/>
      <c r="D264" s="6" t="s">
        <v>3570</v>
      </c>
      <c r="E264" s="6"/>
      <c r="F264" s="6"/>
      <c r="G264" s="6" t="s">
        <v>1973</v>
      </c>
      <c r="H264" s="294" t="s">
        <v>765</v>
      </c>
      <c r="I264" s="6"/>
      <c r="K264" s="241"/>
      <c r="L264" s="241"/>
      <c r="M264" s="244"/>
      <c r="N264" s="166"/>
      <c r="P264" s="166"/>
    </row>
    <row r="265" spans="1:16" s="7" customFormat="1" ht="14.4" hidden="1" customHeight="1">
      <c r="A265" s="2053">
        <v>45070</v>
      </c>
      <c r="B265" s="404" t="s">
        <v>1984</v>
      </c>
      <c r="C265" s="6">
        <v>24119874</v>
      </c>
      <c r="D265" s="6" t="s">
        <v>2710</v>
      </c>
      <c r="E265" s="6"/>
      <c r="F265" s="6" t="s">
        <v>2755</v>
      </c>
      <c r="G265" s="6" t="s">
        <v>2019</v>
      </c>
      <c r="H265" s="294" t="s">
        <v>1986</v>
      </c>
      <c r="I265" s="6"/>
      <c r="K265" s="293" t="s">
        <v>1985</v>
      </c>
      <c r="L265" s="293"/>
      <c r="M265" s="244"/>
      <c r="N265" s="166"/>
      <c r="P265" s="166"/>
    </row>
    <row r="266" spans="1:16" s="7" customFormat="1" ht="26.4" hidden="1" customHeight="1">
      <c r="A266" s="2053">
        <v>45070</v>
      </c>
      <c r="B266" s="182" t="s">
        <v>2035</v>
      </c>
      <c r="C266" s="6">
        <v>19557913</v>
      </c>
      <c r="D266" s="6" t="s">
        <v>2710</v>
      </c>
      <c r="E266" s="6"/>
      <c r="F266" s="6" t="s">
        <v>2738</v>
      </c>
      <c r="G266" s="403" t="s">
        <v>2284</v>
      </c>
      <c r="H266" s="300" t="s">
        <v>2036</v>
      </c>
      <c r="I266" s="6"/>
      <c r="K266" s="241"/>
      <c r="L266" s="241"/>
      <c r="M266" s="244"/>
      <c r="N266" s="166"/>
      <c r="P266" s="166"/>
    </row>
    <row r="267" spans="1:16" s="7" customFormat="1" ht="14.4" hidden="1" customHeight="1">
      <c r="A267" s="2053">
        <v>45070</v>
      </c>
      <c r="B267" s="294" t="s">
        <v>1987</v>
      </c>
      <c r="C267" s="6">
        <v>30025771</v>
      </c>
      <c r="D267" s="6"/>
      <c r="E267" s="6"/>
      <c r="F267" s="6"/>
      <c r="G267" s="6" t="s">
        <v>1989</v>
      </c>
      <c r="H267" s="294" t="s">
        <v>1988</v>
      </c>
      <c r="I267" s="6"/>
      <c r="K267" s="241"/>
      <c r="L267" s="241"/>
      <c r="M267" s="244"/>
      <c r="N267" s="166"/>
      <c r="O267" s="7" t="s">
        <v>2365</v>
      </c>
      <c r="P267" s="166"/>
    </row>
    <row r="268" spans="1:16" s="7" customFormat="1" ht="14.4" hidden="1" customHeight="1">
      <c r="A268" s="2053">
        <v>45070</v>
      </c>
      <c r="B268" s="331" t="s">
        <v>1990</v>
      </c>
      <c r="C268" s="6">
        <v>22566218</v>
      </c>
      <c r="D268" s="6"/>
      <c r="E268" s="6"/>
      <c r="F268" s="6"/>
      <c r="G268" s="6" t="s">
        <v>713</v>
      </c>
      <c r="H268" s="294" t="s">
        <v>1991</v>
      </c>
      <c r="I268" s="6"/>
      <c r="K268" s="241"/>
      <c r="L268" s="241"/>
      <c r="M268" s="244"/>
      <c r="N268" s="166"/>
      <c r="O268" s="7" t="s">
        <v>2365</v>
      </c>
      <c r="P268" s="166"/>
    </row>
    <row r="269" spans="1:16" s="7" customFormat="1" ht="14.4" hidden="1" customHeight="1">
      <c r="A269" s="2053">
        <v>45070</v>
      </c>
      <c r="B269" s="294" t="s">
        <v>1992</v>
      </c>
      <c r="C269" s="6">
        <v>68997180</v>
      </c>
      <c r="D269" s="6"/>
      <c r="E269" s="6"/>
      <c r="F269" s="6"/>
      <c r="G269" s="6" t="s">
        <v>1989</v>
      </c>
      <c r="H269" s="294" t="s">
        <v>1993</v>
      </c>
      <c r="I269" s="6"/>
      <c r="K269" s="241"/>
      <c r="L269" s="241"/>
      <c r="M269" s="244"/>
      <c r="N269" s="166"/>
      <c r="O269" s="7" t="s">
        <v>2365</v>
      </c>
      <c r="P269" s="166"/>
    </row>
    <row r="270" spans="1:16" s="7" customFormat="1" ht="14.4" hidden="1" customHeight="1">
      <c r="A270" s="2053">
        <v>45070</v>
      </c>
      <c r="B270" s="311" t="s">
        <v>1994</v>
      </c>
      <c r="C270" s="6">
        <v>90774367</v>
      </c>
      <c r="D270" s="6"/>
      <c r="E270" s="6"/>
      <c r="F270" s="6"/>
      <c r="G270" s="6" t="s">
        <v>1996</v>
      </c>
      <c r="H270" s="294" t="s">
        <v>1995</v>
      </c>
      <c r="I270" s="6"/>
      <c r="K270" s="241">
        <v>33</v>
      </c>
      <c r="L270" s="241"/>
      <c r="M270" s="244"/>
      <c r="N270" s="166"/>
      <c r="P270" s="166"/>
    </row>
    <row r="271" spans="1:16" s="7" customFormat="1" ht="14.4" hidden="1" customHeight="1">
      <c r="A271" s="2053">
        <v>45070</v>
      </c>
      <c r="B271" s="688" t="s">
        <v>2002</v>
      </c>
      <c r="C271" s="91">
        <v>24379815</v>
      </c>
      <c r="D271" s="91" t="s">
        <v>3570</v>
      </c>
      <c r="E271" s="91"/>
      <c r="F271" s="91"/>
      <c r="G271" s="91"/>
      <c r="H271" s="562" t="s">
        <v>2003</v>
      </c>
      <c r="I271" s="91"/>
      <c r="K271" s="241"/>
      <c r="L271" s="241"/>
      <c r="M271" s="244"/>
      <c r="N271" s="166"/>
      <c r="P271" s="166"/>
    </row>
    <row r="272" spans="1:16" s="7" customFormat="1" ht="14.4" hidden="1" customHeight="1">
      <c r="A272" s="2053">
        <v>45070</v>
      </c>
      <c r="B272" s="294" t="s">
        <v>2004</v>
      </c>
      <c r="C272" s="6"/>
      <c r="D272" s="6"/>
      <c r="E272" s="6"/>
      <c r="F272" s="6"/>
      <c r="G272" s="6" t="s">
        <v>2005</v>
      </c>
      <c r="H272" s="294" t="s">
        <v>2006</v>
      </c>
      <c r="I272" s="6"/>
      <c r="K272" s="241"/>
      <c r="L272" s="241"/>
      <c r="M272" s="244"/>
      <c r="N272" s="166"/>
      <c r="P272" s="166"/>
    </row>
    <row r="273" spans="1:16" s="7" customFormat="1" ht="43.2" hidden="1" customHeight="1">
      <c r="A273" s="2053">
        <v>45070</v>
      </c>
      <c r="B273" s="2389" t="s">
        <v>2097</v>
      </c>
      <c r="C273" s="6"/>
      <c r="D273" s="6"/>
      <c r="E273" s="6"/>
      <c r="F273" s="6"/>
      <c r="G273" s="6" t="s">
        <v>1925</v>
      </c>
      <c r="H273" s="294" t="s">
        <v>2009</v>
      </c>
      <c r="I273" s="6"/>
      <c r="K273" s="241"/>
      <c r="L273" s="241"/>
      <c r="M273" s="244"/>
      <c r="N273" s="166"/>
      <c r="O273" s="7" t="s">
        <v>2537</v>
      </c>
      <c r="P273" s="166"/>
    </row>
    <row r="274" spans="1:16" s="7" customFormat="1" ht="14.4" hidden="1" customHeight="1">
      <c r="A274" s="2054">
        <v>45071</v>
      </c>
      <c r="B274" s="758"/>
      <c r="C274" s="3"/>
      <c r="D274" s="3"/>
      <c r="E274" s="3"/>
      <c r="F274" s="3"/>
      <c r="G274" s="3"/>
      <c r="H274" s="563"/>
      <c r="I274" s="3"/>
      <c r="K274" s="241">
        <v>10</v>
      </c>
      <c r="L274" s="241"/>
      <c r="M274" s="244"/>
      <c r="N274" s="166"/>
      <c r="P274" s="166"/>
    </row>
    <row r="275" spans="1:16" s="7" customFormat="1" ht="14.4" hidden="1" customHeight="1">
      <c r="A275" s="2053">
        <v>45102</v>
      </c>
      <c r="B275" s="645" t="s">
        <v>3529</v>
      </c>
      <c r="C275" s="6"/>
      <c r="D275" s="6"/>
      <c r="E275" s="6"/>
      <c r="F275" s="645" t="s">
        <v>3528</v>
      </c>
      <c r="G275" s="6" t="s">
        <v>1973</v>
      </c>
      <c r="H275" s="294" t="s">
        <v>2001</v>
      </c>
      <c r="I275" s="6"/>
      <c r="K275" s="241"/>
      <c r="L275" s="241"/>
      <c r="M275" s="244"/>
      <c r="N275" s="708" t="s">
        <v>3653</v>
      </c>
      <c r="P275" s="166"/>
    </row>
    <row r="276" spans="1:16" s="7" customFormat="1" ht="14.4" hidden="1" customHeight="1">
      <c r="A276" s="2054">
        <v>45102</v>
      </c>
      <c r="B276" s="299" t="s">
        <v>2031</v>
      </c>
      <c r="C276" s="6"/>
      <c r="D276" s="6"/>
      <c r="E276" s="6"/>
      <c r="F276" s="6"/>
      <c r="G276" s="6"/>
      <c r="H276" s="280"/>
      <c r="I276" s="6"/>
      <c r="K276" s="241"/>
      <c r="L276" s="241"/>
      <c r="M276" s="244"/>
      <c r="N276" s="166"/>
      <c r="P276" s="166"/>
    </row>
    <row r="277" spans="1:16" s="7" customFormat="1" ht="14.4" hidden="1" customHeight="1">
      <c r="A277" s="2054">
        <v>45102</v>
      </c>
      <c r="B277" s="299"/>
      <c r="C277" s="6"/>
      <c r="D277" s="6"/>
      <c r="E277" s="6"/>
      <c r="F277" s="6"/>
      <c r="G277" s="6"/>
      <c r="H277" s="299" t="s">
        <v>2032</v>
      </c>
      <c r="I277" s="6"/>
      <c r="K277" s="241"/>
      <c r="L277" s="241"/>
      <c r="M277" s="244"/>
      <c r="N277" s="166"/>
      <c r="P277" s="166"/>
    </row>
    <row r="278" spans="1:16" s="7" customFormat="1" ht="14.4" hidden="1" customHeight="1">
      <c r="A278" s="2054">
        <v>45102</v>
      </c>
      <c r="B278" s="606" t="s">
        <v>2033</v>
      </c>
      <c r="C278" s="6">
        <v>45897379</v>
      </c>
      <c r="D278" s="6" t="s">
        <v>2094</v>
      </c>
      <c r="E278" s="6"/>
      <c r="F278" s="6" t="s">
        <v>3408</v>
      </c>
      <c r="G278" s="6" t="s">
        <v>1006</v>
      </c>
      <c r="H278" s="299" t="s">
        <v>2034</v>
      </c>
      <c r="I278" s="6"/>
      <c r="K278" s="241"/>
      <c r="L278" s="241"/>
      <c r="M278" s="666" t="s">
        <v>3558</v>
      </c>
      <c r="N278" s="166"/>
      <c r="P278" s="166"/>
    </row>
    <row r="279" spans="1:16" s="7" customFormat="1" ht="14.4" hidden="1" customHeight="1">
      <c r="A279" s="2055">
        <v>45072</v>
      </c>
      <c r="B279" s="673" t="s">
        <v>3532</v>
      </c>
      <c r="C279" s="6">
        <v>28863923</v>
      </c>
      <c r="D279" s="6" t="s">
        <v>3570</v>
      </c>
      <c r="E279" s="6"/>
      <c r="F279" s="6" t="s">
        <v>3568</v>
      </c>
      <c r="G279" s="300" t="s">
        <v>1996</v>
      </c>
      <c r="H279" s="300" t="s">
        <v>2037</v>
      </c>
      <c r="I279" s="6"/>
      <c r="K279" s="241"/>
      <c r="L279" s="241"/>
      <c r="M279" s="244"/>
      <c r="N279" s="166"/>
      <c r="P279" s="166"/>
    </row>
    <row r="280" spans="1:16" s="7" customFormat="1" ht="14.4" hidden="1" customHeight="1">
      <c r="A280" s="2055">
        <v>45072</v>
      </c>
      <c r="B280" s="2388" t="s">
        <v>2263</v>
      </c>
      <c r="C280" s="6"/>
      <c r="D280" s="6"/>
      <c r="E280" s="6"/>
      <c r="F280" s="6"/>
      <c r="G280" s="6" t="s">
        <v>2000</v>
      </c>
      <c r="H280" s="300" t="s">
        <v>2038</v>
      </c>
      <c r="I280" s="6"/>
      <c r="K280" s="241"/>
      <c r="L280" s="241"/>
      <c r="M280" s="244"/>
      <c r="N280" s="166"/>
      <c r="O280" s="7" t="s">
        <v>2537</v>
      </c>
      <c r="P280" s="166"/>
    </row>
    <row r="281" spans="1:16" s="7" customFormat="1" ht="35.4" hidden="1" customHeight="1">
      <c r="A281" s="2055">
        <v>45072</v>
      </c>
      <c r="B281" s="653" t="s">
        <v>2039</v>
      </c>
      <c r="C281" s="6"/>
      <c r="D281" s="6" t="s">
        <v>3426</v>
      </c>
      <c r="E281" s="6"/>
      <c r="F281" s="645" t="s">
        <v>3530</v>
      </c>
      <c r="G281" s="6"/>
      <c r="H281" s="620" t="s">
        <v>3438</v>
      </c>
      <c r="I281" s="6"/>
      <c r="K281" s="241"/>
      <c r="L281" s="241"/>
      <c r="M281" s="244"/>
      <c r="N281" s="166"/>
      <c r="P281" s="166"/>
    </row>
    <row r="282" spans="1:16" s="7" customFormat="1" ht="14.4" hidden="1" customHeight="1">
      <c r="A282" s="2056">
        <v>45072</v>
      </c>
      <c r="B282" s="520" t="s">
        <v>2047</v>
      </c>
      <c r="C282" s="6">
        <v>36413073</v>
      </c>
      <c r="D282" s="521" t="s">
        <v>3173</v>
      </c>
      <c r="E282" s="521"/>
      <c r="F282" s="6" t="s">
        <v>2084</v>
      </c>
      <c r="G282" s="6" t="s">
        <v>1032</v>
      </c>
      <c r="H282" s="303" t="s">
        <v>2048</v>
      </c>
      <c r="I282" s="6"/>
      <c r="K282" s="241"/>
      <c r="L282" s="241"/>
      <c r="M282" s="244"/>
      <c r="N282" s="166"/>
      <c r="O282" s="542" t="s">
        <v>3280</v>
      </c>
      <c r="P282" s="166"/>
    </row>
    <row r="283" spans="1:16" s="7" customFormat="1" ht="14.4" hidden="1" customHeight="1">
      <c r="A283" s="2056">
        <v>45072</v>
      </c>
      <c r="B283" s="309" t="s">
        <v>2051</v>
      </c>
      <c r="C283" s="6">
        <v>57883733</v>
      </c>
      <c r="D283" s="6"/>
      <c r="E283" s="6"/>
      <c r="F283" s="6"/>
      <c r="G283" s="6" t="s">
        <v>617</v>
      </c>
      <c r="H283" s="305" t="s">
        <v>2052</v>
      </c>
      <c r="I283" s="6"/>
      <c r="K283" s="241"/>
      <c r="L283" s="241"/>
      <c r="M283" s="244"/>
      <c r="N283" s="166"/>
      <c r="P283" s="166"/>
    </row>
    <row r="284" spans="1:16" s="7" customFormat="1" ht="14.4" hidden="1" customHeight="1">
      <c r="A284" s="2057">
        <v>45073</v>
      </c>
      <c r="B284" s="319" t="s">
        <v>2099</v>
      </c>
      <c r="C284" s="6">
        <v>88411789</v>
      </c>
      <c r="D284" s="6"/>
      <c r="E284" s="6"/>
      <c r="F284" s="6"/>
      <c r="G284" s="6" t="s">
        <v>1199</v>
      </c>
      <c r="H284" s="305" t="s">
        <v>2053</v>
      </c>
      <c r="I284" s="6"/>
      <c r="K284" s="314" t="s">
        <v>1715</v>
      </c>
      <c r="L284" s="314"/>
      <c r="M284" s="244"/>
      <c r="N284" s="166"/>
      <c r="O284" s="7" t="s">
        <v>2320</v>
      </c>
      <c r="P284" s="166"/>
    </row>
    <row r="285" spans="1:16" s="7" customFormat="1" ht="14.4" hidden="1" customHeight="1">
      <c r="A285" s="2057">
        <v>45073</v>
      </c>
      <c r="B285" s="311" t="s">
        <v>2054</v>
      </c>
      <c r="C285" s="6">
        <v>17416389</v>
      </c>
      <c r="D285" s="6"/>
      <c r="E285" s="6"/>
      <c r="F285" s="6"/>
      <c r="G285" s="6" t="s">
        <v>2056</v>
      </c>
      <c r="H285" s="305" t="s">
        <v>2055</v>
      </c>
      <c r="I285" s="6"/>
      <c r="K285" s="241"/>
      <c r="L285" s="241"/>
      <c r="M285" s="244"/>
      <c r="N285" s="166"/>
      <c r="O285" s="7" t="s">
        <v>2132</v>
      </c>
      <c r="P285" s="166"/>
    </row>
    <row r="286" spans="1:16" s="7" customFormat="1" ht="14.4" hidden="1" customHeight="1">
      <c r="A286" s="2057">
        <v>45073</v>
      </c>
      <c r="B286" s="591" t="s">
        <v>2154</v>
      </c>
      <c r="C286" s="6">
        <v>91184731</v>
      </c>
      <c r="D286" s="6" t="s">
        <v>2094</v>
      </c>
      <c r="E286" s="6"/>
      <c r="F286" s="6" t="s">
        <v>2084</v>
      </c>
      <c r="G286" s="6" t="s">
        <v>1996</v>
      </c>
      <c r="H286" s="305" t="s">
        <v>2057</v>
      </c>
      <c r="I286" s="6"/>
      <c r="K286" s="241"/>
      <c r="L286" s="241"/>
      <c r="M286" s="244"/>
      <c r="N286" s="166"/>
      <c r="P286" s="166"/>
    </row>
    <row r="287" spans="1:16" s="7" customFormat="1" ht="14.4" hidden="1" customHeight="1">
      <c r="A287" s="2057">
        <v>45073</v>
      </c>
      <c r="B287" s="2388" t="s">
        <v>2581</v>
      </c>
      <c r="C287" s="6"/>
      <c r="D287" s="6"/>
      <c r="E287" s="6"/>
      <c r="F287" s="6"/>
      <c r="G287" s="6" t="s">
        <v>2000</v>
      </c>
      <c r="H287" s="305" t="s">
        <v>2058</v>
      </c>
      <c r="I287" s="6"/>
      <c r="K287" s="241"/>
      <c r="L287" s="241"/>
      <c r="M287" s="244"/>
      <c r="N287" s="166"/>
      <c r="O287" s="7" t="s">
        <v>2910</v>
      </c>
      <c r="P287" s="166"/>
    </row>
    <row r="288" spans="1:16" s="7" customFormat="1" ht="14.4" hidden="1" customHeight="1">
      <c r="A288" s="2057">
        <v>45073</v>
      </c>
      <c r="B288" s="319" t="s">
        <v>2163</v>
      </c>
      <c r="C288" s="6">
        <v>30158851</v>
      </c>
      <c r="D288" s="6"/>
      <c r="E288" s="6"/>
      <c r="F288" s="6"/>
      <c r="G288" s="6" t="s">
        <v>2059</v>
      </c>
      <c r="H288" s="305" t="s">
        <v>2060</v>
      </c>
      <c r="I288" s="6"/>
      <c r="K288" s="241"/>
      <c r="L288" s="241"/>
      <c r="M288" s="244"/>
      <c r="N288" s="166"/>
      <c r="O288" s="7" t="s">
        <v>2217</v>
      </c>
      <c r="P288" s="166"/>
    </row>
    <row r="289" spans="1:16" s="7" customFormat="1" ht="14.4" hidden="1" customHeight="1">
      <c r="A289" s="2057">
        <v>45073</v>
      </c>
      <c r="B289" s="331" t="s">
        <v>2261</v>
      </c>
      <c r="C289" s="6">
        <v>16556428</v>
      </c>
      <c r="D289" s="6"/>
      <c r="E289" s="6"/>
      <c r="F289" s="6"/>
      <c r="G289" s="6" t="s">
        <v>1970</v>
      </c>
      <c r="H289" s="305" t="s">
        <v>2062</v>
      </c>
      <c r="I289" s="6"/>
      <c r="K289" s="241"/>
      <c r="L289" s="241"/>
      <c r="M289" s="244"/>
      <c r="N289" s="166"/>
      <c r="P289" s="166"/>
    </row>
    <row r="290" spans="1:16" s="7" customFormat="1" ht="14.4" hidden="1" customHeight="1">
      <c r="A290" s="2057">
        <v>45073</v>
      </c>
      <c r="B290" s="322" t="s">
        <v>2063</v>
      </c>
      <c r="C290" s="6">
        <v>34570304</v>
      </c>
      <c r="D290" s="6"/>
      <c r="E290" s="6"/>
      <c r="F290" s="6"/>
      <c r="G290" s="6" t="s">
        <v>2019</v>
      </c>
      <c r="H290" s="305" t="s">
        <v>2064</v>
      </c>
      <c r="I290" s="6"/>
      <c r="K290" s="308"/>
      <c r="L290" s="308"/>
      <c r="M290" s="244"/>
      <c r="N290" s="166"/>
      <c r="P290" s="166"/>
    </row>
    <row r="291" spans="1:16" s="7" customFormat="1" ht="14.4" hidden="1" customHeight="1">
      <c r="A291" s="2057">
        <v>45073</v>
      </c>
      <c r="B291" s="346" t="s">
        <v>2371</v>
      </c>
      <c r="C291" s="6"/>
      <c r="D291" s="6"/>
      <c r="E291" s="6"/>
      <c r="F291" s="6"/>
      <c r="G291" s="6" t="s">
        <v>617</v>
      </c>
      <c r="H291" s="305" t="s">
        <v>2065</v>
      </c>
      <c r="I291" s="6"/>
      <c r="K291" s="241"/>
      <c r="L291" s="241"/>
      <c r="M291" s="244"/>
      <c r="N291" s="166"/>
      <c r="P291" s="166"/>
    </row>
    <row r="292" spans="1:16" s="7" customFormat="1" ht="14.4" hidden="1" customHeight="1">
      <c r="A292" s="2057">
        <v>45073</v>
      </c>
      <c r="B292" s="319" t="s">
        <v>2138</v>
      </c>
      <c r="C292" s="6">
        <v>2939833</v>
      </c>
      <c r="D292" s="6"/>
      <c r="E292" s="6"/>
      <c r="F292" s="6"/>
      <c r="G292" s="6" t="s">
        <v>1945</v>
      </c>
      <c r="H292" s="305" t="s">
        <v>2066</v>
      </c>
      <c r="I292" s="6"/>
      <c r="K292" s="241"/>
      <c r="L292" s="241"/>
      <c r="M292" s="244"/>
      <c r="N292" s="166"/>
      <c r="O292" s="7" t="s">
        <v>2320</v>
      </c>
      <c r="P292" s="166"/>
    </row>
    <row r="293" spans="1:16" s="7" customFormat="1" ht="14.4" hidden="1" customHeight="1">
      <c r="A293" s="2057">
        <v>45073</v>
      </c>
      <c r="B293" s="328" t="s">
        <v>2173</v>
      </c>
      <c r="C293" s="6">
        <v>34207108</v>
      </c>
      <c r="D293" s="6"/>
      <c r="E293" s="6"/>
      <c r="F293" s="6"/>
      <c r="G293" s="6" t="s">
        <v>1199</v>
      </c>
      <c r="H293" s="305" t="s">
        <v>2067</v>
      </c>
      <c r="I293" s="6"/>
      <c r="K293" s="241"/>
      <c r="L293" s="241"/>
      <c r="M293" s="244"/>
      <c r="N293" s="166"/>
      <c r="O293" s="7" t="s">
        <v>2325</v>
      </c>
      <c r="P293" s="166"/>
    </row>
    <row r="294" spans="1:16" s="7" customFormat="1" ht="28.8" hidden="1" customHeight="1">
      <c r="A294" s="2057">
        <v>45073</v>
      </c>
      <c r="B294" s="312" t="s">
        <v>2107</v>
      </c>
      <c r="C294" s="6">
        <v>66712624</v>
      </c>
      <c r="D294" s="6"/>
      <c r="E294" s="6"/>
      <c r="F294" s="6"/>
      <c r="G294" s="6" t="s">
        <v>1967</v>
      </c>
      <c r="H294" s="305" t="s">
        <v>2068</v>
      </c>
      <c r="I294" s="6"/>
      <c r="K294" s="241"/>
      <c r="L294" s="241"/>
      <c r="M294" s="244"/>
      <c r="N294" s="166"/>
      <c r="O294" s="7" t="s">
        <v>2217</v>
      </c>
      <c r="P294" s="166"/>
    </row>
    <row r="295" spans="1:16" s="7" customFormat="1" ht="14.4" hidden="1" customHeight="1">
      <c r="A295" s="2057">
        <v>45073</v>
      </c>
      <c r="B295" s="714" t="s">
        <v>3380</v>
      </c>
      <c r="C295" s="6">
        <v>70666222</v>
      </c>
      <c r="D295" s="6" t="s">
        <v>3663</v>
      </c>
      <c r="E295" s="6"/>
      <c r="F295" s="6" t="s">
        <v>2755</v>
      </c>
      <c r="G295" s="6" t="s">
        <v>1009</v>
      </c>
      <c r="H295" s="695" t="s">
        <v>3381</v>
      </c>
      <c r="I295" s="6"/>
      <c r="K295" s="241"/>
      <c r="L295" s="241"/>
      <c r="M295" s="244"/>
      <c r="N295" s="166"/>
      <c r="P295" s="166"/>
    </row>
    <row r="296" spans="1:16" s="7" customFormat="1" ht="14.4" hidden="1" customHeight="1">
      <c r="A296" s="2057">
        <v>45073</v>
      </c>
      <c r="B296" s="796" t="s">
        <v>3642</v>
      </c>
      <c r="C296" s="6">
        <v>45215530</v>
      </c>
      <c r="D296" s="6" t="s">
        <v>4081</v>
      </c>
      <c r="E296" s="6"/>
      <c r="F296" s="796" t="s">
        <v>2755</v>
      </c>
      <c r="G296" s="6" t="s">
        <v>2073</v>
      </c>
      <c r="H296" s="737" t="s">
        <v>3705</v>
      </c>
      <c r="I296" s="6"/>
      <c r="K296" s="241"/>
      <c r="L296" s="241"/>
      <c r="M296" s="244"/>
      <c r="N296" s="166"/>
      <c r="P296" s="166"/>
    </row>
    <row r="297" spans="1:16" s="7" customFormat="1" ht="14.4" hidden="1" customHeight="1">
      <c r="A297" s="2058">
        <v>45075</v>
      </c>
      <c r="B297" s="322" t="s">
        <v>2103</v>
      </c>
      <c r="C297" s="6">
        <v>91765523</v>
      </c>
      <c r="D297" s="6"/>
      <c r="E297" s="6"/>
      <c r="F297" s="6"/>
      <c r="G297" s="6" t="s">
        <v>2005</v>
      </c>
      <c r="H297" s="309" t="s">
        <v>2075</v>
      </c>
      <c r="I297" s="6"/>
      <c r="K297" s="241"/>
      <c r="L297" s="241"/>
      <c r="M297" s="244"/>
      <c r="N297" s="166">
        <f>2600*11420</f>
        <v>29692000</v>
      </c>
      <c r="P297" s="166"/>
    </row>
    <row r="298" spans="1:16" s="7" customFormat="1" ht="14.4" hidden="1" customHeight="1">
      <c r="A298" s="2058">
        <v>45075</v>
      </c>
      <c r="B298" s="313" t="s">
        <v>2081</v>
      </c>
      <c r="C298" s="6">
        <v>32940463</v>
      </c>
      <c r="D298" s="6"/>
      <c r="E298" s="6"/>
      <c r="F298" s="6"/>
      <c r="G298" s="6" t="s">
        <v>2082</v>
      </c>
      <c r="H298" s="309" t="s">
        <v>2083</v>
      </c>
      <c r="I298" s="6"/>
      <c r="K298" s="241"/>
      <c r="L298" s="241"/>
      <c r="M298" s="244"/>
      <c r="N298" s="166"/>
      <c r="O298" s="7" t="s">
        <v>2320</v>
      </c>
      <c r="P298" s="166"/>
    </row>
    <row r="299" spans="1:16" s="7" customFormat="1" ht="14.4" hidden="1" customHeight="1">
      <c r="A299" s="2058">
        <v>45075</v>
      </c>
      <c r="B299" s="309" t="s">
        <v>2085</v>
      </c>
      <c r="C299" s="6">
        <v>26399685</v>
      </c>
      <c r="D299" s="6"/>
      <c r="E299" s="6"/>
      <c r="F299" s="6"/>
      <c r="G299" s="6" t="s">
        <v>667</v>
      </c>
      <c r="H299" s="309" t="s">
        <v>2086</v>
      </c>
      <c r="I299" s="6"/>
      <c r="K299" s="241"/>
      <c r="L299" s="241"/>
      <c r="M299" s="244"/>
      <c r="N299" s="166"/>
      <c r="O299" s="7" t="s">
        <v>2090</v>
      </c>
      <c r="P299" s="166"/>
    </row>
    <row r="300" spans="1:16" s="7" customFormat="1" ht="14.4" hidden="1" customHeight="1">
      <c r="A300" s="2059">
        <v>45076</v>
      </c>
      <c r="B300" s="331" t="s">
        <v>2262</v>
      </c>
      <c r="C300" s="6">
        <v>52566451</v>
      </c>
      <c r="D300" s="6"/>
      <c r="E300" s="6"/>
      <c r="F300" s="6"/>
      <c r="G300" s="6" t="s">
        <v>1970</v>
      </c>
      <c r="H300" s="311" t="s">
        <v>2091</v>
      </c>
      <c r="I300" s="6"/>
      <c r="K300" s="241">
        <v>23</v>
      </c>
      <c r="L300" s="241"/>
      <c r="M300" s="244"/>
      <c r="N300" s="166"/>
      <c r="P300" s="166"/>
    </row>
    <row r="301" spans="1:16" s="7" customFormat="1" ht="28.8" hidden="1" customHeight="1">
      <c r="A301" s="2059">
        <v>45076</v>
      </c>
      <c r="B301" s="377" t="s">
        <v>2580</v>
      </c>
      <c r="C301" s="6"/>
      <c r="D301" s="6"/>
      <c r="E301" s="6"/>
      <c r="F301" s="6"/>
      <c r="G301" s="6" t="s">
        <v>2098</v>
      </c>
      <c r="H301" s="311" t="s">
        <v>2092</v>
      </c>
      <c r="I301" s="6"/>
      <c r="K301" s="241"/>
      <c r="L301" s="241"/>
      <c r="M301" s="244">
        <v>1</v>
      </c>
      <c r="N301" s="166"/>
      <c r="O301" s="7" t="s">
        <v>2910</v>
      </c>
      <c r="P301" s="166"/>
    </row>
    <row r="302" spans="1:16" s="7" customFormat="1" ht="14.4" hidden="1" customHeight="1">
      <c r="A302" s="2059">
        <v>45076</v>
      </c>
      <c r="B302" s="701" t="s">
        <v>2100</v>
      </c>
      <c r="C302" s="6">
        <v>46578894</v>
      </c>
      <c r="D302" s="714" t="s">
        <v>3663</v>
      </c>
      <c r="E302" s="714"/>
      <c r="F302" s="701" t="s">
        <v>2755</v>
      </c>
      <c r="G302" s="6" t="s">
        <v>2102</v>
      </c>
      <c r="H302" s="311" t="s">
        <v>2101</v>
      </c>
      <c r="I302" s="6"/>
      <c r="K302" s="241"/>
      <c r="L302" s="241"/>
      <c r="M302" s="244"/>
      <c r="N302" s="166"/>
      <c r="P302" s="166"/>
    </row>
    <row r="303" spans="1:16" s="7" customFormat="1" ht="14.4" hidden="1" customHeight="1">
      <c r="A303" s="2059">
        <v>45076</v>
      </c>
      <c r="B303" s="351" t="s">
        <v>2108</v>
      </c>
      <c r="C303" s="6">
        <v>38304462</v>
      </c>
      <c r="D303" s="6"/>
      <c r="E303" s="6"/>
      <c r="F303" s="6"/>
      <c r="G303" s="6" t="s">
        <v>2071</v>
      </c>
      <c r="H303" s="311" t="s">
        <v>2109</v>
      </c>
      <c r="I303" s="6"/>
      <c r="K303" s="241"/>
      <c r="L303" s="241"/>
      <c r="M303" s="244"/>
      <c r="N303" s="166"/>
      <c r="P303" s="166"/>
    </row>
    <row r="304" spans="1:16" s="7" customFormat="1" ht="14.4" hidden="1" customHeight="1">
      <c r="A304" s="2059">
        <v>45076</v>
      </c>
      <c r="B304" s="645" t="s">
        <v>3505</v>
      </c>
      <c r="C304" s="6"/>
      <c r="D304" s="311" t="s">
        <v>2111</v>
      </c>
      <c r="E304" s="311"/>
      <c r="F304" s="645" t="s">
        <v>3528</v>
      </c>
      <c r="G304" s="6" t="s">
        <v>1973</v>
      </c>
      <c r="H304" s="311" t="s">
        <v>2110</v>
      </c>
      <c r="I304" s="6"/>
      <c r="K304" s="241"/>
      <c r="L304" s="241"/>
      <c r="M304" s="244"/>
      <c r="N304" s="708" t="s">
        <v>3653</v>
      </c>
      <c r="P304" s="166"/>
    </row>
    <row r="305" spans="1:16" s="7" customFormat="1" ht="14.4" hidden="1" customHeight="1">
      <c r="A305" s="2060">
        <v>45077</v>
      </c>
      <c r="B305" s="597" t="s">
        <v>2113</v>
      </c>
      <c r="C305" s="6">
        <v>97790069</v>
      </c>
      <c r="D305" s="521" t="s">
        <v>3173</v>
      </c>
      <c r="E305" s="521"/>
      <c r="F305" s="521" t="s">
        <v>3173</v>
      </c>
      <c r="G305" s="6" t="s">
        <v>2115</v>
      </c>
      <c r="H305" s="313" t="s">
        <v>2116</v>
      </c>
      <c r="I305" s="6"/>
      <c r="K305" s="241"/>
      <c r="L305" s="241"/>
      <c r="M305" s="244"/>
      <c r="N305" s="166"/>
      <c r="P305" s="166"/>
    </row>
    <row r="306" spans="1:16" s="7" customFormat="1" ht="14.4" hidden="1" customHeight="1">
      <c r="A306" s="2060">
        <v>45077</v>
      </c>
      <c r="B306" s="322" t="s">
        <v>2117</v>
      </c>
      <c r="C306" s="6">
        <v>95898246</v>
      </c>
      <c r="D306" s="6"/>
      <c r="E306" s="6"/>
      <c r="F306" s="6"/>
      <c r="G306" s="6" t="s">
        <v>2118</v>
      </c>
      <c r="H306" s="313" t="s">
        <v>2119</v>
      </c>
      <c r="I306" s="6"/>
      <c r="K306" s="241">
        <v>22</v>
      </c>
      <c r="L306" s="241"/>
      <c r="M306" s="244">
        <v>1.2</v>
      </c>
      <c r="N306" s="166">
        <v>6.8550000000000004</v>
      </c>
      <c r="P306" s="166"/>
    </row>
    <row r="307" spans="1:16" s="7" customFormat="1" ht="14.4" hidden="1" customHeight="1">
      <c r="A307" s="2060">
        <v>45077</v>
      </c>
      <c r="B307" s="437" t="s">
        <v>2892</v>
      </c>
      <c r="C307" s="6"/>
      <c r="D307" s="6" t="s">
        <v>2820</v>
      </c>
      <c r="E307" s="6"/>
      <c r="F307" s="6"/>
      <c r="G307" s="6" t="s">
        <v>2254</v>
      </c>
      <c r="H307" s="430" t="s">
        <v>2823</v>
      </c>
      <c r="I307" s="6"/>
      <c r="K307" s="241"/>
      <c r="L307" s="241"/>
      <c r="M307" s="244"/>
      <c r="N307" s="166">
        <v>5.484</v>
      </c>
      <c r="P307" s="166"/>
    </row>
    <row r="308" spans="1:16" s="7" customFormat="1" ht="14.4" hidden="1" customHeight="1">
      <c r="A308" s="2060">
        <v>45077</v>
      </c>
      <c r="B308" s="884" t="s">
        <v>2168</v>
      </c>
      <c r="C308" s="6">
        <v>34450301</v>
      </c>
      <c r="D308" s="884" t="s">
        <v>4397</v>
      </c>
      <c r="E308" s="6"/>
      <c r="F308" s="6" t="s">
        <v>2755</v>
      </c>
      <c r="G308" s="6" t="s">
        <v>2124</v>
      </c>
      <c r="H308" s="635" t="s">
        <v>2123</v>
      </c>
      <c r="I308" s="6"/>
      <c r="K308" s="241">
        <v>22</v>
      </c>
      <c r="L308" s="241"/>
      <c r="M308" s="244"/>
      <c r="N308" s="166"/>
      <c r="P308" s="166"/>
    </row>
    <row r="309" spans="1:16" s="7" customFormat="1" ht="14.4" hidden="1" customHeight="1">
      <c r="A309" s="2060">
        <v>45077</v>
      </c>
      <c r="B309" s="540" t="s">
        <v>3286</v>
      </c>
      <c r="C309" s="6"/>
      <c r="D309" s="6"/>
      <c r="E309" s="6"/>
      <c r="F309" s="6"/>
      <c r="G309" s="6" t="s">
        <v>1973</v>
      </c>
      <c r="H309" s="313" t="s">
        <v>1867</v>
      </c>
      <c r="I309" s="6"/>
      <c r="K309" s="241"/>
      <c r="L309" s="241"/>
      <c r="M309" s="244"/>
      <c r="N309" s="570" t="s">
        <v>3324</v>
      </c>
      <c r="P309" s="166"/>
    </row>
    <row r="310" spans="1:16" s="7" customFormat="1" ht="14.4" hidden="1" customHeight="1">
      <c r="A310" s="2060">
        <v>45077</v>
      </c>
      <c r="B310" s="335" t="s">
        <v>2127</v>
      </c>
      <c r="C310" s="6"/>
      <c r="D310" s="6"/>
      <c r="E310" s="6"/>
      <c r="F310" s="6"/>
      <c r="G310" s="6" t="s">
        <v>1032</v>
      </c>
      <c r="H310" s="313" t="s">
        <v>2128</v>
      </c>
      <c r="I310" s="6"/>
      <c r="K310" s="241"/>
      <c r="L310" s="241"/>
      <c r="M310" s="244"/>
      <c r="N310" s="166"/>
      <c r="O310" s="542" t="s">
        <v>3280</v>
      </c>
      <c r="P310" s="166"/>
    </row>
    <row r="311" spans="1:16" s="7" customFormat="1" ht="14.4" hidden="1" customHeight="1">
      <c r="A311" s="2060">
        <v>45077</v>
      </c>
      <c r="B311" s="694" t="s">
        <v>3562</v>
      </c>
      <c r="C311" s="6">
        <v>68146705</v>
      </c>
      <c r="D311" s="6" t="s">
        <v>3570</v>
      </c>
      <c r="E311" s="6"/>
      <c r="F311" s="6" t="s">
        <v>3568</v>
      </c>
      <c r="G311" s="6" t="s">
        <v>1996</v>
      </c>
      <c r="H311" s="313" t="s">
        <v>2129</v>
      </c>
      <c r="I311" s="6"/>
      <c r="K311" s="241"/>
      <c r="L311" s="241"/>
      <c r="M311" s="244"/>
      <c r="N311" s="166"/>
      <c r="P311" s="166"/>
    </row>
    <row r="312" spans="1:16" s="7" customFormat="1" ht="14.4" hidden="1" customHeight="1">
      <c r="A312" s="2060">
        <v>45077</v>
      </c>
      <c r="B312" s="884" t="s">
        <v>2349</v>
      </c>
      <c r="C312" s="6">
        <v>62641926</v>
      </c>
      <c r="D312" s="750" t="s">
        <v>3836</v>
      </c>
      <c r="E312" s="888">
        <v>1</v>
      </c>
      <c r="F312" s="6" t="s">
        <v>3568</v>
      </c>
      <c r="G312" s="6" t="s">
        <v>2012</v>
      </c>
      <c r="H312" s="737" t="s">
        <v>3767</v>
      </c>
      <c r="I312" s="6"/>
      <c r="K312" s="241"/>
      <c r="L312" s="241"/>
      <c r="M312" s="244"/>
      <c r="N312" s="166"/>
      <c r="P312" s="166"/>
    </row>
    <row r="313" spans="1:16" s="7" customFormat="1" ht="14.4" hidden="1" customHeight="1">
      <c r="A313" s="2061">
        <v>45078</v>
      </c>
      <c r="B313" s="558" t="s">
        <v>2133</v>
      </c>
      <c r="C313" s="6">
        <v>39570801</v>
      </c>
      <c r="D313" s="521" t="s">
        <v>3173</v>
      </c>
      <c r="E313" s="521"/>
      <c r="F313" s="6"/>
      <c r="G313" s="6" t="s">
        <v>2115</v>
      </c>
      <c r="H313" s="317" t="s">
        <v>2134</v>
      </c>
      <c r="I313" s="6"/>
      <c r="K313" s="241"/>
      <c r="L313" s="241"/>
      <c r="M313" s="244"/>
      <c r="N313" s="166"/>
      <c r="P313" s="166"/>
    </row>
    <row r="314" spans="1:16" s="7" customFormat="1" ht="14.4" hidden="1" customHeight="1">
      <c r="A314" s="2061">
        <v>45078</v>
      </c>
      <c r="B314" s="620" t="s">
        <v>2141</v>
      </c>
      <c r="C314" s="6">
        <v>56032005</v>
      </c>
      <c r="D314" s="6"/>
      <c r="E314" s="6"/>
      <c r="F314" s="6" t="s">
        <v>3408</v>
      </c>
      <c r="G314" s="6" t="s">
        <v>1006</v>
      </c>
      <c r="H314" s="317" t="s">
        <v>2142</v>
      </c>
      <c r="I314" s="6"/>
      <c r="K314" s="241"/>
      <c r="L314" s="241"/>
      <c r="M314" s="666" t="s">
        <v>3558</v>
      </c>
      <c r="N314" s="166"/>
      <c r="P314" s="166"/>
    </row>
    <row r="315" spans="1:16" s="7" customFormat="1" ht="14.4" hidden="1" customHeight="1">
      <c r="A315" s="2061">
        <v>45078</v>
      </c>
      <c r="B315" s="319" t="s">
        <v>2146</v>
      </c>
      <c r="C315" s="6">
        <v>81157123</v>
      </c>
      <c r="D315" s="6"/>
      <c r="E315" s="6"/>
      <c r="F315" s="6"/>
      <c r="G315" s="6" t="s">
        <v>2148</v>
      </c>
      <c r="H315" s="317" t="s">
        <v>2147</v>
      </c>
      <c r="I315" s="6"/>
      <c r="K315" s="241">
        <v>3.5</v>
      </c>
      <c r="L315" s="241"/>
      <c r="M315" s="244"/>
      <c r="N315" s="166"/>
      <c r="P315" s="166"/>
    </row>
    <row r="316" spans="1:16" s="7" customFormat="1" ht="14.4" hidden="1" customHeight="1">
      <c r="A316" s="2061">
        <v>45078</v>
      </c>
      <c r="B316" s="520" t="s">
        <v>2174</v>
      </c>
      <c r="C316" s="6">
        <v>90326523</v>
      </c>
      <c r="D316" s="521" t="s">
        <v>3173</v>
      </c>
      <c r="E316" s="521"/>
      <c r="F316" s="6"/>
      <c r="G316" s="6" t="s">
        <v>1032</v>
      </c>
      <c r="H316" s="317" t="s">
        <v>1032</v>
      </c>
      <c r="I316" s="6"/>
      <c r="K316" s="241"/>
      <c r="L316" s="241"/>
      <c r="M316" s="244"/>
      <c r="N316" s="166"/>
      <c r="O316" s="7" t="s">
        <v>3363</v>
      </c>
      <c r="P316" s="166"/>
    </row>
    <row r="317" spans="1:16" s="7" customFormat="1" ht="14.4" hidden="1" customHeight="1">
      <c r="A317" s="2062">
        <v>45079</v>
      </c>
      <c r="B317" s="319" t="s">
        <v>2155</v>
      </c>
      <c r="C317" s="6">
        <v>50445913</v>
      </c>
      <c r="D317" s="6"/>
      <c r="E317" s="6"/>
      <c r="F317" s="6"/>
      <c r="G317" s="6" t="s">
        <v>2059</v>
      </c>
      <c r="H317" s="319" t="s">
        <v>2157</v>
      </c>
      <c r="I317" s="6"/>
      <c r="K317" s="241"/>
      <c r="L317" s="241"/>
      <c r="M317" s="244"/>
      <c r="N317" s="166"/>
      <c r="O317" s="7" t="s">
        <v>2217</v>
      </c>
      <c r="P317" s="166"/>
    </row>
    <row r="318" spans="1:16" s="7" customFormat="1" ht="14.4" hidden="1" customHeight="1">
      <c r="A318" s="2062">
        <v>45079</v>
      </c>
      <c r="B318" s="884" t="s">
        <v>2158</v>
      </c>
      <c r="C318" s="6">
        <v>21347613</v>
      </c>
      <c r="D318" s="750" t="s">
        <v>3836</v>
      </c>
      <c r="E318" s="888">
        <v>1</v>
      </c>
      <c r="F318" s="6" t="s">
        <v>3568</v>
      </c>
      <c r="G318" s="6" t="s">
        <v>2012</v>
      </c>
      <c r="H318" s="319" t="s">
        <v>2159</v>
      </c>
      <c r="I318" s="6"/>
      <c r="K318" s="241"/>
      <c r="L318" s="241"/>
      <c r="M318" s="244"/>
      <c r="N318" s="166"/>
      <c r="P318" s="166"/>
    </row>
    <row r="319" spans="1:16" s="7" customFormat="1" ht="14.4" hidden="1" customHeight="1">
      <c r="A319" s="2062">
        <v>45079</v>
      </c>
      <c r="B319" s="620" t="s">
        <v>2160</v>
      </c>
      <c r="C319" s="6">
        <v>15320529</v>
      </c>
      <c r="D319" s="6" t="s">
        <v>3427</v>
      </c>
      <c r="E319" s="6"/>
      <c r="F319" s="6" t="s">
        <v>3408</v>
      </c>
      <c r="G319" s="6" t="s">
        <v>2056</v>
      </c>
      <c r="H319" s="319" t="s">
        <v>2161</v>
      </c>
      <c r="I319" s="6"/>
      <c r="K319" s="241"/>
      <c r="L319" s="241"/>
      <c r="M319" s="244"/>
      <c r="N319" s="166"/>
      <c r="O319" s="7" t="s">
        <v>3503</v>
      </c>
      <c r="P319" s="166"/>
    </row>
    <row r="320" spans="1:16" s="7" customFormat="1" ht="14.4" hidden="1" customHeight="1">
      <c r="A320" s="2062">
        <v>45079</v>
      </c>
      <c r="B320" s="781" t="s">
        <v>3205</v>
      </c>
      <c r="C320" s="6">
        <v>17335044</v>
      </c>
      <c r="D320" s="750" t="s">
        <v>3800</v>
      </c>
      <c r="E320" s="750"/>
      <c r="F320" s="6" t="s">
        <v>2755</v>
      </c>
      <c r="G320" s="6" t="s">
        <v>2124</v>
      </c>
      <c r="H320" s="319" t="s">
        <v>2162</v>
      </c>
      <c r="I320" s="6"/>
      <c r="K320" s="241"/>
      <c r="L320" s="241"/>
      <c r="M320" s="244"/>
      <c r="N320" s="166"/>
      <c r="P320" s="166"/>
    </row>
    <row r="321" spans="1:16" s="7" customFormat="1" ht="14.4" hidden="1" customHeight="1">
      <c r="A321" s="2062">
        <v>45079</v>
      </c>
      <c r="B321" s="737" t="s">
        <v>2164</v>
      </c>
      <c r="C321" s="6">
        <v>65514774</v>
      </c>
      <c r="D321" s="6"/>
      <c r="E321" s="6"/>
      <c r="F321" s="6"/>
      <c r="G321" s="6" t="s">
        <v>1970</v>
      </c>
      <c r="H321" s="332" t="s">
        <v>2165</v>
      </c>
      <c r="I321" s="6"/>
      <c r="K321" s="241">
        <v>2</v>
      </c>
      <c r="L321" s="241"/>
      <c r="M321" s="815" t="s">
        <v>4142</v>
      </c>
      <c r="N321" s="166"/>
      <c r="P321" s="166"/>
    </row>
    <row r="322" spans="1:16" s="7" customFormat="1" ht="14.4" hidden="1" customHeight="1">
      <c r="A322" s="2062">
        <v>45079</v>
      </c>
      <c r="B322" s="645" t="s">
        <v>3516</v>
      </c>
      <c r="C322" s="6"/>
      <c r="D322" s="6"/>
      <c r="E322" s="6"/>
      <c r="F322" s="645" t="s">
        <v>3528</v>
      </c>
      <c r="G322" s="6" t="s">
        <v>1973</v>
      </c>
      <c r="H322" s="319" t="s">
        <v>765</v>
      </c>
      <c r="I322" s="6"/>
      <c r="K322" s="241"/>
      <c r="L322" s="241"/>
      <c r="M322" s="244"/>
      <c r="N322" s="708" t="s">
        <v>3653</v>
      </c>
      <c r="P322" s="166"/>
    </row>
    <row r="323" spans="1:16" s="7" customFormat="1" ht="14.4" hidden="1" customHeight="1">
      <c r="A323" s="2062">
        <v>45079</v>
      </c>
      <c r="B323" s="540" t="s">
        <v>2189</v>
      </c>
      <c r="C323" s="6">
        <v>91538418</v>
      </c>
      <c r="D323" s="521" t="s">
        <v>3173</v>
      </c>
      <c r="E323" s="521"/>
      <c r="F323" s="6"/>
      <c r="G323" s="322" t="s">
        <v>1928</v>
      </c>
      <c r="H323" s="319" t="s">
        <v>2167</v>
      </c>
      <c r="I323" s="6"/>
      <c r="K323" s="241"/>
      <c r="L323" s="241"/>
      <c r="M323" s="244"/>
      <c r="N323" s="166"/>
      <c r="P323" s="166"/>
    </row>
    <row r="324" spans="1:16" s="7" customFormat="1" ht="14.4" hidden="1" customHeight="1">
      <c r="A324" s="2062">
        <v>45079</v>
      </c>
      <c r="B324" s="355" t="s">
        <v>2242</v>
      </c>
      <c r="C324" s="6">
        <v>20307784</v>
      </c>
      <c r="D324" s="6"/>
      <c r="E324" s="6"/>
      <c r="F324" s="6"/>
      <c r="G324" s="6" t="s">
        <v>1032</v>
      </c>
      <c r="H324" s="319" t="s">
        <v>2169</v>
      </c>
      <c r="I324" s="6"/>
      <c r="K324" s="241"/>
      <c r="L324" s="241"/>
      <c r="M324" s="244"/>
      <c r="N324" s="166"/>
      <c r="O324" s="354" t="s">
        <v>2414</v>
      </c>
      <c r="P324" s="166"/>
    </row>
    <row r="325" spans="1:16" s="7" customFormat="1" ht="14.4" hidden="1" customHeight="1">
      <c r="A325" s="2063">
        <v>45080</v>
      </c>
      <c r="B325" s="694" t="s">
        <v>2277</v>
      </c>
      <c r="C325" s="6">
        <v>98852944</v>
      </c>
      <c r="D325" s="6" t="s">
        <v>3570</v>
      </c>
      <c r="E325" s="6"/>
      <c r="F325" s="6" t="s">
        <v>3568</v>
      </c>
      <c r="G325" s="6" t="s">
        <v>2102</v>
      </c>
      <c r="H325" s="331" t="s">
        <v>2278</v>
      </c>
      <c r="I325" s="6"/>
      <c r="K325" s="241"/>
      <c r="L325" s="241"/>
      <c r="M325" s="708" t="s">
        <v>3650</v>
      </c>
      <c r="N325" s="166"/>
      <c r="P325" s="166"/>
    </row>
    <row r="326" spans="1:16" s="7" customFormat="1" ht="14.4" hidden="1" customHeight="1">
      <c r="A326" s="2063">
        <v>45080</v>
      </c>
      <c r="B326" s="378" t="s">
        <v>2175</v>
      </c>
      <c r="C326" s="6">
        <v>16675352</v>
      </c>
      <c r="D326" s="6"/>
      <c r="E326" s="6"/>
      <c r="F326" s="6"/>
      <c r="G326" s="6" t="s">
        <v>2306</v>
      </c>
      <c r="H326" s="322" t="s">
        <v>2176</v>
      </c>
      <c r="I326" s="6"/>
      <c r="K326" s="241"/>
      <c r="L326" s="241"/>
      <c r="M326" s="244"/>
      <c r="N326" s="166"/>
      <c r="P326" s="166"/>
    </row>
    <row r="327" spans="1:16" s="7" customFormat="1" ht="14.4" hidden="1" customHeight="1">
      <c r="A327" s="2063">
        <v>45080</v>
      </c>
      <c r="B327" s="2388" t="s">
        <v>2593</v>
      </c>
      <c r="C327" s="6"/>
      <c r="D327" s="6"/>
      <c r="E327" s="6"/>
      <c r="F327" s="6"/>
      <c r="G327" s="6" t="s">
        <v>2098</v>
      </c>
      <c r="H327" s="322" t="s">
        <v>2177</v>
      </c>
      <c r="I327" s="6"/>
      <c r="K327" s="241"/>
      <c r="L327" s="241"/>
      <c r="M327" s="244"/>
      <c r="N327" s="166"/>
      <c r="O327" s="7" t="s">
        <v>2910</v>
      </c>
      <c r="P327" s="166"/>
    </row>
    <row r="328" spans="1:16" s="7" customFormat="1" ht="14.4" hidden="1" customHeight="1">
      <c r="A328" s="2063">
        <v>45081</v>
      </c>
      <c r="B328" s="672"/>
      <c r="H328" s="321"/>
      <c r="K328" s="241"/>
      <c r="L328" s="241"/>
      <c r="M328" s="244"/>
      <c r="N328" s="166">
        <v>34200000</v>
      </c>
      <c r="P328" s="166"/>
    </row>
    <row r="329" spans="1:16" s="7" customFormat="1" ht="14.4" hidden="1" customHeight="1">
      <c r="A329" s="2063">
        <v>45081</v>
      </c>
      <c r="B329" s="884" t="s">
        <v>2179</v>
      </c>
      <c r="C329" s="6">
        <v>90317104</v>
      </c>
      <c r="D329" s="750" t="s">
        <v>3836</v>
      </c>
      <c r="E329" s="888">
        <v>1</v>
      </c>
      <c r="F329" s="6" t="s">
        <v>3568</v>
      </c>
      <c r="G329" s="6" t="s">
        <v>2012</v>
      </c>
      <c r="H329" s="322" t="s">
        <v>2178</v>
      </c>
      <c r="I329" s="6"/>
      <c r="K329" s="241"/>
      <c r="L329" s="241"/>
      <c r="M329" s="244"/>
      <c r="N329" s="166">
        <v>70000000</v>
      </c>
      <c r="P329" s="166"/>
    </row>
    <row r="330" spans="1:16" s="7" customFormat="1" ht="14.4" hidden="1" customHeight="1">
      <c r="A330" s="2064">
        <v>45082</v>
      </c>
      <c r="B330" s="540" t="s">
        <v>2181</v>
      </c>
      <c r="C330" s="6">
        <v>16084273</v>
      </c>
      <c r="D330" s="23" t="s">
        <v>3060</v>
      </c>
      <c r="E330" s="23"/>
      <c r="F330" s="6" t="s">
        <v>3061</v>
      </c>
      <c r="G330" s="6" t="s">
        <v>1199</v>
      </c>
      <c r="H330" s="322" t="s">
        <v>2182</v>
      </c>
      <c r="I330" s="6"/>
      <c r="K330" s="241"/>
      <c r="L330" s="241"/>
      <c r="M330" s="244"/>
      <c r="N330" s="166" t="s">
        <v>3363</v>
      </c>
      <c r="P330" s="166"/>
    </row>
    <row r="331" spans="1:16" s="7" customFormat="1" ht="14.4" hidden="1" customHeight="1">
      <c r="A331" s="2063">
        <v>45082</v>
      </c>
      <c r="B331" s="694" t="s">
        <v>2183</v>
      </c>
      <c r="C331" s="6">
        <v>38810028</v>
      </c>
      <c r="D331" s="6" t="s">
        <v>3570</v>
      </c>
      <c r="E331" s="6"/>
      <c r="F331" s="6" t="s">
        <v>3571</v>
      </c>
      <c r="G331" s="6" t="s">
        <v>2102</v>
      </c>
      <c r="H331" s="322" t="s">
        <v>2184</v>
      </c>
      <c r="I331" s="6"/>
      <c r="K331" s="241"/>
      <c r="L331" s="241"/>
      <c r="M331" s="708" t="s">
        <v>3650</v>
      </c>
      <c r="N331" s="166"/>
      <c r="P331" s="166"/>
    </row>
    <row r="332" spans="1:16" s="7" customFormat="1" ht="14.4" hidden="1" customHeight="1">
      <c r="A332" s="2063">
        <v>45082</v>
      </c>
      <c r="B332" s="884" t="s">
        <v>3667</v>
      </c>
      <c r="C332" s="6">
        <v>78917003</v>
      </c>
      <c r="D332" s="750" t="s">
        <v>3800</v>
      </c>
      <c r="E332" s="888">
        <v>1</v>
      </c>
      <c r="F332" s="6" t="s">
        <v>2755</v>
      </c>
      <c r="G332" s="322" t="s">
        <v>2012</v>
      </c>
      <c r="H332" s="322" t="s">
        <v>2185</v>
      </c>
      <c r="I332" s="6"/>
      <c r="K332" s="241"/>
      <c r="L332" s="241"/>
      <c r="M332" s="244"/>
      <c r="N332" s="166">
        <f>SUM(N328:N331)</f>
        <v>104200000</v>
      </c>
      <c r="P332" s="166"/>
    </row>
    <row r="333" spans="1:16" s="7" customFormat="1" ht="14.4" hidden="1" customHeight="1">
      <c r="A333" s="2063">
        <v>45082</v>
      </c>
      <c r="B333" s="441" t="s">
        <v>2186</v>
      </c>
      <c r="C333" s="6">
        <v>28334203</v>
      </c>
      <c r="D333" s="6"/>
      <c r="E333" s="6"/>
      <c r="F333" s="6"/>
      <c r="G333" s="322" t="s">
        <v>2187</v>
      </c>
      <c r="H333" s="322" t="s">
        <v>2188</v>
      </c>
      <c r="I333" s="6"/>
      <c r="K333" s="241"/>
      <c r="L333" s="241"/>
      <c r="M333" s="244"/>
      <c r="N333" s="166">
        <f>+N332/11490</f>
        <v>9068.755439512619</v>
      </c>
      <c r="P333" s="166"/>
    </row>
    <row r="334" spans="1:16" s="7" customFormat="1" ht="14.4" hidden="1" customHeight="1">
      <c r="A334" s="2063">
        <v>45082</v>
      </c>
      <c r="B334" s="714" t="s">
        <v>2194</v>
      </c>
      <c r="C334" s="6">
        <v>76243480</v>
      </c>
      <c r="D334" s="701" t="s">
        <v>3653</v>
      </c>
      <c r="E334" s="701"/>
      <c r="F334" s="701" t="s">
        <v>2755</v>
      </c>
      <c r="G334" s="322" t="s">
        <v>763</v>
      </c>
      <c r="H334" s="322" t="s">
        <v>2195</v>
      </c>
      <c r="I334" s="6"/>
      <c r="K334" s="241"/>
      <c r="L334" s="241"/>
      <c r="M334" s="244"/>
      <c r="N334" s="166" t="s">
        <v>4156</v>
      </c>
      <c r="P334" s="166"/>
    </row>
    <row r="335" spans="1:16" s="7" customFormat="1" ht="14.4" hidden="1" customHeight="1">
      <c r="A335" s="2063">
        <v>45082</v>
      </c>
      <c r="B335" s="411"/>
      <c r="G335" s="321"/>
      <c r="H335" s="334"/>
      <c r="K335" s="241"/>
      <c r="L335" s="241"/>
      <c r="M335" s="244"/>
      <c r="N335" s="166"/>
      <c r="P335" s="166"/>
    </row>
    <row r="336" spans="1:16" s="7" customFormat="1" ht="14.4" hidden="1" customHeight="1">
      <c r="A336" s="2065">
        <v>45083</v>
      </c>
      <c r="B336" s="540" t="s">
        <v>2315</v>
      </c>
      <c r="C336" s="6">
        <v>86766576</v>
      </c>
      <c r="D336" s="6" t="s">
        <v>3173</v>
      </c>
      <c r="E336" s="6"/>
      <c r="F336" s="6"/>
      <c r="G336" s="326" t="s">
        <v>2056</v>
      </c>
      <c r="H336" s="326" t="s">
        <v>2203</v>
      </c>
      <c r="I336" s="6"/>
      <c r="K336" s="241"/>
      <c r="L336" s="241"/>
      <c r="M336" s="244"/>
      <c r="N336" s="166"/>
      <c r="O336" s="7" t="s">
        <v>3503</v>
      </c>
      <c r="P336" s="166"/>
    </row>
    <row r="337" spans="1:16" s="7" customFormat="1">
      <c r="A337" s="2065">
        <v>45083</v>
      </c>
      <c r="B337" s="714" t="s">
        <v>3185</v>
      </c>
      <c r="C337" s="6">
        <v>70291923</v>
      </c>
      <c r="D337" s="877" t="s">
        <v>4370</v>
      </c>
      <c r="E337" s="750"/>
      <c r="F337" s="1481" t="s">
        <v>6196</v>
      </c>
      <c r="G337" s="328" t="s">
        <v>1032</v>
      </c>
      <c r="H337" s="326" t="s">
        <v>2204</v>
      </c>
      <c r="I337" s="6">
        <v>2</v>
      </c>
      <c r="J337" s="7">
        <v>5</v>
      </c>
      <c r="K337" s="241"/>
      <c r="L337" s="241"/>
      <c r="M337" s="244"/>
      <c r="N337" s="166"/>
      <c r="O337" s="542" t="s">
        <v>3280</v>
      </c>
      <c r="P337" s="166"/>
    </row>
    <row r="338" spans="1:16" s="7" customFormat="1" ht="14.4" hidden="1" customHeight="1">
      <c r="A338" s="2065">
        <v>45083</v>
      </c>
      <c r="B338" s="520" t="s">
        <v>3184</v>
      </c>
      <c r="C338" s="6">
        <v>85082382</v>
      </c>
      <c r="D338" s="521" t="s">
        <v>3173</v>
      </c>
      <c r="E338" s="521"/>
      <c r="F338" s="6"/>
      <c r="G338" s="328" t="s">
        <v>1032</v>
      </c>
      <c r="H338" s="701" t="s">
        <v>2205</v>
      </c>
      <c r="I338" s="6"/>
      <c r="K338" s="241"/>
      <c r="L338" s="241"/>
      <c r="M338" s="244"/>
      <c r="N338" s="166"/>
      <c r="O338" s="542" t="s">
        <v>3280</v>
      </c>
      <c r="P338" s="166"/>
    </row>
    <row r="339" spans="1:16" s="7" customFormat="1" ht="14.4" hidden="1" customHeight="1">
      <c r="A339" s="2065">
        <v>45083</v>
      </c>
      <c r="B339" s="765" t="s">
        <v>2212</v>
      </c>
      <c r="C339" s="6">
        <v>82567080</v>
      </c>
      <c r="D339" s="750" t="s">
        <v>3836</v>
      </c>
      <c r="E339" s="888">
        <v>1</v>
      </c>
      <c r="F339" s="6" t="s">
        <v>3568</v>
      </c>
      <c r="G339" s="6" t="s">
        <v>2012</v>
      </c>
      <c r="H339" s="326" t="s">
        <v>2213</v>
      </c>
      <c r="I339" s="6"/>
      <c r="K339" s="241"/>
      <c r="L339" s="241"/>
      <c r="M339" s="244"/>
      <c r="N339" s="166"/>
      <c r="P339" s="166"/>
    </row>
    <row r="340" spans="1:16" s="7" customFormat="1" ht="14.4" hidden="1" customHeight="1">
      <c r="A340" s="2066">
        <v>45083</v>
      </c>
      <c r="B340" s="388" t="s">
        <v>2630</v>
      </c>
      <c r="C340" s="6">
        <v>52446851</v>
      </c>
      <c r="D340" s="6"/>
      <c r="E340" s="6"/>
      <c r="F340" s="6"/>
      <c r="G340" s="6" t="s">
        <v>1032</v>
      </c>
      <c r="H340" s="389" t="s">
        <v>2214</v>
      </c>
      <c r="I340" s="6"/>
      <c r="K340" s="241"/>
      <c r="L340" s="241"/>
      <c r="M340" s="244"/>
      <c r="N340" s="166"/>
      <c r="O340" s="7" t="s">
        <v>2812</v>
      </c>
      <c r="P340" s="166"/>
    </row>
    <row r="341" spans="1:16" s="7" customFormat="1" ht="14.4" hidden="1" customHeight="1">
      <c r="A341" s="2066">
        <v>45083</v>
      </c>
      <c r="B341" s="841" t="s">
        <v>2310</v>
      </c>
      <c r="C341" s="6">
        <v>82075240</v>
      </c>
      <c r="D341" s="841" t="s">
        <v>4234</v>
      </c>
      <c r="E341" s="888">
        <v>1</v>
      </c>
      <c r="F341" s="6" t="s">
        <v>2755</v>
      </c>
      <c r="G341" s="6" t="s">
        <v>2012</v>
      </c>
      <c r="H341" s="335" t="s">
        <v>2309</v>
      </c>
      <c r="I341" s="6"/>
      <c r="K341" s="241"/>
      <c r="L341" s="241"/>
      <c r="M341" s="244"/>
      <c r="N341" s="166"/>
      <c r="P341" s="166"/>
    </row>
    <row r="342" spans="1:16" s="7" customFormat="1" ht="13.8" hidden="1" customHeight="1">
      <c r="A342" s="2067">
        <v>45083</v>
      </c>
      <c r="B342" s="796" t="s">
        <v>3860</v>
      </c>
      <c r="C342" s="792">
        <v>93168950</v>
      </c>
      <c r="D342" s="796" t="s">
        <v>4109</v>
      </c>
      <c r="E342" s="760"/>
      <c r="F342" s="796" t="s">
        <v>2755</v>
      </c>
      <c r="G342" s="792" t="s">
        <v>2215</v>
      </c>
      <c r="H342" s="792" t="s">
        <v>2216</v>
      </c>
      <c r="I342" s="792"/>
      <c r="K342" s="241"/>
      <c r="L342" s="241"/>
      <c r="M342" s="244"/>
      <c r="N342" s="166" t="s">
        <v>4153</v>
      </c>
      <c r="P342" s="166"/>
    </row>
    <row r="343" spans="1:16" s="7" customFormat="1" ht="13.8" hidden="1" customHeight="1">
      <c r="A343" s="2067">
        <v>45083</v>
      </c>
      <c r="B343" s="718"/>
      <c r="C343" s="610"/>
      <c r="D343" s="672"/>
      <c r="E343" s="672"/>
      <c r="F343" s="672"/>
      <c r="G343" s="610"/>
      <c r="H343" s="672"/>
      <c r="I343" s="610"/>
      <c r="K343" s="241"/>
      <c r="L343" s="241"/>
      <c r="M343" s="244"/>
      <c r="N343" s="166"/>
      <c r="P343" s="166"/>
    </row>
    <row r="344" spans="1:16" s="7" customFormat="1" ht="14.4" hidden="1" customHeight="1">
      <c r="A344" s="2068">
        <v>45084</v>
      </c>
      <c r="B344" s="1360" t="s">
        <v>3385</v>
      </c>
      <c r="C344" s="6">
        <v>65608806</v>
      </c>
      <c r="D344" s="6" t="s">
        <v>3427</v>
      </c>
      <c r="E344" s="6"/>
      <c r="F344" s="6" t="s">
        <v>3408</v>
      </c>
      <c r="G344" s="6" t="s">
        <v>713</v>
      </c>
      <c r="H344" s="328" t="s">
        <v>2218</v>
      </c>
      <c r="I344" s="6"/>
      <c r="K344" s="241">
        <v>7</v>
      </c>
      <c r="L344" s="241"/>
      <c r="M344" s="244"/>
      <c r="N344" s="166"/>
      <c r="O344" s="7" t="s">
        <v>3487</v>
      </c>
      <c r="P344" s="166"/>
    </row>
    <row r="345" spans="1:16" s="7" customFormat="1" ht="14.4" hidden="1" customHeight="1">
      <c r="A345" s="2068">
        <v>45084</v>
      </c>
      <c r="B345" s="796" t="s">
        <v>2796</v>
      </c>
      <c r="C345" s="6">
        <v>43446901</v>
      </c>
      <c r="D345" s="6" t="s">
        <v>4081</v>
      </c>
      <c r="E345" s="6"/>
      <c r="F345" s="6" t="s">
        <v>2755</v>
      </c>
      <c r="G345" s="773" t="s">
        <v>3839</v>
      </c>
      <c r="H345" s="760" t="s">
        <v>2222</v>
      </c>
      <c r="I345" s="6"/>
      <c r="J345" s="764"/>
      <c r="K345" s="241"/>
      <c r="L345" s="241"/>
      <c r="M345" s="244"/>
      <c r="N345" s="166"/>
      <c r="P345" s="166"/>
    </row>
    <row r="346" spans="1:16" s="7" customFormat="1" ht="14.4" hidden="1" customHeight="1">
      <c r="A346" s="2068">
        <v>45084</v>
      </c>
      <c r="B346" s="641" t="s">
        <v>2308</v>
      </c>
      <c r="C346" s="6"/>
      <c r="D346" s="6" t="s">
        <v>3003</v>
      </c>
      <c r="E346" s="6"/>
      <c r="F346" s="6" t="s">
        <v>3437</v>
      </c>
      <c r="G346" s="6" t="s">
        <v>2076</v>
      </c>
      <c r="H346" s="331" t="s">
        <v>2276</v>
      </c>
      <c r="I346" s="6"/>
      <c r="K346" s="641" t="s">
        <v>3504</v>
      </c>
      <c r="L346" s="641"/>
      <c r="M346" s="244"/>
      <c r="N346" s="166"/>
      <c r="P346" s="166"/>
    </row>
    <row r="347" spans="1:16" s="7" customFormat="1" ht="14.4" hidden="1" customHeight="1">
      <c r="A347" s="2068">
        <v>45084</v>
      </c>
      <c r="B347" s="338" t="s">
        <v>2223</v>
      </c>
      <c r="C347" s="6">
        <v>20251921</v>
      </c>
      <c r="D347" s="6"/>
      <c r="E347" s="6"/>
      <c r="F347" s="6"/>
      <c r="G347" s="6" t="s">
        <v>2118</v>
      </c>
      <c r="H347" s="328" t="s">
        <v>2224</v>
      </c>
      <c r="I347" s="6"/>
      <c r="K347" s="242">
        <v>23</v>
      </c>
      <c r="L347" s="242"/>
      <c r="M347" s="244"/>
      <c r="N347" s="166"/>
      <c r="P347" s="166"/>
    </row>
    <row r="348" spans="1:16" s="7" customFormat="1" ht="14.4" hidden="1" customHeight="1">
      <c r="A348" s="2068">
        <v>45084</v>
      </c>
      <c r="B348" s="350" t="s">
        <v>2246</v>
      </c>
      <c r="C348" s="6">
        <v>89239198</v>
      </c>
      <c r="D348" s="6"/>
      <c r="E348" s="6"/>
      <c r="F348" s="6"/>
      <c r="G348" s="6" t="s">
        <v>2073</v>
      </c>
      <c r="H348" s="328" t="s">
        <v>2227</v>
      </c>
      <c r="I348" s="6"/>
      <c r="K348" s="241"/>
      <c r="L348" s="241"/>
      <c r="M348" s="244"/>
      <c r="N348" s="166"/>
      <c r="O348" s="7" t="s">
        <v>2586</v>
      </c>
      <c r="P348" s="166"/>
    </row>
    <row r="349" spans="1:16" s="7" customFormat="1" ht="14.4" hidden="1" customHeight="1">
      <c r="A349" s="2068">
        <v>45084</v>
      </c>
      <c r="B349" s="338" t="s">
        <v>2232</v>
      </c>
      <c r="C349" s="6">
        <v>52736491</v>
      </c>
      <c r="D349" s="6"/>
      <c r="E349" s="6"/>
      <c r="F349" s="6"/>
      <c r="G349" s="6" t="s">
        <v>1945</v>
      </c>
      <c r="H349" s="328" t="s">
        <v>2228</v>
      </c>
      <c r="I349" s="6"/>
      <c r="K349" s="241"/>
      <c r="L349" s="241"/>
      <c r="M349" s="244"/>
      <c r="N349" s="166"/>
      <c r="O349" s="7" t="s">
        <v>2657</v>
      </c>
      <c r="P349" s="166"/>
    </row>
    <row r="350" spans="1:16" s="7" customFormat="1" ht="14.4" hidden="1" customHeight="1">
      <c r="A350" s="2068">
        <v>45084</v>
      </c>
      <c r="B350" s="329" t="s">
        <v>2229</v>
      </c>
      <c r="C350" s="6">
        <v>15831642</v>
      </c>
      <c r="D350" s="6"/>
      <c r="E350" s="6"/>
      <c r="F350" s="6"/>
      <c r="G350" s="6" t="s">
        <v>2231</v>
      </c>
      <c r="H350" s="328" t="s">
        <v>2230</v>
      </c>
      <c r="I350" s="6"/>
      <c r="K350" s="241">
        <v>1.5</v>
      </c>
      <c r="L350" s="241"/>
      <c r="M350" s="244"/>
      <c r="N350" s="166"/>
      <c r="P350" s="166"/>
    </row>
    <row r="351" spans="1:16" s="7" customFormat="1" ht="14.4" hidden="1" customHeight="1">
      <c r="A351" s="2068">
        <v>45084</v>
      </c>
      <c r="B351" s="328" t="s">
        <v>2219</v>
      </c>
      <c r="C351" s="6">
        <v>87654321</v>
      </c>
      <c r="D351" s="6"/>
      <c r="E351" s="6"/>
      <c r="F351" s="6"/>
      <c r="G351" s="6" t="s">
        <v>2234</v>
      </c>
      <c r="H351" s="328" t="s">
        <v>2233</v>
      </c>
      <c r="I351" s="6"/>
      <c r="K351" s="241"/>
      <c r="L351" s="241"/>
      <c r="M351" s="244"/>
      <c r="N351" s="166"/>
      <c r="P351" s="166"/>
    </row>
    <row r="352" spans="1:16" s="7" customFormat="1" ht="14.4" hidden="1" customHeight="1">
      <c r="A352" s="2068">
        <v>45084</v>
      </c>
      <c r="B352" s="338" t="s">
        <v>2236</v>
      </c>
      <c r="C352" s="6">
        <v>89521298</v>
      </c>
      <c r="D352" s="6"/>
      <c r="E352" s="6"/>
      <c r="F352" s="6"/>
      <c r="G352" s="6" t="s">
        <v>2237</v>
      </c>
      <c r="H352" s="328" t="s">
        <v>2238</v>
      </c>
      <c r="I352" s="6"/>
      <c r="K352" s="241"/>
      <c r="L352" s="241"/>
      <c r="M352" s="244"/>
      <c r="N352" s="166"/>
      <c r="P352" s="166"/>
    </row>
    <row r="353" spans="1:16" s="7" customFormat="1" ht="14.4" hidden="1" customHeight="1">
      <c r="A353" s="2068">
        <v>45084</v>
      </c>
      <c r="B353" s="340" t="s">
        <v>2239</v>
      </c>
      <c r="C353" s="340">
        <v>59266196</v>
      </c>
      <c r="D353" s="340"/>
      <c r="E353" s="340"/>
      <c r="F353" s="340"/>
      <c r="G353" s="6" t="s">
        <v>2335</v>
      </c>
      <c r="H353" s="340" t="s">
        <v>2240</v>
      </c>
      <c r="I353" s="340"/>
      <c r="J353" s="339"/>
      <c r="K353" s="241"/>
      <c r="L353" s="241"/>
      <c r="M353" s="244"/>
      <c r="N353" s="374" t="s">
        <v>2444</v>
      </c>
      <c r="P353" s="166"/>
    </row>
    <row r="354" spans="1:16" s="7" customFormat="1" ht="14.4" hidden="1" customHeight="1">
      <c r="A354" s="2069">
        <v>45085</v>
      </c>
      <c r="B354" s="895" t="s">
        <v>2243</v>
      </c>
      <c r="C354" s="6">
        <v>29523791</v>
      </c>
      <c r="D354" s="6"/>
      <c r="E354" s="6"/>
      <c r="F354" s="6"/>
      <c r="G354" s="6" t="s">
        <v>1970</v>
      </c>
      <c r="H354" s="329" t="s">
        <v>2245</v>
      </c>
      <c r="I354" s="6"/>
      <c r="K354" s="241">
        <v>0</v>
      </c>
      <c r="L354" s="241"/>
      <c r="M354" s="896" t="s">
        <v>4419</v>
      </c>
      <c r="N354" s="166"/>
      <c r="P354" s="166"/>
    </row>
    <row r="355" spans="1:16" s="7" customFormat="1" ht="14.4" hidden="1" customHeight="1">
      <c r="A355" s="2069">
        <v>45085</v>
      </c>
      <c r="B355" s="407" t="s">
        <v>2247</v>
      </c>
      <c r="C355" s="6">
        <v>62387589</v>
      </c>
      <c r="D355" s="6"/>
      <c r="E355" s="6"/>
      <c r="F355" s="6" t="s">
        <v>2755</v>
      </c>
      <c r="G355" s="6" t="s">
        <v>2248</v>
      </c>
      <c r="H355" s="329" t="s">
        <v>2249</v>
      </c>
      <c r="I355" s="6"/>
      <c r="J355" s="3"/>
      <c r="K355" s="241"/>
      <c r="L355" s="241"/>
      <c r="M355" s="618" t="s">
        <v>3427</v>
      </c>
      <c r="N355" s="166"/>
      <c r="P355" s="166"/>
    </row>
    <row r="356" spans="1:16" s="7" customFormat="1" ht="14.4" hidden="1" customHeight="1">
      <c r="A356" s="2069">
        <v>45085</v>
      </c>
      <c r="B356" s="329" t="s">
        <v>2250</v>
      </c>
      <c r="C356" s="6">
        <v>78136900</v>
      </c>
      <c r="D356" s="6"/>
      <c r="E356" s="6"/>
      <c r="F356" s="6"/>
      <c r="G356" s="6" t="s">
        <v>2251</v>
      </c>
      <c r="H356" s="329" t="s">
        <v>2252</v>
      </c>
      <c r="I356" s="6"/>
      <c r="K356" s="241"/>
      <c r="L356" s="241"/>
      <c r="M356" s="618" t="s">
        <v>3427</v>
      </c>
      <c r="N356" s="166"/>
      <c r="P356" s="166"/>
    </row>
    <row r="357" spans="1:16" s="7" customFormat="1" ht="14.4" hidden="1" customHeight="1">
      <c r="A357" s="2069">
        <v>45085</v>
      </c>
      <c r="B357" s="431" t="s">
        <v>2856</v>
      </c>
      <c r="C357" s="6">
        <v>76050740</v>
      </c>
      <c r="D357" s="6"/>
      <c r="E357" s="6"/>
      <c r="F357" s="6"/>
      <c r="G357" s="6" t="s">
        <v>2254</v>
      </c>
      <c r="H357" s="329" t="s">
        <v>2253</v>
      </c>
      <c r="I357" s="6"/>
      <c r="K357" s="241"/>
      <c r="L357" s="241"/>
      <c r="M357" s="244"/>
      <c r="N357" s="166"/>
      <c r="P357" s="166"/>
    </row>
    <row r="358" spans="1:16" s="7" customFormat="1" ht="14.4" hidden="1" customHeight="1">
      <c r="A358" s="2069">
        <v>45085</v>
      </c>
      <c r="B358" s="796" t="s">
        <v>3926</v>
      </c>
      <c r="C358" s="6">
        <v>60248398</v>
      </c>
      <c r="D358" s="6" t="s">
        <v>4081</v>
      </c>
      <c r="E358" s="6"/>
      <c r="F358" s="796" t="s">
        <v>2755</v>
      </c>
      <c r="G358" s="6" t="s">
        <v>1996</v>
      </c>
      <c r="H358" s="329" t="s">
        <v>2255</v>
      </c>
      <c r="I358" s="6"/>
      <c r="K358" s="241"/>
      <c r="L358" s="241"/>
      <c r="M358" s="244"/>
      <c r="N358" s="166"/>
      <c r="P358" s="166"/>
    </row>
    <row r="359" spans="1:16" s="7" customFormat="1" ht="14.4" hidden="1" customHeight="1">
      <c r="A359" s="2069">
        <v>45085</v>
      </c>
      <c r="B359" s="606" t="s">
        <v>2256</v>
      </c>
      <c r="C359" s="6">
        <v>90844668</v>
      </c>
      <c r="D359" s="6"/>
      <c r="E359" s="6"/>
      <c r="F359" s="6" t="s">
        <v>3408</v>
      </c>
      <c r="G359" s="6" t="s">
        <v>763</v>
      </c>
      <c r="H359" s="329" t="s">
        <v>2257</v>
      </c>
      <c r="I359" s="6"/>
      <c r="K359" s="241"/>
      <c r="L359" s="241"/>
      <c r="M359" s="244"/>
      <c r="N359" s="166" t="s">
        <v>3347</v>
      </c>
      <c r="P359" s="166"/>
    </row>
    <row r="360" spans="1:16" s="7" customFormat="1" ht="14.4" hidden="1" customHeight="1">
      <c r="A360" s="2069">
        <v>45085</v>
      </c>
      <c r="B360" s="613"/>
      <c r="C360" s="3"/>
      <c r="D360" s="3"/>
      <c r="E360" s="3"/>
      <c r="F360" s="3"/>
      <c r="G360" s="537"/>
      <c r="H360" s="614"/>
      <c r="I360" s="3"/>
      <c r="K360" s="241"/>
      <c r="L360" s="241"/>
      <c r="M360" s="244"/>
      <c r="N360" s="166"/>
      <c r="P360" s="166"/>
    </row>
    <row r="361" spans="1:16" s="7" customFormat="1" ht="14.4" hidden="1" customHeight="1">
      <c r="A361" s="2069">
        <v>45085</v>
      </c>
      <c r="B361" s="331" t="s">
        <v>2258</v>
      </c>
      <c r="C361" s="6">
        <v>44554121</v>
      </c>
      <c r="D361" s="6"/>
      <c r="E361" s="6"/>
      <c r="F361" s="6"/>
      <c r="G361" s="6" t="s">
        <v>2231</v>
      </c>
      <c r="H361" s="329" t="s">
        <v>2259</v>
      </c>
      <c r="I361" s="6"/>
      <c r="K361" s="241"/>
      <c r="L361" s="241"/>
      <c r="M361" s="244"/>
      <c r="N361" s="166"/>
      <c r="P361" s="166"/>
    </row>
    <row r="362" spans="1:16" s="7" customFormat="1" ht="14.4" hidden="1" customHeight="1">
      <c r="A362" s="2069">
        <v>45085</v>
      </c>
      <c r="B362" s="884" t="s">
        <v>3927</v>
      </c>
      <c r="C362" s="6">
        <v>90748677</v>
      </c>
      <c r="D362" s="884" t="s">
        <v>4397</v>
      </c>
      <c r="E362" s="701"/>
      <c r="F362" s="6" t="s">
        <v>2755</v>
      </c>
      <c r="G362" s="767" t="s">
        <v>763</v>
      </c>
      <c r="H362" s="853" t="s">
        <v>2260</v>
      </c>
      <c r="I362" s="6"/>
      <c r="K362" s="241"/>
      <c r="L362" s="241"/>
      <c r="M362" s="244"/>
      <c r="N362" s="166" t="s">
        <v>4458</v>
      </c>
      <c r="P362" s="166"/>
    </row>
    <row r="363" spans="1:16" s="7" customFormat="1" ht="14.4" hidden="1" customHeight="1">
      <c r="A363" s="2069">
        <v>45085</v>
      </c>
      <c r="B363" s="620" t="s">
        <v>3331</v>
      </c>
      <c r="C363" s="6">
        <v>50711343</v>
      </c>
      <c r="D363" s="6" t="s">
        <v>3427</v>
      </c>
      <c r="E363" s="6"/>
      <c r="F363" s="6" t="s">
        <v>3408</v>
      </c>
      <c r="G363" s="6" t="s">
        <v>2221</v>
      </c>
      <c r="H363" s="329" t="s">
        <v>2265</v>
      </c>
      <c r="I363" s="6"/>
      <c r="K363" s="241"/>
      <c r="L363" s="241"/>
      <c r="M363" s="244"/>
      <c r="N363" s="166"/>
      <c r="P363" s="166"/>
    </row>
    <row r="364" spans="1:16" s="7" customFormat="1" ht="14.4" hidden="1" customHeight="1">
      <c r="A364" s="2069">
        <v>45085</v>
      </c>
      <c r="B364" s="338" t="s">
        <v>2307</v>
      </c>
      <c r="C364" s="6">
        <v>47797705</v>
      </c>
      <c r="D364" s="6"/>
      <c r="E364" s="6"/>
      <c r="F364" s="6"/>
      <c r="G364" s="6" t="s">
        <v>2266</v>
      </c>
      <c r="H364" s="329" t="s">
        <v>2267</v>
      </c>
      <c r="I364" s="6"/>
      <c r="K364" s="241"/>
      <c r="L364" s="241"/>
      <c r="M364" s="244"/>
      <c r="N364" s="166"/>
      <c r="O364" s="7" t="s">
        <v>2657</v>
      </c>
      <c r="P364" s="166"/>
    </row>
    <row r="365" spans="1:16" s="7" customFormat="1" ht="14.4" hidden="1" customHeight="1">
      <c r="A365" s="2069">
        <v>45085</v>
      </c>
      <c r="B365" s="437" t="s">
        <v>2268</v>
      </c>
      <c r="C365" s="6"/>
      <c r="D365" s="6"/>
      <c r="E365" s="6"/>
      <c r="F365" s="6"/>
      <c r="G365" s="6" t="s">
        <v>1032</v>
      </c>
      <c r="H365" s="329" t="s">
        <v>2269</v>
      </c>
      <c r="I365" s="6"/>
      <c r="K365" s="241"/>
      <c r="L365" s="241"/>
      <c r="M365" s="244"/>
      <c r="N365" s="166"/>
      <c r="O365" s="542" t="s">
        <v>3280</v>
      </c>
      <c r="P365" s="166"/>
    </row>
    <row r="366" spans="1:16" s="7" customFormat="1" ht="14.4" hidden="1" customHeight="1">
      <c r="A366" s="2070">
        <v>45086</v>
      </c>
      <c r="B366" s="606" t="s">
        <v>2279</v>
      </c>
      <c r="C366" s="6">
        <v>78154688</v>
      </c>
      <c r="D366" s="6"/>
      <c r="E366" s="6"/>
      <c r="F366" s="6" t="s">
        <v>3408</v>
      </c>
      <c r="G366" s="6" t="s">
        <v>2124</v>
      </c>
      <c r="H366" s="331" t="s">
        <v>2281</v>
      </c>
      <c r="I366" s="6"/>
      <c r="K366" s="241"/>
      <c r="L366" s="241"/>
      <c r="M366" s="244"/>
      <c r="N366" s="166"/>
      <c r="P366" s="166"/>
    </row>
    <row r="367" spans="1:16" s="7" customFormat="1" ht="14.4" hidden="1" customHeight="1">
      <c r="A367" s="2070">
        <v>45086</v>
      </c>
      <c r="B367" s="645" t="s">
        <v>2282</v>
      </c>
      <c r="C367" s="6">
        <v>81670903</v>
      </c>
      <c r="D367" s="6"/>
      <c r="E367" s="6"/>
      <c r="F367" s="645" t="s">
        <v>3528</v>
      </c>
      <c r="G367" s="403" t="s">
        <v>2284</v>
      </c>
      <c r="H367" s="331" t="s">
        <v>2283</v>
      </c>
      <c r="I367" s="6"/>
      <c r="K367" s="241"/>
      <c r="L367" s="241"/>
      <c r="M367" s="244"/>
      <c r="N367" s="166"/>
      <c r="P367" s="166"/>
    </row>
    <row r="368" spans="1:16" s="7" customFormat="1" ht="14.4" hidden="1" customHeight="1">
      <c r="A368" s="2070">
        <v>45086</v>
      </c>
      <c r="B368" s="750" t="s">
        <v>2285</v>
      </c>
      <c r="C368" s="6">
        <v>88596558</v>
      </c>
      <c r="D368" s="750" t="s">
        <v>3800</v>
      </c>
      <c r="E368" s="888">
        <v>1</v>
      </c>
      <c r="F368" s="6" t="s">
        <v>2755</v>
      </c>
      <c r="G368" s="6" t="s">
        <v>2012</v>
      </c>
      <c r="H368" s="331" t="s">
        <v>2286</v>
      </c>
      <c r="I368" s="6"/>
      <c r="K368" s="241"/>
      <c r="L368" s="241"/>
      <c r="M368" s="244"/>
      <c r="N368" s="166"/>
      <c r="P368" s="166"/>
    </row>
    <row r="369" spans="1:16" s="7" customFormat="1" ht="14.4" hidden="1" customHeight="1">
      <c r="A369" s="2070">
        <v>45086</v>
      </c>
      <c r="B369" s="853" t="s">
        <v>2287</v>
      </c>
      <c r="C369" s="6"/>
      <c r="D369" s="6"/>
      <c r="E369" s="6"/>
      <c r="F369" s="6"/>
      <c r="G369" s="6" t="s">
        <v>2288</v>
      </c>
      <c r="H369" s="331" t="s">
        <v>2289</v>
      </c>
      <c r="I369" s="6"/>
      <c r="K369" s="241"/>
      <c r="L369" s="241"/>
      <c r="M369" s="244"/>
      <c r="N369" s="166"/>
      <c r="P369" s="166"/>
    </row>
    <row r="370" spans="1:16" s="7" customFormat="1" ht="14.4" hidden="1" customHeight="1">
      <c r="A370" s="2070">
        <v>45086</v>
      </c>
      <c r="B370" s="750" t="s">
        <v>3781</v>
      </c>
      <c r="C370" s="6"/>
      <c r="D370" s="750" t="s">
        <v>3800</v>
      </c>
      <c r="E370" s="750"/>
      <c r="F370" s="6" t="s">
        <v>2755</v>
      </c>
      <c r="G370" s="6" t="s">
        <v>1970</v>
      </c>
      <c r="H370" s="331" t="s">
        <v>2290</v>
      </c>
      <c r="I370" s="6"/>
      <c r="K370" s="241">
        <v>2</v>
      </c>
      <c r="L370" s="241"/>
      <c r="M370" s="815" t="s">
        <v>4142</v>
      </c>
      <c r="N370" s="166"/>
      <c r="P370" s="166"/>
    </row>
    <row r="371" spans="1:16" s="7" customFormat="1" ht="14.4" hidden="1" customHeight="1">
      <c r="A371" s="2071">
        <v>45087</v>
      </c>
      <c r="B371" s="332" t="s">
        <v>2300</v>
      </c>
      <c r="C371" s="6"/>
      <c r="D371" s="6"/>
      <c r="E371" s="6"/>
      <c r="F371" s="6"/>
      <c r="G371" s="6" t="s">
        <v>2302</v>
      </c>
      <c r="H371" s="332" t="s">
        <v>2301</v>
      </c>
      <c r="I371" s="6"/>
      <c r="K371" s="241"/>
      <c r="L371" s="241"/>
      <c r="M371" s="244"/>
      <c r="N371" s="166"/>
      <c r="P371" s="166"/>
    </row>
    <row r="372" spans="1:16" s="7" customFormat="1" ht="14.4" hidden="1" customHeight="1">
      <c r="A372" s="2071">
        <v>45087</v>
      </c>
      <c r="B372" s="728" t="s">
        <v>2304</v>
      </c>
      <c r="C372" s="6">
        <v>85565308</v>
      </c>
      <c r="D372" s="6" t="s">
        <v>3663</v>
      </c>
      <c r="E372" s="6"/>
      <c r="F372" s="701" t="s">
        <v>2755</v>
      </c>
      <c r="G372" s="6" t="s">
        <v>1972</v>
      </c>
      <c r="H372" s="656" t="s">
        <v>2305</v>
      </c>
      <c r="I372" s="6"/>
      <c r="K372" s="241"/>
      <c r="L372" s="241"/>
      <c r="M372" s="244"/>
      <c r="N372" s="166"/>
      <c r="P372" s="166"/>
    </row>
    <row r="373" spans="1:16" s="7" customFormat="1" ht="14.4" hidden="1" customHeight="1">
      <c r="A373" s="2072">
        <v>45087</v>
      </c>
      <c r="B373" s="750" t="s">
        <v>2311</v>
      </c>
      <c r="C373" s="6">
        <v>89888228</v>
      </c>
      <c r="D373" s="750" t="s">
        <v>3800</v>
      </c>
      <c r="E373" s="750"/>
      <c r="F373" s="6" t="s">
        <v>2755</v>
      </c>
      <c r="G373" s="6" t="s">
        <v>2312</v>
      </c>
      <c r="H373" s="335" t="s">
        <v>2313</v>
      </c>
      <c r="I373" s="6"/>
      <c r="K373" s="241"/>
      <c r="L373" s="241"/>
      <c r="M373" s="244"/>
      <c r="N373" s="166"/>
      <c r="P373" s="166"/>
    </row>
    <row r="374" spans="1:16" s="7" customFormat="1" ht="14.4" hidden="1" customHeight="1">
      <c r="A374" s="2072">
        <v>45087</v>
      </c>
      <c r="B374" s="338" t="s">
        <v>2298</v>
      </c>
      <c r="C374" s="6"/>
      <c r="D374" s="6"/>
      <c r="E374" s="6"/>
      <c r="F374" s="6"/>
      <c r="G374" s="6" t="s">
        <v>2317</v>
      </c>
      <c r="H374" s="335" t="s">
        <v>2316</v>
      </c>
      <c r="I374" s="6"/>
      <c r="K374" s="241"/>
      <c r="L374" s="241"/>
      <c r="M374" s="244"/>
      <c r="N374" s="166"/>
      <c r="P374" s="166"/>
    </row>
    <row r="375" spans="1:16" s="7" customFormat="1" ht="14.4" hidden="1" customHeight="1">
      <c r="A375" s="2072">
        <v>45087</v>
      </c>
      <c r="B375" s="635" t="s">
        <v>2319</v>
      </c>
      <c r="C375" s="6">
        <v>79469483</v>
      </c>
      <c r="D375" s="6" t="s">
        <v>3406</v>
      </c>
      <c r="E375" s="6"/>
      <c r="F375" s="6" t="s">
        <v>3408</v>
      </c>
      <c r="G375" s="6" t="s">
        <v>2124</v>
      </c>
      <c r="H375" s="335" t="s">
        <v>2318</v>
      </c>
      <c r="I375" s="6"/>
      <c r="K375" s="241"/>
      <c r="L375" s="241"/>
      <c r="M375" s="244"/>
      <c r="N375" s="166"/>
      <c r="P375" s="166"/>
    </row>
    <row r="376" spans="1:16" s="7" customFormat="1" ht="14.4" hidden="1" customHeight="1">
      <c r="A376" s="2073">
        <v>45089</v>
      </c>
      <c r="B376" s="737" t="s">
        <v>3707</v>
      </c>
      <c r="C376" s="6">
        <v>57663901</v>
      </c>
      <c r="D376" s="6" t="s">
        <v>3650</v>
      </c>
      <c r="E376" s="6"/>
      <c r="F376" s="6" t="s">
        <v>3568</v>
      </c>
      <c r="G376" s="6" t="s">
        <v>2306</v>
      </c>
      <c r="H376" s="744" t="s">
        <v>3018</v>
      </c>
      <c r="I376" s="6"/>
      <c r="K376" s="241"/>
      <c r="L376" s="241"/>
      <c r="M376" s="244"/>
      <c r="N376" s="166"/>
      <c r="P376" s="166"/>
    </row>
    <row r="377" spans="1:16" s="7" customFormat="1" ht="14.4" hidden="1" customHeight="1">
      <c r="A377" s="2073">
        <v>45089</v>
      </c>
      <c r="B377" s="387" t="s">
        <v>2327</v>
      </c>
      <c r="C377" s="6">
        <v>98482647</v>
      </c>
      <c r="D377" s="6"/>
      <c r="E377" s="6"/>
      <c r="F377" s="6"/>
      <c r="G377" s="6" t="s">
        <v>1989</v>
      </c>
      <c r="H377" s="338" t="s">
        <v>2328</v>
      </c>
      <c r="I377" s="6"/>
      <c r="J377" s="6"/>
      <c r="K377" s="241"/>
      <c r="L377" s="241"/>
      <c r="M377" s="244"/>
      <c r="N377" s="166"/>
      <c r="O377" s="7" t="s">
        <v>3406</v>
      </c>
      <c r="P377" s="166"/>
    </row>
    <row r="378" spans="1:16" s="7" customFormat="1" ht="14.4" hidden="1" customHeight="1">
      <c r="A378" s="2073">
        <v>45089</v>
      </c>
      <c r="B378" s="620" t="s">
        <v>2542</v>
      </c>
      <c r="C378" s="6">
        <v>91292744</v>
      </c>
      <c r="D378" s="6" t="s">
        <v>3406</v>
      </c>
      <c r="E378" s="6"/>
      <c r="F378" s="6" t="s">
        <v>3408</v>
      </c>
      <c r="G378" s="6" t="s">
        <v>1943</v>
      </c>
      <c r="H378" s="338" t="s">
        <v>2329</v>
      </c>
      <c r="I378" s="6"/>
      <c r="K378" s="241"/>
      <c r="L378" s="241"/>
      <c r="M378" s="244"/>
      <c r="N378" s="166"/>
      <c r="O378" s="7" t="s">
        <v>3463</v>
      </c>
      <c r="P378" s="166"/>
    </row>
    <row r="379" spans="1:16" s="7" customFormat="1" ht="14.4" hidden="1" customHeight="1">
      <c r="A379" s="2073">
        <v>45089</v>
      </c>
      <c r="B379" s="635" t="s">
        <v>2332</v>
      </c>
      <c r="C379" s="6">
        <v>77259930</v>
      </c>
      <c r="D379" s="6" t="s">
        <v>3406</v>
      </c>
      <c r="E379" s="6"/>
      <c r="F379" s="6" t="s">
        <v>3408</v>
      </c>
      <c r="G379" s="6" t="s">
        <v>2124</v>
      </c>
      <c r="H379" s="338" t="s">
        <v>2333</v>
      </c>
      <c r="I379" s="6"/>
      <c r="K379" s="241"/>
      <c r="L379" s="241"/>
      <c r="M379" s="244"/>
      <c r="N379" s="166"/>
      <c r="P379" s="166"/>
    </row>
    <row r="380" spans="1:16" s="7" customFormat="1" ht="14.4" hidden="1" customHeight="1">
      <c r="A380" s="2073">
        <v>45089</v>
      </c>
      <c r="B380" s="606" t="s">
        <v>2334</v>
      </c>
      <c r="C380" s="6">
        <v>28299585</v>
      </c>
      <c r="D380" s="6"/>
      <c r="E380" s="6"/>
      <c r="F380" s="6" t="s">
        <v>3408</v>
      </c>
      <c r="G380" s="6" t="s">
        <v>2335</v>
      </c>
      <c r="H380" s="338" t="s">
        <v>2336</v>
      </c>
      <c r="I380" s="6"/>
      <c r="K380" s="241"/>
      <c r="L380" s="241"/>
      <c r="M380" s="244"/>
      <c r="N380" s="166" t="s">
        <v>3463</v>
      </c>
      <c r="P380" s="166"/>
    </row>
    <row r="381" spans="1:16" s="7" customFormat="1" ht="14.4" hidden="1" customHeight="1">
      <c r="A381" s="2073">
        <v>45089</v>
      </c>
      <c r="B381" s="350" t="s">
        <v>2291</v>
      </c>
      <c r="C381" s="6">
        <v>79169390</v>
      </c>
      <c r="D381" s="6"/>
      <c r="E381" s="6"/>
      <c r="F381" s="6"/>
      <c r="G381" s="6" t="s">
        <v>2221</v>
      </c>
      <c r="H381" s="331" t="s">
        <v>2292</v>
      </c>
      <c r="I381" s="6"/>
      <c r="K381" s="241"/>
      <c r="L381" s="241"/>
      <c r="M381" s="244"/>
      <c r="N381" s="166"/>
      <c r="P381" s="166"/>
    </row>
    <row r="382" spans="1:16" s="7" customFormat="1" ht="14.4" hidden="1" customHeight="1">
      <c r="A382" s="2074">
        <v>45090</v>
      </c>
      <c r="B382" s="346" t="s">
        <v>2341</v>
      </c>
      <c r="C382" s="6">
        <v>35670960</v>
      </c>
      <c r="D382" s="6"/>
      <c r="E382" s="6"/>
      <c r="F382" s="6"/>
      <c r="G382" s="6" t="s">
        <v>1989</v>
      </c>
      <c r="H382" s="340" t="s">
        <v>2342</v>
      </c>
      <c r="I382" s="6"/>
      <c r="K382" s="241"/>
      <c r="L382" s="241"/>
      <c r="M382" s="244"/>
      <c r="N382" s="166"/>
      <c r="O382" s="7" t="s">
        <v>3406</v>
      </c>
      <c r="P382" s="166"/>
    </row>
    <row r="383" spans="1:16" s="7" customFormat="1" ht="14.4" hidden="1" customHeight="1">
      <c r="A383" s="2074">
        <v>45090</v>
      </c>
      <c r="B383" s="357" t="s">
        <v>2381</v>
      </c>
      <c r="C383" s="6">
        <v>25609122</v>
      </c>
      <c r="D383" s="6"/>
      <c r="E383" s="6"/>
      <c r="F383" s="6"/>
      <c r="G383" s="6" t="s">
        <v>1936</v>
      </c>
      <c r="H383" s="340" t="s">
        <v>2345</v>
      </c>
      <c r="I383" s="6"/>
      <c r="K383" s="241"/>
      <c r="L383" s="241"/>
      <c r="M383" s="393" t="s">
        <v>2641</v>
      </c>
      <c r="N383" s="166"/>
      <c r="P383" s="166"/>
    </row>
    <row r="384" spans="1:16" s="7" customFormat="1" ht="14.4" hidden="1" customHeight="1">
      <c r="A384" s="2074">
        <v>45090</v>
      </c>
      <c r="B384" s="750" t="s">
        <v>2346</v>
      </c>
      <c r="C384" s="6">
        <v>56753975</v>
      </c>
      <c r="D384" s="750" t="s">
        <v>3800</v>
      </c>
      <c r="E384" s="888">
        <v>1</v>
      </c>
      <c r="F384" s="6" t="s">
        <v>2755</v>
      </c>
      <c r="G384" s="6" t="s">
        <v>2012</v>
      </c>
      <c r="H384" s="340" t="s">
        <v>2347</v>
      </c>
      <c r="I384" s="6"/>
      <c r="K384" s="241"/>
      <c r="L384" s="241"/>
      <c r="M384" s="244"/>
      <c r="N384" s="166"/>
      <c r="P384" s="166"/>
    </row>
    <row r="385" spans="1:16" s="7" customFormat="1" ht="14.4" hidden="1" customHeight="1">
      <c r="A385" s="2075">
        <v>45090</v>
      </c>
      <c r="B385" s="407" t="s">
        <v>2344</v>
      </c>
      <c r="C385" s="6">
        <v>93595077</v>
      </c>
      <c r="D385" s="6"/>
      <c r="E385" s="6"/>
      <c r="F385" s="6" t="s">
        <v>2740</v>
      </c>
      <c r="G385" s="6" t="s">
        <v>2231</v>
      </c>
      <c r="H385" s="340" t="s">
        <v>2348</v>
      </c>
      <c r="I385" s="6"/>
      <c r="K385" s="241"/>
      <c r="L385" s="241"/>
      <c r="M385" s="244">
        <f>858+330</f>
        <v>1188</v>
      </c>
      <c r="N385" s="166"/>
      <c r="P385" s="166"/>
    </row>
    <row r="386" spans="1:16" s="7" customFormat="1" ht="14.4" hidden="1" customHeight="1">
      <c r="A386" s="2076">
        <v>45090</v>
      </c>
      <c r="B386" s="341" t="s">
        <v>2324</v>
      </c>
      <c r="C386" s="342">
        <v>72369671</v>
      </c>
      <c r="D386" s="342"/>
      <c r="E386" s="342"/>
      <c r="F386" s="342"/>
      <c r="G386" s="342" t="s">
        <v>2317</v>
      </c>
      <c r="H386" s="343" t="s">
        <v>2326</v>
      </c>
      <c r="I386" s="342"/>
      <c r="K386" s="241"/>
      <c r="L386" s="241"/>
      <c r="M386" s="244"/>
      <c r="N386" s="166"/>
      <c r="P386" s="166"/>
    </row>
    <row r="387" spans="1:16" s="7" customFormat="1" ht="14.4" hidden="1" customHeight="1">
      <c r="A387" s="339"/>
      <c r="B387" s="341" t="s">
        <v>2357</v>
      </c>
      <c r="C387" s="342">
        <v>14911135</v>
      </c>
      <c r="D387" s="342" t="s">
        <v>2985</v>
      </c>
      <c r="E387" s="342"/>
      <c r="F387" s="342" t="s">
        <v>2750</v>
      </c>
      <c r="G387" s="342" t="s">
        <v>2749</v>
      </c>
      <c r="H387" s="341" t="s">
        <v>2356</v>
      </c>
      <c r="I387" s="342"/>
      <c r="K387" s="241">
        <v>6.8</v>
      </c>
      <c r="L387" s="241"/>
      <c r="M387" s="244"/>
      <c r="N387" s="166"/>
      <c r="P387" s="166"/>
    </row>
    <row r="388" spans="1:16" s="7" customFormat="1" ht="14.4" hidden="1" customHeight="1">
      <c r="A388" s="339"/>
      <c r="B388" s="341" t="s">
        <v>2355</v>
      </c>
      <c r="C388" s="342">
        <v>66528620</v>
      </c>
      <c r="D388" s="342" t="s">
        <v>2985</v>
      </c>
      <c r="E388" s="342"/>
      <c r="F388" s="342" t="s">
        <v>2750</v>
      </c>
      <c r="G388" s="342" t="s">
        <v>2749</v>
      </c>
      <c r="H388" s="341" t="s">
        <v>2356</v>
      </c>
      <c r="I388" s="342"/>
      <c r="K388" s="241"/>
      <c r="L388" s="241"/>
      <c r="M388" s="244"/>
      <c r="N388" s="166"/>
      <c r="P388" s="166"/>
    </row>
    <row r="389" spans="1:16" s="7" customFormat="1" ht="14.4" hidden="1" customHeight="1">
      <c r="A389" s="339"/>
      <c r="B389" s="348" t="s">
        <v>2385</v>
      </c>
      <c r="C389" s="342"/>
      <c r="D389" s="342"/>
      <c r="E389" s="342"/>
      <c r="F389" s="342"/>
      <c r="G389" s="342" t="s">
        <v>2115</v>
      </c>
      <c r="H389" s="341" t="s">
        <v>2356</v>
      </c>
      <c r="I389" s="342"/>
      <c r="K389" s="241"/>
      <c r="L389" s="241"/>
      <c r="M389" s="244"/>
      <c r="N389" s="166"/>
      <c r="P389" s="166"/>
    </row>
    <row r="390" spans="1:16" s="7" customFormat="1" ht="14.4" hidden="1" customHeight="1">
      <c r="A390" s="2074">
        <v>45090</v>
      </c>
      <c r="B390" s="765" t="s">
        <v>2363</v>
      </c>
      <c r="C390" s="6">
        <v>65632437</v>
      </c>
      <c r="D390" s="6" t="s">
        <v>3836</v>
      </c>
      <c r="E390" s="6"/>
      <c r="F390" s="6" t="s">
        <v>3568</v>
      </c>
      <c r="G390" s="340" t="s">
        <v>667</v>
      </c>
      <c r="H390" s="340" t="s">
        <v>2362</v>
      </c>
      <c r="I390" s="6"/>
      <c r="K390" s="241"/>
      <c r="L390" s="241"/>
      <c r="M390" s="244"/>
      <c r="N390" s="166"/>
      <c r="O390" s="764" t="s">
        <v>3935</v>
      </c>
      <c r="P390" s="166"/>
    </row>
    <row r="391" spans="1:16" s="7" customFormat="1" ht="14.4" hidden="1" customHeight="1">
      <c r="A391" s="2077">
        <v>45091</v>
      </c>
      <c r="B391" s="363" t="s">
        <v>2364</v>
      </c>
      <c r="C391" s="6">
        <v>22521911</v>
      </c>
      <c r="D391" s="6"/>
      <c r="E391" s="6"/>
      <c r="F391" s="6"/>
      <c r="G391" s="346" t="s">
        <v>617</v>
      </c>
      <c r="H391" s="346" t="s">
        <v>2370</v>
      </c>
      <c r="I391" s="6"/>
      <c r="K391" s="241"/>
      <c r="L391" s="241"/>
      <c r="M391" s="244"/>
      <c r="N391" s="166">
        <v>14200</v>
      </c>
      <c r="P391" s="166"/>
    </row>
    <row r="392" spans="1:16" s="7" customFormat="1" ht="14.4" hidden="1" customHeight="1">
      <c r="A392" s="2077">
        <v>45091</v>
      </c>
      <c r="B392" s="462" t="s">
        <v>2366</v>
      </c>
      <c r="C392" s="6">
        <v>66431117</v>
      </c>
      <c r="D392" s="6" t="s">
        <v>2829</v>
      </c>
      <c r="E392" s="6"/>
      <c r="F392" s="6"/>
      <c r="G392" s="346" t="s">
        <v>713</v>
      </c>
      <c r="H392" s="346" t="s">
        <v>2367</v>
      </c>
      <c r="I392" s="6"/>
      <c r="J392" s="6"/>
      <c r="K392" s="241"/>
      <c r="L392" s="241"/>
      <c r="M392" s="244"/>
      <c r="N392" s="166">
        <f>1750*12</f>
        <v>21000</v>
      </c>
      <c r="O392" s="490" t="s">
        <v>3092</v>
      </c>
      <c r="P392" s="166"/>
    </row>
    <row r="393" spans="1:16" s="7" customFormat="1" ht="14.4" hidden="1" customHeight="1">
      <c r="A393" s="2077">
        <v>45091</v>
      </c>
      <c r="B393" s="728" t="s">
        <v>2368</v>
      </c>
      <c r="C393" s="6">
        <v>90913513</v>
      </c>
      <c r="D393" s="721" t="s">
        <v>3663</v>
      </c>
      <c r="E393" s="721"/>
      <c r="F393" s="728" t="s">
        <v>2755</v>
      </c>
      <c r="G393" s="585" t="s">
        <v>3312</v>
      </c>
      <c r="H393" s="346" t="s">
        <v>2369</v>
      </c>
      <c r="I393" s="6"/>
      <c r="K393" s="241"/>
      <c r="L393" s="241"/>
      <c r="M393" s="734" t="s">
        <v>3687</v>
      </c>
      <c r="N393" s="166"/>
      <c r="P393" s="166"/>
    </row>
    <row r="394" spans="1:16" s="7" customFormat="1" ht="14.4" hidden="1" customHeight="1">
      <c r="A394" s="2077">
        <v>45091</v>
      </c>
      <c r="B394" s="781" t="s">
        <v>2374</v>
      </c>
      <c r="C394" s="6">
        <v>91068853</v>
      </c>
      <c r="D394" s="721" t="s">
        <v>3663</v>
      </c>
      <c r="E394" s="721"/>
      <c r="F394" s="6" t="s">
        <v>2755</v>
      </c>
      <c r="G394" s="346" t="s">
        <v>2124</v>
      </c>
      <c r="H394" s="346" t="s">
        <v>2375</v>
      </c>
      <c r="I394" s="6"/>
      <c r="K394" s="241"/>
      <c r="L394" s="241"/>
      <c r="M394" s="244"/>
      <c r="N394" s="166"/>
      <c r="P394" s="166"/>
    </row>
    <row r="395" spans="1:16" s="7" customFormat="1" ht="14.4" hidden="1" customHeight="1">
      <c r="A395" s="2077">
        <v>45091</v>
      </c>
      <c r="B395" s="865" t="s">
        <v>2382</v>
      </c>
      <c r="C395" s="6">
        <v>60982941</v>
      </c>
      <c r="D395" s="6" t="s">
        <v>4316</v>
      </c>
      <c r="E395" s="767" t="s">
        <v>3925</v>
      </c>
      <c r="F395" s="859" t="s">
        <v>2755</v>
      </c>
      <c r="G395" s="459" t="s">
        <v>2237</v>
      </c>
      <c r="H395" s="346" t="s">
        <v>2383</v>
      </c>
      <c r="I395" s="6"/>
      <c r="K395" s="241"/>
      <c r="L395" s="241"/>
      <c r="M395" s="244"/>
      <c r="N395" s="166"/>
      <c r="P395" s="166"/>
    </row>
    <row r="396" spans="1:16" s="7" customFormat="1" ht="14.4" hidden="1" customHeight="1">
      <c r="A396" s="2077">
        <v>45091</v>
      </c>
      <c r="B396" s="796" t="s">
        <v>3665</v>
      </c>
      <c r="C396" s="6">
        <v>62408542</v>
      </c>
      <c r="D396" s="6" t="s">
        <v>4081</v>
      </c>
      <c r="E396" s="6" t="s">
        <v>3568</v>
      </c>
      <c r="F396" s="6" t="s">
        <v>2755</v>
      </c>
      <c r="G396" s="6" t="s">
        <v>1933</v>
      </c>
      <c r="H396" s="781" t="s">
        <v>4011</v>
      </c>
      <c r="I396" s="6"/>
      <c r="K396" s="241">
        <v>25</v>
      </c>
      <c r="L396" s="241"/>
      <c r="M396" s="347" t="s">
        <v>2384</v>
      </c>
      <c r="N396" s="166"/>
      <c r="P396" s="166"/>
    </row>
    <row r="397" spans="1:16" s="7" customFormat="1" ht="14.4" hidden="1" customHeight="1">
      <c r="A397" s="2077">
        <v>45091</v>
      </c>
      <c r="B397" s="645" t="s">
        <v>3518</v>
      </c>
      <c r="C397" s="6"/>
      <c r="D397" s="6"/>
      <c r="E397" s="6"/>
      <c r="F397" s="6" t="s">
        <v>1743</v>
      </c>
      <c r="G397" s="646" t="s">
        <v>1973</v>
      </c>
      <c r="H397" s="346" t="s">
        <v>765</v>
      </c>
      <c r="I397" s="6"/>
      <c r="K397" s="241"/>
      <c r="L397" s="241"/>
      <c r="M397" s="347"/>
      <c r="N397" s="708" t="s">
        <v>3653</v>
      </c>
      <c r="P397" s="166"/>
    </row>
    <row r="398" spans="1:16" s="7" customFormat="1" ht="14.4" hidden="1" customHeight="1">
      <c r="A398" s="2078">
        <v>45092</v>
      </c>
      <c r="B398" s="344"/>
      <c r="G398" s="339"/>
      <c r="H398" s="349" t="s">
        <v>2388</v>
      </c>
      <c r="K398" s="241">
        <v>17.5</v>
      </c>
      <c r="L398" s="241"/>
      <c r="M398" s="347"/>
      <c r="N398" s="166"/>
      <c r="P398" s="166"/>
    </row>
    <row r="399" spans="1:16" s="7" customFormat="1" ht="14.4" hidden="1" customHeight="1">
      <c r="A399" s="2078">
        <v>45092</v>
      </c>
      <c r="B399" s="350" t="s">
        <v>2389</v>
      </c>
      <c r="C399" s="6">
        <v>73617697</v>
      </c>
      <c r="D399" s="6"/>
      <c r="E399" s="6"/>
      <c r="F399" s="6"/>
      <c r="G399" s="340"/>
      <c r="H399" s="350" t="s">
        <v>2390</v>
      </c>
      <c r="I399" s="6"/>
      <c r="K399" s="241"/>
      <c r="L399" s="241"/>
      <c r="M399" s="347"/>
      <c r="N399" s="166"/>
      <c r="P399" s="166"/>
    </row>
    <row r="400" spans="1:16" s="7" customFormat="1" ht="14.4" hidden="1" customHeight="1">
      <c r="A400" s="2078">
        <v>45092</v>
      </c>
      <c r="B400" s="351" t="s">
        <v>2391</v>
      </c>
      <c r="C400" s="6">
        <v>50887711</v>
      </c>
      <c r="D400" s="6"/>
      <c r="E400" s="6"/>
      <c r="F400" s="6"/>
      <c r="G400" s="350" t="s">
        <v>2266</v>
      </c>
      <c r="H400" s="350" t="s">
        <v>2392</v>
      </c>
      <c r="I400" s="6"/>
      <c r="K400" s="241"/>
      <c r="L400" s="241"/>
      <c r="M400" s="347"/>
      <c r="N400" s="166"/>
      <c r="O400" s="7" t="s">
        <v>2657</v>
      </c>
      <c r="P400" s="166"/>
    </row>
    <row r="401" spans="1:16" s="7" customFormat="1" ht="14.4" hidden="1" customHeight="1">
      <c r="A401" s="2078">
        <v>45092</v>
      </c>
      <c r="B401" s="714" t="s">
        <v>3545</v>
      </c>
      <c r="C401" s="6">
        <v>56968489</v>
      </c>
      <c r="D401" s="6" t="s">
        <v>3570</v>
      </c>
      <c r="E401" s="6"/>
      <c r="F401" s="6"/>
      <c r="G401" s="350" t="s">
        <v>2251</v>
      </c>
      <c r="H401" s="645" t="s">
        <v>3546</v>
      </c>
      <c r="I401" s="6"/>
      <c r="K401" s="241"/>
      <c r="L401" s="241"/>
      <c r="M401" s="347"/>
      <c r="N401" s="166"/>
      <c r="P401" s="166"/>
    </row>
    <row r="402" spans="1:16" s="7" customFormat="1" ht="14.4" hidden="1" customHeight="1">
      <c r="A402" s="2078">
        <v>45092</v>
      </c>
      <c r="B402" s="357" t="s">
        <v>2372</v>
      </c>
      <c r="C402" s="6">
        <v>74418653</v>
      </c>
      <c r="D402" s="6"/>
      <c r="E402" s="6"/>
      <c r="F402" s="6"/>
      <c r="G402" s="346" t="s">
        <v>2373</v>
      </c>
      <c r="H402" s="350" t="s">
        <v>2393</v>
      </c>
      <c r="I402" s="6"/>
      <c r="K402" s="241"/>
      <c r="L402" s="241"/>
      <c r="M402" s="347"/>
      <c r="N402" s="166"/>
      <c r="P402" s="166"/>
    </row>
    <row r="403" spans="1:16" s="7" customFormat="1" ht="14.4" hidden="1" customHeight="1">
      <c r="A403" s="2078">
        <v>45092</v>
      </c>
      <c r="B403" s="437" t="s">
        <v>2890</v>
      </c>
      <c r="C403" s="6"/>
      <c r="D403" s="6"/>
      <c r="E403" s="6"/>
      <c r="F403" s="6"/>
      <c r="G403" s="350" t="s">
        <v>2402</v>
      </c>
      <c r="H403" s="350" t="s">
        <v>2403</v>
      </c>
      <c r="I403" s="6"/>
      <c r="K403" s="241"/>
      <c r="L403" s="241"/>
      <c r="M403" s="442" t="s">
        <v>2899</v>
      </c>
      <c r="N403" s="166"/>
      <c r="P403" s="166"/>
    </row>
    <row r="404" spans="1:16" s="7" customFormat="1" ht="14.4" hidden="1" customHeight="1">
      <c r="A404" s="2078">
        <v>45092</v>
      </c>
      <c r="B404" s="357" t="s">
        <v>2404</v>
      </c>
      <c r="C404" s="6"/>
      <c r="D404" s="6"/>
      <c r="E404" s="6"/>
      <c r="F404" s="6"/>
      <c r="G404" s="350" t="s">
        <v>1936</v>
      </c>
      <c r="H404" s="350" t="s">
        <v>2405</v>
      </c>
      <c r="I404" s="6"/>
      <c r="J404" s="6"/>
      <c r="K404" s="241"/>
      <c r="L404" s="241"/>
      <c r="M404" s="414" t="s">
        <v>2768</v>
      </c>
      <c r="N404" s="166"/>
      <c r="P404" s="166"/>
    </row>
    <row r="405" spans="1:16" s="7" customFormat="1" ht="14.4" hidden="1" customHeight="1">
      <c r="A405" s="2078">
        <v>45092</v>
      </c>
      <c r="B405" s="1720" t="s">
        <v>2407</v>
      </c>
      <c r="C405" s="6">
        <v>11219972</v>
      </c>
      <c r="D405" s="6"/>
      <c r="E405" s="6"/>
      <c r="F405" s="6" t="s">
        <v>3408</v>
      </c>
      <c r="G405" s="350" t="s">
        <v>2124</v>
      </c>
      <c r="H405" s="350" t="s">
        <v>2408</v>
      </c>
      <c r="I405" s="6"/>
      <c r="K405" s="241"/>
      <c r="L405" s="241"/>
      <c r="M405" s="244"/>
      <c r="N405" s="166"/>
      <c r="P405" s="166"/>
    </row>
    <row r="406" spans="1:16" s="7" customFormat="1" ht="14.4" hidden="1" customHeight="1">
      <c r="A406" s="2078">
        <v>45092</v>
      </c>
      <c r="B406" s="363" t="s">
        <v>2410</v>
      </c>
      <c r="C406" s="6">
        <v>40698332</v>
      </c>
      <c r="D406" s="6"/>
      <c r="E406" s="6"/>
      <c r="F406" s="6"/>
      <c r="G406" s="350" t="s">
        <v>2266</v>
      </c>
      <c r="H406" s="350" t="s">
        <v>2409</v>
      </c>
      <c r="I406" s="6"/>
      <c r="K406" s="241"/>
      <c r="L406" s="241"/>
      <c r="M406" s="244"/>
      <c r="N406" s="166"/>
      <c r="O406" s="7" t="s">
        <v>2657</v>
      </c>
      <c r="P406" s="166"/>
    </row>
    <row r="407" spans="1:16" s="7" customFormat="1" ht="14.4" hidden="1" customHeight="1">
      <c r="A407" s="2078">
        <v>45092</v>
      </c>
      <c r="B407" s="750" t="s">
        <v>3769</v>
      </c>
      <c r="C407" s="6">
        <v>70244462</v>
      </c>
      <c r="D407" s="750" t="s">
        <v>3800</v>
      </c>
      <c r="E407" s="750"/>
      <c r="F407" s="6" t="s">
        <v>2755</v>
      </c>
      <c r="G407" s="350" t="s">
        <v>1970</v>
      </c>
      <c r="H407" s="350" t="s">
        <v>2412</v>
      </c>
      <c r="I407" s="6"/>
      <c r="K407" s="241">
        <v>2</v>
      </c>
      <c r="L407" s="241"/>
      <c r="M407" s="815" t="s">
        <v>4142</v>
      </c>
      <c r="N407" s="166"/>
      <c r="P407" s="166"/>
    </row>
    <row r="408" spans="1:16" s="7" customFormat="1" ht="14.4" hidden="1" customHeight="1">
      <c r="A408" s="2078">
        <v>45092</v>
      </c>
      <c r="B408" s="351" t="s">
        <v>2376</v>
      </c>
      <c r="C408" s="6">
        <v>91253866</v>
      </c>
      <c r="D408" s="6"/>
      <c r="E408" s="6"/>
      <c r="F408" s="6"/>
      <c r="G408" s="346" t="s">
        <v>2377</v>
      </c>
      <c r="H408" s="346" t="s">
        <v>2377</v>
      </c>
      <c r="I408" s="6"/>
      <c r="K408" s="241"/>
      <c r="L408" s="241"/>
      <c r="M408" s="244"/>
      <c r="N408" s="166"/>
      <c r="P408" s="166"/>
    </row>
    <row r="409" spans="1:16" s="7" customFormat="1" ht="14.4" hidden="1" customHeight="1">
      <c r="A409" s="2079">
        <v>45093</v>
      </c>
      <c r="B409" s="796" t="s">
        <v>2415</v>
      </c>
      <c r="C409" s="6">
        <v>75593726</v>
      </c>
      <c r="D409" s="800" t="s">
        <v>4081</v>
      </c>
      <c r="E409" s="721"/>
      <c r="F409" s="6" t="s">
        <v>2755</v>
      </c>
      <c r="G409" s="351" t="s">
        <v>2124</v>
      </c>
      <c r="H409" s="351" t="s">
        <v>2416</v>
      </c>
      <c r="I409" s="6"/>
      <c r="K409" s="241"/>
      <c r="L409" s="241"/>
      <c r="M409" s="244"/>
      <c r="N409" s="166"/>
      <c r="P409" s="166"/>
    </row>
    <row r="410" spans="1:16" s="7" customFormat="1" ht="14.4" hidden="1" customHeight="1">
      <c r="A410" s="2079">
        <v>45093</v>
      </c>
      <c r="B410" s="884" t="s">
        <v>2417</v>
      </c>
      <c r="C410" s="6">
        <v>71619712</v>
      </c>
      <c r="D410" s="877" t="s">
        <v>4370</v>
      </c>
      <c r="E410" s="889">
        <v>1</v>
      </c>
      <c r="F410" s="877" t="s">
        <v>2755</v>
      </c>
      <c r="G410" s="351" t="s">
        <v>2012</v>
      </c>
      <c r="H410" s="351" t="s">
        <v>2418</v>
      </c>
      <c r="I410" s="6"/>
      <c r="K410" s="241"/>
      <c r="L410" s="241"/>
      <c r="M410" s="244"/>
      <c r="N410" s="166"/>
      <c r="P410" s="166"/>
    </row>
    <row r="411" spans="1:16" s="7" customFormat="1" ht="14.4" hidden="1" customHeight="1">
      <c r="A411" s="2079">
        <v>45093</v>
      </c>
      <c r="B411" s="765" t="s">
        <v>2419</v>
      </c>
      <c r="C411" s="6">
        <v>85462893</v>
      </c>
      <c r="D411" s="6" t="s">
        <v>3836</v>
      </c>
      <c r="E411" s="85">
        <v>1</v>
      </c>
      <c r="F411" s="760" t="s">
        <v>3568</v>
      </c>
      <c r="G411" s="351" t="s">
        <v>2012</v>
      </c>
      <c r="H411" s="351" t="s">
        <v>2420</v>
      </c>
      <c r="I411" s="6"/>
      <c r="K411" s="241"/>
      <c r="L411" s="241"/>
      <c r="M411" s="244"/>
      <c r="N411" s="166"/>
      <c r="P411" s="166"/>
    </row>
    <row r="412" spans="1:16" s="7" customFormat="1" ht="14.4" hidden="1" customHeight="1">
      <c r="A412" s="2079">
        <v>45093</v>
      </c>
      <c r="B412" s="452" t="s">
        <v>2423</v>
      </c>
      <c r="C412" s="6">
        <v>69585073</v>
      </c>
      <c r="D412" s="6"/>
      <c r="E412" s="6"/>
      <c r="F412" s="6"/>
      <c r="G412" s="351" t="s">
        <v>2073</v>
      </c>
      <c r="H412" s="351" t="s">
        <v>2422</v>
      </c>
      <c r="I412" s="6"/>
      <c r="K412" s="241"/>
      <c r="L412" s="241"/>
      <c r="M412" s="244"/>
      <c r="N412" s="166"/>
      <c r="O412" s="7" t="s">
        <v>2929</v>
      </c>
      <c r="P412" s="166"/>
    </row>
    <row r="413" spans="1:16" s="7" customFormat="1" ht="14.4" hidden="1" customHeight="1">
      <c r="A413" s="2079">
        <v>45093</v>
      </c>
      <c r="B413" s="877" t="s">
        <v>4073</v>
      </c>
      <c r="C413" s="6">
        <v>40816908</v>
      </c>
      <c r="D413" s="6" t="s">
        <v>4370</v>
      </c>
      <c r="E413" s="890">
        <v>1</v>
      </c>
      <c r="F413" s="877" t="s">
        <v>2755</v>
      </c>
      <c r="G413" s="351" t="s">
        <v>2012</v>
      </c>
      <c r="H413" s="351" t="s">
        <v>2424</v>
      </c>
      <c r="I413" s="6"/>
      <c r="K413" s="241">
        <v>33</v>
      </c>
      <c r="L413" s="241"/>
      <c r="M413" s="244"/>
      <c r="N413" s="166"/>
      <c r="P413" s="166"/>
    </row>
    <row r="414" spans="1:16" s="7" customFormat="1" ht="14.4" hidden="1" customHeight="1">
      <c r="A414" s="2079">
        <v>45093</v>
      </c>
      <c r="B414" s="884" t="s">
        <v>2425</v>
      </c>
      <c r="C414" s="6">
        <v>27967205</v>
      </c>
      <c r="D414" s="884" t="s">
        <v>4397</v>
      </c>
      <c r="E414" s="6" t="s">
        <v>4121</v>
      </c>
      <c r="F414" s="6" t="s">
        <v>2755</v>
      </c>
      <c r="G414" s="351" t="s">
        <v>2124</v>
      </c>
      <c r="H414" s="351" t="s">
        <v>2426</v>
      </c>
      <c r="I414" s="6"/>
      <c r="K414" s="241"/>
      <c r="L414" s="241"/>
      <c r="M414" s="244"/>
      <c r="N414" s="166"/>
      <c r="P414" s="166"/>
    </row>
    <row r="415" spans="1:16" s="7" customFormat="1" ht="14.4" hidden="1" customHeight="1">
      <c r="A415" s="2079">
        <v>45093</v>
      </c>
      <c r="B415" s="750" t="s">
        <v>2427</v>
      </c>
      <c r="C415" s="6">
        <v>94447636</v>
      </c>
      <c r="D415" s="750" t="s">
        <v>3800</v>
      </c>
      <c r="E415" s="888">
        <v>1</v>
      </c>
      <c r="F415" s="6" t="s">
        <v>2755</v>
      </c>
      <c r="G415" s="351" t="s">
        <v>2012</v>
      </c>
      <c r="H415" s="351" t="s">
        <v>2428</v>
      </c>
      <c r="I415" s="6"/>
      <c r="K415" s="241"/>
      <c r="L415" s="241"/>
      <c r="M415" s="244"/>
      <c r="N415" s="166"/>
      <c r="P415" s="166"/>
    </row>
    <row r="416" spans="1:16" s="7" customFormat="1" ht="14.4" hidden="1" customHeight="1">
      <c r="A416" s="2079">
        <v>45093</v>
      </c>
      <c r="B416" s="884" t="s">
        <v>2429</v>
      </c>
      <c r="C416" s="6">
        <v>31585321</v>
      </c>
      <c r="D416" s="884" t="s">
        <v>4397</v>
      </c>
      <c r="E416" s="6">
        <v>10</v>
      </c>
      <c r="F416" s="6" t="s">
        <v>2755</v>
      </c>
      <c r="G416" s="351" t="s">
        <v>763</v>
      </c>
      <c r="H416" s="351" t="s">
        <v>2430</v>
      </c>
      <c r="I416" s="6"/>
      <c r="K416" s="241"/>
      <c r="L416" s="241"/>
      <c r="M416" s="244"/>
      <c r="N416" s="166" t="s">
        <v>4458</v>
      </c>
      <c r="P416" s="166"/>
    </row>
    <row r="417" spans="1:16" s="7" customFormat="1" ht="14.4" hidden="1" customHeight="1">
      <c r="A417" s="2079">
        <v>45093</v>
      </c>
      <c r="B417" s="796" t="s">
        <v>2447</v>
      </c>
      <c r="C417" s="6">
        <v>48516312</v>
      </c>
      <c r="D417" s="800" t="s">
        <v>4109</v>
      </c>
      <c r="E417" s="721"/>
      <c r="F417" s="6" t="s">
        <v>2755</v>
      </c>
      <c r="G417" s="351" t="s">
        <v>2124</v>
      </c>
      <c r="H417" s="351" t="s">
        <v>2431</v>
      </c>
      <c r="I417" s="6"/>
      <c r="K417" s="241"/>
      <c r="L417" s="241"/>
      <c r="M417" s="244"/>
      <c r="N417" s="166"/>
      <c r="P417" s="166"/>
    </row>
    <row r="418" spans="1:16" s="7" customFormat="1" ht="14.4" hidden="1" customHeight="1">
      <c r="A418" s="2079">
        <v>45093</v>
      </c>
      <c r="B418" s="796" t="s">
        <v>2769</v>
      </c>
      <c r="C418" s="6">
        <v>44400186</v>
      </c>
      <c r="D418" s="6" t="s">
        <v>4109</v>
      </c>
      <c r="E418" s="6"/>
      <c r="F418" s="6" t="s">
        <v>2755</v>
      </c>
      <c r="G418" s="351" t="s">
        <v>1972</v>
      </c>
      <c r="H418" s="351" t="s">
        <v>2441</v>
      </c>
      <c r="I418" s="6"/>
      <c r="K418" s="241"/>
      <c r="L418" s="241"/>
      <c r="M418" s="244"/>
      <c r="N418" s="166"/>
      <c r="P418" s="166"/>
    </row>
    <row r="419" spans="1:16" s="7" customFormat="1" ht="14.4" hidden="1" customHeight="1">
      <c r="A419" s="2079">
        <v>45093</v>
      </c>
      <c r="B419" s="528" t="s">
        <v>2443</v>
      </c>
      <c r="C419" s="6">
        <v>13286230</v>
      </c>
      <c r="D419" s="6"/>
      <c r="E419" s="6"/>
      <c r="F419" s="6"/>
      <c r="G419" s="351" t="s">
        <v>1989</v>
      </c>
      <c r="H419" s="351" t="s">
        <v>2442</v>
      </c>
      <c r="I419" s="6"/>
      <c r="K419" s="241">
        <v>22</v>
      </c>
      <c r="L419" s="241"/>
      <c r="M419" s="244"/>
      <c r="N419" s="166"/>
      <c r="O419" s="7" t="s">
        <v>3406</v>
      </c>
      <c r="P419" s="166"/>
    </row>
    <row r="420" spans="1:16" s="7" customFormat="1" ht="14.4" hidden="1" customHeight="1">
      <c r="A420" s="2079">
        <v>45094</v>
      </c>
      <c r="B420" s="737" t="s">
        <v>2445</v>
      </c>
      <c r="C420" s="6">
        <v>89283487</v>
      </c>
      <c r="D420" s="6" t="s">
        <v>3650</v>
      </c>
      <c r="E420" s="6"/>
      <c r="F420" s="128" t="s">
        <v>3580</v>
      </c>
      <c r="G420" s="351" t="s">
        <v>736</v>
      </c>
      <c r="H420" s="351" t="s">
        <v>2446</v>
      </c>
      <c r="I420" s="6"/>
      <c r="K420" s="241"/>
      <c r="L420" s="241"/>
      <c r="M420" s="244"/>
      <c r="N420" s="67">
        <v>2</v>
      </c>
      <c r="O420" s="7" t="s">
        <v>3836</v>
      </c>
      <c r="P420" s="166"/>
    </row>
    <row r="421" spans="1:16" s="7" customFormat="1" ht="15" hidden="1" customHeight="1">
      <c r="A421" s="2079">
        <v>45094</v>
      </c>
      <c r="B421" s="620" t="s">
        <v>2448</v>
      </c>
      <c r="C421" s="6">
        <v>28825016</v>
      </c>
      <c r="D421" s="6" t="s">
        <v>3427</v>
      </c>
      <c r="E421" s="6"/>
      <c r="F421" s="6" t="s">
        <v>3408</v>
      </c>
      <c r="G421" s="351" t="s">
        <v>2221</v>
      </c>
      <c r="H421" s="351" t="s">
        <v>2449</v>
      </c>
      <c r="I421" s="6"/>
      <c r="K421" s="241"/>
      <c r="L421" s="241"/>
      <c r="M421" s="244"/>
      <c r="N421" s="166"/>
      <c r="P421" s="166"/>
    </row>
    <row r="422" spans="1:16" s="7" customFormat="1" ht="15" hidden="1" customHeight="1">
      <c r="A422" s="2080">
        <v>45094</v>
      </c>
      <c r="B422" s="620" t="s">
        <v>2450</v>
      </c>
      <c r="C422" s="6">
        <v>14903000</v>
      </c>
      <c r="D422" s="6"/>
      <c r="E422" s="6"/>
      <c r="F422" s="6" t="s">
        <v>3408</v>
      </c>
      <c r="G422" s="355" t="s">
        <v>1006</v>
      </c>
      <c r="H422" s="355" t="s">
        <v>2451</v>
      </c>
      <c r="I422" s="6"/>
      <c r="K422" s="241"/>
      <c r="L422" s="241"/>
      <c r="M422" s="666" t="s">
        <v>3558</v>
      </c>
      <c r="N422" s="166"/>
      <c r="P422" s="166"/>
    </row>
    <row r="423" spans="1:16" s="7" customFormat="1" ht="15" hidden="1" customHeight="1">
      <c r="A423" s="2080">
        <v>45094</v>
      </c>
      <c r="B423" s="357" t="s">
        <v>2452</v>
      </c>
      <c r="C423" s="6">
        <v>41500998</v>
      </c>
      <c r="D423" s="6"/>
      <c r="E423" s="6"/>
      <c r="F423" s="6"/>
      <c r="G423" s="355" t="s">
        <v>2266</v>
      </c>
      <c r="H423" s="355" t="s">
        <v>2453</v>
      </c>
      <c r="I423" s="6"/>
      <c r="K423" s="241"/>
      <c r="L423" s="241"/>
      <c r="M423" s="244"/>
      <c r="N423" s="166"/>
      <c r="O423" s="7" t="s">
        <v>2657</v>
      </c>
      <c r="P423" s="166"/>
    </row>
    <row r="424" spans="1:16" s="7" customFormat="1" ht="15" hidden="1" customHeight="1">
      <c r="A424" s="2080">
        <v>45094</v>
      </c>
      <c r="B424" s="363" t="s">
        <v>2454</v>
      </c>
      <c r="C424" s="6">
        <v>76598583</v>
      </c>
      <c r="D424" s="6"/>
      <c r="E424" s="6"/>
      <c r="F424" s="6"/>
      <c r="G424" s="355" t="s">
        <v>2266</v>
      </c>
      <c r="H424" s="355" t="s">
        <v>2455</v>
      </c>
      <c r="I424" s="6"/>
      <c r="K424" s="241"/>
      <c r="L424" s="241"/>
      <c r="M424" s="244"/>
      <c r="N424" s="166"/>
      <c r="O424" s="7" t="s">
        <v>2657</v>
      </c>
      <c r="P424" s="166"/>
    </row>
    <row r="425" spans="1:16" s="7" customFormat="1" ht="14.4" hidden="1" customHeight="1">
      <c r="A425" s="2081">
        <v>45095</v>
      </c>
      <c r="B425" s="687" t="s">
        <v>2467</v>
      </c>
      <c r="C425" s="91">
        <v>65671847</v>
      </c>
      <c r="D425" s="91" t="s">
        <v>3570</v>
      </c>
      <c r="E425" s="91" t="s">
        <v>2905</v>
      </c>
      <c r="F425" s="643" t="s">
        <v>3547</v>
      </c>
      <c r="G425" s="91" t="s">
        <v>2335</v>
      </c>
      <c r="H425" s="567" t="s">
        <v>2468</v>
      </c>
      <c r="I425" s="91"/>
      <c r="K425" s="241"/>
      <c r="L425" s="241"/>
      <c r="M425" s="244"/>
      <c r="N425" s="166"/>
      <c r="P425" s="166"/>
    </row>
    <row r="426" spans="1:16" s="7" customFormat="1" ht="14.4" hidden="1" customHeight="1">
      <c r="A426" s="2081">
        <v>45095</v>
      </c>
      <c r="B426" s="462" t="s">
        <v>2948</v>
      </c>
      <c r="C426" s="6">
        <v>44672785</v>
      </c>
      <c r="D426" s="6" t="s">
        <v>2828</v>
      </c>
      <c r="E426" s="6"/>
      <c r="F426" s="6"/>
      <c r="G426" s="357" t="s">
        <v>713</v>
      </c>
      <c r="H426" s="357" t="s">
        <v>2466</v>
      </c>
      <c r="I426" s="6"/>
      <c r="J426" s="6"/>
      <c r="K426" s="241"/>
      <c r="L426" s="241"/>
      <c r="M426" s="244"/>
      <c r="N426" s="166"/>
      <c r="O426" s="490" t="s">
        <v>3092</v>
      </c>
      <c r="P426" s="166"/>
    </row>
    <row r="427" spans="1:16" s="7" customFormat="1" ht="14.4" hidden="1" customHeight="1">
      <c r="A427" s="2081">
        <v>45096</v>
      </c>
      <c r="B427" s="728" t="s">
        <v>2457</v>
      </c>
      <c r="C427" s="6">
        <v>95652204</v>
      </c>
      <c r="D427" s="6" t="s">
        <v>3663</v>
      </c>
      <c r="E427" s="6"/>
      <c r="F427" s="6" t="s">
        <v>3569</v>
      </c>
      <c r="G427" s="357" t="s">
        <v>2456</v>
      </c>
      <c r="H427" s="357" t="s">
        <v>2458</v>
      </c>
      <c r="I427" s="242"/>
      <c r="J427" s="241"/>
      <c r="K427" s="241"/>
      <c r="L427" s="241"/>
      <c r="M427" s="244"/>
      <c r="N427" s="166"/>
      <c r="P427" s="166"/>
    </row>
    <row r="428" spans="1:16" s="7" customFormat="1" ht="14.4" hidden="1" customHeight="1">
      <c r="A428" s="2081">
        <v>45096</v>
      </c>
      <c r="B428" s="884" t="s">
        <v>2459</v>
      </c>
      <c r="C428" s="6">
        <v>44638684</v>
      </c>
      <c r="D428" s="750" t="s">
        <v>3800</v>
      </c>
      <c r="E428" s="888">
        <v>1</v>
      </c>
      <c r="F428" s="6" t="s">
        <v>2755</v>
      </c>
      <c r="G428" s="357" t="s">
        <v>2012</v>
      </c>
      <c r="H428" s="357" t="s">
        <v>2460</v>
      </c>
      <c r="I428" s="242"/>
      <c r="J428" s="241"/>
      <c r="K428" s="241"/>
      <c r="L428" s="241"/>
      <c r="M428" s="244"/>
      <c r="N428" s="166"/>
      <c r="P428" s="166"/>
    </row>
    <row r="429" spans="1:16" s="7" customFormat="1" ht="14.4" hidden="1" customHeight="1">
      <c r="A429" s="2081">
        <v>45096</v>
      </c>
      <c r="B429" s="877" t="s">
        <v>2461</v>
      </c>
      <c r="C429" s="6">
        <v>83115539</v>
      </c>
      <c r="D429" s="877" t="s">
        <v>4370</v>
      </c>
      <c r="E429" s="889">
        <v>1</v>
      </c>
      <c r="F429" s="877" t="s">
        <v>2755</v>
      </c>
      <c r="G429" s="357" t="s">
        <v>1947</v>
      </c>
      <c r="H429" s="357" t="s">
        <v>2462</v>
      </c>
      <c r="I429" s="242"/>
      <c r="J429" s="241"/>
      <c r="K429" s="241"/>
      <c r="L429" s="241"/>
      <c r="M429" s="244"/>
      <c r="N429" s="166"/>
      <c r="P429" s="166"/>
    </row>
    <row r="430" spans="1:16" s="7" customFormat="1" ht="14.4" hidden="1" customHeight="1">
      <c r="A430" s="2081">
        <v>45096</v>
      </c>
      <c r="B430" s="848" t="s">
        <v>2463</v>
      </c>
      <c r="C430" s="6">
        <v>12644923</v>
      </c>
      <c r="D430" s="848" t="s">
        <v>4244</v>
      </c>
      <c r="E430" s="765">
        <v>1</v>
      </c>
      <c r="F430" s="848" t="s">
        <v>2755</v>
      </c>
      <c r="G430" s="357" t="s">
        <v>2012</v>
      </c>
      <c r="H430" s="534" t="s">
        <v>3246</v>
      </c>
      <c r="I430" s="242"/>
      <c r="J430" s="241"/>
      <c r="K430" s="241"/>
      <c r="L430" s="241"/>
      <c r="M430" s="244"/>
      <c r="N430" s="166"/>
      <c r="P430" s="166"/>
    </row>
    <row r="431" spans="1:16" s="7" customFormat="1" ht="14.4" hidden="1" customHeight="1">
      <c r="A431" s="2081">
        <v>45096</v>
      </c>
      <c r="B431" s="848" t="s">
        <v>3849</v>
      </c>
      <c r="C431" s="6">
        <v>74899264</v>
      </c>
      <c r="D431" s="6" t="s">
        <v>4234</v>
      </c>
      <c r="E431" s="765"/>
      <c r="F431" s="848" t="s">
        <v>2755</v>
      </c>
      <c r="G431" s="459" t="s">
        <v>2237</v>
      </c>
      <c r="H431" s="765" t="s">
        <v>3978</v>
      </c>
      <c r="I431" s="242"/>
      <c r="J431" s="241"/>
      <c r="K431" s="241"/>
      <c r="L431" s="241"/>
      <c r="M431" s="244"/>
      <c r="N431" s="166"/>
      <c r="P431" s="166"/>
    </row>
    <row r="432" spans="1:16" s="7" customFormat="1" ht="14.4" hidden="1" customHeight="1">
      <c r="A432" s="2081">
        <v>45096</v>
      </c>
      <c r="B432" s="750" t="s">
        <v>2464</v>
      </c>
      <c r="C432" s="6">
        <v>28898652</v>
      </c>
      <c r="D432" s="750" t="s">
        <v>3800</v>
      </c>
      <c r="E432" s="750">
        <v>1</v>
      </c>
      <c r="F432" s="6" t="s">
        <v>2755</v>
      </c>
      <c r="G432" s="357" t="s">
        <v>2012</v>
      </c>
      <c r="H432" s="357" t="s">
        <v>2465</v>
      </c>
      <c r="I432" s="357"/>
      <c r="J432" s="356"/>
      <c r="K432" s="241"/>
      <c r="L432" s="241"/>
      <c r="M432" s="244"/>
      <c r="N432" s="166"/>
      <c r="P432" s="166"/>
    </row>
    <row r="433" spans="1:16" s="7" customFormat="1" ht="14.4" hidden="1" customHeight="1">
      <c r="A433" s="2081">
        <v>45096</v>
      </c>
      <c r="B433" s="460" t="s">
        <v>2469</v>
      </c>
      <c r="C433" s="7">
        <v>48991018</v>
      </c>
      <c r="G433" s="356" t="s">
        <v>988</v>
      </c>
      <c r="H433" s="356" t="s">
        <v>2470</v>
      </c>
      <c r="I433" s="356"/>
      <c r="J433" s="453" t="s">
        <v>2928</v>
      </c>
      <c r="K433" s="241"/>
      <c r="L433" s="241"/>
      <c r="M433" s="244"/>
      <c r="N433" s="166"/>
      <c r="P433" s="166"/>
    </row>
    <row r="434" spans="1:16" s="7" customFormat="1" ht="14.4" hidden="1" customHeight="1">
      <c r="A434" s="2081">
        <v>45096</v>
      </c>
      <c r="B434" s="714" t="s">
        <v>2471</v>
      </c>
      <c r="C434" s="6">
        <v>19275341</v>
      </c>
      <c r="D434" s="6" t="s">
        <v>3663</v>
      </c>
      <c r="E434" s="6"/>
      <c r="F434" s="6" t="s">
        <v>2755</v>
      </c>
      <c r="G434" s="357" t="s">
        <v>1972</v>
      </c>
      <c r="H434" s="357" t="s">
        <v>2472</v>
      </c>
      <c r="I434" s="357"/>
      <c r="J434" s="356"/>
      <c r="K434" s="241"/>
      <c r="L434" s="241"/>
      <c r="M434" s="244"/>
      <c r="N434" s="166"/>
      <c r="P434" s="166"/>
    </row>
    <row r="435" spans="1:16" s="7" customFormat="1" ht="14.4" hidden="1" customHeight="1">
      <c r="A435" s="2081">
        <v>45096</v>
      </c>
      <c r="B435" s="796" t="s">
        <v>2473</v>
      </c>
      <c r="C435" s="6">
        <v>22534111</v>
      </c>
      <c r="D435" s="6" t="s">
        <v>4109</v>
      </c>
      <c r="E435" s="6"/>
      <c r="F435" s="6" t="s">
        <v>2755</v>
      </c>
      <c r="G435" s="357" t="s">
        <v>2073</v>
      </c>
      <c r="H435" s="357" t="s">
        <v>2474</v>
      </c>
      <c r="I435" s="357"/>
      <c r="J435" s="356"/>
      <c r="K435" s="241"/>
      <c r="L435" s="241"/>
      <c r="M435" s="244"/>
      <c r="N435" s="166"/>
      <c r="O435" s="7" t="s">
        <v>3414</v>
      </c>
      <c r="P435" s="166"/>
    </row>
    <row r="436" spans="1:16" s="7" customFormat="1" ht="14.4" hidden="1" customHeight="1">
      <c r="A436" s="2081">
        <v>45096</v>
      </c>
      <c r="B436" s="877" t="s">
        <v>2477</v>
      </c>
      <c r="C436" s="6">
        <v>91855860</v>
      </c>
      <c r="D436" s="6"/>
      <c r="E436" s="6"/>
      <c r="F436" s="6"/>
      <c r="G436" s="357" t="s">
        <v>2478</v>
      </c>
      <c r="H436" s="357" t="s">
        <v>2479</v>
      </c>
      <c r="I436" s="357"/>
      <c r="J436" s="356"/>
      <c r="K436" s="241"/>
      <c r="L436" s="241"/>
      <c r="M436" s="244"/>
      <c r="N436" s="166"/>
      <c r="P436" s="166"/>
    </row>
    <row r="437" spans="1:16" s="7" customFormat="1" ht="14.4" hidden="1" customHeight="1">
      <c r="A437" s="2081">
        <v>45096</v>
      </c>
      <c r="B437" s="376" t="s">
        <v>2483</v>
      </c>
      <c r="C437" s="6">
        <v>27293219</v>
      </c>
      <c r="D437" s="6"/>
      <c r="E437" s="6"/>
      <c r="F437" s="6"/>
      <c r="G437" s="357" t="s">
        <v>1945</v>
      </c>
      <c r="H437" s="357" t="s">
        <v>2485</v>
      </c>
      <c r="I437" s="357"/>
      <c r="J437" s="356"/>
      <c r="K437" s="241"/>
      <c r="L437" s="241"/>
      <c r="M437" s="244"/>
      <c r="N437" s="166"/>
      <c r="O437" s="7" t="s">
        <v>2657</v>
      </c>
      <c r="P437" s="166"/>
    </row>
    <row r="438" spans="1:16" s="7" customFormat="1" ht="14.4" hidden="1" customHeight="1">
      <c r="A438" s="2081">
        <v>45096</v>
      </c>
      <c r="B438" s="357" t="s">
        <v>2486</v>
      </c>
      <c r="C438" s="6"/>
      <c r="D438" s="6"/>
      <c r="E438" s="6"/>
      <c r="F438" s="6"/>
      <c r="G438" s="520" t="s">
        <v>2073</v>
      </c>
      <c r="H438" s="357" t="s">
        <v>2484</v>
      </c>
      <c r="I438" s="357"/>
      <c r="J438" s="356"/>
      <c r="K438" s="241"/>
      <c r="L438" s="241"/>
      <c r="M438" s="244"/>
      <c r="N438" s="166"/>
      <c r="O438" s="542" t="s">
        <v>3280</v>
      </c>
      <c r="P438" s="166"/>
    </row>
    <row r="439" spans="1:16" s="7" customFormat="1" ht="14.4" hidden="1" customHeight="1">
      <c r="A439" s="2081">
        <v>45096</v>
      </c>
      <c r="B439" s="363" t="s">
        <v>2491</v>
      </c>
      <c r="C439" s="6">
        <v>31880127</v>
      </c>
      <c r="D439" s="6"/>
      <c r="E439" s="6"/>
      <c r="F439" s="6"/>
      <c r="G439" s="357" t="s">
        <v>1945</v>
      </c>
      <c r="H439" s="357" t="s">
        <v>2492</v>
      </c>
      <c r="I439" s="357"/>
      <c r="J439" s="356"/>
      <c r="K439" s="241"/>
      <c r="L439" s="241"/>
      <c r="M439" s="244"/>
      <c r="N439" s="166"/>
      <c r="O439" s="7" t="s">
        <v>2657</v>
      </c>
      <c r="P439" s="166"/>
    </row>
    <row r="440" spans="1:16" s="7" customFormat="1" ht="14.4" hidden="1" customHeight="1">
      <c r="A440" s="2081">
        <v>45096</v>
      </c>
      <c r="B440" s="585" t="s">
        <v>2493</v>
      </c>
      <c r="C440" s="6">
        <v>41934792</v>
      </c>
      <c r="D440" s="586" t="s">
        <v>3062</v>
      </c>
      <c r="E440" s="586"/>
      <c r="F440" s="587" t="s">
        <v>3063</v>
      </c>
      <c r="G440" s="585" t="s">
        <v>3312</v>
      </c>
      <c r="H440" s="357" t="s">
        <v>2494</v>
      </c>
      <c r="I440" s="357"/>
      <c r="J440" s="356"/>
      <c r="K440" s="542" t="s">
        <v>3285</v>
      </c>
      <c r="L440" s="542"/>
      <c r="M440" s="244"/>
      <c r="N440" s="166" t="s">
        <v>3391</v>
      </c>
      <c r="P440" s="166"/>
    </row>
    <row r="441" spans="1:16" s="7" customFormat="1" ht="14.4" hidden="1" customHeight="1">
      <c r="A441" s="2081">
        <v>45096</v>
      </c>
      <c r="B441" s="714" t="s">
        <v>2495</v>
      </c>
      <c r="C441" s="6">
        <v>69254273</v>
      </c>
      <c r="D441" s="6" t="s">
        <v>3663</v>
      </c>
      <c r="E441" s="6"/>
      <c r="F441" s="6" t="s">
        <v>2755</v>
      </c>
      <c r="G441" s="357" t="s">
        <v>736</v>
      </c>
      <c r="H441" s="357" t="s">
        <v>2496</v>
      </c>
      <c r="I441" s="357"/>
      <c r="J441" s="356"/>
      <c r="K441" s="356" t="s">
        <v>2497</v>
      </c>
      <c r="L441" s="356"/>
      <c r="M441" s="244"/>
      <c r="N441" s="67">
        <v>1.5</v>
      </c>
      <c r="O441" s="7" t="s">
        <v>3836</v>
      </c>
      <c r="P441" s="166"/>
    </row>
    <row r="442" spans="1:16" s="7" customFormat="1" ht="14.4" hidden="1" customHeight="1">
      <c r="A442" s="2081">
        <v>45096</v>
      </c>
      <c r="B442" s="410" t="s">
        <v>2498</v>
      </c>
      <c r="C442" s="366">
        <v>29095309</v>
      </c>
      <c r="D442" s="366"/>
      <c r="E442" s="366"/>
      <c r="F442" s="410" t="s">
        <v>2757</v>
      </c>
      <c r="G442" s="366" t="s">
        <v>2288</v>
      </c>
      <c r="H442" s="366" t="s">
        <v>2499</v>
      </c>
      <c r="I442" s="366"/>
      <c r="J442" s="360"/>
      <c r="K442" s="359">
        <v>4</v>
      </c>
      <c r="L442" s="359"/>
      <c r="M442" s="244"/>
      <c r="N442" s="166"/>
      <c r="P442" s="166"/>
    </row>
    <row r="443" spans="1:16" s="7" customFormat="1" ht="14.4" hidden="1" customHeight="1">
      <c r="A443" s="2082">
        <v>45097</v>
      </c>
      <c r="B443" s="767" t="s">
        <v>2515</v>
      </c>
      <c r="C443" s="366">
        <v>81397400</v>
      </c>
      <c r="D443" s="760" t="s">
        <v>3836</v>
      </c>
      <c r="E443" s="760">
        <v>1</v>
      </c>
      <c r="F443" s="760" t="s">
        <v>3568</v>
      </c>
      <c r="G443" s="365" t="s">
        <v>2012</v>
      </c>
      <c r="H443" s="365" t="s">
        <v>2516</v>
      </c>
      <c r="I443" s="366"/>
      <c r="J443" s="360"/>
      <c r="K443" s="359"/>
      <c r="L443" s="359"/>
      <c r="M443" s="244"/>
      <c r="N443" s="166"/>
      <c r="P443" s="166"/>
    </row>
    <row r="444" spans="1:16" s="7" customFormat="1" ht="14.4" hidden="1" customHeight="1">
      <c r="A444" s="2082">
        <v>45097</v>
      </c>
      <c r="B444" s="578" t="s">
        <v>2521</v>
      </c>
      <c r="C444" s="128">
        <v>35233356</v>
      </c>
      <c r="D444" s="128"/>
      <c r="E444" s="128"/>
      <c r="F444" s="128"/>
      <c r="G444" s="365" t="s">
        <v>713</v>
      </c>
      <c r="H444" s="365" t="s">
        <v>2522</v>
      </c>
      <c r="I444" s="366"/>
      <c r="J444" s="360"/>
      <c r="K444" s="361"/>
      <c r="L444" s="361"/>
      <c r="M444" s="244"/>
      <c r="N444" s="166"/>
      <c r="O444" s="7" t="s">
        <v>2680</v>
      </c>
      <c r="P444" s="166"/>
    </row>
    <row r="445" spans="1:16" s="7" customFormat="1" ht="14.4" hidden="1" customHeight="1">
      <c r="A445" s="2082">
        <v>45097</v>
      </c>
      <c r="B445" s="1099" t="s">
        <v>3128</v>
      </c>
      <c r="C445" s="128">
        <v>79242799</v>
      </c>
      <c r="D445" s="841" t="s">
        <v>4234</v>
      </c>
      <c r="E445" s="6">
        <v>0</v>
      </c>
      <c r="F445" s="1111" t="s">
        <v>3583</v>
      </c>
      <c r="G445" s="365" t="s">
        <v>2012</v>
      </c>
      <c r="H445" s="365" t="s">
        <v>2523</v>
      </c>
      <c r="I445" s="366"/>
      <c r="J445" s="360"/>
      <c r="K445" s="361"/>
      <c r="L445" s="361"/>
      <c r="M445" s="244"/>
      <c r="N445" s="166"/>
      <c r="P445" s="166"/>
    </row>
    <row r="446" spans="1:16" s="7" customFormat="1" ht="14.4" hidden="1" customHeight="1">
      <c r="A446" s="2082">
        <v>45097</v>
      </c>
      <c r="B446" s="797" t="s">
        <v>2526</v>
      </c>
      <c r="C446" s="128">
        <v>41913196</v>
      </c>
      <c r="D446" s="760" t="s">
        <v>3836</v>
      </c>
      <c r="E446" s="760">
        <v>1</v>
      </c>
      <c r="F446" s="6" t="s">
        <v>2755</v>
      </c>
      <c r="G446" s="365" t="s">
        <v>2012</v>
      </c>
      <c r="H446" s="767" t="s">
        <v>3924</v>
      </c>
      <c r="I446" s="366"/>
      <c r="J446" s="360"/>
      <c r="K446" s="361"/>
      <c r="L446" s="361"/>
      <c r="M446" s="244"/>
      <c r="N446" s="166"/>
      <c r="P446" s="166"/>
    </row>
    <row r="447" spans="1:16" s="7" customFormat="1" ht="14.4" hidden="1" customHeight="1">
      <c r="A447" s="2082">
        <v>45097</v>
      </c>
      <c r="B447" s="578" t="s">
        <v>2527</v>
      </c>
      <c r="C447" s="578">
        <v>31594365</v>
      </c>
      <c r="D447" s="578"/>
      <c r="E447" s="578"/>
      <c r="F447" s="578"/>
      <c r="G447" s="578" t="s">
        <v>1989</v>
      </c>
      <c r="H447" s="578" t="s">
        <v>2528</v>
      </c>
      <c r="I447" s="578"/>
      <c r="J447" s="360"/>
      <c r="K447" s="361"/>
      <c r="L447" s="361"/>
      <c r="M447" s="244"/>
      <c r="N447" s="166"/>
      <c r="O447" s="7" t="s">
        <v>3406</v>
      </c>
      <c r="P447" s="166"/>
    </row>
    <row r="448" spans="1:16" s="7" customFormat="1" ht="14.4" hidden="1" customHeight="1">
      <c r="A448" s="2083">
        <v>45098</v>
      </c>
      <c r="B448" s="745" t="s">
        <v>2547</v>
      </c>
      <c r="C448" s="288">
        <v>53294106</v>
      </c>
      <c r="D448" s="288"/>
      <c r="E448" s="885">
        <v>0</v>
      </c>
      <c r="F448" s="288"/>
      <c r="G448" s="745" t="s">
        <v>1947</v>
      </c>
      <c r="H448" s="745" t="s">
        <v>2543</v>
      </c>
      <c r="I448" s="360"/>
      <c r="J448" s="360"/>
      <c r="K448" s="361"/>
      <c r="L448" s="361"/>
      <c r="M448" s="244"/>
      <c r="N448" s="166"/>
      <c r="P448" s="166"/>
    </row>
    <row r="449" spans="1:16" s="7" customFormat="1" ht="14.4" hidden="1" customHeight="1">
      <c r="A449" s="2083">
        <v>45098</v>
      </c>
      <c r="B449" s="403" t="s">
        <v>2544</v>
      </c>
      <c r="C449" s="128">
        <v>87706539</v>
      </c>
      <c r="D449" s="128" t="s">
        <v>2710</v>
      </c>
      <c r="E449" s="128"/>
      <c r="F449" s="6" t="s">
        <v>2756</v>
      </c>
      <c r="G449" s="6" t="s">
        <v>2019</v>
      </c>
      <c r="H449" s="369" t="s">
        <v>2545</v>
      </c>
      <c r="I449" s="366"/>
      <c r="J449" s="360"/>
      <c r="K449" s="361"/>
      <c r="L449" s="361"/>
      <c r="M449" s="244"/>
      <c r="N449" s="166"/>
      <c r="P449" s="166"/>
    </row>
    <row r="450" spans="1:16" s="7" customFormat="1" ht="14.4" hidden="1" customHeight="1">
      <c r="A450" s="2083">
        <v>45098</v>
      </c>
      <c r="B450" s="410" t="s">
        <v>2546</v>
      </c>
      <c r="C450" s="128">
        <v>12345678</v>
      </c>
      <c r="D450" s="128"/>
      <c r="E450" s="128"/>
      <c r="F450" s="128" t="s">
        <v>2758</v>
      </c>
      <c r="G450" s="369" t="s">
        <v>2231</v>
      </c>
      <c r="H450" s="369"/>
      <c r="I450" s="366"/>
      <c r="J450" s="360"/>
      <c r="K450" s="361"/>
      <c r="L450" s="361"/>
      <c r="M450" s="455" t="s">
        <v>2949</v>
      </c>
      <c r="N450" s="166"/>
      <c r="P450" s="166"/>
    </row>
    <row r="451" spans="1:16" s="7" customFormat="1" ht="14.4" hidden="1" customHeight="1">
      <c r="A451" s="2083">
        <v>45098</v>
      </c>
      <c r="B451" s="369" t="s">
        <v>2529</v>
      </c>
      <c r="C451" s="128">
        <v>85577761</v>
      </c>
      <c r="D451" s="128"/>
      <c r="E451" s="128"/>
      <c r="F451" s="128"/>
      <c r="G451" s="369" t="s">
        <v>2317</v>
      </c>
      <c r="H451" s="365" t="s">
        <v>2530</v>
      </c>
      <c r="I451" s="366"/>
      <c r="J451" s="360"/>
      <c r="K451" s="361"/>
      <c r="L451" s="361"/>
      <c r="M451" s="244"/>
      <c r="N451" s="166"/>
      <c r="P451" s="166"/>
    </row>
    <row r="452" spans="1:16" s="7" customFormat="1" ht="14.4" hidden="1" customHeight="1">
      <c r="A452" s="2084">
        <v>45099</v>
      </c>
      <c r="B452" s="616" t="s">
        <v>2587</v>
      </c>
      <c r="C452" s="128">
        <v>44725328</v>
      </c>
      <c r="D452" s="128"/>
      <c r="E452" s="128"/>
      <c r="F452" s="6" t="s">
        <v>3408</v>
      </c>
      <c r="G452" s="371" t="s">
        <v>2554</v>
      </c>
      <c r="H452" s="371" t="s">
        <v>2555</v>
      </c>
      <c r="I452" s="366"/>
      <c r="J452" s="360"/>
      <c r="K452" s="361"/>
      <c r="L452" s="361"/>
      <c r="M452" s="244"/>
      <c r="N452" s="166"/>
      <c r="P452" s="166"/>
    </row>
    <row r="453" spans="1:16" s="7" customFormat="1" ht="14.4" hidden="1" customHeight="1">
      <c r="A453" s="2084">
        <v>45099</v>
      </c>
      <c r="B453" s="556" t="s">
        <v>2559</v>
      </c>
      <c r="C453" s="128">
        <v>93192009</v>
      </c>
      <c r="D453" s="128" t="s">
        <v>3173</v>
      </c>
      <c r="E453" s="128"/>
      <c r="F453" s="128"/>
      <c r="G453" s="371" t="s">
        <v>2115</v>
      </c>
      <c r="H453" s="429" t="s">
        <v>2560</v>
      </c>
      <c r="I453" s="366"/>
      <c r="J453" s="360"/>
      <c r="K453" s="361"/>
      <c r="L453" s="361"/>
      <c r="M453" s="244"/>
      <c r="N453" s="166"/>
      <c r="P453" s="166"/>
    </row>
    <row r="454" spans="1:16" s="7" customFormat="1" ht="14.4" hidden="1" customHeight="1">
      <c r="A454" s="2084">
        <v>45099</v>
      </c>
      <c r="B454" s="399" t="s">
        <v>2561</v>
      </c>
      <c r="C454" s="371" t="s">
        <v>2562</v>
      </c>
      <c r="D454" s="128"/>
      <c r="E454" s="128"/>
      <c r="F454" s="128" t="s">
        <v>1743</v>
      </c>
      <c r="G454" s="371" t="s">
        <v>2251</v>
      </c>
      <c r="H454" s="371" t="s">
        <v>2563</v>
      </c>
      <c r="I454" s="366"/>
      <c r="J454" s="360"/>
      <c r="K454" s="361"/>
      <c r="L454" s="361"/>
      <c r="M454" s="618" t="s">
        <v>3427</v>
      </c>
      <c r="N454" s="166"/>
      <c r="P454" s="166"/>
    </row>
    <row r="455" spans="1:16" s="7" customFormat="1" ht="14.4" hidden="1" customHeight="1">
      <c r="A455" s="2084">
        <v>45099</v>
      </c>
      <c r="B455" s="616" t="s">
        <v>2564</v>
      </c>
      <c r="C455" s="128">
        <v>75518176</v>
      </c>
      <c r="D455" s="128"/>
      <c r="E455" s="128"/>
      <c r="F455" s="6" t="s">
        <v>3408</v>
      </c>
      <c r="G455" s="371" t="s">
        <v>2124</v>
      </c>
      <c r="H455" s="371" t="s">
        <v>2565</v>
      </c>
      <c r="I455" s="366"/>
      <c r="J455" s="360"/>
      <c r="K455" s="361"/>
      <c r="L455" s="361"/>
      <c r="M455" s="244"/>
      <c r="N455" s="166"/>
      <c r="P455" s="166"/>
    </row>
    <row r="456" spans="1:16" s="7" customFormat="1" ht="14.4" hidden="1" customHeight="1">
      <c r="A456" s="2084">
        <v>45099</v>
      </c>
      <c r="B456" s="1159" t="s">
        <v>2566</v>
      </c>
      <c r="C456" s="954"/>
      <c r="D456" s="128"/>
      <c r="E456" s="6" t="s">
        <v>4946</v>
      </c>
      <c r="F456" s="649" t="s">
        <v>3519</v>
      </c>
      <c r="G456" s="371" t="s">
        <v>763</v>
      </c>
      <c r="H456" s="371" t="s">
        <v>2567</v>
      </c>
      <c r="I456" s="366"/>
      <c r="J456" s="360"/>
      <c r="K456" s="361"/>
      <c r="L456" s="361"/>
      <c r="M456" s="244"/>
      <c r="N456" s="166"/>
      <c r="P456" s="166"/>
    </row>
    <row r="457" spans="1:16" s="7" customFormat="1" ht="14.4" hidden="1" customHeight="1">
      <c r="A457" s="2084">
        <v>45099</v>
      </c>
      <c r="B457" s="893" t="s">
        <v>2568</v>
      </c>
      <c r="C457" s="128">
        <v>64624664</v>
      </c>
      <c r="D457" s="893" t="s">
        <v>4411</v>
      </c>
      <c r="E457" s="842" t="s">
        <v>4235</v>
      </c>
      <c r="F457" s="6" t="s">
        <v>2755</v>
      </c>
      <c r="G457" s="371" t="s">
        <v>763</v>
      </c>
      <c r="H457" s="371" t="s">
        <v>2569</v>
      </c>
      <c r="I457" s="366"/>
      <c r="J457" s="360"/>
      <c r="K457" s="361"/>
      <c r="L457" s="361"/>
      <c r="M457" s="244"/>
      <c r="N457" s="166" t="s">
        <v>4508</v>
      </c>
      <c r="P457" s="166"/>
    </row>
    <row r="458" spans="1:16" s="7" customFormat="1" ht="14.4" hidden="1" customHeight="1">
      <c r="A458" s="2084">
        <v>45099</v>
      </c>
      <c r="B458" s="649" t="s">
        <v>2570</v>
      </c>
      <c r="C458" s="128">
        <v>37857257</v>
      </c>
      <c r="D458" s="128"/>
      <c r="E458" s="128"/>
      <c r="F458" s="645" t="s">
        <v>3528</v>
      </c>
      <c r="G458" s="6" t="s">
        <v>2335</v>
      </c>
      <c r="H458" s="371" t="s">
        <v>2571</v>
      </c>
      <c r="I458" s="366"/>
      <c r="J458" s="360"/>
      <c r="K458" s="361"/>
      <c r="L458" s="361"/>
      <c r="M458" s="244"/>
      <c r="N458" s="734" t="s">
        <v>3679</v>
      </c>
      <c r="P458" s="166"/>
    </row>
    <row r="459" spans="1:16" s="7" customFormat="1" ht="14.4" hidden="1" customHeight="1">
      <c r="A459" s="2084">
        <v>45099</v>
      </c>
      <c r="B459" s="2390" t="s">
        <v>2574</v>
      </c>
      <c r="C459" s="128">
        <v>49518450</v>
      </c>
      <c r="D459" s="128" t="s">
        <v>3004</v>
      </c>
      <c r="E459" s="128"/>
      <c r="F459" s="128"/>
      <c r="G459" s="371" t="s">
        <v>2575</v>
      </c>
      <c r="H459" s="371" t="s">
        <v>2576</v>
      </c>
      <c r="I459" s="366"/>
      <c r="J459" s="360"/>
      <c r="K459" s="361"/>
      <c r="L459" s="361"/>
      <c r="M459" s="244"/>
      <c r="N459" s="166"/>
      <c r="P459" s="166"/>
    </row>
    <row r="460" spans="1:16" s="7" customFormat="1" ht="14.4" hidden="1" customHeight="1">
      <c r="A460" s="2084">
        <v>45099</v>
      </c>
      <c r="B460" s="556" t="s">
        <v>2577</v>
      </c>
      <c r="C460" s="128">
        <v>42859373</v>
      </c>
      <c r="D460" s="128" t="s">
        <v>3173</v>
      </c>
      <c r="E460" s="128"/>
      <c r="F460" s="128"/>
      <c r="G460" s="371" t="s">
        <v>2115</v>
      </c>
      <c r="H460" s="371" t="s">
        <v>2578</v>
      </c>
      <c r="I460" s="366"/>
      <c r="J460" s="360"/>
      <c r="K460" s="361"/>
      <c r="L460" s="361"/>
      <c r="M460" s="244"/>
      <c r="N460" s="166"/>
      <c r="P460" s="166"/>
    </row>
    <row r="461" spans="1:16" s="7" customFormat="1" ht="14.4" hidden="1" customHeight="1">
      <c r="A461" s="370"/>
      <c r="B461" s="371" t="s">
        <v>2579</v>
      </c>
      <c r="C461" s="128"/>
      <c r="D461" s="128"/>
      <c r="E461" s="128"/>
      <c r="F461" s="128"/>
      <c r="G461" s="371" t="s">
        <v>1989</v>
      </c>
      <c r="H461" s="371" t="s">
        <v>1989</v>
      </c>
      <c r="I461" s="366"/>
      <c r="J461" s="360"/>
      <c r="K461" s="361"/>
      <c r="L461" s="361"/>
      <c r="M461" s="244"/>
      <c r="N461" s="166"/>
      <c r="P461" s="166"/>
    </row>
    <row r="462" spans="1:16" s="7" customFormat="1" ht="14.4" hidden="1" customHeight="1">
      <c r="A462" s="2085">
        <v>45100</v>
      </c>
      <c r="B462" s="838" t="s">
        <v>2588</v>
      </c>
      <c r="C462" s="560">
        <v>33926533</v>
      </c>
      <c r="D462" s="839" t="s">
        <v>4234</v>
      </c>
      <c r="E462" s="794">
        <v>0</v>
      </c>
      <c r="F462" s="794" t="s">
        <v>3583</v>
      </c>
      <c r="G462" s="632" t="s">
        <v>2012</v>
      </c>
      <c r="H462" s="866" t="s">
        <v>4328</v>
      </c>
      <c r="I462" s="561"/>
      <c r="J462" s="360"/>
      <c r="K462" s="361"/>
      <c r="L462" s="361"/>
      <c r="M462" s="244"/>
      <c r="N462" s="166"/>
      <c r="P462" s="166"/>
    </row>
    <row r="463" spans="1:16" s="7" customFormat="1" ht="14.4" hidden="1" customHeight="1">
      <c r="A463" s="2085">
        <v>45100</v>
      </c>
      <c r="B463" s="436" t="s">
        <v>2589</v>
      </c>
      <c r="C463" s="128">
        <v>91984367</v>
      </c>
      <c r="D463" s="128"/>
      <c r="E463" s="128"/>
      <c r="F463" s="128"/>
      <c r="G463" s="438" t="s">
        <v>2073</v>
      </c>
      <c r="H463" s="438" t="s">
        <v>2590</v>
      </c>
      <c r="I463" s="366"/>
      <c r="J463" s="360"/>
      <c r="K463" s="361"/>
      <c r="L463" s="361"/>
      <c r="M463" s="244"/>
      <c r="N463" s="166"/>
      <c r="O463" s="7" t="s">
        <v>2929</v>
      </c>
      <c r="P463" s="166"/>
    </row>
    <row r="464" spans="1:16" s="7" customFormat="1" ht="14.4" hidden="1" customHeight="1">
      <c r="A464" s="2085">
        <v>45100</v>
      </c>
      <c r="B464" s="719" t="s">
        <v>2591</v>
      </c>
      <c r="C464" s="128">
        <v>96707115</v>
      </c>
      <c r="D464" s="6" t="s">
        <v>3663</v>
      </c>
      <c r="E464" s="6"/>
      <c r="F464" s="6" t="s">
        <v>2755</v>
      </c>
      <c r="G464" s="6" t="s">
        <v>2215</v>
      </c>
      <c r="H464" s="438" t="s">
        <v>2592</v>
      </c>
      <c r="I464" s="366"/>
      <c r="J464" s="360"/>
      <c r="K464" s="361"/>
      <c r="L464" s="361"/>
      <c r="M464" s="244"/>
      <c r="N464" s="166"/>
      <c r="P464" s="166"/>
    </row>
    <row r="465" spans="1:16" s="7" customFormat="1" ht="14.4" customHeight="1">
      <c r="A465" s="2085">
        <v>45100</v>
      </c>
      <c r="B465" s="543" t="s">
        <v>3207</v>
      </c>
      <c r="C465" s="383">
        <v>57438913</v>
      </c>
      <c r="D465" s="383" t="s">
        <v>3570</v>
      </c>
      <c r="E465" s="6" t="s">
        <v>6847</v>
      </c>
      <c r="F465" s="1481" t="s">
        <v>6196</v>
      </c>
      <c r="G465" s="551" t="s">
        <v>617</v>
      </c>
      <c r="H465" s="551" t="s">
        <v>2599</v>
      </c>
      <c r="I465" s="384">
        <v>1</v>
      </c>
      <c r="J465" s="360">
        <v>3</v>
      </c>
      <c r="K465" s="539" t="s">
        <v>3285</v>
      </c>
      <c r="L465" s="539"/>
      <c r="M465" s="244"/>
      <c r="N465" s="166"/>
      <c r="P465" s="166"/>
    </row>
    <row r="466" spans="1:16" s="7" customFormat="1" ht="14.4" hidden="1" customHeight="1">
      <c r="A466" s="2086">
        <v>45100</v>
      </c>
      <c r="B466" s="616" t="s">
        <v>2600</v>
      </c>
      <c r="C466" s="128">
        <v>34917780</v>
      </c>
      <c r="D466" s="128"/>
      <c r="E466" s="128"/>
      <c r="F466" s="6" t="s">
        <v>3408</v>
      </c>
      <c r="G466" s="6" t="s">
        <v>2335</v>
      </c>
      <c r="H466" s="552" t="s">
        <v>2601</v>
      </c>
      <c r="I466" s="366"/>
      <c r="J466" s="360"/>
      <c r="K466" s="361"/>
      <c r="L466" s="361"/>
      <c r="M466" s="244"/>
      <c r="N466" s="166" t="s">
        <v>3463</v>
      </c>
      <c r="P466" s="166"/>
    </row>
    <row r="467" spans="1:16" s="7" customFormat="1" ht="14.4" hidden="1" customHeight="1">
      <c r="A467" s="2086">
        <v>45100</v>
      </c>
      <c r="B467" s="943" t="s">
        <v>2602</v>
      </c>
      <c r="C467" s="128">
        <v>23997312</v>
      </c>
      <c r="D467" s="128" t="s">
        <v>3650</v>
      </c>
      <c r="E467" s="128"/>
      <c r="F467" s="128" t="s">
        <v>2755</v>
      </c>
      <c r="G467" s="459" t="s">
        <v>2237</v>
      </c>
      <c r="H467" s="552" t="s">
        <v>2603</v>
      </c>
      <c r="I467" s="366"/>
      <c r="J467" s="360"/>
      <c r="K467" s="361"/>
      <c r="L467" s="361"/>
      <c r="M467" s="244"/>
      <c r="N467" s="166"/>
      <c r="P467" s="166"/>
    </row>
    <row r="468" spans="1:16" s="7" customFormat="1" ht="14.4" hidden="1" customHeight="1">
      <c r="A468" s="2086">
        <v>45100</v>
      </c>
      <c r="B468" s="849" t="s">
        <v>2605</v>
      </c>
      <c r="C468" s="128">
        <v>34370884</v>
      </c>
      <c r="D468" s="128" t="s">
        <v>4244</v>
      </c>
      <c r="E468" s="128"/>
      <c r="F468" s="848" t="s">
        <v>2755</v>
      </c>
      <c r="G468" s="552" t="s">
        <v>1959</v>
      </c>
      <c r="H468" s="552" t="s">
        <v>2606</v>
      </c>
      <c r="I468" s="366"/>
      <c r="J468" s="360"/>
      <c r="K468" s="361"/>
      <c r="L468" s="361"/>
      <c r="M468" s="244"/>
      <c r="N468" s="166"/>
      <c r="P468" s="166"/>
    </row>
    <row r="469" spans="1:16" s="7" customFormat="1" ht="14.4" hidden="1" customHeight="1">
      <c r="A469" s="2087">
        <v>45101</v>
      </c>
      <c r="B469" s="767" t="s">
        <v>2608</v>
      </c>
      <c r="C469" s="128">
        <v>34007786</v>
      </c>
      <c r="D469" s="760" t="s">
        <v>3836</v>
      </c>
      <c r="E469" s="760">
        <v>1</v>
      </c>
      <c r="F469" s="760" t="s">
        <v>3568</v>
      </c>
      <c r="G469" s="391" t="s">
        <v>2012</v>
      </c>
      <c r="H469" s="405" t="s">
        <v>2609</v>
      </c>
      <c r="I469" s="366"/>
      <c r="J469" s="360"/>
      <c r="K469" s="361"/>
      <c r="L469" s="361"/>
      <c r="M469" s="244"/>
      <c r="N469" s="166"/>
      <c r="P469" s="166"/>
    </row>
    <row r="470" spans="1:16" s="7" customFormat="1" ht="14.4" hidden="1" customHeight="1">
      <c r="A470" s="2087">
        <v>45101</v>
      </c>
      <c r="B470" s="779" t="s">
        <v>2611</v>
      </c>
      <c r="C470" s="128">
        <v>42760020</v>
      </c>
      <c r="D470" s="128" t="s">
        <v>3836</v>
      </c>
      <c r="E470" s="128" t="s">
        <v>3925</v>
      </c>
      <c r="F470" s="128" t="s">
        <v>3841</v>
      </c>
      <c r="G470" s="405" t="s">
        <v>2612</v>
      </c>
      <c r="H470" s="874" t="s">
        <v>3950</v>
      </c>
      <c r="I470" s="366"/>
      <c r="J470" s="360"/>
      <c r="K470" s="361"/>
      <c r="L470" s="361"/>
      <c r="M470" s="244"/>
      <c r="N470" s="166"/>
      <c r="P470" s="166"/>
    </row>
    <row r="471" spans="1:16" s="7" customFormat="1" ht="14.4" hidden="1" customHeight="1">
      <c r="A471" s="2087">
        <v>45101</v>
      </c>
      <c r="B471" s="665" t="s">
        <v>2610</v>
      </c>
      <c r="C471" s="128">
        <v>79530656</v>
      </c>
      <c r="D471" s="128"/>
      <c r="E471" s="128"/>
      <c r="F471" s="6" t="s">
        <v>1743</v>
      </c>
      <c r="G471" s="405" t="s">
        <v>2614</v>
      </c>
      <c r="H471" s="405" t="s">
        <v>2615</v>
      </c>
      <c r="I471" s="366"/>
      <c r="J471" s="360"/>
      <c r="K471" s="361"/>
      <c r="L471" s="361"/>
      <c r="M471" s="666" t="s">
        <v>3558</v>
      </c>
      <c r="N471" s="166"/>
      <c r="P471" s="166"/>
    </row>
    <row r="472" spans="1:16" s="7" customFormat="1" ht="14.4" hidden="1" customHeight="1">
      <c r="A472" s="2087">
        <v>45101</v>
      </c>
      <c r="B472" s="403" t="s">
        <v>2616</v>
      </c>
      <c r="C472" s="128">
        <v>20485818</v>
      </c>
      <c r="D472" s="128" t="s">
        <v>2710</v>
      </c>
      <c r="E472" s="128"/>
      <c r="F472" s="6" t="s">
        <v>1743</v>
      </c>
      <c r="G472" s="405" t="s">
        <v>2402</v>
      </c>
      <c r="H472" s="405" t="s">
        <v>2617</v>
      </c>
      <c r="I472" s="366"/>
      <c r="J472" s="360"/>
      <c r="K472" s="361"/>
      <c r="L472" s="361"/>
      <c r="M472" s="442" t="s">
        <v>2899</v>
      </c>
      <c r="N472" s="166"/>
      <c r="P472" s="166"/>
    </row>
    <row r="473" spans="1:16" s="7" customFormat="1" ht="14.4" hidden="1" customHeight="1">
      <c r="A473" s="2087">
        <v>45101</v>
      </c>
      <c r="B473" s="913" t="s">
        <v>4205</v>
      </c>
      <c r="C473" s="128">
        <v>34464823</v>
      </c>
      <c r="D473" s="905" t="s">
        <v>4443</v>
      </c>
      <c r="E473" s="774"/>
      <c r="F473" s="705" t="s">
        <v>3571</v>
      </c>
      <c r="G473" s="751" t="s">
        <v>2056</v>
      </c>
      <c r="H473" s="858" t="s">
        <v>4206</v>
      </c>
      <c r="I473" s="366"/>
      <c r="J473" s="360"/>
      <c r="K473" s="361"/>
      <c r="L473" s="361"/>
      <c r="M473" s="244"/>
      <c r="N473" s="166"/>
      <c r="P473" s="166"/>
    </row>
    <row r="474" spans="1:16" s="7" customFormat="1" ht="14.4" hidden="1" customHeight="1">
      <c r="A474" s="2087">
        <v>45101</v>
      </c>
      <c r="B474" s="433" t="s">
        <v>2613</v>
      </c>
      <c r="C474" s="128">
        <v>87575498</v>
      </c>
      <c r="D474" s="128"/>
      <c r="E474" s="128"/>
      <c r="F474" s="128"/>
      <c r="G474" s="405" t="s">
        <v>1972</v>
      </c>
      <c r="H474" s="405" t="s">
        <v>2618</v>
      </c>
      <c r="I474" s="366"/>
      <c r="J474" s="366"/>
      <c r="K474" s="361"/>
      <c r="L474" s="361"/>
      <c r="M474" s="244"/>
      <c r="N474" s="166"/>
      <c r="P474" s="166"/>
    </row>
    <row r="475" spans="1:16" s="7" customFormat="1" ht="14.4" hidden="1" customHeight="1">
      <c r="A475" s="2087">
        <v>45101</v>
      </c>
      <c r="B475" s="876" t="s">
        <v>3572</v>
      </c>
      <c r="C475" s="128">
        <v>87242380</v>
      </c>
      <c r="D475" s="761" t="s">
        <v>3862</v>
      </c>
      <c r="E475" s="761"/>
      <c r="F475" s="761" t="s">
        <v>3568</v>
      </c>
      <c r="G475" s="405" t="s">
        <v>2478</v>
      </c>
      <c r="H475" s="761" t="s">
        <v>3888</v>
      </c>
      <c r="I475" s="366"/>
      <c r="J475" s="440"/>
      <c r="K475" s="361"/>
      <c r="L475" s="361"/>
      <c r="M475" s="244"/>
      <c r="N475" s="166"/>
      <c r="P475" s="166"/>
    </row>
    <row r="476" spans="1:16" s="7" customFormat="1" ht="14.4" hidden="1" customHeight="1">
      <c r="A476" s="2088">
        <v>45102</v>
      </c>
      <c r="B476" s="797" t="s">
        <v>3353</v>
      </c>
      <c r="C476" s="128">
        <v>49215727</v>
      </c>
      <c r="D476" s="6" t="s">
        <v>4109</v>
      </c>
      <c r="E476" s="6"/>
      <c r="F476" s="6" t="s">
        <v>2755</v>
      </c>
      <c r="G476" s="392" t="s">
        <v>2124</v>
      </c>
      <c r="H476" s="392" t="s">
        <v>2623</v>
      </c>
      <c r="I476" s="366"/>
      <c r="J476" s="360"/>
      <c r="K476" s="361"/>
      <c r="L476" s="361"/>
      <c r="M476" s="244"/>
      <c r="N476" s="166"/>
      <c r="P476" s="166"/>
    </row>
    <row r="477" spans="1:16" s="7" customFormat="1" ht="14.4" hidden="1" customHeight="1">
      <c r="A477" s="2088">
        <v>45102</v>
      </c>
      <c r="B477" s="390" t="s">
        <v>2624</v>
      </c>
      <c r="C477" s="128">
        <v>34261649</v>
      </c>
      <c r="D477" s="128"/>
      <c r="E477" s="128"/>
      <c r="F477" s="128" t="s">
        <v>2755</v>
      </c>
      <c r="G477" s="392" t="s">
        <v>2554</v>
      </c>
      <c r="H477" s="392" t="s">
        <v>2625</v>
      </c>
      <c r="I477" s="366"/>
      <c r="J477" s="384"/>
      <c r="K477" s="361">
        <v>11.9</v>
      </c>
      <c r="L477" s="361"/>
      <c r="M477" s="244"/>
      <c r="N477" s="166"/>
      <c r="P477" s="166"/>
    </row>
    <row r="478" spans="1:16" s="7" customFormat="1" ht="14.4" hidden="1" customHeight="1">
      <c r="A478" s="2089">
        <v>45103</v>
      </c>
      <c r="B478" s="767" t="s">
        <v>3842</v>
      </c>
      <c r="C478" s="128">
        <v>45716163</v>
      </c>
      <c r="D478" s="760" t="s">
        <v>3836</v>
      </c>
      <c r="E478" s="760">
        <v>1</v>
      </c>
      <c r="F478" s="128" t="s">
        <v>3568</v>
      </c>
      <c r="G478" s="774" t="s">
        <v>2012</v>
      </c>
      <c r="H478" s="774" t="s">
        <v>2629</v>
      </c>
      <c r="I478" s="774"/>
      <c r="J478" s="360"/>
      <c r="K478" s="361"/>
      <c r="L478" s="361"/>
      <c r="M478" s="244"/>
      <c r="N478" s="166"/>
      <c r="P478" s="166"/>
    </row>
    <row r="479" spans="1:16" s="7" customFormat="1" ht="57.6" hidden="1" customHeight="1">
      <c r="A479" s="2089">
        <v>45103</v>
      </c>
      <c r="B479" s="564" t="s">
        <v>3304</v>
      </c>
      <c r="C479" s="128"/>
      <c r="D479" s="128"/>
      <c r="E479" s="128"/>
      <c r="F479" s="128"/>
      <c r="G479" s="391" t="s">
        <v>2306</v>
      </c>
      <c r="H479" s="391" t="s">
        <v>2631</v>
      </c>
      <c r="I479" s="366"/>
      <c r="J479" s="360"/>
      <c r="K479" s="361"/>
      <c r="L479" s="361"/>
      <c r="M479" s="244"/>
      <c r="N479" s="166"/>
      <c r="P479" s="166"/>
    </row>
    <row r="480" spans="1:16" s="7" customFormat="1" ht="14.4" hidden="1" customHeight="1">
      <c r="A480" s="2089">
        <v>45103</v>
      </c>
      <c r="B480" s="876" t="s">
        <v>2634</v>
      </c>
      <c r="C480" s="128">
        <v>12941040</v>
      </c>
      <c r="D480" s="877" t="s">
        <v>4370</v>
      </c>
      <c r="E480" s="760">
        <v>1</v>
      </c>
      <c r="F480" s="877" t="s">
        <v>2755</v>
      </c>
      <c r="G480" s="391" t="s">
        <v>2012</v>
      </c>
      <c r="H480" s="391" t="s">
        <v>2635</v>
      </c>
      <c r="I480" s="366"/>
      <c r="J480" s="360"/>
      <c r="K480" s="361">
        <v>22</v>
      </c>
      <c r="L480" s="361"/>
      <c r="M480" s="244"/>
      <c r="N480" s="166"/>
      <c r="P480" s="166"/>
    </row>
    <row r="481" spans="1:16" s="7" customFormat="1" ht="14.4" hidden="1" customHeight="1">
      <c r="A481" s="2089">
        <v>45103</v>
      </c>
      <c r="B481" s="636" t="s">
        <v>2632</v>
      </c>
      <c r="C481" s="128">
        <v>58497897</v>
      </c>
      <c r="D481" s="519" t="s">
        <v>3173</v>
      </c>
      <c r="E481" s="519"/>
      <c r="F481" s="128"/>
      <c r="G481" s="391" t="s">
        <v>1032</v>
      </c>
      <c r="H481" s="391" t="s">
        <v>2636</v>
      </c>
      <c r="I481" s="366"/>
      <c r="J481" s="360"/>
      <c r="K481" s="361"/>
      <c r="L481" s="361"/>
      <c r="M481" s="244"/>
      <c r="N481" s="166"/>
      <c r="O481" s="542" t="s">
        <v>3280</v>
      </c>
      <c r="P481" s="166"/>
    </row>
    <row r="482" spans="1:16" s="7" customFormat="1" ht="14.4" hidden="1" customHeight="1">
      <c r="A482" s="2090">
        <v>45104</v>
      </c>
      <c r="B482" s="410" t="s">
        <v>2646</v>
      </c>
      <c r="C482" s="128">
        <v>43381629</v>
      </c>
      <c r="D482" s="128"/>
      <c r="E482" s="128"/>
      <c r="F482" s="128" t="s">
        <v>2755</v>
      </c>
      <c r="G482" s="390" t="s">
        <v>1996</v>
      </c>
      <c r="H482" s="390" t="s">
        <v>2647</v>
      </c>
      <c r="I482" s="366"/>
      <c r="J482" s="360"/>
      <c r="K482" s="396">
        <v>22</v>
      </c>
      <c r="L482" s="396"/>
      <c r="M482" s="244"/>
      <c r="N482" s="166"/>
      <c r="P482" s="166"/>
    </row>
    <row r="483" spans="1:16" s="7" customFormat="1" ht="14.4" hidden="1" customHeight="1">
      <c r="A483" s="2090">
        <v>45104</v>
      </c>
      <c r="B483" s="499" t="s">
        <v>2648</v>
      </c>
      <c r="C483" s="128">
        <v>96780189</v>
      </c>
      <c r="D483" s="128"/>
      <c r="E483" s="128"/>
      <c r="F483" s="128" t="s">
        <v>1341</v>
      </c>
      <c r="G483" s="6" t="s">
        <v>2019</v>
      </c>
      <c r="H483" s="390" t="s">
        <v>2649</v>
      </c>
      <c r="I483" s="366"/>
      <c r="J483" s="360"/>
      <c r="K483" s="361"/>
      <c r="L483" s="361"/>
      <c r="M483" s="244"/>
      <c r="N483" s="166"/>
      <c r="P483" s="166"/>
    </row>
    <row r="484" spans="1:16" s="7" customFormat="1" ht="14.4" hidden="1" customHeight="1">
      <c r="A484" s="2090">
        <v>45104</v>
      </c>
      <c r="B484" s="429" t="s">
        <v>2650</v>
      </c>
      <c r="C484" s="128">
        <v>48093129</v>
      </c>
      <c r="D484" s="128"/>
      <c r="E484" s="128"/>
      <c r="F484" s="128"/>
      <c r="G484" s="390" t="s">
        <v>2651</v>
      </c>
      <c r="H484" s="390" t="s">
        <v>2652</v>
      </c>
      <c r="I484" s="366"/>
      <c r="J484" s="360"/>
      <c r="K484" s="361"/>
      <c r="L484" s="361"/>
      <c r="M484" s="244"/>
      <c r="N484" s="166"/>
      <c r="P484" s="166"/>
    </row>
    <row r="485" spans="1:16" s="7" customFormat="1" ht="14.4" hidden="1" customHeight="1">
      <c r="A485" s="2090">
        <v>45104</v>
      </c>
      <c r="B485" s="908" t="s">
        <v>4347</v>
      </c>
      <c r="C485" s="128">
        <v>51229140</v>
      </c>
      <c r="D485" s="128" t="s">
        <v>4443</v>
      </c>
      <c r="E485" s="767" t="s">
        <v>3925</v>
      </c>
      <c r="F485" s="128" t="s">
        <v>2755</v>
      </c>
      <c r="G485" s="868" t="s">
        <v>667</v>
      </c>
      <c r="H485" s="651" t="s">
        <v>3415</v>
      </c>
      <c r="I485" s="366"/>
      <c r="J485" s="360"/>
      <c r="K485" s="361"/>
      <c r="L485" s="361"/>
      <c r="M485" s="244"/>
      <c r="N485" s="166"/>
      <c r="P485" s="166"/>
    </row>
    <row r="486" spans="1:16" s="7" customFormat="1" ht="14.4" hidden="1" customHeight="1">
      <c r="A486" s="2091">
        <v>45106</v>
      </c>
      <c r="B486" s="649" t="s">
        <v>2752</v>
      </c>
      <c r="C486" s="128">
        <v>83204450</v>
      </c>
      <c r="D486" s="128" t="s">
        <v>3173</v>
      </c>
      <c r="E486" s="128"/>
      <c r="F486" s="645" t="s">
        <v>3408</v>
      </c>
      <c r="G486" s="410" t="s">
        <v>2115</v>
      </c>
      <c r="H486" s="410" t="s">
        <v>2658</v>
      </c>
      <c r="I486" s="366"/>
      <c r="J486" s="360"/>
      <c r="K486" s="619" t="s">
        <v>3425</v>
      </c>
      <c r="L486" s="619"/>
      <c r="M486" s="244"/>
      <c r="N486" s="166"/>
      <c r="P486" s="166"/>
    </row>
    <row r="487" spans="1:16" s="7" customFormat="1" ht="14.4" hidden="1" customHeight="1">
      <c r="A487" s="2091">
        <v>45106</v>
      </c>
      <c r="B487" s="518" t="s">
        <v>3197</v>
      </c>
      <c r="C487" s="128">
        <v>72776287</v>
      </c>
      <c r="D487" s="519" t="s">
        <v>3173</v>
      </c>
      <c r="E487" s="519"/>
      <c r="F487" s="128"/>
      <c r="G487" s="400" t="s">
        <v>1032</v>
      </c>
      <c r="H487" s="400" t="s">
        <v>2659</v>
      </c>
      <c r="I487" s="366"/>
      <c r="J487" s="360"/>
      <c r="K487" s="361"/>
      <c r="L487" s="361"/>
      <c r="M487" s="244"/>
      <c r="N487" s="166"/>
      <c r="O487" s="542" t="s">
        <v>3280</v>
      </c>
      <c r="P487" s="166"/>
    </row>
    <row r="488" spans="1:16" s="7" customFormat="1" ht="14.4" hidden="1" customHeight="1">
      <c r="A488" s="2091">
        <v>45106</v>
      </c>
      <c r="B488" s="952" t="s">
        <v>4483</v>
      </c>
      <c r="C488" s="633">
        <v>76438824</v>
      </c>
      <c r="D488" s="740" t="s">
        <v>3770</v>
      </c>
      <c r="E488" s="6">
        <v>10</v>
      </c>
      <c r="F488" s="834" t="s">
        <v>4225</v>
      </c>
      <c r="G488" s="633" t="s">
        <v>1970</v>
      </c>
      <c r="H488" s="893" t="s">
        <v>4409</v>
      </c>
      <c r="I488" s="633"/>
      <c r="J488" s="360"/>
      <c r="K488" s="361"/>
      <c r="L488" s="361"/>
      <c r="M488" s="244"/>
      <c r="N488" s="166"/>
      <c r="P488" s="166"/>
    </row>
    <row r="489" spans="1:16" s="7" customFormat="1" ht="14.4" hidden="1" customHeight="1">
      <c r="A489" s="2091">
        <v>45106</v>
      </c>
      <c r="B489" s="399" t="s">
        <v>2660</v>
      </c>
      <c r="C489" s="128">
        <v>20966920</v>
      </c>
      <c r="D489" s="128"/>
      <c r="E489" s="128"/>
      <c r="F489" s="128" t="s">
        <v>2755</v>
      </c>
      <c r="G489" s="400" t="s">
        <v>2231</v>
      </c>
      <c r="H489" s="400" t="s">
        <v>2661</v>
      </c>
      <c r="I489" s="366"/>
      <c r="J489" s="360"/>
      <c r="K489" s="361">
        <v>23</v>
      </c>
      <c r="L489" s="361"/>
      <c r="M489" s="244"/>
      <c r="N489" s="166"/>
      <c r="P489" s="166"/>
    </row>
    <row r="490" spans="1:16" s="7" customFormat="1" ht="14.4" hidden="1" customHeight="1">
      <c r="A490" s="2092">
        <v>45107</v>
      </c>
      <c r="B490" s="751" t="s">
        <v>3771</v>
      </c>
      <c r="C490" s="633">
        <v>82398822</v>
      </c>
      <c r="D490" s="750" t="s">
        <v>3800</v>
      </c>
      <c r="E490" s="750"/>
      <c r="F490" s="6" t="s">
        <v>2755</v>
      </c>
      <c r="G490" s="633" t="s">
        <v>1970</v>
      </c>
      <c r="H490" s="633" t="s">
        <v>2663</v>
      </c>
      <c r="I490" s="633"/>
      <c r="J490" s="360"/>
      <c r="K490" s="361">
        <v>2</v>
      </c>
      <c r="L490" s="361"/>
      <c r="M490" s="815" t="s">
        <v>4142</v>
      </c>
      <c r="N490" s="166"/>
      <c r="P490" s="166"/>
    </row>
    <row r="491" spans="1:16" s="7" customFormat="1" ht="14.4" hidden="1" customHeight="1">
      <c r="A491" s="2092">
        <v>45107</v>
      </c>
      <c r="B491" s="751" t="s">
        <v>3782</v>
      </c>
      <c r="C491" s="633"/>
      <c r="D491" s="750" t="s">
        <v>3800</v>
      </c>
      <c r="E491" s="750"/>
      <c r="F491" s="6" t="s">
        <v>2755</v>
      </c>
      <c r="G491" s="633" t="s">
        <v>1970</v>
      </c>
      <c r="H491" s="633" t="s">
        <v>2662</v>
      </c>
      <c r="I491" s="633"/>
      <c r="J491" s="360"/>
      <c r="K491" s="361">
        <v>2</v>
      </c>
      <c r="L491" s="361"/>
      <c r="M491" s="815" t="s">
        <v>4142</v>
      </c>
      <c r="N491" s="166"/>
      <c r="P491" s="166"/>
    </row>
    <row r="492" spans="1:16" s="7" customFormat="1" ht="14.4" hidden="1" customHeight="1">
      <c r="A492" s="2092">
        <v>45107</v>
      </c>
      <c r="B492" s="751" t="s">
        <v>3355</v>
      </c>
      <c r="C492" s="128">
        <v>21150249</v>
      </c>
      <c r="D492" s="750" t="s">
        <v>3800</v>
      </c>
      <c r="E492" s="750">
        <v>1</v>
      </c>
      <c r="F492" s="6" t="s">
        <v>2755</v>
      </c>
      <c r="G492" s="399" t="s">
        <v>2012</v>
      </c>
      <c r="H492" s="399" t="s">
        <v>2667</v>
      </c>
      <c r="I492" s="366"/>
      <c r="J492" s="360"/>
      <c r="K492" s="361"/>
      <c r="L492" s="361"/>
      <c r="M492" s="244"/>
      <c r="N492" s="166"/>
      <c r="P492" s="166"/>
    </row>
    <row r="493" spans="1:16" s="7" customFormat="1" ht="14.4" hidden="1" customHeight="1">
      <c r="A493" s="2092">
        <v>45107</v>
      </c>
      <c r="B493" s="842" t="s">
        <v>3354</v>
      </c>
      <c r="C493" s="128">
        <v>82852632</v>
      </c>
      <c r="D493" s="841" t="s">
        <v>4234</v>
      </c>
      <c r="E493" s="796">
        <v>1</v>
      </c>
      <c r="F493" s="833" t="s">
        <v>4129</v>
      </c>
      <c r="G493" s="399" t="s">
        <v>2012</v>
      </c>
      <c r="H493" s="399" t="s">
        <v>2668</v>
      </c>
      <c r="I493" s="366"/>
      <c r="J493" s="360"/>
      <c r="K493" s="361"/>
      <c r="L493" s="361"/>
      <c r="M493" s="244"/>
      <c r="N493" s="166"/>
      <c r="P493" s="166"/>
    </row>
    <row r="494" spans="1:16" s="7" customFormat="1" ht="14.4" hidden="1" customHeight="1">
      <c r="A494" s="2092">
        <v>45107</v>
      </c>
      <c r="B494" s="1156" t="s">
        <v>5040</v>
      </c>
      <c r="C494" s="128">
        <v>37526879</v>
      </c>
      <c r="D494" s="128" t="s">
        <v>4370</v>
      </c>
      <c r="E494" s="6"/>
      <c r="F494" s="128" t="s">
        <v>4377</v>
      </c>
      <c r="G494" s="761" t="s">
        <v>2231</v>
      </c>
      <c r="H494" s="918" t="s">
        <v>4481</v>
      </c>
      <c r="I494" s="366"/>
      <c r="J494" s="360">
        <v>5</v>
      </c>
      <c r="K494" s="361"/>
      <c r="L494" s="361"/>
      <c r="M494" s="244"/>
      <c r="N494" s="166"/>
      <c r="P494" s="166"/>
    </row>
    <row r="495" spans="1:16" s="7" customFormat="1" ht="14.4" hidden="1" customHeight="1">
      <c r="A495" s="2092">
        <v>45107</v>
      </c>
      <c r="B495" s="864" t="s">
        <v>3890</v>
      </c>
      <c r="C495" s="128">
        <v>75280597</v>
      </c>
      <c r="D495" s="128" t="s">
        <v>4316</v>
      </c>
      <c r="E495" s="128"/>
      <c r="F495" s="128" t="s">
        <v>2755</v>
      </c>
      <c r="G495" s="761" t="s">
        <v>2231</v>
      </c>
      <c r="H495" s="670" t="s">
        <v>3587</v>
      </c>
      <c r="I495" s="366"/>
      <c r="J495" s="360"/>
      <c r="K495" s="361"/>
      <c r="L495" s="361"/>
      <c r="M495" s="244"/>
      <c r="N495" s="166"/>
      <c r="P495" s="166"/>
    </row>
    <row r="496" spans="1:16" s="7" customFormat="1" ht="14.4" hidden="1" customHeight="1">
      <c r="A496" s="2092">
        <v>45108</v>
      </c>
      <c r="B496" s="568" t="s">
        <v>2669</v>
      </c>
      <c r="C496" s="383"/>
      <c r="D496" s="739" t="s">
        <v>3770</v>
      </c>
      <c r="E496" s="3">
        <v>10</v>
      </c>
      <c r="F496" s="383" t="s">
        <v>4201</v>
      </c>
      <c r="G496" s="568" t="s">
        <v>1970</v>
      </c>
      <c r="H496" s="987" t="s">
        <v>2670</v>
      </c>
      <c r="I496" s="384"/>
      <c r="J496" s="360"/>
      <c r="K496" s="361"/>
      <c r="L496" s="361"/>
      <c r="M496" s="244"/>
      <c r="N496" s="166"/>
      <c r="P496" s="166"/>
    </row>
    <row r="497" spans="1:16" s="7" customFormat="1" ht="14.4" hidden="1" customHeight="1">
      <c r="A497" s="2092">
        <v>45108</v>
      </c>
      <c r="B497" s="751" t="s">
        <v>3783</v>
      </c>
      <c r="C497" s="128"/>
      <c r="D497" s="750" t="s">
        <v>3800</v>
      </c>
      <c r="E497" s="750"/>
      <c r="F497" s="6" t="s">
        <v>2755</v>
      </c>
      <c r="G497" s="399" t="s">
        <v>1970</v>
      </c>
      <c r="H497" s="399" t="s">
        <v>2671</v>
      </c>
      <c r="I497" s="366"/>
      <c r="J497" s="360"/>
      <c r="K497" s="361">
        <v>2</v>
      </c>
      <c r="L497" s="361"/>
      <c r="M497" s="815" t="s">
        <v>4142</v>
      </c>
      <c r="N497" s="166"/>
      <c r="P497" s="166"/>
    </row>
    <row r="498" spans="1:16" s="7" customFormat="1" ht="14.4" hidden="1" customHeight="1">
      <c r="A498" s="2092">
        <v>45108</v>
      </c>
      <c r="B498" s="719" t="s">
        <v>3157</v>
      </c>
      <c r="C498" s="128">
        <v>47380167</v>
      </c>
      <c r="D498" s="6" t="s">
        <v>3663</v>
      </c>
      <c r="E498" s="6"/>
      <c r="F498" s="6" t="s">
        <v>2755</v>
      </c>
      <c r="G498" s="399" t="s">
        <v>1972</v>
      </c>
      <c r="H498" s="399" t="s">
        <v>2672</v>
      </c>
      <c r="I498" s="366"/>
      <c r="J498" s="360"/>
      <c r="K498" s="361"/>
      <c r="L498" s="361"/>
      <c r="M498" s="244"/>
      <c r="N498" s="166"/>
      <c r="P498" s="166"/>
    </row>
    <row r="499" spans="1:16" s="7" customFormat="1" ht="14.4" hidden="1" customHeight="1">
      <c r="A499" s="2092">
        <v>45109</v>
      </c>
      <c r="B499" s="705" t="s">
        <v>2673</v>
      </c>
      <c r="C499" s="128">
        <v>62308577</v>
      </c>
      <c r="D499" s="128" t="s">
        <v>3650</v>
      </c>
      <c r="E499" s="128"/>
      <c r="F499" s="6" t="s">
        <v>1743</v>
      </c>
      <c r="G499" s="403" t="s">
        <v>2284</v>
      </c>
      <c r="H499" s="399" t="s">
        <v>2674</v>
      </c>
      <c r="I499" s="366"/>
      <c r="J499" s="360"/>
      <c r="K499" s="361"/>
      <c r="L499" s="361"/>
      <c r="M499" s="244"/>
      <c r="N499" s="166"/>
      <c r="P499" s="166"/>
    </row>
    <row r="500" spans="1:16" s="7" customFormat="1" ht="14.4" hidden="1" customHeight="1">
      <c r="A500" s="2092">
        <v>45109</v>
      </c>
      <c r="B500" s="740" t="s">
        <v>3772</v>
      </c>
      <c r="C500" s="128"/>
      <c r="D500" s="128"/>
      <c r="E500" s="128"/>
      <c r="F500" s="128"/>
      <c r="G500" s="399" t="s">
        <v>1970</v>
      </c>
      <c r="H500" s="399" t="s">
        <v>2675</v>
      </c>
      <c r="I500" s="366"/>
      <c r="J500" s="360"/>
      <c r="K500" s="361">
        <v>2</v>
      </c>
      <c r="L500" s="361"/>
      <c r="M500" s="815" t="s">
        <v>4142</v>
      </c>
      <c r="N500" s="166"/>
      <c r="P500" s="166"/>
    </row>
    <row r="501" spans="1:16" s="7" customFormat="1" ht="14.4" hidden="1" customHeight="1">
      <c r="A501" s="2092">
        <v>45109</v>
      </c>
      <c r="B501" s="897" t="s">
        <v>4203</v>
      </c>
      <c r="C501" s="898" t="s">
        <v>4204</v>
      </c>
      <c r="D501" s="6" t="s">
        <v>3778</v>
      </c>
      <c r="E501" s="6" t="s">
        <v>2905</v>
      </c>
      <c r="F501" s="128"/>
      <c r="G501" s="399" t="s">
        <v>1970</v>
      </c>
      <c r="H501" s="399" t="s">
        <v>2676</v>
      </c>
      <c r="I501" s="366"/>
      <c r="J501" s="360"/>
      <c r="K501" s="361">
        <v>2</v>
      </c>
      <c r="L501" s="361">
        <v>2</v>
      </c>
      <c r="M501" s="896" t="s">
        <v>628</v>
      </c>
      <c r="N501" s="166"/>
      <c r="P501" s="166"/>
    </row>
    <row r="502" spans="1:16" s="7" customFormat="1" ht="14.4" hidden="1" customHeight="1">
      <c r="A502" s="2092">
        <v>45109</v>
      </c>
      <c r="B502" s="1011" t="s">
        <v>4582</v>
      </c>
      <c r="C502" s="992">
        <v>80257242</v>
      </c>
      <c r="D502" s="998" t="s">
        <v>3526</v>
      </c>
      <c r="E502" s="85">
        <v>10</v>
      </c>
      <c r="F502" s="998" t="s">
        <v>3526</v>
      </c>
      <c r="G502" s="999" t="s">
        <v>2073</v>
      </c>
      <c r="H502" s="994" t="s">
        <v>2677</v>
      </c>
      <c r="I502" s="463"/>
      <c r="J502" s="360"/>
      <c r="K502" s="361"/>
      <c r="L502" s="361"/>
      <c r="M502" s="244"/>
      <c r="N502" s="166"/>
      <c r="P502" s="166"/>
    </row>
    <row r="503" spans="1:16" s="7" customFormat="1" ht="14.4" hidden="1" customHeight="1">
      <c r="A503" s="2092">
        <v>45109</v>
      </c>
      <c r="B503" s="751" t="s">
        <v>3773</v>
      </c>
      <c r="C503" s="128">
        <v>14788098</v>
      </c>
      <c r="D503" s="750" t="s">
        <v>3800</v>
      </c>
      <c r="E503" s="750"/>
      <c r="F503" s="6" t="s">
        <v>2755</v>
      </c>
      <c r="G503" s="399" t="s">
        <v>1970</v>
      </c>
      <c r="H503" s="399" t="s">
        <v>2679</v>
      </c>
      <c r="I503" s="366"/>
      <c r="J503" s="360"/>
      <c r="K503" s="361">
        <v>2</v>
      </c>
      <c r="L503" s="361"/>
      <c r="M503" s="815" t="s">
        <v>4142</v>
      </c>
      <c r="N503" s="166"/>
      <c r="P503" s="166"/>
    </row>
    <row r="504" spans="1:16" s="7" customFormat="1" ht="14.4" hidden="1" customHeight="1">
      <c r="A504" s="2092">
        <v>45110</v>
      </c>
      <c r="B504" s="908" t="s">
        <v>4251</v>
      </c>
      <c r="C504" s="128">
        <v>81612442</v>
      </c>
      <c r="D504" s="905" t="s">
        <v>4443</v>
      </c>
      <c r="E504" s="6" t="s">
        <v>3571</v>
      </c>
      <c r="F504" s="128" t="s">
        <v>2755</v>
      </c>
      <c r="G504" s="633" t="s">
        <v>736</v>
      </c>
      <c r="H504" s="399" t="s">
        <v>2681</v>
      </c>
      <c r="I504" s="366"/>
      <c r="J504" s="360"/>
      <c r="K504" s="361"/>
      <c r="L504" s="361"/>
      <c r="M504" s="244"/>
      <c r="N504" s="166">
        <v>0</v>
      </c>
      <c r="P504" s="166"/>
    </row>
    <row r="505" spans="1:16" s="7" customFormat="1" ht="14.4" hidden="1" customHeight="1">
      <c r="A505" s="2092">
        <v>45110</v>
      </c>
      <c r="B505" s="806" t="s">
        <v>4114</v>
      </c>
      <c r="C505" s="128">
        <v>77146934</v>
      </c>
      <c r="D505" s="809" t="s">
        <v>4109</v>
      </c>
      <c r="E505" s="810" t="s">
        <v>3925</v>
      </c>
      <c r="F505" s="556"/>
      <c r="G505" s="584" t="s">
        <v>3312</v>
      </c>
      <c r="H505" s="399" t="s">
        <v>2682</v>
      </c>
      <c r="I505" s="366"/>
      <c r="J505" s="360"/>
      <c r="K505" s="361"/>
      <c r="L505" s="361"/>
      <c r="M505" s="244"/>
      <c r="N505" s="166" t="s">
        <v>4201</v>
      </c>
      <c r="P505" s="166"/>
    </row>
    <row r="506" spans="1:16" s="7" customFormat="1" ht="14.4" hidden="1" customHeight="1">
      <c r="A506" s="2092">
        <v>45110</v>
      </c>
      <c r="B506" s="616" t="s">
        <v>2683</v>
      </c>
      <c r="C506" s="128">
        <v>46915356</v>
      </c>
      <c r="D506" s="128"/>
      <c r="E506" s="128"/>
      <c r="F506" s="6" t="s">
        <v>3408</v>
      </c>
      <c r="G506" s="399" t="s">
        <v>2124</v>
      </c>
      <c r="H506" s="399" t="s">
        <v>2684</v>
      </c>
      <c r="I506" s="366"/>
      <c r="J506" s="360"/>
      <c r="K506" s="361"/>
      <c r="L506" s="361"/>
      <c r="M506" s="244"/>
      <c r="N506" s="166"/>
      <c r="P506" s="166"/>
    </row>
    <row r="507" spans="1:16" s="7" customFormat="1" ht="14.4" hidden="1" customHeight="1">
      <c r="A507" s="2092">
        <v>45110</v>
      </c>
      <c r="B507" s="751" t="s">
        <v>3774</v>
      </c>
      <c r="C507" s="128">
        <v>29091956</v>
      </c>
      <c r="D507" s="750" t="s">
        <v>3800</v>
      </c>
      <c r="E507" s="750"/>
      <c r="F507" s="6" t="s">
        <v>2755</v>
      </c>
      <c r="G507" s="399" t="s">
        <v>1970</v>
      </c>
      <c r="H507" s="399" t="s">
        <v>2685</v>
      </c>
      <c r="I507" s="366"/>
      <c r="J507" s="360"/>
      <c r="K507" s="361">
        <v>2</v>
      </c>
      <c r="L507" s="361"/>
      <c r="M507" s="815" t="s">
        <v>4142</v>
      </c>
      <c r="N507" s="166"/>
      <c r="P507" s="166"/>
    </row>
    <row r="508" spans="1:16" s="7" customFormat="1" ht="14.4" hidden="1" customHeight="1">
      <c r="A508" s="2092">
        <v>45110</v>
      </c>
      <c r="B508" s="751" t="s">
        <v>3775</v>
      </c>
      <c r="C508" s="128">
        <v>47370508</v>
      </c>
      <c r="D508" s="750" t="s">
        <v>3800</v>
      </c>
      <c r="E508" s="750"/>
      <c r="F508" s="6" t="s">
        <v>2755</v>
      </c>
      <c r="G508" s="399" t="s">
        <v>1970</v>
      </c>
      <c r="H508" s="399" t="s">
        <v>2686</v>
      </c>
      <c r="I508" s="366"/>
      <c r="J508" s="360"/>
      <c r="K508" s="361">
        <v>2</v>
      </c>
      <c r="L508" s="361"/>
      <c r="M508" s="815" t="s">
        <v>4142</v>
      </c>
      <c r="N508" s="166"/>
      <c r="P508" s="166"/>
    </row>
    <row r="509" spans="1:16" s="7" customFormat="1" ht="14.4" hidden="1" customHeight="1">
      <c r="A509" s="2092">
        <v>45110</v>
      </c>
      <c r="B509" s="751" t="s">
        <v>3784</v>
      </c>
      <c r="C509" s="128"/>
      <c r="D509" s="750" t="s">
        <v>3800</v>
      </c>
      <c r="E509" s="750"/>
      <c r="F509" s="6" t="s">
        <v>2755</v>
      </c>
      <c r="G509" s="399" t="s">
        <v>1970</v>
      </c>
      <c r="H509" s="399" t="s">
        <v>2687</v>
      </c>
      <c r="I509" s="366"/>
      <c r="J509" s="360"/>
      <c r="K509" s="361">
        <v>2</v>
      </c>
      <c r="L509" s="361"/>
      <c r="M509" s="815" t="s">
        <v>4142</v>
      </c>
      <c r="N509" s="166"/>
      <c r="P509" s="166"/>
    </row>
    <row r="510" spans="1:16" s="7" customFormat="1" ht="14.4" hidden="1" customHeight="1">
      <c r="A510" s="2092">
        <v>45110</v>
      </c>
      <c r="B510" s="797" t="s">
        <v>3544</v>
      </c>
      <c r="C510" s="128">
        <v>16035550</v>
      </c>
      <c r="D510" s="797" t="s">
        <v>4109</v>
      </c>
      <c r="E510" s="761"/>
      <c r="F510" s="6" t="s">
        <v>2755</v>
      </c>
      <c r="G510" s="399" t="s">
        <v>2688</v>
      </c>
      <c r="H510" s="399" t="s">
        <v>2689</v>
      </c>
      <c r="I510" s="366"/>
      <c r="J510" s="360"/>
      <c r="K510" s="361"/>
      <c r="L510" s="361"/>
      <c r="M510" s="244"/>
      <c r="N510" s="166"/>
      <c r="P510" s="166"/>
    </row>
    <row r="511" spans="1:16" s="7" customFormat="1" ht="14.4" hidden="1" customHeight="1">
      <c r="A511" s="2092">
        <v>45110</v>
      </c>
      <c r="B511" s="727" t="s">
        <v>2690</v>
      </c>
      <c r="C511" s="128">
        <v>96892684</v>
      </c>
      <c r="D511" s="128" t="s">
        <v>3650</v>
      </c>
      <c r="E511" s="128"/>
      <c r="F511" s="6" t="s">
        <v>3569</v>
      </c>
      <c r="G511" s="399" t="s">
        <v>2691</v>
      </c>
      <c r="H511" s="524" t="s">
        <v>3211</v>
      </c>
      <c r="I511" s="366"/>
      <c r="J511" s="360"/>
      <c r="K511" s="361"/>
      <c r="L511" s="361"/>
      <c r="M511" s="244"/>
      <c r="N511" s="166"/>
      <c r="P511" s="166"/>
    </row>
    <row r="512" spans="1:16" s="7" customFormat="1" ht="14.4" hidden="1" customHeight="1">
      <c r="A512" s="2092">
        <v>45110</v>
      </c>
      <c r="B512" s="568"/>
      <c r="C512" s="383"/>
      <c r="D512" s="383"/>
      <c r="E512" s="770"/>
      <c r="F512" s="383"/>
      <c r="G512" s="568"/>
      <c r="H512" s="568"/>
      <c r="I512" s="384"/>
      <c r="J512" s="360"/>
      <c r="K512" s="361"/>
      <c r="L512" s="361"/>
      <c r="M512" s="244"/>
      <c r="N512" s="166"/>
      <c r="P512" s="166"/>
    </row>
    <row r="513" spans="1:16" s="7" customFormat="1" ht="14.4" hidden="1" customHeight="1">
      <c r="A513" s="2092">
        <v>45110</v>
      </c>
      <c r="B513" s="751" t="s">
        <v>3785</v>
      </c>
      <c r="C513" s="128"/>
      <c r="D513" s="750" t="s">
        <v>3800</v>
      </c>
      <c r="E513" s="750"/>
      <c r="F513" s="6" t="s">
        <v>2755</v>
      </c>
      <c r="G513" s="399" t="s">
        <v>1970</v>
      </c>
      <c r="H513" s="399" t="s">
        <v>2692</v>
      </c>
      <c r="I513" s="366"/>
      <c r="J513" s="360"/>
      <c r="K513" s="361">
        <v>2</v>
      </c>
      <c r="L513" s="361"/>
      <c r="M513" s="815" t="s">
        <v>4142</v>
      </c>
      <c r="N513" s="166"/>
      <c r="P513" s="166"/>
    </row>
    <row r="514" spans="1:16" s="7" customFormat="1" ht="14.4" hidden="1" customHeight="1">
      <c r="A514" s="2092">
        <v>45110</v>
      </c>
      <c r="B514" s="433" t="s">
        <v>2859</v>
      </c>
      <c r="C514" s="128">
        <v>53911563</v>
      </c>
      <c r="D514" s="128"/>
      <c r="E514" s="128"/>
      <c r="F514" s="128"/>
      <c r="G514" s="399" t="s">
        <v>2693</v>
      </c>
      <c r="H514" s="399" t="s">
        <v>2694</v>
      </c>
      <c r="I514" s="366"/>
      <c r="J514" s="360"/>
      <c r="K514" s="361"/>
      <c r="L514" s="361"/>
      <c r="M514" s="244"/>
      <c r="N514" s="166"/>
      <c r="P514" s="166"/>
    </row>
    <row r="515" spans="1:16" s="7" customFormat="1" ht="14.4" hidden="1" customHeight="1">
      <c r="A515" s="2092">
        <v>45110</v>
      </c>
      <c r="B515" s="512" t="s">
        <v>3084</v>
      </c>
      <c r="C515" s="128" t="s">
        <v>3085</v>
      </c>
      <c r="D515" s="128" t="s">
        <v>2827</v>
      </c>
      <c r="E515" s="128"/>
      <c r="F515" s="128"/>
      <c r="G515" s="399" t="s">
        <v>2073</v>
      </c>
      <c r="H515" s="399" t="s">
        <v>2695</v>
      </c>
      <c r="I515" s="366"/>
      <c r="J515" s="360"/>
      <c r="K515" s="361"/>
      <c r="L515" s="361"/>
      <c r="M515" s="244"/>
      <c r="N515" s="166"/>
      <c r="O515" s="525" t="s">
        <v>3223</v>
      </c>
      <c r="P515" s="166"/>
    </row>
    <row r="516" spans="1:16" s="7" customFormat="1" ht="14.4" hidden="1" customHeight="1">
      <c r="A516" s="2092">
        <v>45110</v>
      </c>
      <c r="B516" s="761" t="s">
        <v>3120</v>
      </c>
      <c r="C516" s="128">
        <v>26143881</v>
      </c>
      <c r="D516" s="128" t="s">
        <v>3570</v>
      </c>
      <c r="E516" s="128"/>
      <c r="F516" s="128" t="s">
        <v>3582</v>
      </c>
      <c r="G516" s="399" t="s">
        <v>2251</v>
      </c>
      <c r="H516" s="399" t="s">
        <v>2696</v>
      </c>
      <c r="I516" s="366"/>
      <c r="J516" s="360"/>
      <c r="K516" s="361"/>
      <c r="L516" s="361"/>
      <c r="M516" s="837" t="s">
        <v>4209</v>
      </c>
      <c r="N516" s="166"/>
      <c r="P516" s="166"/>
    </row>
    <row r="517" spans="1:16" s="7" customFormat="1" ht="14.4" hidden="1" customHeight="1">
      <c r="A517" s="2092">
        <v>45110</v>
      </c>
      <c r="B517" s="876" t="s">
        <v>3945</v>
      </c>
      <c r="C517" s="128">
        <v>80301859</v>
      </c>
      <c r="D517" s="767" t="s">
        <v>3935</v>
      </c>
      <c r="E517" s="767"/>
      <c r="F517" s="6" t="s">
        <v>2755</v>
      </c>
      <c r="G517" s="399" t="s">
        <v>2478</v>
      </c>
      <c r="H517" s="761" t="s">
        <v>3887</v>
      </c>
      <c r="I517" s="366"/>
      <c r="J517" s="440"/>
      <c r="K517" s="361"/>
      <c r="L517" s="361"/>
      <c r="M517" s="244"/>
      <c r="N517" s="166"/>
      <c r="P517" s="166"/>
    </row>
    <row r="518" spans="1:16" s="7" customFormat="1" ht="14.4" hidden="1" customHeight="1">
      <c r="A518" s="2092">
        <v>45110</v>
      </c>
      <c r="B518" s="399" t="s">
        <v>2697</v>
      </c>
      <c r="C518" s="128"/>
      <c r="D518" s="128"/>
      <c r="E518" s="128"/>
      <c r="F518" s="128" t="s">
        <v>1341</v>
      </c>
      <c r="G518" s="399" t="s">
        <v>2698</v>
      </c>
      <c r="H518" s="399" t="s">
        <v>2699</v>
      </c>
      <c r="I518" s="366"/>
      <c r="J518" s="366"/>
      <c r="K518" s="361"/>
      <c r="L518" s="361"/>
      <c r="M518" s="244"/>
      <c r="N518" s="166"/>
      <c r="P518" s="166"/>
    </row>
    <row r="519" spans="1:16" s="7" customFormat="1" ht="14.4" hidden="1" customHeight="1">
      <c r="A519" s="2092">
        <v>45110</v>
      </c>
      <c r="B519" s="584" t="s">
        <v>3222</v>
      </c>
      <c r="C519" s="128">
        <v>99819960</v>
      </c>
      <c r="D519" s="549"/>
      <c r="E519" s="549"/>
      <c r="F519" s="556" t="s">
        <v>3306</v>
      </c>
      <c r="G519" s="584" t="s">
        <v>3312</v>
      </c>
      <c r="H519" s="399" t="s">
        <v>2700</v>
      </c>
      <c r="I519" s="366"/>
      <c r="J519" s="360"/>
      <c r="K519" s="361"/>
      <c r="L519" s="361"/>
      <c r="M519" s="244"/>
      <c r="N519" s="166" t="s">
        <v>3391</v>
      </c>
      <c r="P519" s="166"/>
    </row>
    <row r="520" spans="1:16" s="7" customFormat="1" ht="14.4" hidden="1" customHeight="1">
      <c r="A520" s="2092">
        <v>45110</v>
      </c>
      <c r="B520" s="779" t="s">
        <v>3929</v>
      </c>
      <c r="C520" s="128">
        <v>58163432</v>
      </c>
      <c r="D520" s="128" t="s">
        <v>3570</v>
      </c>
      <c r="E520" s="128" t="s">
        <v>3568</v>
      </c>
      <c r="F520" s="128" t="s">
        <v>3588</v>
      </c>
      <c r="G520" s="399" t="s">
        <v>2402</v>
      </c>
      <c r="H520" s="399" t="s">
        <v>2701</v>
      </c>
      <c r="I520" s="366"/>
      <c r="J520" s="360"/>
      <c r="K520" s="361"/>
      <c r="L520" s="361"/>
      <c r="M520" s="780" t="s">
        <v>4008</v>
      </c>
      <c r="N520" s="166"/>
      <c r="P520" s="166"/>
    </row>
    <row r="521" spans="1:16" s="7" customFormat="1" ht="14.4" hidden="1" customHeight="1">
      <c r="A521" s="2092">
        <v>45110</v>
      </c>
      <c r="B521" s="740" t="s">
        <v>3755</v>
      </c>
      <c r="C521" s="128"/>
      <c r="D521" s="128"/>
      <c r="E521" s="128"/>
      <c r="F521" s="128"/>
      <c r="G521" s="399" t="s">
        <v>1970</v>
      </c>
      <c r="H521" s="399" t="s">
        <v>2704</v>
      </c>
      <c r="I521" s="366"/>
      <c r="J521" s="360"/>
      <c r="K521" s="361">
        <v>3</v>
      </c>
      <c r="L521" s="361"/>
      <c r="M521" s="815" t="s">
        <v>4142</v>
      </c>
      <c r="N521" s="166"/>
      <c r="P521" s="166"/>
    </row>
    <row r="522" spans="1:16" s="7" customFormat="1" ht="14.4" hidden="1" customHeight="1">
      <c r="A522" s="2092">
        <v>45110</v>
      </c>
      <c r="B522" s="541" t="s">
        <v>2705</v>
      </c>
      <c r="C522" s="128">
        <v>32439523</v>
      </c>
      <c r="D522" s="549"/>
      <c r="E522" s="549"/>
      <c r="F522" s="128"/>
      <c r="G522" s="399" t="s">
        <v>1199</v>
      </c>
      <c r="H522" s="399" t="s">
        <v>2706</v>
      </c>
      <c r="I522" s="366"/>
      <c r="J522" s="360"/>
      <c r="K522" s="361"/>
      <c r="L522" s="361"/>
      <c r="M522" s="244"/>
      <c r="N522" s="166" t="s">
        <v>3363</v>
      </c>
      <c r="P522" s="166"/>
    </row>
    <row r="523" spans="1:16" s="7" customFormat="1" ht="14.4" hidden="1" customHeight="1">
      <c r="A523" s="2093">
        <v>45111</v>
      </c>
      <c r="B523" s="596" t="s">
        <v>2709</v>
      </c>
      <c r="C523" s="128">
        <v>84124904</v>
      </c>
      <c r="D523" s="128"/>
      <c r="E523" s="128"/>
      <c r="F523" s="128"/>
      <c r="G523" s="403" t="s">
        <v>617</v>
      </c>
      <c r="H523" s="403" t="s">
        <v>2711</v>
      </c>
      <c r="I523" s="366"/>
      <c r="J523" s="360"/>
      <c r="K523" s="361"/>
      <c r="L523" s="361"/>
      <c r="M523" s="244"/>
      <c r="N523" s="166"/>
      <c r="P523" s="166"/>
    </row>
    <row r="524" spans="1:16" s="7" customFormat="1" ht="14.4" hidden="1" customHeight="1">
      <c r="A524" s="2093">
        <v>45111</v>
      </c>
      <c r="B524" s="885" t="s">
        <v>2712</v>
      </c>
      <c r="C524" s="128">
        <v>46568935</v>
      </c>
      <c r="D524" s="885" t="s">
        <v>4397</v>
      </c>
      <c r="E524" s="128"/>
      <c r="F524" s="6" t="s">
        <v>2755</v>
      </c>
      <c r="G524" s="403" t="s">
        <v>2124</v>
      </c>
      <c r="H524" s="436" t="s">
        <v>2713</v>
      </c>
      <c r="I524" s="366"/>
      <c r="J524" s="360"/>
      <c r="K524" s="361">
        <v>22</v>
      </c>
      <c r="L524" s="361"/>
      <c r="M524" s="244"/>
      <c r="N524" s="166"/>
      <c r="P524" s="166"/>
    </row>
    <row r="525" spans="1:16" s="7" customFormat="1" ht="14.4" hidden="1" customHeight="1">
      <c r="A525" s="2093">
        <v>45111</v>
      </c>
      <c r="B525" s="436" t="s">
        <v>2714</v>
      </c>
      <c r="C525" s="128"/>
      <c r="D525" s="128"/>
      <c r="E525" s="128"/>
      <c r="F525" s="128"/>
      <c r="G525" s="403" t="s">
        <v>2715</v>
      </c>
      <c r="H525" s="403" t="s">
        <v>2716</v>
      </c>
      <c r="I525" s="366"/>
      <c r="J525" s="360"/>
      <c r="K525" s="361"/>
      <c r="L525" s="361"/>
      <c r="M525" s="244"/>
      <c r="N525" s="166"/>
      <c r="O525" s="7" t="s">
        <v>3382</v>
      </c>
      <c r="P525" s="166"/>
    </row>
    <row r="526" spans="1:16" s="7" customFormat="1" ht="14.4" hidden="1" customHeight="1">
      <c r="A526" s="2093">
        <v>45111</v>
      </c>
      <c r="B526" s="864" t="s">
        <v>3994</v>
      </c>
      <c r="C526" s="128">
        <v>78534801</v>
      </c>
      <c r="D526" s="864" t="s">
        <v>4316</v>
      </c>
      <c r="E526" s="767"/>
      <c r="F526" s="861" t="s">
        <v>2755</v>
      </c>
      <c r="G526" s="424" t="s">
        <v>2124</v>
      </c>
      <c r="H526" s="403" t="s">
        <v>2717</v>
      </c>
      <c r="I526" s="366"/>
      <c r="J526" s="401"/>
      <c r="K526" s="401" t="s">
        <v>1985</v>
      </c>
      <c r="L526" s="401"/>
      <c r="M526" s="244"/>
      <c r="N526" s="166"/>
      <c r="P526" s="166"/>
    </row>
    <row r="527" spans="1:16" s="7" customFormat="1" ht="14.4" hidden="1" customHeight="1">
      <c r="A527" s="2093">
        <v>45111</v>
      </c>
      <c r="B527" s="876" t="s">
        <v>2862</v>
      </c>
      <c r="C527" s="128">
        <v>37467982</v>
      </c>
      <c r="D527" s="128" t="s">
        <v>3650</v>
      </c>
      <c r="E527" s="128"/>
      <c r="F527" s="128" t="s">
        <v>3577</v>
      </c>
      <c r="G527" s="429" t="s">
        <v>2478</v>
      </c>
      <c r="H527" s="433" t="s">
        <v>2863</v>
      </c>
      <c r="I527" s="366"/>
      <c r="J527" s="360"/>
      <c r="K527" s="361"/>
      <c r="L527" s="361"/>
      <c r="M527" s="244"/>
      <c r="N527" s="166"/>
      <c r="P527" s="166"/>
    </row>
    <row r="528" spans="1:16" s="7" customFormat="1" ht="14.4" hidden="1" customHeight="1">
      <c r="A528" s="2093">
        <v>45111</v>
      </c>
      <c r="B528" s="797" t="s">
        <v>2718</v>
      </c>
      <c r="C528" s="767">
        <v>35599768</v>
      </c>
      <c r="D528" s="767" t="s">
        <v>3836</v>
      </c>
      <c r="E528" s="767"/>
      <c r="F528" s="6" t="s">
        <v>2755</v>
      </c>
      <c r="G528" s="767" t="s">
        <v>2719</v>
      </c>
      <c r="H528" s="767" t="s">
        <v>2720</v>
      </c>
      <c r="I528" s="767"/>
      <c r="J528" s="360"/>
      <c r="K528" s="361"/>
      <c r="L528" s="361"/>
      <c r="M528" s="244"/>
      <c r="N528" s="166"/>
      <c r="P528" s="166"/>
    </row>
    <row r="529" spans="1:16" s="7" customFormat="1" ht="14.4" hidden="1" customHeight="1">
      <c r="A529" s="2093">
        <v>45111</v>
      </c>
      <c r="B529" s="705" t="s">
        <v>2721</v>
      </c>
      <c r="C529" s="128">
        <v>85509294</v>
      </c>
      <c r="D529" s="128" t="s">
        <v>3650</v>
      </c>
      <c r="E529" s="128"/>
      <c r="F529" s="128" t="s">
        <v>2755</v>
      </c>
      <c r="G529" s="459" t="s">
        <v>2237</v>
      </c>
      <c r="H529" s="403" t="s">
        <v>2722</v>
      </c>
      <c r="I529" s="366"/>
      <c r="J529" s="360"/>
      <c r="K529" s="361"/>
      <c r="L529" s="361"/>
      <c r="M529" s="244"/>
      <c r="N529" s="166"/>
      <c r="P529" s="166"/>
    </row>
    <row r="530" spans="1:16" s="7" customFormat="1" ht="14.4" hidden="1" customHeight="1">
      <c r="A530" s="2093">
        <v>45111</v>
      </c>
      <c r="B530" s="740" t="s">
        <v>2723</v>
      </c>
      <c r="C530" s="128">
        <v>50572649</v>
      </c>
      <c r="D530" s="128" t="s">
        <v>3650</v>
      </c>
      <c r="E530" s="128"/>
      <c r="F530" s="740" t="s">
        <v>2755</v>
      </c>
      <c r="G530" s="429" t="s">
        <v>2306</v>
      </c>
      <c r="H530" s="403" t="s">
        <v>2724</v>
      </c>
      <c r="I530" s="366"/>
      <c r="J530" s="360"/>
      <c r="K530" s="361"/>
      <c r="L530" s="361"/>
      <c r="M530" s="244"/>
      <c r="N530" s="166"/>
      <c r="P530" s="166"/>
    </row>
    <row r="531" spans="1:16" s="7" customFormat="1" ht="14.4" hidden="1" customHeight="1">
      <c r="A531" s="2093">
        <v>45111</v>
      </c>
      <c r="B531" s="403" t="s">
        <v>2725</v>
      </c>
      <c r="C531" s="128">
        <v>58171601</v>
      </c>
      <c r="D531" s="128"/>
      <c r="E531" s="128"/>
      <c r="F531" s="128"/>
      <c r="G531" s="403" t="s">
        <v>2715</v>
      </c>
      <c r="H531" s="403" t="s">
        <v>2726</v>
      </c>
      <c r="I531" s="366"/>
      <c r="J531" s="360"/>
      <c r="K531" s="361"/>
      <c r="L531" s="361"/>
      <c r="M531" s="244"/>
      <c r="N531" s="166"/>
      <c r="O531" s="7" t="s">
        <v>2910</v>
      </c>
      <c r="P531" s="166"/>
    </row>
    <row r="532" spans="1:16" s="7" customFormat="1" ht="14.4" hidden="1" customHeight="1">
      <c r="A532" s="2093">
        <v>45111</v>
      </c>
      <c r="B532" s="670" t="s">
        <v>2727</v>
      </c>
      <c r="C532" s="128">
        <v>92670453</v>
      </c>
      <c r="D532" s="128" t="s">
        <v>3570</v>
      </c>
      <c r="E532" s="128"/>
      <c r="F532" s="6" t="s">
        <v>3575</v>
      </c>
      <c r="G532" s="403" t="s">
        <v>2284</v>
      </c>
      <c r="H532" s="433" t="s">
        <v>2728</v>
      </c>
      <c r="I532" s="366"/>
      <c r="J532" s="360"/>
      <c r="K532" s="361"/>
      <c r="L532" s="361"/>
      <c r="M532" s="244"/>
      <c r="N532" s="166"/>
      <c r="P532" s="166"/>
    </row>
    <row r="533" spans="1:16" s="7" customFormat="1" ht="14.4" hidden="1" customHeight="1">
      <c r="A533" s="2093">
        <v>45111</v>
      </c>
      <c r="B533" s="459" t="s">
        <v>2729</v>
      </c>
      <c r="C533" s="128">
        <v>25480147</v>
      </c>
      <c r="D533" s="128"/>
      <c r="E533" s="128"/>
      <c r="F533" s="128"/>
      <c r="G533" s="7" t="s">
        <v>2215</v>
      </c>
      <c r="H533" s="403" t="s">
        <v>2730</v>
      </c>
      <c r="I533" s="366"/>
      <c r="J533" s="366"/>
      <c r="K533" s="361"/>
      <c r="L533" s="361"/>
      <c r="M533" s="244"/>
      <c r="N533" s="166"/>
      <c r="P533" s="166"/>
    </row>
    <row r="534" spans="1:16" s="7" customFormat="1" ht="14.4" hidden="1" customHeight="1">
      <c r="A534" s="2093">
        <v>45111</v>
      </c>
      <c r="B534" s="459" t="s">
        <v>2731</v>
      </c>
      <c r="C534" s="128">
        <v>22558450</v>
      </c>
      <c r="D534" s="128"/>
      <c r="E534" s="128"/>
      <c r="F534" s="128"/>
      <c r="G534" s="403" t="s">
        <v>713</v>
      </c>
      <c r="H534" s="403" t="s">
        <v>2732</v>
      </c>
      <c r="I534" s="366"/>
      <c r="J534" s="366"/>
      <c r="K534" s="361"/>
      <c r="L534" s="361"/>
      <c r="M534" s="244"/>
      <c r="N534" s="166"/>
      <c r="O534" s="542" t="s">
        <v>3280</v>
      </c>
      <c r="P534" s="166"/>
    </row>
    <row r="535" spans="1:16" s="7" customFormat="1" ht="14.4" hidden="1" customHeight="1">
      <c r="A535" s="2093">
        <v>45111</v>
      </c>
      <c r="B535" s="537" t="s">
        <v>2734</v>
      </c>
      <c r="C535" s="383"/>
      <c r="D535" s="383"/>
      <c r="E535" s="383"/>
      <c r="F535" s="383"/>
      <c r="G535" s="537"/>
      <c r="H535" s="537"/>
      <c r="I535" s="384"/>
      <c r="J535" s="426" t="s">
        <v>2819</v>
      </c>
      <c r="K535" s="361"/>
      <c r="L535" s="361"/>
      <c r="M535" s="244"/>
      <c r="N535" s="166"/>
      <c r="P535" s="166"/>
    </row>
    <row r="536" spans="1:16" s="7" customFormat="1" ht="14.4" hidden="1" customHeight="1">
      <c r="A536" s="2093">
        <v>45111</v>
      </c>
      <c r="B536" s="751" t="s">
        <v>3776</v>
      </c>
      <c r="C536" s="128">
        <v>29229372</v>
      </c>
      <c r="D536" s="750" t="s">
        <v>3800</v>
      </c>
      <c r="E536" s="750"/>
      <c r="F536" s="6" t="s">
        <v>2755</v>
      </c>
      <c r="G536" s="403" t="s">
        <v>1970</v>
      </c>
      <c r="H536" s="403" t="s">
        <v>2735</v>
      </c>
      <c r="I536" s="366"/>
      <c r="J536" s="360"/>
      <c r="K536" s="361">
        <v>2</v>
      </c>
      <c r="L536" s="361"/>
      <c r="M536" s="815" t="s">
        <v>4142</v>
      </c>
      <c r="N536" s="166"/>
      <c r="P536" s="166"/>
    </row>
    <row r="537" spans="1:16" s="7" customFormat="1" ht="14.4" customHeight="1">
      <c r="A537" s="2093">
        <v>45111</v>
      </c>
      <c r="B537" s="537" t="s">
        <v>2736</v>
      </c>
      <c r="C537" s="383"/>
      <c r="D537" s="383" t="s">
        <v>3770</v>
      </c>
      <c r="E537" s="6" t="s">
        <v>6847</v>
      </c>
      <c r="F537" s="1481" t="s">
        <v>6196</v>
      </c>
      <c r="G537" s="537" t="s">
        <v>1970</v>
      </c>
      <c r="H537" s="1643" t="s">
        <v>6886</v>
      </c>
      <c r="I537" s="384">
        <f>23-11-3-3-0.3</f>
        <v>5.7</v>
      </c>
      <c r="J537" s="1639" t="s">
        <v>6839</v>
      </c>
      <c r="K537" s="361"/>
      <c r="L537" s="361"/>
      <c r="M537" s="244"/>
      <c r="N537" s="166"/>
      <c r="P537" s="166"/>
    </row>
    <row r="538" spans="1:16" s="7" customFormat="1" ht="14.4" hidden="1" customHeight="1">
      <c r="A538" s="2093">
        <v>45111</v>
      </c>
      <c r="B538" s="767" t="s">
        <v>3777</v>
      </c>
      <c r="C538" s="128">
        <v>14118975</v>
      </c>
      <c r="D538" s="128" t="s">
        <v>3571</v>
      </c>
      <c r="E538" s="128"/>
      <c r="F538" s="128"/>
      <c r="G538" s="403" t="s">
        <v>1970</v>
      </c>
      <c r="H538" s="403" t="s">
        <v>2737</v>
      </c>
      <c r="I538" s="366"/>
      <c r="J538" s="360"/>
      <c r="K538" s="361">
        <v>2</v>
      </c>
      <c r="L538" s="361"/>
      <c r="M538" s="815" t="s">
        <v>4142</v>
      </c>
      <c r="N538" s="166"/>
      <c r="P538" s="166"/>
    </row>
    <row r="539" spans="1:16" s="7" customFormat="1" ht="14.4" hidden="1" customHeight="1">
      <c r="A539" s="2094">
        <v>45111</v>
      </c>
      <c r="B539" s="536" t="s">
        <v>3178</v>
      </c>
      <c r="C539" s="383">
        <v>77003362</v>
      </c>
      <c r="D539" s="383"/>
      <c r="E539" s="383"/>
      <c r="F539" s="383"/>
      <c r="G539" s="537" t="s">
        <v>1970</v>
      </c>
      <c r="H539" s="537" t="s">
        <v>2739</v>
      </c>
      <c r="I539" s="384"/>
      <c r="J539" s="532" t="s">
        <v>3046</v>
      </c>
      <c r="K539" s="361"/>
      <c r="L539" s="361"/>
      <c r="M539" s="244"/>
      <c r="N539" s="166"/>
      <c r="P539" s="166"/>
    </row>
    <row r="540" spans="1:16" s="7" customFormat="1" ht="14.4" hidden="1" customHeight="1">
      <c r="A540" s="2094">
        <v>45112</v>
      </c>
      <c r="B540" s="797" t="s">
        <v>3786</v>
      </c>
      <c r="C540" s="797">
        <v>70495359</v>
      </c>
      <c r="D540" s="797" t="s">
        <v>4109</v>
      </c>
      <c r="E540" s="797" t="s">
        <v>3568</v>
      </c>
      <c r="F540" s="6" t="s">
        <v>2755</v>
      </c>
      <c r="G540" s="797" t="s">
        <v>1970</v>
      </c>
      <c r="H540" s="797" t="s">
        <v>4034</v>
      </c>
      <c r="I540" s="797"/>
      <c r="J540" s="360"/>
      <c r="K540" s="361">
        <v>2</v>
      </c>
      <c r="L540" s="361"/>
      <c r="M540" s="815" t="s">
        <v>4142</v>
      </c>
      <c r="N540" s="166"/>
      <c r="P540" s="166"/>
    </row>
    <row r="541" spans="1:16" s="7" customFormat="1" ht="14.4" customHeight="1">
      <c r="A541" s="2094">
        <v>45112</v>
      </c>
      <c r="B541" s="876" t="s">
        <v>2741</v>
      </c>
      <c r="C541" s="128">
        <v>48031449</v>
      </c>
      <c r="D541" s="128" t="s">
        <v>4370</v>
      </c>
      <c r="E541" s="128"/>
      <c r="F541" s="6" t="s">
        <v>2755</v>
      </c>
      <c r="G541" s="410" t="s">
        <v>1989</v>
      </c>
      <c r="H541" s="410" t="s">
        <v>2742</v>
      </c>
      <c r="I541" s="366">
        <v>1.5</v>
      </c>
      <c r="J541" s="360">
        <v>5</v>
      </c>
      <c r="K541" s="361"/>
      <c r="L541" s="361"/>
      <c r="M541" s="244"/>
      <c r="N541" s="166"/>
      <c r="O541" s="7" t="s">
        <v>3406</v>
      </c>
      <c r="P541" s="166">
        <v>41</v>
      </c>
    </row>
    <row r="542" spans="1:16" s="7" customFormat="1" ht="14.4" hidden="1" customHeight="1">
      <c r="A542" s="2094">
        <v>45112</v>
      </c>
      <c r="B542" s="684" t="s">
        <v>2743</v>
      </c>
      <c r="C542" s="128">
        <v>41936845</v>
      </c>
      <c r="D542" s="549" t="s">
        <v>3570</v>
      </c>
      <c r="E542" s="549"/>
      <c r="F542" s="128"/>
      <c r="G542" s="584" t="s">
        <v>3312</v>
      </c>
      <c r="H542" s="410" t="s">
        <v>2744</v>
      </c>
      <c r="I542" s="366"/>
      <c r="J542" s="360"/>
      <c r="K542" s="361"/>
      <c r="L542" s="361"/>
      <c r="M542" s="244"/>
      <c r="N542" s="166" t="s">
        <v>3576</v>
      </c>
      <c r="O542" s="7" t="s">
        <v>3613</v>
      </c>
      <c r="P542" s="166"/>
    </row>
    <row r="543" spans="1:16" s="7" customFormat="1" ht="14.4" hidden="1" customHeight="1">
      <c r="A543" s="2094">
        <v>45112</v>
      </c>
      <c r="B543" s="429" t="s">
        <v>2745</v>
      </c>
      <c r="C543" s="128">
        <v>39009273</v>
      </c>
      <c r="D543" s="128"/>
      <c r="E543" s="128"/>
      <c r="F543" s="128"/>
      <c r="G543" s="410" t="s">
        <v>2251</v>
      </c>
      <c r="H543" s="410" t="s">
        <v>2746</v>
      </c>
      <c r="I543" s="366"/>
      <c r="J543" s="360"/>
      <c r="K543" s="361"/>
      <c r="L543" s="361"/>
      <c r="M543" s="618" t="s">
        <v>3427</v>
      </c>
      <c r="N543" s="166"/>
      <c r="P543" s="166"/>
    </row>
    <row r="544" spans="1:16" s="7" customFormat="1" ht="14.4" hidden="1" customHeight="1">
      <c r="A544" s="2094">
        <v>45112</v>
      </c>
      <c r="B544" s="578" t="s">
        <v>2747</v>
      </c>
      <c r="C544" s="128">
        <v>57058728</v>
      </c>
      <c r="D544" s="128"/>
      <c r="E544" s="128"/>
      <c r="F544" s="128"/>
      <c r="G544" s="410" t="s">
        <v>2005</v>
      </c>
      <c r="H544" s="410" t="s">
        <v>2748</v>
      </c>
      <c r="I544" s="366"/>
      <c r="J544" s="360"/>
      <c r="K544" s="361"/>
      <c r="L544" s="361"/>
      <c r="M544" s="244"/>
      <c r="N544" s="166"/>
      <c r="P544" s="166"/>
    </row>
    <row r="545" spans="1:16" s="7" customFormat="1" ht="14.4" hidden="1" customHeight="1">
      <c r="A545" s="2094">
        <v>45112</v>
      </c>
      <c r="B545" s="797" t="s">
        <v>4033</v>
      </c>
      <c r="C545" s="128">
        <v>24833473</v>
      </c>
      <c r="D545" s="128" t="s">
        <v>4109</v>
      </c>
      <c r="E545" s="791" t="s">
        <v>3568</v>
      </c>
      <c r="F545" s="6" t="s">
        <v>2755</v>
      </c>
      <c r="G545" s="410" t="s">
        <v>1970</v>
      </c>
      <c r="H545" s="410" t="s">
        <v>2751</v>
      </c>
      <c r="I545" s="366"/>
      <c r="J545" s="360"/>
      <c r="K545" s="361">
        <v>2</v>
      </c>
      <c r="L545" s="361"/>
      <c r="M545" s="815" t="s">
        <v>4142</v>
      </c>
      <c r="N545" s="166"/>
      <c r="P545" s="166"/>
    </row>
    <row r="546" spans="1:16" s="7" customFormat="1" ht="14.4" hidden="1" customHeight="1">
      <c r="A546" s="2094">
        <v>45112</v>
      </c>
      <c r="B546" s="761" t="s">
        <v>2759</v>
      </c>
      <c r="C546" s="128">
        <v>85687669</v>
      </c>
      <c r="D546" s="128"/>
      <c r="E546" s="128"/>
      <c r="F546" s="128"/>
      <c r="G546" s="410" t="s">
        <v>1970</v>
      </c>
      <c r="H546" s="410" t="s">
        <v>2760</v>
      </c>
      <c r="I546" s="366"/>
      <c r="J546" s="360"/>
      <c r="K546" s="361">
        <v>2</v>
      </c>
      <c r="L546" s="361"/>
      <c r="M546" s="815" t="s">
        <v>4142</v>
      </c>
      <c r="N546" s="166"/>
      <c r="P546" s="166"/>
    </row>
    <row r="547" spans="1:16" s="7" customFormat="1" ht="14.4" hidden="1" customHeight="1">
      <c r="A547" s="2094">
        <v>45112</v>
      </c>
      <c r="B547" s="897" t="s">
        <v>2761</v>
      </c>
      <c r="C547" s="128">
        <v>81728860</v>
      </c>
      <c r="D547" s="802" t="s">
        <v>3571</v>
      </c>
      <c r="E547" s="767" t="s">
        <v>3925</v>
      </c>
      <c r="F547" s="818" t="s">
        <v>1743</v>
      </c>
      <c r="G547" s="410" t="s">
        <v>1970</v>
      </c>
      <c r="H547" s="410" t="s">
        <v>2762</v>
      </c>
      <c r="I547" s="366"/>
      <c r="J547" s="360"/>
      <c r="K547" s="361">
        <v>2</v>
      </c>
      <c r="L547" s="396">
        <v>2</v>
      </c>
      <c r="M547" s="896" t="s">
        <v>628</v>
      </c>
      <c r="N547" s="166"/>
      <c r="P547" s="166"/>
    </row>
    <row r="548" spans="1:16" s="7" customFormat="1" ht="14.4" hidden="1" customHeight="1">
      <c r="A548" s="2094">
        <v>45112</v>
      </c>
      <c r="B548" s="767" t="s">
        <v>2763</v>
      </c>
      <c r="C548" s="128">
        <v>60643806</v>
      </c>
      <c r="D548" s="767" t="s">
        <v>3571</v>
      </c>
      <c r="E548" s="740"/>
      <c r="F548" s="128"/>
      <c r="G548" s="410" t="s">
        <v>1970</v>
      </c>
      <c r="H548" s="410" t="s">
        <v>2764</v>
      </c>
      <c r="I548" s="366"/>
      <c r="J548" s="360"/>
      <c r="K548" s="361">
        <v>2</v>
      </c>
      <c r="L548" s="361"/>
      <c r="M548" s="815" t="s">
        <v>4142</v>
      </c>
      <c r="N548" s="166"/>
      <c r="P548" s="166"/>
    </row>
    <row r="549" spans="1:16" s="7" customFormat="1" ht="14.4" hidden="1" customHeight="1">
      <c r="A549" s="2095">
        <v>45113</v>
      </c>
      <c r="B549" s="482" t="s">
        <v>2770</v>
      </c>
      <c r="C549" s="128">
        <v>57657065</v>
      </c>
      <c r="D549" s="128"/>
      <c r="E549" s="128"/>
      <c r="F549" s="128"/>
      <c r="G549" s="416" t="s">
        <v>763</v>
      </c>
      <c r="H549" s="416" t="s">
        <v>2771</v>
      </c>
      <c r="I549" s="366"/>
      <c r="J549" s="360"/>
      <c r="K549" s="361"/>
      <c r="L549" s="361"/>
      <c r="M549" s="244"/>
      <c r="N549" s="166"/>
      <c r="O549" s="7" t="s">
        <v>3101</v>
      </c>
      <c r="P549" s="166"/>
    </row>
    <row r="550" spans="1:16" s="7" customFormat="1" ht="14.4" hidden="1" customHeight="1">
      <c r="A550" s="2096">
        <v>45113</v>
      </c>
      <c r="B550" s="751" t="s">
        <v>2772</v>
      </c>
      <c r="C550" s="128">
        <v>15052793</v>
      </c>
      <c r="D550" s="750" t="s">
        <v>3800</v>
      </c>
      <c r="E550" s="750"/>
      <c r="F550" s="6" t="s">
        <v>2755</v>
      </c>
      <c r="G550" s="424" t="s">
        <v>1970</v>
      </c>
      <c r="H550" s="424" t="s">
        <v>2773</v>
      </c>
      <c r="I550" s="366"/>
      <c r="J550" s="360"/>
      <c r="K550" s="361">
        <v>2</v>
      </c>
      <c r="L550" s="361"/>
      <c r="M550" s="815" t="s">
        <v>4142</v>
      </c>
      <c r="N550" s="166"/>
      <c r="P550" s="166"/>
    </row>
    <row r="551" spans="1:16" s="7" customFormat="1" ht="14.4" hidden="1" customHeight="1">
      <c r="A551" s="2096">
        <v>45113</v>
      </c>
      <c r="B551" s="751" t="s">
        <v>3787</v>
      </c>
      <c r="C551" s="128"/>
      <c r="D551" s="740" t="s">
        <v>2774</v>
      </c>
      <c r="E551" s="740"/>
      <c r="F551" s="128"/>
      <c r="G551" s="424" t="s">
        <v>1970</v>
      </c>
      <c r="H551" s="424" t="s">
        <v>2775</v>
      </c>
      <c r="I551" s="366"/>
      <c r="J551" s="360"/>
      <c r="K551" s="361">
        <v>2</v>
      </c>
      <c r="L551" s="361"/>
      <c r="M551" s="815" t="s">
        <v>4142</v>
      </c>
      <c r="N551" s="166"/>
      <c r="P551" s="166"/>
    </row>
    <row r="552" spans="1:16" s="7" customFormat="1" ht="14.4" hidden="1" customHeight="1">
      <c r="A552" s="2096">
        <v>45113</v>
      </c>
      <c r="B552" s="897" t="s">
        <v>3754</v>
      </c>
      <c r="C552" s="128">
        <v>81477229</v>
      </c>
      <c r="D552" s="128"/>
      <c r="E552" s="128"/>
      <c r="F552" s="128"/>
      <c r="G552" s="424" t="s">
        <v>1970</v>
      </c>
      <c r="H552" s="424" t="s">
        <v>2776</v>
      </c>
      <c r="I552" s="366"/>
      <c r="J552" s="360"/>
      <c r="K552" s="361"/>
      <c r="L552" s="361"/>
      <c r="M552" s="747" t="s">
        <v>3753</v>
      </c>
      <c r="N552" s="166"/>
      <c r="P552" s="166"/>
    </row>
    <row r="553" spans="1:16" s="7" customFormat="1" ht="14.4" hidden="1" customHeight="1">
      <c r="A553" s="2096">
        <v>45113</v>
      </c>
      <c r="B553" s="413"/>
      <c r="C553" s="288"/>
      <c r="D553" s="288"/>
      <c r="E553" s="288"/>
      <c r="F553" s="288"/>
      <c r="G553" s="413"/>
      <c r="H553" s="413"/>
      <c r="I553" s="360"/>
      <c r="J553" s="502"/>
      <c r="K553" s="361"/>
      <c r="L553" s="361"/>
      <c r="M553" s="244"/>
      <c r="N553" s="166"/>
      <c r="P553" s="166"/>
    </row>
    <row r="554" spans="1:16" s="7" customFormat="1" ht="14.4" hidden="1" customHeight="1">
      <c r="A554" s="2096">
        <v>45113</v>
      </c>
      <c r="B554" s="669" t="s">
        <v>2786</v>
      </c>
      <c r="C554" s="383">
        <v>72218212</v>
      </c>
      <c r="D554" s="383" t="s">
        <v>3570</v>
      </c>
      <c r="E554" s="3" t="s">
        <v>6443</v>
      </c>
      <c r="F554" s="1481" t="s">
        <v>6196</v>
      </c>
      <c r="G554" s="447" t="s">
        <v>2478</v>
      </c>
      <c r="H554" s="739" t="s">
        <v>3717</v>
      </c>
      <c r="I554" s="384"/>
      <c r="J554" s="440" t="s">
        <v>2905</v>
      </c>
      <c r="K554" s="1209" t="s">
        <v>5279</v>
      </c>
      <c r="L554" s="361"/>
      <c r="M554" s="244"/>
      <c r="N554" s="166"/>
      <c r="P554" s="166"/>
    </row>
    <row r="555" spans="1:16" s="7" customFormat="1" ht="14.4" hidden="1" customHeight="1">
      <c r="A555" s="2096">
        <v>45113</v>
      </c>
      <c r="B555" s="616" t="s">
        <v>2787</v>
      </c>
      <c r="C555" s="128">
        <v>14912504</v>
      </c>
      <c r="D555" s="128"/>
      <c r="E555" s="128"/>
      <c r="F555" s="6"/>
      <c r="G555" s="371" t="s">
        <v>763</v>
      </c>
      <c r="H555" s="424" t="s">
        <v>2788</v>
      </c>
      <c r="I555" s="366"/>
      <c r="J555" s="360"/>
      <c r="K555" s="361"/>
      <c r="L555" s="361"/>
      <c r="M555" s="244"/>
      <c r="N555" s="166" t="s">
        <v>3347</v>
      </c>
      <c r="P555" s="166"/>
    </row>
    <row r="556" spans="1:16" s="7" customFormat="1" ht="14.4" hidden="1" customHeight="1">
      <c r="A556" s="2096">
        <v>45113</v>
      </c>
      <c r="B556" s="751" t="s">
        <v>2789</v>
      </c>
      <c r="C556" s="128">
        <v>99438134</v>
      </c>
      <c r="D556" s="750" t="s">
        <v>3800</v>
      </c>
      <c r="E556" s="750"/>
      <c r="F556" s="6" t="s">
        <v>2755</v>
      </c>
      <c r="G556" s="424" t="s">
        <v>1970</v>
      </c>
      <c r="H556" s="424" t="s">
        <v>2790</v>
      </c>
      <c r="I556" s="366"/>
      <c r="J556" s="360"/>
      <c r="K556" s="361">
        <v>2</v>
      </c>
      <c r="L556" s="361"/>
      <c r="M556" s="815" t="s">
        <v>4142</v>
      </c>
      <c r="N556" s="166"/>
      <c r="P556" s="166"/>
    </row>
    <row r="557" spans="1:16" s="3" customFormat="1" ht="14.4" hidden="1" customHeight="1">
      <c r="A557" s="2097">
        <v>45114</v>
      </c>
      <c r="B557" s="447" t="s">
        <v>2784</v>
      </c>
      <c r="C557" s="383">
        <v>11668149</v>
      </c>
      <c r="D557" s="383"/>
      <c r="E557" s="383"/>
      <c r="F557" s="383"/>
      <c r="G557" s="447" t="s">
        <v>1970</v>
      </c>
      <c r="H557" s="447" t="s">
        <v>2785</v>
      </c>
      <c r="I557" s="384"/>
      <c r="J557" s="448" t="s">
        <v>2924</v>
      </c>
      <c r="K557" s="449"/>
      <c r="L557" s="449"/>
      <c r="M557" s="450"/>
      <c r="N557" s="451"/>
      <c r="P557" s="451"/>
    </row>
    <row r="558" spans="1:16" s="7" customFormat="1" ht="14.4" hidden="1" customHeight="1">
      <c r="A558" s="2098">
        <v>45114</v>
      </c>
      <c r="B558" s="578" t="s">
        <v>2798</v>
      </c>
      <c r="C558" s="128">
        <v>81005260</v>
      </c>
      <c r="D558" s="549"/>
      <c r="E558" s="549"/>
      <c r="F558" s="128"/>
      <c r="G558" s="584" t="s">
        <v>3312</v>
      </c>
      <c r="H558" s="423" t="s">
        <v>2799</v>
      </c>
      <c r="I558" s="366"/>
      <c r="J558" s="360"/>
      <c r="K558" s="361"/>
      <c r="L558" s="361"/>
      <c r="M558" s="244"/>
      <c r="N558" s="166" t="s">
        <v>3363</v>
      </c>
      <c r="P558" s="166"/>
    </row>
    <row r="559" spans="1:16" s="7" customFormat="1" ht="14.4" hidden="1" customHeight="1">
      <c r="A559" s="2098">
        <v>45114</v>
      </c>
      <c r="B559" s="649" t="s">
        <v>2800</v>
      </c>
      <c r="C559" s="128">
        <v>18405662</v>
      </c>
      <c r="D559" s="128" t="s">
        <v>3442</v>
      </c>
      <c r="E559" s="128"/>
      <c r="F559" s="645" t="s">
        <v>3408</v>
      </c>
      <c r="G559" s="403" t="s">
        <v>2284</v>
      </c>
      <c r="H559" s="636" t="s">
        <v>3500</v>
      </c>
      <c r="I559" s="366"/>
      <c r="J559" s="360"/>
      <c r="K559" s="361"/>
      <c r="L559" s="361"/>
      <c r="M559" s="244"/>
      <c r="N559" s="166"/>
      <c r="P559" s="166"/>
    </row>
    <row r="560" spans="1:16" s="7" customFormat="1" ht="14.4" hidden="1" customHeight="1">
      <c r="A560" s="2098">
        <v>45114</v>
      </c>
      <c r="B560" s="705" t="s">
        <v>3502</v>
      </c>
      <c r="C560" s="128">
        <v>77344045</v>
      </c>
      <c r="D560" s="128" t="s">
        <v>3570</v>
      </c>
      <c r="E560" s="128"/>
      <c r="F560" s="128" t="s">
        <v>3568</v>
      </c>
      <c r="G560" s="429" t="s">
        <v>1943</v>
      </c>
      <c r="H560" s="423">
        <v>940300285</v>
      </c>
      <c r="I560" s="366"/>
      <c r="J560" s="360"/>
      <c r="K560" s="361"/>
      <c r="L560" s="361"/>
      <c r="M560" s="244"/>
      <c r="N560" s="166"/>
      <c r="O560" s="702" t="s">
        <v>3653</v>
      </c>
      <c r="P560" s="166"/>
    </row>
    <row r="561" spans="1:16" s="7" customFormat="1" ht="14.4" hidden="1" customHeight="1">
      <c r="A561" s="2099">
        <v>45115</v>
      </c>
      <c r="B561" s="761" t="s">
        <v>2816</v>
      </c>
      <c r="C561" s="128">
        <v>34295790</v>
      </c>
      <c r="D561" s="128" t="s">
        <v>3650</v>
      </c>
      <c r="E561" s="128"/>
      <c r="F561" s="6" t="s">
        <v>3568</v>
      </c>
      <c r="G561" s="403" t="s">
        <v>2284</v>
      </c>
      <c r="H561" s="427" t="s">
        <v>2817</v>
      </c>
      <c r="I561" s="366"/>
      <c r="J561" s="360"/>
      <c r="K561" s="361"/>
      <c r="L561" s="361"/>
      <c r="M561" s="244"/>
      <c r="N561" s="166"/>
      <c r="P561" s="166"/>
    </row>
    <row r="562" spans="1:16" s="7" customFormat="1" ht="14.4" hidden="1" customHeight="1">
      <c r="A562" s="2099">
        <v>45115</v>
      </c>
      <c r="B562" s="475" t="s">
        <v>2813</v>
      </c>
      <c r="C562" s="6">
        <v>57658004</v>
      </c>
      <c r="D562" s="128"/>
      <c r="E562" s="128"/>
      <c r="F562" s="128"/>
      <c r="G562" s="427" t="s">
        <v>2815</v>
      </c>
      <c r="H562" s="128" t="s">
        <v>2814</v>
      </c>
      <c r="I562" s="6"/>
      <c r="J562" s="428"/>
      <c r="K562" s="361"/>
      <c r="L562" s="361"/>
      <c r="M562" s="244"/>
      <c r="N562" s="166"/>
      <c r="P562" s="166"/>
    </row>
    <row r="563" spans="1:16" s="7" customFormat="1" ht="14.4" hidden="1" customHeight="1">
      <c r="A563" s="2099">
        <v>45115</v>
      </c>
      <c r="B563" s="427" t="s">
        <v>2803</v>
      </c>
      <c r="C563" s="128">
        <v>60745893</v>
      </c>
      <c r="D563" s="128"/>
      <c r="E563" s="128"/>
      <c r="F563" s="128"/>
      <c r="G563" s="423" t="s">
        <v>2804</v>
      </c>
      <c r="H563" s="423" t="s">
        <v>2805</v>
      </c>
      <c r="I563" s="366"/>
      <c r="K563" s="361"/>
      <c r="L563" s="361"/>
      <c r="M563" s="244"/>
      <c r="N563" s="166"/>
      <c r="P563" s="166"/>
    </row>
    <row r="564" spans="1:16" s="7" customFormat="1" ht="14.4" hidden="1" customHeight="1">
      <c r="A564" s="2099">
        <v>45115</v>
      </c>
      <c r="B564" s="876" t="s">
        <v>3883</v>
      </c>
      <c r="C564" s="128">
        <v>26222868</v>
      </c>
      <c r="D564" s="761" t="s">
        <v>3862</v>
      </c>
      <c r="E564" s="761"/>
      <c r="F564" s="761" t="s">
        <v>3571</v>
      </c>
      <c r="G564" s="429" t="s">
        <v>2478</v>
      </c>
      <c r="H564" s="427" t="s">
        <v>2818</v>
      </c>
      <c r="I564" s="427"/>
      <c r="K564" s="361"/>
      <c r="L564" s="361"/>
      <c r="M564" s="244"/>
      <c r="N564" s="166"/>
      <c r="P564" s="166"/>
    </row>
    <row r="565" spans="1:16" s="7" customFormat="1" ht="14.4" hidden="1" customHeight="1">
      <c r="A565" s="2099">
        <v>45115</v>
      </c>
      <c r="B565" s="876" t="s">
        <v>3884</v>
      </c>
      <c r="C565" s="6">
        <v>78700969</v>
      </c>
      <c r="D565" s="128" t="s">
        <v>3570</v>
      </c>
      <c r="E565" s="128"/>
      <c r="F565" s="6" t="s">
        <v>2755</v>
      </c>
      <c r="G565" s="429" t="s">
        <v>2478</v>
      </c>
      <c r="H565" s="761" t="s">
        <v>3885</v>
      </c>
      <c r="I565" s="427"/>
      <c r="K565" s="361"/>
      <c r="L565" s="361"/>
      <c r="M565" s="244"/>
      <c r="N565" s="166"/>
      <c r="P565" s="166"/>
    </row>
    <row r="566" spans="1:16" s="7" customFormat="1" ht="14.4" hidden="1" customHeight="1">
      <c r="A566" s="2100">
        <v>45116</v>
      </c>
      <c r="B566" s="1980" t="s">
        <v>2821</v>
      </c>
      <c r="C566" s="6">
        <v>23554155</v>
      </c>
      <c r="D566" s="128" t="s">
        <v>4443</v>
      </c>
      <c r="E566" s="128"/>
      <c r="F566" s="778" t="s">
        <v>3788</v>
      </c>
      <c r="G566" s="905" t="s">
        <v>1970</v>
      </c>
      <c r="H566" s="429" t="s">
        <v>2822</v>
      </c>
      <c r="I566" s="427"/>
      <c r="J566" s="875"/>
      <c r="K566" s="361"/>
      <c r="L566" s="361"/>
      <c r="M566" s="244"/>
      <c r="N566" s="166"/>
      <c r="P566" s="166"/>
    </row>
    <row r="567" spans="1:16" s="7" customFormat="1" ht="14.4" hidden="1" customHeight="1">
      <c r="A567" s="2100">
        <v>45117</v>
      </c>
      <c r="B567" s="649" t="s">
        <v>2825</v>
      </c>
      <c r="C567" s="6">
        <v>61577823</v>
      </c>
      <c r="D567" s="128"/>
      <c r="E567" s="128"/>
      <c r="F567" s="6" t="s">
        <v>1743</v>
      </c>
      <c r="G567" s="429" t="s">
        <v>2251</v>
      </c>
      <c r="H567" s="429" t="s">
        <v>2826</v>
      </c>
      <c r="I567" s="427"/>
      <c r="K567" s="361"/>
      <c r="L567" s="361"/>
      <c r="M567" s="666" t="s">
        <v>3463</v>
      </c>
      <c r="N567" s="166"/>
      <c r="P567" s="166"/>
    </row>
    <row r="568" spans="1:16" s="7" customFormat="1" ht="14.4" hidden="1" customHeight="1">
      <c r="A568" s="2100">
        <v>45117</v>
      </c>
      <c r="B568" s="705" t="s">
        <v>2830</v>
      </c>
      <c r="C568" s="6">
        <v>34887683</v>
      </c>
      <c r="D568" s="128" t="s">
        <v>3570</v>
      </c>
      <c r="E568" s="128"/>
      <c r="F568" s="128" t="s">
        <v>3568</v>
      </c>
      <c r="G568" s="429" t="s">
        <v>1943</v>
      </c>
      <c r="H568" s="429" t="s">
        <v>2831</v>
      </c>
      <c r="I568" s="427"/>
      <c r="K568" s="361"/>
      <c r="L568" s="361"/>
      <c r="M568" s="244"/>
      <c r="N568" s="166"/>
      <c r="O568" s="702" t="s">
        <v>3653</v>
      </c>
      <c r="P568" s="166"/>
    </row>
    <row r="569" spans="1:16" s="7" customFormat="1" ht="14.4" hidden="1" customHeight="1">
      <c r="A569" s="2100">
        <v>45117</v>
      </c>
      <c r="B569" s="864" t="s">
        <v>3881</v>
      </c>
      <c r="C569" s="836" t="s">
        <v>3882</v>
      </c>
      <c r="D569" s="128" t="s">
        <v>4316</v>
      </c>
      <c r="E569" s="128"/>
      <c r="F569" s="842" t="s">
        <v>2755</v>
      </c>
      <c r="G569" s="429" t="s">
        <v>1971</v>
      </c>
      <c r="H569" s="429" t="s">
        <v>2832</v>
      </c>
      <c r="I569" s="427"/>
      <c r="K569" s="361"/>
      <c r="L569" s="361"/>
      <c r="M569" s="244"/>
      <c r="N569" s="166"/>
      <c r="P569" s="166"/>
    </row>
    <row r="570" spans="1:16" s="7" customFormat="1" ht="14.4" hidden="1" customHeight="1">
      <c r="A570" s="2100">
        <v>45117</v>
      </c>
      <c r="B570" s="584" t="s">
        <v>2833</v>
      </c>
      <c r="C570" s="6">
        <v>87487683</v>
      </c>
      <c r="D570" s="128"/>
      <c r="E570" s="128"/>
      <c r="F570" s="128"/>
      <c r="G570" s="429" t="s">
        <v>2749</v>
      </c>
      <c r="H570" s="429" t="s">
        <v>2834</v>
      </c>
      <c r="I570" s="427"/>
      <c r="K570" s="361"/>
      <c r="L570" s="361"/>
      <c r="M570" s="244"/>
      <c r="N570" s="166"/>
      <c r="P570" s="166"/>
    </row>
    <row r="571" spans="1:16" s="7" customFormat="1" ht="14.4" hidden="1" customHeight="1">
      <c r="A571" s="2100">
        <v>45117</v>
      </c>
      <c r="B571" s="429" t="s">
        <v>2835</v>
      </c>
      <c r="C571" s="128"/>
      <c r="D571" s="128"/>
      <c r="E571" s="128"/>
      <c r="F571" s="128"/>
      <c r="G571" s="429" t="s">
        <v>2231</v>
      </c>
      <c r="H571" s="423"/>
      <c r="I571" s="366"/>
      <c r="J571" s="360"/>
      <c r="K571" s="361">
        <v>24</v>
      </c>
      <c r="L571" s="361"/>
      <c r="M571" s="244"/>
      <c r="N571" s="166"/>
      <c r="P571" s="166"/>
    </row>
    <row r="572" spans="1:16" s="7" customFormat="1" ht="14.4" hidden="1" customHeight="1">
      <c r="A572" s="2100">
        <v>45117</v>
      </c>
      <c r="B572" s="443" t="s">
        <v>2836</v>
      </c>
      <c r="C572" s="128">
        <v>46705427</v>
      </c>
      <c r="D572" s="128"/>
      <c r="E572" s="128"/>
      <c r="F572" s="128"/>
      <c r="G572" s="429" t="s">
        <v>2837</v>
      </c>
      <c r="H572" s="429" t="s">
        <v>2838</v>
      </c>
      <c r="I572" s="366"/>
      <c r="J572" s="360"/>
      <c r="K572" s="361"/>
      <c r="L572" s="361"/>
      <c r="M572" s="244"/>
      <c r="N572" s="166"/>
      <c r="P572" s="166"/>
    </row>
    <row r="573" spans="1:16" s="7" customFormat="1" ht="14.4" hidden="1" customHeight="1">
      <c r="A573" s="2100">
        <v>45117</v>
      </c>
      <c r="B573" s="864" t="s">
        <v>2839</v>
      </c>
      <c r="C573" s="128">
        <v>57171942</v>
      </c>
      <c r="D573" s="128" t="s">
        <v>4316</v>
      </c>
      <c r="E573" s="767" t="s">
        <v>3925</v>
      </c>
      <c r="F573" s="862" t="s">
        <v>2755</v>
      </c>
      <c r="G573" s="459" t="s">
        <v>2237</v>
      </c>
      <c r="H573" s="429" t="s">
        <v>2840</v>
      </c>
      <c r="I573" s="366"/>
      <c r="J573" s="360"/>
      <c r="K573" s="361"/>
      <c r="L573" s="361"/>
      <c r="M573" s="244"/>
      <c r="N573" s="166"/>
      <c r="P573" s="166"/>
    </row>
    <row r="574" spans="1:16" s="7" customFormat="1" ht="14.4" hidden="1" customHeight="1">
      <c r="A574" s="2101">
        <v>45118</v>
      </c>
      <c r="B574" s="524" t="s">
        <v>2842</v>
      </c>
      <c r="C574" s="128">
        <v>89530911</v>
      </c>
      <c r="D574" s="128"/>
      <c r="E574" s="128"/>
      <c r="F574" s="128"/>
      <c r="G574" s="433" t="s">
        <v>2575</v>
      </c>
      <c r="H574" s="433" t="s">
        <v>2844</v>
      </c>
      <c r="I574" s="366"/>
      <c r="J574" s="360"/>
      <c r="K574" s="361"/>
      <c r="L574" s="361"/>
      <c r="M574" s="244"/>
      <c r="N574" s="166"/>
      <c r="P574" s="166"/>
    </row>
    <row r="575" spans="1:16" s="7" customFormat="1" ht="14.4" hidden="1" customHeight="1">
      <c r="A575" s="2101">
        <v>45118</v>
      </c>
      <c r="B575" s="849" t="s">
        <v>3686</v>
      </c>
      <c r="C575" s="128">
        <v>44073892</v>
      </c>
      <c r="D575" s="841" t="s">
        <v>4234</v>
      </c>
      <c r="E575" s="750"/>
      <c r="F575" s="841" t="s">
        <v>2755</v>
      </c>
      <c r="G575" s="423" t="s">
        <v>2810</v>
      </c>
      <c r="H575" s="797" t="s">
        <v>4091</v>
      </c>
      <c r="I575" s="366"/>
      <c r="J575" s="360"/>
      <c r="K575" s="361"/>
      <c r="L575" s="361"/>
      <c r="M575" s="244"/>
      <c r="N575" s="166"/>
      <c r="P575" s="166"/>
    </row>
    <row r="576" spans="1:16" s="7" customFormat="1" ht="14.4" hidden="1" customHeight="1">
      <c r="A576" s="2101">
        <v>45118</v>
      </c>
      <c r="B576" s="578" t="s">
        <v>2860</v>
      </c>
      <c r="C576" s="128">
        <v>28705855</v>
      </c>
      <c r="D576" s="128"/>
      <c r="E576" s="128"/>
      <c r="F576" s="128"/>
      <c r="G576" s="433" t="s">
        <v>2266</v>
      </c>
      <c r="H576" s="433" t="s">
        <v>2861</v>
      </c>
      <c r="I576" s="366"/>
      <c r="J576" s="360"/>
      <c r="K576" s="361"/>
      <c r="L576" s="361"/>
      <c r="M576" s="244"/>
      <c r="N576" s="166"/>
      <c r="O576" s="575" t="s">
        <v>3335</v>
      </c>
      <c r="P576" s="166"/>
    </row>
    <row r="577" spans="1:16" s="7" customFormat="1" ht="14.4" hidden="1" customHeight="1">
      <c r="A577" s="2101">
        <v>45118</v>
      </c>
      <c r="B577" s="876" t="s">
        <v>2864</v>
      </c>
      <c r="C577" s="128">
        <v>93586770</v>
      </c>
      <c r="D577" s="761" t="s">
        <v>3862</v>
      </c>
      <c r="E577" s="761"/>
      <c r="F577" s="761" t="s">
        <v>3568</v>
      </c>
      <c r="G577" s="433" t="s">
        <v>2478</v>
      </c>
      <c r="H577" s="433" t="s">
        <v>2865</v>
      </c>
      <c r="I577" s="366"/>
      <c r="J577" s="360"/>
      <c r="K577" s="361"/>
      <c r="L577" s="361"/>
      <c r="M577" s="244"/>
      <c r="N577" s="166"/>
      <c r="P577" s="166"/>
    </row>
    <row r="578" spans="1:16" s="7" customFormat="1" ht="14.4" hidden="1" customHeight="1">
      <c r="A578" s="2101">
        <v>45118</v>
      </c>
      <c r="B578" s="459" t="s">
        <v>2867</v>
      </c>
      <c r="C578" s="128">
        <v>43188004</v>
      </c>
      <c r="D578" s="128"/>
      <c r="E578" s="128"/>
      <c r="F578" s="128"/>
      <c r="G578" s="433" t="s">
        <v>2868</v>
      </c>
      <c r="H578" s="433" t="s">
        <v>2869</v>
      </c>
      <c r="I578" s="366"/>
      <c r="J578" s="461"/>
      <c r="K578" s="454" t="s">
        <v>2870</v>
      </c>
      <c r="L578" s="454"/>
      <c r="M578" s="244"/>
      <c r="N578" s="166"/>
      <c r="O578" s="542" t="s">
        <v>3280</v>
      </c>
      <c r="P578" s="166"/>
    </row>
    <row r="579" spans="1:16" s="7" customFormat="1" ht="14.4" hidden="1" customHeight="1">
      <c r="A579" s="2102">
        <v>45118</v>
      </c>
      <c r="B579" s="565" t="s">
        <v>2871</v>
      </c>
      <c r="C579" s="383"/>
      <c r="D579" s="383"/>
      <c r="E579" s="383"/>
      <c r="F579" s="383"/>
      <c r="G579" s="478" t="s">
        <v>2478</v>
      </c>
      <c r="H579" s="565" t="s">
        <v>2871</v>
      </c>
      <c r="I579" s="384"/>
      <c r="J579" s="559" t="s">
        <v>3305</v>
      </c>
      <c r="K579" s="361"/>
      <c r="L579" s="361"/>
      <c r="M579" s="244"/>
      <c r="N579" s="166"/>
      <c r="P579" s="166"/>
    </row>
    <row r="580" spans="1:16" s="7" customFormat="1" ht="14.4" hidden="1" customHeight="1">
      <c r="A580" s="2103">
        <v>45119</v>
      </c>
      <c r="B580" s="761" t="s">
        <v>2885</v>
      </c>
      <c r="C580" s="128">
        <v>22931694</v>
      </c>
      <c r="D580" s="128" t="s">
        <v>3836</v>
      </c>
      <c r="E580" s="128"/>
      <c r="F580" s="6" t="s">
        <v>3568</v>
      </c>
      <c r="G580" s="436" t="s">
        <v>2115</v>
      </c>
      <c r="H580" s="670" t="s">
        <v>2886</v>
      </c>
      <c r="I580" s="366"/>
      <c r="J580" s="360"/>
      <c r="K580" s="361"/>
      <c r="L580" s="361"/>
      <c r="M580" s="244"/>
      <c r="N580" s="166"/>
      <c r="P580" s="166"/>
    </row>
    <row r="581" spans="1:16" s="7" customFormat="1" ht="14.4" hidden="1" customHeight="1">
      <c r="A581" s="2103">
        <v>45119</v>
      </c>
      <c r="B581" s="468" t="s">
        <v>2887</v>
      </c>
      <c r="C581" s="128">
        <v>75701409</v>
      </c>
      <c r="D581" s="128"/>
      <c r="E581" s="128"/>
      <c r="F581" s="128"/>
      <c r="G581" s="436" t="s">
        <v>2888</v>
      </c>
      <c r="H581" s="436" t="s">
        <v>2889</v>
      </c>
      <c r="I581" s="366"/>
      <c r="J581" s="366"/>
      <c r="K581" s="361">
        <v>25</v>
      </c>
      <c r="L581" s="361"/>
      <c r="M581" s="244"/>
      <c r="N581" s="166"/>
      <c r="P581" s="166"/>
    </row>
    <row r="582" spans="1:16" s="7" customFormat="1" ht="14.4" hidden="1" customHeight="1">
      <c r="A582" s="2103">
        <v>45119</v>
      </c>
      <c r="B582" s="727" t="s">
        <v>3513</v>
      </c>
      <c r="C582" s="128">
        <v>64943267</v>
      </c>
      <c r="D582" s="128" t="s">
        <v>3663</v>
      </c>
      <c r="E582" s="128"/>
      <c r="F582" s="727" t="s">
        <v>2755</v>
      </c>
      <c r="G582" s="649" t="s">
        <v>3512</v>
      </c>
      <c r="H582" s="436" t="s">
        <v>2891</v>
      </c>
      <c r="I582" s="366"/>
      <c r="J582" s="360"/>
      <c r="K582" s="361"/>
      <c r="L582" s="361"/>
      <c r="M582" s="244"/>
      <c r="N582" s="166"/>
      <c r="P582" s="166"/>
    </row>
    <row r="583" spans="1:16" s="7" customFormat="1" ht="14.4" hidden="1" customHeight="1">
      <c r="A583" s="2103">
        <v>45119</v>
      </c>
      <c r="B583" s="436" t="s">
        <v>2893</v>
      </c>
      <c r="C583" s="128"/>
      <c r="D583" s="128"/>
      <c r="E583" s="128"/>
      <c r="F583" s="128"/>
      <c r="G583" s="436" t="s">
        <v>2266</v>
      </c>
      <c r="H583" s="436" t="s">
        <v>2894</v>
      </c>
      <c r="I583" s="366"/>
      <c r="J583" s="360"/>
      <c r="K583" s="361"/>
      <c r="L583" s="361"/>
      <c r="M583" s="244"/>
      <c r="N583" s="166"/>
      <c r="O583" s="575" t="s">
        <v>3335</v>
      </c>
      <c r="P583" s="166"/>
    </row>
    <row r="584" spans="1:16" s="7" customFormat="1" ht="14.4" hidden="1" customHeight="1">
      <c r="A584" s="2103">
        <v>45119</v>
      </c>
      <c r="B584" s="541" t="s">
        <v>2895</v>
      </c>
      <c r="C584" s="128">
        <v>55202547</v>
      </c>
      <c r="D584" s="128" t="s">
        <v>3173</v>
      </c>
      <c r="E584" s="128"/>
      <c r="F584" s="128"/>
      <c r="G584" s="436" t="s">
        <v>1009</v>
      </c>
      <c r="H584" s="436" t="s">
        <v>2896</v>
      </c>
      <c r="I584" s="366"/>
      <c r="J584" s="360"/>
      <c r="K584" s="361"/>
      <c r="L584" s="361"/>
      <c r="M584" s="244"/>
      <c r="N584" s="166"/>
      <c r="P584" s="166"/>
    </row>
    <row r="585" spans="1:16" s="7" customFormat="1" ht="14.4" hidden="1" customHeight="1">
      <c r="A585" s="2103">
        <v>45119</v>
      </c>
      <c r="B585" s="797" t="s">
        <v>3578</v>
      </c>
      <c r="C585" s="128">
        <v>85650535</v>
      </c>
      <c r="D585" s="128" t="s">
        <v>4109</v>
      </c>
      <c r="E585" s="128"/>
      <c r="F585" s="796" t="s">
        <v>1743</v>
      </c>
      <c r="G585" s="436" t="s">
        <v>1009</v>
      </c>
      <c r="H585" s="436" t="s">
        <v>2897</v>
      </c>
      <c r="I585" s="366"/>
      <c r="J585" s="360"/>
      <c r="K585" s="361"/>
      <c r="L585" s="361"/>
      <c r="M585" s="244"/>
      <c r="N585" s="166"/>
      <c r="P585" s="166"/>
    </row>
    <row r="586" spans="1:16" s="7" customFormat="1" ht="14.4" hidden="1" customHeight="1">
      <c r="A586" s="2104">
        <v>45120</v>
      </c>
      <c r="B586" s="578" t="s">
        <v>2900</v>
      </c>
      <c r="C586" s="541">
        <v>91274561</v>
      </c>
      <c r="D586" s="541" t="s">
        <v>3173</v>
      </c>
      <c r="E586" s="541"/>
      <c r="F586" s="541"/>
      <c r="G586" s="541" t="s">
        <v>3047</v>
      </c>
      <c r="H586" s="541" t="s">
        <v>2901</v>
      </c>
      <c r="I586" s="541"/>
      <c r="J586" s="360"/>
      <c r="K586" s="361"/>
      <c r="L586" s="361"/>
      <c r="M586" s="244"/>
      <c r="N586" s="166"/>
      <c r="P586" s="166"/>
    </row>
    <row r="587" spans="1:16" s="7" customFormat="1" ht="14.4" hidden="1" customHeight="1">
      <c r="A587" s="2104">
        <v>45120</v>
      </c>
      <c r="B587" s="482" t="s">
        <v>3065</v>
      </c>
      <c r="C587" s="128">
        <v>92718317</v>
      </c>
      <c r="D587" s="128"/>
      <c r="E587" s="128"/>
      <c r="F587" s="128"/>
      <c r="G587" s="443" t="s">
        <v>2715</v>
      </c>
      <c r="H587" s="443" t="s">
        <v>2902</v>
      </c>
      <c r="I587" s="366"/>
      <c r="J587" s="360"/>
      <c r="K587" s="361"/>
      <c r="L587" s="361"/>
      <c r="M587" s="244"/>
      <c r="N587" s="166"/>
      <c r="O587" s="7" t="s">
        <v>3196</v>
      </c>
      <c r="P587" s="166"/>
    </row>
    <row r="588" spans="1:16" s="7" customFormat="1" ht="14.4" hidden="1" customHeight="1">
      <c r="A588" s="2104">
        <v>45120</v>
      </c>
      <c r="B588" s="559" t="s">
        <v>2903</v>
      </c>
      <c r="C588" s="383">
        <v>77165649</v>
      </c>
      <c r="D588" s="383"/>
      <c r="E588" s="383"/>
      <c r="F588" s="383"/>
      <c r="G588" s="531" t="s">
        <v>736</v>
      </c>
      <c r="H588" s="531" t="s">
        <v>2904</v>
      </c>
      <c r="I588" s="384"/>
      <c r="J588" s="526" t="s">
        <v>2924</v>
      </c>
      <c r="K588" s="361"/>
      <c r="L588" s="361"/>
      <c r="M588" s="244"/>
      <c r="N588" s="166"/>
      <c r="P588" s="166"/>
    </row>
    <row r="589" spans="1:16" s="7" customFormat="1" ht="14.4" hidden="1" customHeight="1">
      <c r="A589" s="2104">
        <v>45121</v>
      </c>
      <c r="B589" s="691" t="s">
        <v>2911</v>
      </c>
      <c r="C589" s="128">
        <v>46425471</v>
      </c>
      <c r="D589" s="128" t="s">
        <v>3570</v>
      </c>
      <c r="E589" s="128"/>
      <c r="F589" s="128" t="s">
        <v>3568</v>
      </c>
      <c r="G589" s="443" t="s">
        <v>1996</v>
      </c>
      <c r="H589" s="443" t="s">
        <v>2912</v>
      </c>
      <c r="I589" s="366"/>
      <c r="J589" s="360"/>
      <c r="K589" s="361"/>
      <c r="L589" s="361"/>
      <c r="M589" s="244"/>
      <c r="N589" s="166"/>
      <c r="P589" s="166"/>
    </row>
    <row r="590" spans="1:16" s="7" customFormat="1" ht="14.4" hidden="1" customHeight="1">
      <c r="A590" s="2104">
        <v>45121</v>
      </c>
      <c r="B590" s="440"/>
      <c r="C590" s="288"/>
      <c r="D590" s="288"/>
      <c r="E590" s="288"/>
      <c r="F590" s="288"/>
      <c r="G590" s="440"/>
      <c r="H590" s="440"/>
      <c r="I590" s="360"/>
      <c r="J590" s="360"/>
      <c r="K590" s="361"/>
      <c r="L590" s="361"/>
      <c r="M590" s="244"/>
      <c r="N590" s="166"/>
      <c r="P590" s="166"/>
    </row>
    <row r="591" spans="1:16" s="7" customFormat="1" ht="14.4" hidden="1" customHeight="1">
      <c r="A591" s="2104">
        <v>45121</v>
      </c>
      <c r="B591" s="486" t="s">
        <v>2913</v>
      </c>
      <c r="C591" s="486">
        <v>93937884</v>
      </c>
      <c r="D591" s="486"/>
      <c r="E591" s="486"/>
      <c r="F591" s="486"/>
      <c r="G591" s="486" t="s">
        <v>1996</v>
      </c>
      <c r="H591" s="486" t="s">
        <v>2918</v>
      </c>
      <c r="I591" s="486"/>
      <c r="J591" s="360"/>
      <c r="K591" s="361"/>
      <c r="L591" s="361"/>
      <c r="M591" s="244"/>
      <c r="N591" s="166"/>
      <c r="P591" s="166"/>
    </row>
    <row r="592" spans="1:16" s="7" customFormat="1" ht="14.4" hidden="1" customHeight="1">
      <c r="A592" s="2104">
        <v>45121</v>
      </c>
      <c r="B592" s="719" t="s">
        <v>2914</v>
      </c>
      <c r="C592" s="128">
        <v>48701219</v>
      </c>
      <c r="D592" s="6" t="s">
        <v>3650</v>
      </c>
      <c r="E592" s="6"/>
      <c r="F592" s="6" t="s">
        <v>2755</v>
      </c>
      <c r="G592" s="443" t="s">
        <v>1996</v>
      </c>
      <c r="H592" s="443" t="s">
        <v>2917</v>
      </c>
      <c r="I592" s="366"/>
      <c r="J592" s="360"/>
      <c r="K592" s="361"/>
      <c r="L592" s="361"/>
      <c r="M592" s="244"/>
      <c r="N592" s="166"/>
      <c r="P592" s="166"/>
    </row>
    <row r="593" spans="1:16" s="7" customFormat="1" ht="14.4" hidden="1" customHeight="1">
      <c r="A593" s="2104">
        <v>45121</v>
      </c>
      <c r="B593" s="578" t="s">
        <v>2915</v>
      </c>
      <c r="C593" s="128">
        <v>19164567</v>
      </c>
      <c r="D593" s="128" t="s">
        <v>3296</v>
      </c>
      <c r="E593" s="128"/>
      <c r="F593" s="128"/>
      <c r="G593" s="443" t="s">
        <v>1971</v>
      </c>
      <c r="H593" s="443" t="s">
        <v>2916</v>
      </c>
      <c r="I593" s="366"/>
      <c r="J593" s="444"/>
      <c r="K593" s="361"/>
      <c r="L593" s="361"/>
      <c r="M593" s="244"/>
      <c r="N593" s="166"/>
      <c r="P593" s="166"/>
    </row>
    <row r="594" spans="1:16" s="7" customFormat="1" ht="14.4" hidden="1" customHeight="1">
      <c r="A594" s="2104">
        <v>45121</v>
      </c>
      <c r="B594" s="1716" t="s">
        <v>3028</v>
      </c>
      <c r="C594" s="128">
        <v>75525919</v>
      </c>
      <c r="D594" s="128"/>
      <c r="E594" s="128"/>
      <c r="F594" s="128"/>
      <c r="G594" s="6" t="s">
        <v>2019</v>
      </c>
      <c r="H594" s="443"/>
      <c r="I594" s="366"/>
      <c r="J594" s="360"/>
      <c r="K594" s="361"/>
      <c r="L594" s="361"/>
      <c r="M594" s="244"/>
      <c r="N594" s="166"/>
      <c r="P594" s="166"/>
    </row>
    <row r="595" spans="1:16" s="7" customFormat="1" ht="14.4" hidden="1" customHeight="1">
      <c r="A595" s="2104">
        <v>45121</v>
      </c>
      <c r="B595" s="719" t="s">
        <v>3563</v>
      </c>
      <c r="C595" s="128">
        <v>89788113</v>
      </c>
      <c r="D595" s="6" t="s">
        <v>3650</v>
      </c>
      <c r="E595" s="6"/>
      <c r="F595" s="6" t="s">
        <v>2755</v>
      </c>
      <c r="G595" s="443" t="s">
        <v>2115</v>
      </c>
      <c r="H595" s="443" t="s">
        <v>2919</v>
      </c>
      <c r="I595" s="366"/>
      <c r="J595" s="360"/>
      <c r="K595" s="361"/>
      <c r="L595" s="361"/>
      <c r="M595" s="244"/>
      <c r="N595" s="166"/>
      <c r="P595" s="166"/>
    </row>
    <row r="596" spans="1:16" s="7" customFormat="1" ht="14.4" hidden="1" customHeight="1">
      <c r="A596" s="2105">
        <v>45122</v>
      </c>
      <c r="B596" s="541" t="s">
        <v>2922</v>
      </c>
      <c r="C596" s="128">
        <v>51992724</v>
      </c>
      <c r="D596" s="128"/>
      <c r="E596" s="128"/>
      <c r="F596" s="128"/>
      <c r="G596" s="547" t="s">
        <v>1006</v>
      </c>
      <c r="H596" s="547" t="s">
        <v>2923</v>
      </c>
      <c r="I596" s="366"/>
      <c r="J596" s="360"/>
      <c r="K596" s="361"/>
      <c r="L596" s="361"/>
      <c r="M596" s="666" t="s">
        <v>3558</v>
      </c>
      <c r="N596" s="166"/>
      <c r="P596" s="166"/>
    </row>
    <row r="597" spans="1:16" s="7" customFormat="1" ht="14.4" hidden="1" customHeight="1">
      <c r="A597" s="2106">
        <v>45123</v>
      </c>
      <c r="B597" s="596" t="s">
        <v>3371</v>
      </c>
      <c r="C597" s="128"/>
      <c r="D597" s="128"/>
      <c r="E597" s="128"/>
      <c r="F597" s="128"/>
      <c r="G597" s="598" t="s">
        <v>2715</v>
      </c>
      <c r="H597" s="598" t="s">
        <v>2925</v>
      </c>
      <c r="I597" s="366"/>
      <c r="J597" s="360"/>
      <c r="K597" s="361"/>
      <c r="L597" s="361"/>
      <c r="M597" s="244"/>
      <c r="N597" s="166"/>
      <c r="O597" s="667" t="s">
        <v>3558</v>
      </c>
      <c r="P597" s="166"/>
    </row>
    <row r="598" spans="1:16" s="7" customFormat="1" ht="14.4" hidden="1" customHeight="1">
      <c r="A598" s="2107">
        <v>45123</v>
      </c>
      <c r="B598" s="719" t="s">
        <v>2926</v>
      </c>
      <c r="C598" s="128">
        <v>66735972</v>
      </c>
      <c r="D598" s="6" t="s">
        <v>3650</v>
      </c>
      <c r="E598" s="6"/>
      <c r="F598" s="6" t="s">
        <v>2755</v>
      </c>
      <c r="G598" s="685" t="s">
        <v>2115</v>
      </c>
      <c r="H598" s="685" t="s">
        <v>2927</v>
      </c>
      <c r="I598" s="366"/>
      <c r="J598" s="360"/>
      <c r="K598" s="361"/>
      <c r="L598" s="361"/>
      <c r="M598" s="244"/>
      <c r="N598" s="166"/>
      <c r="P598" s="166"/>
    </row>
    <row r="599" spans="1:16" s="7" customFormat="1" ht="14.4" hidden="1" customHeight="1">
      <c r="A599" s="2108">
        <v>45124</v>
      </c>
      <c r="B599" s="478" t="s">
        <v>2930</v>
      </c>
      <c r="C599" s="383"/>
      <c r="D599" s="383"/>
      <c r="E599" s="383"/>
      <c r="F599" s="383"/>
      <c r="G599" s="478" t="s">
        <v>667</v>
      </c>
      <c r="H599" s="478" t="s">
        <v>2931</v>
      </c>
      <c r="I599" s="384"/>
      <c r="J599" s="479" t="s">
        <v>3046</v>
      </c>
      <c r="K599" s="361"/>
      <c r="L599" s="361"/>
      <c r="M599" s="244"/>
      <c r="N599" s="166"/>
      <c r="P599" s="166"/>
    </row>
    <row r="600" spans="1:16" s="7" customFormat="1" ht="14.4" hidden="1" customHeight="1">
      <c r="A600" s="2108">
        <v>45124</v>
      </c>
      <c r="B600" s="649" t="s">
        <v>2932</v>
      </c>
      <c r="C600" s="128">
        <v>85521953</v>
      </c>
      <c r="D600" s="128"/>
      <c r="E600" s="128"/>
      <c r="F600" s="6" t="s">
        <v>3408</v>
      </c>
      <c r="G600" s="461" t="s">
        <v>2019</v>
      </c>
      <c r="H600" s="461" t="s">
        <v>2933</v>
      </c>
      <c r="I600" s="366"/>
      <c r="J600" s="360"/>
      <c r="K600" s="361"/>
      <c r="L600" s="361"/>
      <c r="M600" s="244"/>
      <c r="N600" s="166"/>
      <c r="P600" s="166"/>
    </row>
    <row r="601" spans="1:16" s="7" customFormat="1" ht="14.4" hidden="1" customHeight="1">
      <c r="A601" s="2108">
        <v>45124</v>
      </c>
      <c r="B601" s="604" t="s">
        <v>2934</v>
      </c>
      <c r="C601" s="128">
        <v>64615493</v>
      </c>
      <c r="D601" s="128"/>
      <c r="E601" s="128"/>
      <c r="F601" s="128"/>
      <c r="G601" s="461" t="s">
        <v>2019</v>
      </c>
      <c r="H601" s="461" t="s">
        <v>2935</v>
      </c>
      <c r="I601" s="366"/>
      <c r="J601" s="360"/>
      <c r="K601" s="361"/>
      <c r="L601" s="361"/>
      <c r="M601" s="244"/>
      <c r="N601" s="166"/>
      <c r="P601" s="166"/>
    </row>
    <row r="602" spans="1:16" s="7" customFormat="1" ht="14.4" hidden="1" customHeight="1">
      <c r="A602" s="2108">
        <v>45124</v>
      </c>
      <c r="B602" s="478" t="s">
        <v>2936</v>
      </c>
      <c r="C602" s="383">
        <v>85568220</v>
      </c>
      <c r="D602" s="383"/>
      <c r="E602" s="383"/>
      <c r="F602" s="383"/>
      <c r="G602" s="478" t="s">
        <v>1032</v>
      </c>
      <c r="H602" s="478" t="s">
        <v>2937</v>
      </c>
      <c r="I602" s="384"/>
      <c r="J602" s="477" t="s">
        <v>2924</v>
      </c>
      <c r="K602" s="361"/>
      <c r="L602" s="361"/>
      <c r="M602" s="244"/>
      <c r="N602" s="166"/>
      <c r="P602" s="166"/>
    </row>
    <row r="603" spans="1:16" s="7" customFormat="1" ht="14.4" hidden="1" customHeight="1">
      <c r="A603" s="2108">
        <v>45124</v>
      </c>
      <c r="B603" s="876" t="s">
        <v>2938</v>
      </c>
      <c r="C603" s="128">
        <v>27533861</v>
      </c>
      <c r="D603" s="761" t="s">
        <v>3862</v>
      </c>
      <c r="E603" s="761"/>
      <c r="F603" s="128" t="s">
        <v>3577</v>
      </c>
      <c r="G603" s="461" t="s">
        <v>2478</v>
      </c>
      <c r="H603" s="461" t="s">
        <v>2939</v>
      </c>
      <c r="I603" s="366"/>
      <c r="J603" s="360"/>
      <c r="K603" s="361"/>
      <c r="L603" s="361"/>
      <c r="M603" s="244"/>
      <c r="N603" s="166">
        <f>9+4.98+8.25+65.9</f>
        <v>88.13000000000001</v>
      </c>
      <c r="P603" s="166"/>
    </row>
    <row r="604" spans="1:16" s="7" customFormat="1" ht="14.4" hidden="1" customHeight="1">
      <c r="A604" s="2108">
        <v>45124</v>
      </c>
      <c r="B604" s="616" t="s">
        <v>3307</v>
      </c>
      <c r="C604" s="617" t="s">
        <v>3082</v>
      </c>
      <c r="D604" s="569" t="s">
        <v>3064</v>
      </c>
      <c r="E604" s="569"/>
      <c r="F604" s="6" t="s">
        <v>1743</v>
      </c>
      <c r="G604" s="584" t="s">
        <v>3312</v>
      </c>
      <c r="H604" s="461" t="s">
        <v>2940</v>
      </c>
      <c r="I604" s="366"/>
      <c r="J604" s="360"/>
      <c r="K604" s="361"/>
      <c r="L604" s="361"/>
      <c r="M604" s="618"/>
      <c r="N604" s="166" t="s">
        <v>3485</v>
      </c>
      <c r="P604" s="166"/>
    </row>
    <row r="605" spans="1:16" s="7" customFormat="1" ht="14.4" hidden="1" customHeight="1">
      <c r="A605" s="2108">
        <v>45124</v>
      </c>
      <c r="B605" s="556" t="s">
        <v>2942</v>
      </c>
      <c r="C605" s="128">
        <v>36498222</v>
      </c>
      <c r="D605" s="128" t="s">
        <v>3173</v>
      </c>
      <c r="E605" s="128"/>
      <c r="F605" s="128"/>
      <c r="G605" s="461" t="s">
        <v>1009</v>
      </c>
      <c r="H605" s="461" t="s">
        <v>2943</v>
      </c>
      <c r="I605" s="366"/>
      <c r="J605" s="360"/>
      <c r="K605" s="361"/>
      <c r="L605" s="361"/>
      <c r="M605" s="244"/>
      <c r="N605" s="166"/>
      <c r="P605" s="166"/>
    </row>
    <row r="606" spans="1:16" s="7" customFormat="1" ht="14.4" hidden="1" customHeight="1">
      <c r="A606" s="2108">
        <v>45124</v>
      </c>
      <c r="B606" s="842" t="s">
        <v>3840</v>
      </c>
      <c r="C606" s="128">
        <v>35411745</v>
      </c>
      <c r="D606" s="128" t="s">
        <v>4234</v>
      </c>
      <c r="E606" s="128"/>
      <c r="F606" s="833" t="s">
        <v>4129</v>
      </c>
      <c r="G606" s="6" t="s">
        <v>2335</v>
      </c>
      <c r="H606" s="461" t="s">
        <v>2951</v>
      </c>
      <c r="I606" s="366"/>
      <c r="J606" s="360"/>
      <c r="K606" s="361"/>
      <c r="L606" s="361"/>
      <c r="M606" s="244"/>
      <c r="N606" s="166" t="s">
        <v>4279</v>
      </c>
      <c r="P606" s="166"/>
    </row>
    <row r="607" spans="1:16" s="7" customFormat="1" ht="14.4" hidden="1" customHeight="1">
      <c r="A607" s="2109">
        <v>45125</v>
      </c>
      <c r="B607" s="817" t="s">
        <v>2965</v>
      </c>
      <c r="C607" s="128">
        <v>20800013</v>
      </c>
      <c r="D607" s="128" t="s">
        <v>4109</v>
      </c>
      <c r="E607" s="128"/>
      <c r="F607" s="818" t="s">
        <v>2755</v>
      </c>
      <c r="G607" s="6" t="s">
        <v>2215</v>
      </c>
      <c r="H607" s="459" t="s">
        <v>2966</v>
      </c>
      <c r="I607" s="366"/>
      <c r="J607" s="360"/>
      <c r="K607" s="361"/>
      <c r="L607" s="361"/>
      <c r="M607" s="244"/>
      <c r="N607" s="166" t="s">
        <v>4153</v>
      </c>
      <c r="P607" s="166"/>
    </row>
    <row r="608" spans="1:16" s="7" customFormat="1" ht="14.4" hidden="1" customHeight="1">
      <c r="A608" s="2109">
        <v>45125</v>
      </c>
      <c r="B608" s="556" t="s">
        <v>2967</v>
      </c>
      <c r="C608" s="128">
        <v>71985522</v>
      </c>
      <c r="D608" s="128" t="s">
        <v>3173</v>
      </c>
      <c r="E608" s="128"/>
      <c r="F608" s="128"/>
      <c r="G608" s="459" t="s">
        <v>2120</v>
      </c>
      <c r="H608" s="459" t="s">
        <v>2968</v>
      </c>
      <c r="I608" s="366"/>
      <c r="J608" s="360"/>
      <c r="K608" s="361"/>
      <c r="L608" s="361"/>
      <c r="M608" s="244"/>
      <c r="N608" s="166"/>
      <c r="P608" s="166"/>
    </row>
    <row r="609" spans="1:16" s="7" customFormat="1" ht="14.4" hidden="1" customHeight="1">
      <c r="A609" s="2109">
        <v>45125</v>
      </c>
      <c r="B609" s="849" t="s">
        <v>2972</v>
      </c>
      <c r="C609" s="128">
        <v>54409706</v>
      </c>
      <c r="D609" s="128" t="s">
        <v>4234</v>
      </c>
      <c r="E609" s="791"/>
      <c r="F609" s="841" t="s">
        <v>2755</v>
      </c>
      <c r="G609" s="459" t="s">
        <v>2237</v>
      </c>
      <c r="H609" s="459" t="s">
        <v>2973</v>
      </c>
      <c r="I609" s="366"/>
      <c r="J609" s="360"/>
      <c r="K609" s="361"/>
      <c r="L609" s="361"/>
      <c r="M609" s="244"/>
      <c r="N609" s="166"/>
      <c r="P609" s="166"/>
    </row>
    <row r="610" spans="1:16" s="7" customFormat="1" ht="14.4" hidden="1" customHeight="1">
      <c r="A610" s="2109">
        <v>45126</v>
      </c>
      <c r="B610" s="458"/>
      <c r="C610" s="288"/>
      <c r="D610" s="288" t="s">
        <v>3570</v>
      </c>
      <c r="E610" s="288"/>
      <c r="F610" s="288" t="s">
        <v>3584</v>
      </c>
      <c r="G610" s="516" t="s">
        <v>2651</v>
      </c>
      <c r="H610" s="458" t="s">
        <v>2986</v>
      </c>
      <c r="I610" s="360"/>
      <c r="J610" s="360"/>
      <c r="K610" s="361"/>
      <c r="L610" s="361"/>
      <c r="M610" s="244"/>
      <c r="N610" s="166"/>
      <c r="P610" s="166"/>
    </row>
    <row r="611" spans="1:16" s="7" customFormat="1" ht="14.4" customHeight="1">
      <c r="A611" s="2110">
        <v>45126</v>
      </c>
      <c r="B611" s="907" t="s">
        <v>2990</v>
      </c>
      <c r="C611" s="383">
        <v>87719993</v>
      </c>
      <c r="D611" s="383" t="s">
        <v>3570</v>
      </c>
      <c r="E611" s="3" t="s">
        <v>2905</v>
      </c>
      <c r="F611" s="669" t="s">
        <v>3585</v>
      </c>
      <c r="G611" s="554" t="s">
        <v>3249</v>
      </c>
      <c r="H611" s="554" t="s">
        <v>3250</v>
      </c>
      <c r="I611" s="384">
        <v>22</v>
      </c>
      <c r="J611" s="463">
        <v>4</v>
      </c>
      <c r="K611" s="361">
        <v>33</v>
      </c>
      <c r="L611" s="361"/>
      <c r="M611" s="244"/>
      <c r="N611" s="166"/>
      <c r="P611" s="166"/>
    </row>
    <row r="612" spans="1:16" s="7" customFormat="1" ht="14.4" hidden="1" customHeight="1">
      <c r="A612" s="2110">
        <v>45126</v>
      </c>
      <c r="B612" s="761" t="s">
        <v>3833</v>
      </c>
      <c r="C612" s="128">
        <v>35250919</v>
      </c>
      <c r="D612" s="128" t="s">
        <v>3570</v>
      </c>
      <c r="E612" s="128"/>
      <c r="F612" s="128" t="s">
        <v>3584</v>
      </c>
      <c r="G612" s="468" t="s">
        <v>2651</v>
      </c>
      <c r="H612" s="468" t="s">
        <v>2992</v>
      </c>
      <c r="I612" s="366"/>
      <c r="J612" s="360"/>
      <c r="K612" s="361"/>
      <c r="L612" s="361"/>
      <c r="M612" s="244"/>
      <c r="N612" s="166"/>
      <c r="P612" s="166"/>
    </row>
    <row r="613" spans="1:16" s="7" customFormat="1" ht="14.4" hidden="1" customHeight="1">
      <c r="A613" s="2110">
        <v>45126</v>
      </c>
      <c r="B613" s="797" t="s">
        <v>2993</v>
      </c>
      <c r="C613" s="128">
        <v>26988640</v>
      </c>
      <c r="D613" s="6" t="s">
        <v>4109</v>
      </c>
      <c r="E613" s="6"/>
      <c r="F613" s="6" t="s">
        <v>2755</v>
      </c>
      <c r="G613" s="468" t="s">
        <v>1922</v>
      </c>
      <c r="H613" s="468" t="s">
        <v>2994</v>
      </c>
      <c r="I613" s="366"/>
      <c r="J613" s="360"/>
      <c r="K613" s="361"/>
      <c r="L613" s="361"/>
      <c r="M613" s="244"/>
      <c r="N613" s="166"/>
      <c r="P613" s="166"/>
    </row>
    <row r="614" spans="1:16" s="7" customFormat="1" ht="14.4" hidden="1" customHeight="1">
      <c r="A614" s="2110">
        <v>45126</v>
      </c>
      <c r="B614" s="527" t="s">
        <v>3000</v>
      </c>
      <c r="C614" s="128">
        <v>55538507</v>
      </c>
      <c r="D614" s="128"/>
      <c r="E614" s="128"/>
      <c r="F614" s="128"/>
      <c r="G614" s="468" t="s">
        <v>2005</v>
      </c>
      <c r="H614" s="468" t="s">
        <v>3001</v>
      </c>
      <c r="I614" s="366"/>
      <c r="J614" s="360"/>
      <c r="K614" s="361"/>
      <c r="L614" s="361"/>
      <c r="M614" s="244"/>
      <c r="N614" s="166"/>
      <c r="P614" s="166"/>
    </row>
    <row r="615" spans="1:16" s="7" customFormat="1" ht="14.4" hidden="1" customHeight="1">
      <c r="A615" s="2110">
        <v>45126</v>
      </c>
      <c r="B615" s="616" t="s">
        <v>3005</v>
      </c>
      <c r="C615" s="128">
        <v>52654572</v>
      </c>
      <c r="D615" s="128"/>
      <c r="E615" s="128"/>
      <c r="F615" s="6"/>
      <c r="G615" s="468" t="s">
        <v>763</v>
      </c>
      <c r="H615" s="468" t="s">
        <v>3006</v>
      </c>
      <c r="I615" s="366"/>
      <c r="J615" s="360"/>
      <c r="K615" s="361"/>
      <c r="L615" s="361"/>
      <c r="M615" s="607"/>
      <c r="N615" s="166" t="s">
        <v>3406</v>
      </c>
      <c r="P615" s="166"/>
    </row>
    <row r="616" spans="1:16" s="7" customFormat="1" ht="14.4" hidden="1" customHeight="1">
      <c r="A616" s="2111">
        <v>45127</v>
      </c>
      <c r="B616" s="523" t="s">
        <v>3025</v>
      </c>
      <c r="C616" s="288">
        <v>28408163</v>
      </c>
      <c r="D616" s="288"/>
      <c r="E616" s="885">
        <v>0</v>
      </c>
      <c r="F616" s="288" t="s">
        <v>2012</v>
      </c>
      <c r="G616" s="288" t="s">
        <v>2012</v>
      </c>
      <c r="H616" s="471" t="s">
        <v>3011</v>
      </c>
      <c r="I616" s="360"/>
      <c r="J616" s="599" t="s">
        <v>3373</v>
      </c>
      <c r="K616" s="361"/>
      <c r="L616" s="361"/>
      <c r="M616" s="244"/>
      <c r="N616" s="166"/>
      <c r="P616" s="166"/>
    </row>
    <row r="617" spans="1:16" s="7" customFormat="1" ht="14.4" hidden="1" customHeight="1">
      <c r="A617" s="2112">
        <v>45127</v>
      </c>
      <c r="B617" s="601" t="s">
        <v>3012</v>
      </c>
      <c r="C617" s="128">
        <v>99737566</v>
      </c>
      <c r="D617" s="128"/>
      <c r="E617" s="128"/>
      <c r="F617" s="128"/>
      <c r="G617" s="473" t="s">
        <v>2251</v>
      </c>
      <c r="H617" s="473" t="s">
        <v>3013</v>
      </c>
      <c r="I617" s="366"/>
      <c r="J617" s="360"/>
      <c r="K617" s="539"/>
      <c r="L617" s="539"/>
      <c r="M617" s="618" t="s">
        <v>3427</v>
      </c>
      <c r="N617" s="166"/>
      <c r="P617" s="166"/>
    </row>
    <row r="618" spans="1:16" s="7" customFormat="1" ht="14.4" customHeight="1">
      <c r="A618" s="2111">
        <v>45127</v>
      </c>
      <c r="B618" s="465"/>
      <c r="C618" s="288"/>
      <c r="D618" s="288"/>
      <c r="E618" s="288"/>
      <c r="F618" s="288"/>
      <c r="G618" s="403" t="s">
        <v>2715</v>
      </c>
      <c r="H618" s="1193" t="s">
        <v>5200</v>
      </c>
      <c r="I618" s="360">
        <f>20-3-1</f>
        <v>16</v>
      </c>
      <c r="J618" s="1991" t="s">
        <v>7814</v>
      </c>
      <c r="K618" s="1796" t="s">
        <v>7323</v>
      </c>
      <c r="L618" s="1991" t="s">
        <v>7813</v>
      </c>
      <c r="M618" s="244"/>
      <c r="N618" s="166"/>
      <c r="P618" s="166"/>
    </row>
    <row r="619" spans="1:16" s="7" customFormat="1" ht="14.4" hidden="1" customHeight="1">
      <c r="A619" s="2111">
        <v>45127</v>
      </c>
      <c r="B619" s="601" t="s">
        <v>3017</v>
      </c>
      <c r="C619" s="128">
        <v>94247719</v>
      </c>
      <c r="D619" s="128"/>
      <c r="E619" s="128"/>
      <c r="F619" s="128"/>
      <c r="G619" s="473" t="s">
        <v>1943</v>
      </c>
      <c r="H619" s="473" t="s">
        <v>3019</v>
      </c>
      <c r="I619" s="366"/>
      <c r="J619" s="360"/>
      <c r="K619" s="361"/>
      <c r="L619" s="361"/>
      <c r="M619" s="244"/>
      <c r="N619" s="166"/>
      <c r="O619" s="7" t="s">
        <v>3463</v>
      </c>
      <c r="P619" s="166"/>
    </row>
    <row r="620" spans="1:16" s="7" customFormat="1" ht="14.4" hidden="1" customHeight="1">
      <c r="A620" s="2111">
        <v>45127</v>
      </c>
      <c r="B620" s="473" t="s">
        <v>3021</v>
      </c>
      <c r="C620" s="128"/>
      <c r="D620" s="128"/>
      <c r="E620" s="128"/>
      <c r="F620" s="128"/>
      <c r="G620" s="473"/>
      <c r="H620" s="473" t="s">
        <v>3022</v>
      </c>
      <c r="I620" s="366"/>
      <c r="J620" s="360"/>
      <c r="K620" s="361"/>
      <c r="L620" s="361"/>
      <c r="M620" s="244"/>
      <c r="N620" s="166"/>
      <c r="P620" s="166"/>
    </row>
    <row r="621" spans="1:16" s="7" customFormat="1" ht="14.4" hidden="1" customHeight="1">
      <c r="A621" s="2113">
        <v>45128</v>
      </c>
      <c r="B621" s="842" t="s">
        <v>3029</v>
      </c>
      <c r="C621" s="128">
        <v>19804549</v>
      </c>
      <c r="D621" s="128" t="s">
        <v>4234</v>
      </c>
      <c r="E621" s="128"/>
      <c r="F621" s="833" t="s">
        <v>2755</v>
      </c>
      <c r="G621" s="6" t="s">
        <v>2335</v>
      </c>
      <c r="H621" s="475" t="s">
        <v>3030</v>
      </c>
      <c r="I621" s="366"/>
      <c r="J621" s="360"/>
      <c r="K621" s="361"/>
      <c r="L621" s="361"/>
      <c r="M621" s="244"/>
      <c r="N621" s="166" t="s">
        <v>4279</v>
      </c>
      <c r="P621" s="166"/>
    </row>
    <row r="622" spans="1:16" s="7" customFormat="1" ht="14.4" hidden="1" customHeight="1">
      <c r="A622" s="2113">
        <v>45128</v>
      </c>
      <c r="B622" s="908" t="s">
        <v>3031</v>
      </c>
      <c r="C622" s="128">
        <v>70498618</v>
      </c>
      <c r="D622" s="6" t="s">
        <v>4443</v>
      </c>
      <c r="E622" s="6" t="s">
        <v>3925</v>
      </c>
      <c r="F622" s="128" t="s">
        <v>2755</v>
      </c>
      <c r="G622" s="475" t="s">
        <v>736</v>
      </c>
      <c r="H622" s="475" t="s">
        <v>3032</v>
      </c>
      <c r="I622" s="366"/>
      <c r="J622" s="360"/>
      <c r="K622" s="361"/>
      <c r="L622" s="361"/>
      <c r="M622" s="244"/>
      <c r="N622" s="166"/>
      <c r="P622" s="166"/>
    </row>
    <row r="623" spans="1:16" s="7" customFormat="1" ht="14.4" hidden="1" customHeight="1">
      <c r="A623" s="2114">
        <v>45129</v>
      </c>
      <c r="B623" s="1559" t="s">
        <v>3044</v>
      </c>
      <c r="C623" s="128">
        <v>11368749</v>
      </c>
      <c r="D623" s="128"/>
      <c r="E623" s="128"/>
      <c r="F623" s="128"/>
      <c r="G623" s="480" t="s">
        <v>2373</v>
      </c>
      <c r="H623" s="480" t="s">
        <v>3045</v>
      </c>
      <c r="I623" s="366"/>
      <c r="J623" s="360"/>
      <c r="K623" s="361"/>
      <c r="L623" s="361"/>
      <c r="M623" s="244"/>
      <c r="N623" s="166"/>
      <c r="P623" s="166"/>
    </row>
    <row r="624" spans="1:16" s="7" customFormat="1" ht="14.4" customHeight="1">
      <c r="A624" s="2115">
        <v>45130</v>
      </c>
      <c r="B624" s="639" t="s">
        <v>3048</v>
      </c>
      <c r="C624" s="383">
        <v>18685195</v>
      </c>
      <c r="D624" s="669" t="s">
        <v>3570</v>
      </c>
      <c r="E624" s="3" t="s">
        <v>6443</v>
      </c>
      <c r="F624" s="1481" t="s">
        <v>6196</v>
      </c>
      <c r="G624" s="3" t="s">
        <v>2335</v>
      </c>
      <c r="H624" s="1643" t="s">
        <v>6872</v>
      </c>
      <c r="I624" s="384">
        <f>22-2-5-4-8-3</f>
        <v>0</v>
      </c>
      <c r="J624" s="1639" t="s">
        <v>6873</v>
      </c>
      <c r="K624" s="361"/>
      <c r="L624" s="361"/>
      <c r="M624" s="244"/>
      <c r="N624" s="166">
        <v>8372000</v>
      </c>
      <c r="P624" s="166"/>
    </row>
    <row r="625" spans="1:16" s="7" customFormat="1" ht="14.4" hidden="1" customHeight="1">
      <c r="A625" s="2115">
        <v>45130</v>
      </c>
      <c r="B625" s="844" t="s">
        <v>3548</v>
      </c>
      <c r="C625" s="128">
        <v>36506316</v>
      </c>
      <c r="D625" s="128" t="s">
        <v>4234</v>
      </c>
      <c r="E625" s="128"/>
      <c r="F625" s="128" t="s">
        <v>2755</v>
      </c>
      <c r="G625" s="6" t="s">
        <v>2335</v>
      </c>
      <c r="H625" s="482" t="s">
        <v>3049</v>
      </c>
      <c r="I625" s="366"/>
      <c r="J625" s="360"/>
      <c r="K625" s="361"/>
      <c r="L625" s="361"/>
      <c r="M625" s="244"/>
      <c r="N625" s="166" t="s">
        <v>4279</v>
      </c>
      <c r="P625" s="166"/>
    </row>
    <row r="626" spans="1:16" s="7" customFormat="1" ht="14.4" customHeight="1">
      <c r="A626" s="2115">
        <v>45131</v>
      </c>
      <c r="B626" s="958" t="s">
        <v>3051</v>
      </c>
      <c r="C626" s="954">
        <v>69835634</v>
      </c>
      <c r="D626" s="954" t="s">
        <v>4397</v>
      </c>
      <c r="E626" s="954" t="s">
        <v>3925</v>
      </c>
      <c r="F626" s="955" t="s">
        <v>2755</v>
      </c>
      <c r="G626" s="956" t="s">
        <v>2124</v>
      </c>
      <c r="H626" s="957" t="s">
        <v>3052</v>
      </c>
      <c r="I626" s="957">
        <f>11-0.6+1.2+0.3-0.6-0.6-0.6-0.6-0.6-0.6-0.6-0.6-0.6-0.6-0.6-0.6-0.6-0.6-0.6-0.6-0.6</f>
        <v>1.7000000000000046</v>
      </c>
      <c r="J626" s="487">
        <v>5</v>
      </c>
      <c r="K626" s="487" t="s">
        <v>3083</v>
      </c>
      <c r="L626" s="487"/>
      <c r="M626" s="244"/>
      <c r="N626" s="166"/>
      <c r="P626" s="166"/>
    </row>
    <row r="627" spans="1:16" s="7" customFormat="1" ht="14.4" hidden="1" customHeight="1">
      <c r="A627" s="2115">
        <v>45131</v>
      </c>
      <c r="B627" s="797" t="s">
        <v>3053</v>
      </c>
      <c r="C627" s="128">
        <v>12878936</v>
      </c>
      <c r="D627" s="128" t="s">
        <v>4109</v>
      </c>
      <c r="E627" s="128"/>
      <c r="F627" s="796" t="s">
        <v>2755</v>
      </c>
      <c r="G627" s="459" t="s">
        <v>2237</v>
      </c>
      <c r="H627" s="482" t="s">
        <v>3054</v>
      </c>
      <c r="I627" s="366"/>
      <c r="J627" s="360"/>
      <c r="K627" s="361"/>
      <c r="L627" s="361"/>
      <c r="M627" s="244"/>
      <c r="N627" s="166"/>
      <c r="P627" s="166"/>
    </row>
    <row r="628" spans="1:16" s="7" customFormat="1" ht="14.4" hidden="1" customHeight="1">
      <c r="A628" s="2115">
        <v>45131</v>
      </c>
      <c r="B628" s="849" t="s">
        <v>3055</v>
      </c>
      <c r="C628" s="128">
        <v>71162640</v>
      </c>
      <c r="D628" s="128" t="s">
        <v>4244</v>
      </c>
      <c r="E628" s="128"/>
      <c r="F628" s="848" t="s">
        <v>2755</v>
      </c>
      <c r="G628" s="482" t="s">
        <v>2124</v>
      </c>
      <c r="H628" s="482" t="s">
        <v>2375</v>
      </c>
      <c r="I628" s="366"/>
      <c r="J628" s="360"/>
      <c r="K628" s="361"/>
      <c r="L628" s="361"/>
      <c r="M628" s="244"/>
      <c r="N628" s="166"/>
      <c r="P628" s="166"/>
    </row>
    <row r="629" spans="1:16" s="7" customFormat="1" ht="14.4" hidden="1" customHeight="1">
      <c r="A629" s="2115">
        <v>45131</v>
      </c>
      <c r="B629" s="761" t="s">
        <v>3056</v>
      </c>
      <c r="C629" s="128">
        <v>52764908</v>
      </c>
      <c r="D629" s="128" t="s">
        <v>3836</v>
      </c>
      <c r="E629" s="128"/>
      <c r="F629" s="761" t="s">
        <v>3568</v>
      </c>
      <c r="G629" s="482" t="s">
        <v>1009</v>
      </c>
      <c r="H629" s="482" t="s">
        <v>3057</v>
      </c>
      <c r="I629" s="366"/>
      <c r="J629" s="360"/>
      <c r="K629" s="361"/>
      <c r="L629" s="361"/>
      <c r="M629" s="244"/>
      <c r="N629" s="166"/>
      <c r="P629" s="166"/>
    </row>
    <row r="630" spans="1:16" s="7" customFormat="1" ht="14.4" hidden="1" customHeight="1">
      <c r="A630" s="2115">
        <v>45131</v>
      </c>
      <c r="B630" s="582" t="s">
        <v>3058</v>
      </c>
      <c r="C630" s="545">
        <v>23554734</v>
      </c>
      <c r="D630" s="545"/>
      <c r="E630" s="545"/>
      <c r="F630" s="545"/>
      <c r="G630" s="550" t="s">
        <v>2071</v>
      </c>
      <c r="H630" s="550" t="s">
        <v>3059</v>
      </c>
      <c r="I630" s="546"/>
      <c r="J630" s="360"/>
      <c r="K630" s="361"/>
      <c r="L630" s="361"/>
      <c r="M630" s="244"/>
      <c r="N630" s="166"/>
      <c r="P630" s="166"/>
    </row>
    <row r="631" spans="1:16" s="7" customFormat="1" ht="14.4" customHeight="1">
      <c r="A631" s="2115">
        <v>45131</v>
      </c>
      <c r="B631" s="802" t="s">
        <v>3850</v>
      </c>
      <c r="C631" s="128"/>
      <c r="D631" s="128" t="s">
        <v>4370</v>
      </c>
      <c r="E631" s="1546" t="s">
        <v>6443</v>
      </c>
      <c r="F631" s="1481" t="s">
        <v>6196</v>
      </c>
      <c r="G631" s="482" t="s">
        <v>1973</v>
      </c>
      <c r="H631" s="482" t="s">
        <v>3066</v>
      </c>
      <c r="I631" s="366">
        <f>1-0.5</f>
        <v>0.5</v>
      </c>
      <c r="J631" s="1659" t="s">
        <v>6912</v>
      </c>
      <c r="K631" s="361"/>
      <c r="L631" s="361"/>
      <c r="M631" s="244"/>
      <c r="N631" s="166"/>
      <c r="P631" s="166"/>
    </row>
    <row r="632" spans="1:16" s="7" customFormat="1" ht="14.4" hidden="1" customHeight="1">
      <c r="A632" s="2115">
        <v>45132</v>
      </c>
      <c r="B632" s="1716" t="s">
        <v>3067</v>
      </c>
      <c r="C632" s="128">
        <v>65293023</v>
      </c>
      <c r="D632" s="128" t="s">
        <v>3173</v>
      </c>
      <c r="E632" s="128"/>
      <c r="F632" s="128"/>
      <c r="G632" s="482" t="s">
        <v>2115</v>
      </c>
      <c r="H632" s="482" t="s">
        <v>3068</v>
      </c>
      <c r="I632" s="366"/>
      <c r="J632" s="360"/>
      <c r="K632" s="361"/>
      <c r="L632" s="361"/>
      <c r="M632" s="244"/>
      <c r="N632" s="166"/>
      <c r="P632" s="166"/>
    </row>
    <row r="633" spans="1:16" s="7" customFormat="1" ht="14.4" hidden="1" customHeight="1">
      <c r="A633" s="2116">
        <v>45132</v>
      </c>
      <c r="B633" s="484" t="s">
        <v>3069</v>
      </c>
      <c r="C633" s="128">
        <v>18101999</v>
      </c>
      <c r="D633" s="128"/>
      <c r="E633" s="128"/>
      <c r="F633" s="128"/>
      <c r="G633" s="484" t="s">
        <v>3070</v>
      </c>
      <c r="H633" s="484" t="s">
        <v>3071</v>
      </c>
      <c r="I633" s="366"/>
      <c r="J633" s="360"/>
      <c r="K633" s="361"/>
      <c r="L633" s="361"/>
      <c r="M633" s="244"/>
      <c r="N633" s="166"/>
      <c r="P633" s="166"/>
    </row>
    <row r="634" spans="1:16" s="7" customFormat="1" ht="14.4" hidden="1" customHeight="1">
      <c r="A634" s="2116">
        <v>45132</v>
      </c>
      <c r="B634" s="740" t="s">
        <v>3752</v>
      </c>
      <c r="C634" s="128">
        <v>84025514</v>
      </c>
      <c r="D634" s="128"/>
      <c r="E634" s="128"/>
      <c r="F634" s="128"/>
      <c r="G634" s="484" t="s">
        <v>1970</v>
      </c>
      <c r="H634" s="484" t="s">
        <v>3073</v>
      </c>
      <c r="I634" s="366"/>
      <c r="J634" s="360"/>
      <c r="K634" s="361">
        <v>3</v>
      </c>
      <c r="L634" s="361"/>
      <c r="M634" s="815" t="s">
        <v>4142</v>
      </c>
      <c r="N634" s="166"/>
      <c r="P634" s="166"/>
    </row>
    <row r="635" spans="1:16" s="7" customFormat="1" ht="14.4" customHeight="1">
      <c r="A635" s="2116">
        <v>45132</v>
      </c>
      <c r="B635" s="1632" t="s">
        <v>4230</v>
      </c>
      <c r="C635" s="1638" t="s">
        <v>4231</v>
      </c>
      <c r="D635" s="128" t="s">
        <v>4370</v>
      </c>
      <c r="E635" s="6" t="s">
        <v>6443</v>
      </c>
      <c r="F635" s="1481" t="s">
        <v>6196</v>
      </c>
      <c r="G635" s="484" t="s">
        <v>1970</v>
      </c>
      <c r="H635" s="1632" t="s">
        <v>6838</v>
      </c>
      <c r="I635" s="366">
        <v>1</v>
      </c>
      <c r="J635" s="1647" t="s">
        <v>6894</v>
      </c>
      <c r="K635" s="361">
        <v>2</v>
      </c>
      <c r="L635" s="361">
        <v>2</v>
      </c>
      <c r="M635" s="896" t="s">
        <v>628</v>
      </c>
      <c r="N635" s="166"/>
      <c r="P635" s="166"/>
    </row>
    <row r="636" spans="1:16" s="7" customFormat="1" ht="14.4" hidden="1" customHeight="1">
      <c r="A636" s="2116">
        <v>45132</v>
      </c>
      <c r="B636" s="817" t="s">
        <v>3072</v>
      </c>
      <c r="C636" s="128">
        <v>41600219</v>
      </c>
      <c r="D636" s="128" t="s">
        <v>4153</v>
      </c>
      <c r="E636" s="128"/>
      <c r="F636" s="128" t="s">
        <v>2755</v>
      </c>
      <c r="G636" s="6" t="s">
        <v>2215</v>
      </c>
      <c r="H636" s="484" t="s">
        <v>3074</v>
      </c>
      <c r="I636" s="366"/>
      <c r="J636" s="360"/>
      <c r="K636" s="361"/>
      <c r="L636" s="361"/>
      <c r="M636" s="244"/>
      <c r="N636" s="166" t="s">
        <v>4153</v>
      </c>
      <c r="P636" s="166"/>
    </row>
    <row r="637" spans="1:16" s="7" customFormat="1" ht="14.4" hidden="1" customHeight="1">
      <c r="A637" s="2116">
        <v>45132</v>
      </c>
      <c r="B637" s="484" t="s">
        <v>3034</v>
      </c>
      <c r="C637" s="128"/>
      <c r="D637" s="128"/>
      <c r="E637" s="128"/>
      <c r="F637" s="128"/>
      <c r="G637" s="484" t="s">
        <v>3075</v>
      </c>
      <c r="H637" s="484" t="s">
        <v>3076</v>
      </c>
      <c r="I637" s="366"/>
      <c r="J637" s="360"/>
      <c r="K637" s="361"/>
      <c r="L637" s="361"/>
      <c r="M637" s="244"/>
      <c r="N637" s="166"/>
      <c r="P637" s="166"/>
    </row>
    <row r="638" spans="1:16" s="7" customFormat="1" ht="14.4" hidden="1" customHeight="1">
      <c r="A638" s="2116">
        <v>45132</v>
      </c>
      <c r="B638" s="539"/>
      <c r="C638" s="288"/>
      <c r="D638" s="539"/>
      <c r="E638" s="539"/>
      <c r="F638" s="288"/>
      <c r="G638" s="485"/>
      <c r="H638" s="483"/>
      <c r="I638" s="360"/>
      <c r="J638" s="555"/>
      <c r="K638" s="361"/>
      <c r="L638" s="361"/>
      <c r="M638" s="244"/>
      <c r="N638" s="166"/>
      <c r="P638" s="166"/>
    </row>
    <row r="639" spans="1:16" s="7" customFormat="1" ht="14.4" hidden="1" customHeight="1">
      <c r="A639" s="2117">
        <v>45133</v>
      </c>
      <c r="B639" s="649" t="s">
        <v>3078</v>
      </c>
      <c r="C639" s="128">
        <v>20822027</v>
      </c>
      <c r="D639" s="128"/>
      <c r="E639" s="128"/>
      <c r="F639" s="6" t="s">
        <v>3408</v>
      </c>
      <c r="G639" s="486" t="s">
        <v>2005</v>
      </c>
      <c r="H639" s="486" t="s">
        <v>3079</v>
      </c>
      <c r="I639" s="366"/>
      <c r="J639" s="360"/>
      <c r="K639" s="361"/>
      <c r="L639" s="361"/>
      <c r="M639" s="244"/>
      <c r="N639" s="166"/>
      <c r="P639" s="166"/>
    </row>
    <row r="640" spans="1:16" s="7" customFormat="1" ht="14.4" hidden="1" customHeight="1">
      <c r="A640" s="2117">
        <v>45133</v>
      </c>
      <c r="B640" s="779" t="s">
        <v>3080</v>
      </c>
      <c r="C640" s="128">
        <v>47097048</v>
      </c>
      <c r="D640" s="760" t="s">
        <v>3836</v>
      </c>
      <c r="E640" s="760">
        <v>1</v>
      </c>
      <c r="F640" s="760" t="s">
        <v>3568</v>
      </c>
      <c r="G640" s="486" t="s">
        <v>2012</v>
      </c>
      <c r="H640" s="486" t="s">
        <v>3081</v>
      </c>
      <c r="I640" s="366"/>
      <c r="J640" s="360"/>
      <c r="K640" s="361"/>
      <c r="L640" s="361"/>
      <c r="M640" s="244"/>
      <c r="N640" s="166"/>
      <c r="P640" s="166"/>
    </row>
    <row r="641" spans="1:16" s="7" customFormat="1" ht="14.4" hidden="1" customHeight="1">
      <c r="A641" s="2118">
        <v>45134</v>
      </c>
      <c r="B641" s="719" t="s">
        <v>3086</v>
      </c>
      <c r="C641" s="128">
        <v>31080114</v>
      </c>
      <c r="D641" s="128" t="s">
        <v>3650</v>
      </c>
      <c r="E641" s="128"/>
      <c r="F641" s="701" t="s">
        <v>2755</v>
      </c>
      <c r="G641" s="660" t="s">
        <v>2749</v>
      </c>
      <c r="H641" s="660" t="s">
        <v>3087</v>
      </c>
      <c r="I641" s="366"/>
      <c r="J641" s="360"/>
      <c r="K641" s="361"/>
      <c r="L641" s="361"/>
      <c r="M641" s="244"/>
      <c r="N641" s="166"/>
      <c r="P641" s="166"/>
    </row>
    <row r="642" spans="1:16" s="7" customFormat="1" ht="14.4" hidden="1" customHeight="1">
      <c r="A642" s="2118">
        <v>45134</v>
      </c>
      <c r="B642" s="705" t="s">
        <v>3088</v>
      </c>
      <c r="C642" s="128">
        <v>30272659</v>
      </c>
      <c r="D642" s="701" t="s">
        <v>3653</v>
      </c>
      <c r="E642" s="701"/>
      <c r="F642" s="701" t="s">
        <v>2755</v>
      </c>
      <c r="G642" s="660" t="s">
        <v>763</v>
      </c>
      <c r="H642" s="660" t="s">
        <v>3089</v>
      </c>
      <c r="I642" s="366"/>
      <c r="J642" s="360"/>
      <c r="K642" s="361"/>
      <c r="L642" s="361"/>
      <c r="M642" s="244"/>
      <c r="N642" s="734" t="s">
        <v>3679</v>
      </c>
      <c r="P642" s="166"/>
    </row>
    <row r="643" spans="1:16" s="7" customFormat="1" ht="14.4" hidden="1" customHeight="1">
      <c r="A643" s="2119">
        <v>45135</v>
      </c>
      <c r="B643" s="571" t="s">
        <v>3093</v>
      </c>
      <c r="C643" s="383">
        <v>32342710</v>
      </c>
      <c r="D643" s="383"/>
      <c r="E643" s="383"/>
      <c r="F643" s="383"/>
      <c r="G643" s="572" t="s">
        <v>2478</v>
      </c>
      <c r="H643" s="572" t="s">
        <v>3094</v>
      </c>
      <c r="I643" s="384"/>
      <c r="J643" s="555" t="s">
        <v>3314</v>
      </c>
      <c r="K643" s="361"/>
      <c r="L643" s="361"/>
      <c r="M643" s="244"/>
      <c r="N643" s="166"/>
      <c r="P643" s="166"/>
    </row>
    <row r="644" spans="1:16" s="7" customFormat="1" ht="14.4" hidden="1" customHeight="1">
      <c r="A644" s="2120">
        <v>45135</v>
      </c>
      <c r="B644" s="556" t="s">
        <v>3095</v>
      </c>
      <c r="C644" s="128">
        <v>48654214</v>
      </c>
      <c r="D644" s="128"/>
      <c r="E644" s="128"/>
      <c r="F644" s="128"/>
      <c r="G644" s="498" t="s">
        <v>1009</v>
      </c>
      <c r="H644" s="498" t="s">
        <v>3096</v>
      </c>
      <c r="I644" s="366"/>
      <c r="J644" s="360"/>
      <c r="K644" s="361"/>
      <c r="L644" s="361"/>
      <c r="M644" s="244"/>
      <c r="N644" s="166"/>
      <c r="P644" s="166"/>
    </row>
    <row r="645" spans="1:16" s="7" customFormat="1" ht="14.4" hidden="1" customHeight="1">
      <c r="A645" s="2120">
        <v>45135</v>
      </c>
      <c r="B645" s="849" t="s">
        <v>3970</v>
      </c>
      <c r="C645" s="128">
        <v>74961994</v>
      </c>
      <c r="D645" s="128" t="s">
        <v>4234</v>
      </c>
      <c r="E645" s="767"/>
      <c r="F645" s="128" t="s">
        <v>4129</v>
      </c>
      <c r="G645" s="459" t="s">
        <v>2237</v>
      </c>
      <c r="H645" s="498" t="s">
        <v>3097</v>
      </c>
      <c r="I645" s="366"/>
      <c r="J645" s="360"/>
      <c r="K645" s="361"/>
      <c r="L645" s="361"/>
      <c r="M645" s="244"/>
      <c r="N645" s="166"/>
      <c r="P645" s="166"/>
    </row>
    <row r="646" spans="1:16" s="7" customFormat="1" ht="14.4" hidden="1" customHeight="1">
      <c r="A646" s="2121">
        <v>45136</v>
      </c>
      <c r="B646" s="876" t="s">
        <v>3939</v>
      </c>
      <c r="C646" s="128">
        <v>17897477</v>
      </c>
      <c r="D646" s="767" t="s">
        <v>3935</v>
      </c>
      <c r="E646" s="767" t="s">
        <v>3571</v>
      </c>
      <c r="F646" s="128" t="s">
        <v>3526</v>
      </c>
      <c r="G646" s="601" t="s">
        <v>2478</v>
      </c>
      <c r="H646" s="761" t="s">
        <v>3889</v>
      </c>
      <c r="I646" s="366"/>
      <c r="J646" s="360"/>
      <c r="K646" s="361"/>
      <c r="L646" s="361"/>
      <c r="M646" s="244"/>
      <c r="N646" s="166"/>
      <c r="P646" s="166"/>
    </row>
    <row r="647" spans="1:16" s="7" customFormat="1" ht="19.8" hidden="1" customHeight="1">
      <c r="A647" s="2122">
        <v>45136</v>
      </c>
      <c r="B647" s="492" t="s">
        <v>3104</v>
      </c>
      <c r="C647" s="128"/>
      <c r="D647" s="128"/>
      <c r="E647" s="128"/>
      <c r="F647" s="128"/>
      <c r="G647" s="484"/>
      <c r="H647" s="493" t="s">
        <v>3105</v>
      </c>
      <c r="I647" s="366"/>
      <c r="J647" s="360"/>
      <c r="K647" s="361">
        <v>32.5</v>
      </c>
      <c r="L647" s="361"/>
      <c r="M647" s="244"/>
      <c r="N647" s="166"/>
      <c r="P647" s="166"/>
    </row>
    <row r="648" spans="1:16" s="7" customFormat="1" ht="14.4" hidden="1" customHeight="1">
      <c r="A648" s="494">
        <v>45136</v>
      </c>
      <c r="B648" s="491" t="s">
        <v>3106</v>
      </c>
      <c r="C648" s="288"/>
      <c r="D648" s="288"/>
      <c r="E648" s="288"/>
      <c r="F648" s="288"/>
      <c r="G648" s="483"/>
      <c r="H648" s="491" t="s">
        <v>3107</v>
      </c>
      <c r="I648" s="360"/>
      <c r="J648" s="360">
        <v>16.899999999999999</v>
      </c>
      <c r="K648" s="361"/>
      <c r="L648" s="361"/>
      <c r="M648" s="244"/>
      <c r="N648" s="166"/>
      <c r="P648" s="166"/>
    </row>
    <row r="649" spans="1:16" s="7" customFormat="1" ht="14.4" hidden="1" customHeight="1">
      <c r="A649" s="495">
        <v>45138</v>
      </c>
      <c r="B649" s="616" t="s">
        <v>3110</v>
      </c>
      <c r="C649" s="128">
        <v>64665742</v>
      </c>
      <c r="D649" s="128" t="s">
        <v>3208</v>
      </c>
      <c r="E649" s="128"/>
      <c r="F649" s="6" t="s">
        <v>3408</v>
      </c>
      <c r="G649" s="602" t="s">
        <v>1006</v>
      </c>
      <c r="H649" s="602" t="s">
        <v>3111</v>
      </c>
      <c r="I649" s="366"/>
      <c r="J649" s="360"/>
      <c r="K649" s="361"/>
      <c r="L649" s="361"/>
      <c r="M649" s="666" t="s">
        <v>3558</v>
      </c>
      <c r="N649" s="166"/>
      <c r="P649" s="166"/>
    </row>
    <row r="650" spans="1:16" s="7" customFormat="1" ht="14.4" hidden="1" customHeight="1">
      <c r="A650" s="495">
        <v>45138</v>
      </c>
      <c r="B650" s="649" t="s">
        <v>3112</v>
      </c>
      <c r="C650" s="128">
        <v>71069898</v>
      </c>
      <c r="D650" s="128"/>
      <c r="E650" s="128"/>
      <c r="F650" s="6" t="s">
        <v>3493</v>
      </c>
      <c r="G650" s="602" t="s">
        <v>2284</v>
      </c>
      <c r="H650" s="602" t="s">
        <v>3113</v>
      </c>
      <c r="I650" s="366"/>
      <c r="J650" s="360"/>
      <c r="K650" s="361"/>
      <c r="L650" s="361"/>
      <c r="M650" s="244"/>
      <c r="N650" s="166"/>
      <c r="P650" s="166"/>
    </row>
    <row r="651" spans="1:16" s="7" customFormat="1" ht="14.4" hidden="1" customHeight="1">
      <c r="A651" s="2123">
        <v>45139</v>
      </c>
      <c r="B651" s="503" t="s">
        <v>3114</v>
      </c>
      <c r="C651" s="128">
        <v>32682619</v>
      </c>
      <c r="D651" s="128"/>
      <c r="E651" s="128"/>
      <c r="F651" s="128"/>
      <c r="G651" s="499" t="s">
        <v>2148</v>
      </c>
      <c r="H651" s="499" t="s">
        <v>3115</v>
      </c>
      <c r="I651" s="366"/>
      <c r="J651" s="360"/>
      <c r="K651" s="361">
        <v>22</v>
      </c>
      <c r="L651" s="361"/>
      <c r="M651" s="244"/>
      <c r="N651" s="166"/>
      <c r="P651" s="166"/>
    </row>
    <row r="652" spans="1:16" s="7" customFormat="1" ht="14.4" hidden="1" customHeight="1">
      <c r="A652" s="2123">
        <v>45139</v>
      </c>
      <c r="B652" s="505" t="s">
        <v>3118</v>
      </c>
      <c r="C652" s="128">
        <v>49544167</v>
      </c>
      <c r="D652" s="128"/>
      <c r="E652" s="128"/>
      <c r="F652" s="128"/>
      <c r="G652" s="499" t="s">
        <v>2266</v>
      </c>
      <c r="H652" s="499" t="s">
        <v>3119</v>
      </c>
      <c r="I652" s="366"/>
      <c r="J652" s="360"/>
      <c r="K652" s="361"/>
      <c r="L652" s="361"/>
      <c r="M652" s="244"/>
      <c r="N652" s="166"/>
      <c r="O652" s="575" t="s">
        <v>3335</v>
      </c>
      <c r="P652" s="166"/>
    </row>
    <row r="653" spans="1:16" s="7" customFormat="1" ht="43.2" hidden="1" customHeight="1">
      <c r="A653" s="2123">
        <v>45139</v>
      </c>
      <c r="B653" s="508" t="s">
        <v>3141</v>
      </c>
      <c r="C653" s="128"/>
      <c r="D653" s="128"/>
      <c r="E653" s="128"/>
      <c r="F653" s="128"/>
      <c r="G653" s="499" t="s">
        <v>2715</v>
      </c>
      <c r="H653" s="499" t="s">
        <v>3121</v>
      </c>
      <c r="I653" s="366"/>
      <c r="J653" s="360"/>
      <c r="K653" s="361"/>
      <c r="L653" s="361"/>
      <c r="M653" s="244"/>
      <c r="N653" s="166"/>
      <c r="O653" s="667" t="s">
        <v>3558</v>
      </c>
      <c r="P653" s="166"/>
    </row>
    <row r="654" spans="1:16" s="7" customFormat="1" ht="14.4" hidden="1" customHeight="1">
      <c r="A654" s="2124">
        <v>45140</v>
      </c>
      <c r="B654" s="779" t="s">
        <v>3122</v>
      </c>
      <c r="C654" s="128">
        <v>94017925</v>
      </c>
      <c r="D654" s="760" t="s">
        <v>3836</v>
      </c>
      <c r="E654" s="760">
        <v>1</v>
      </c>
      <c r="F654" s="760" t="s">
        <v>3568</v>
      </c>
      <c r="G654" s="503" t="s">
        <v>2012</v>
      </c>
      <c r="H654" s="503" t="s">
        <v>3123</v>
      </c>
      <c r="I654" s="366"/>
      <c r="J654" s="500"/>
      <c r="K654" s="361"/>
      <c r="L654" s="361"/>
      <c r="M654" s="244"/>
      <c r="N654" s="166"/>
      <c r="P654" s="166"/>
    </row>
    <row r="655" spans="1:16" s="7" customFormat="1" ht="14.4" hidden="1" customHeight="1">
      <c r="A655" s="2124">
        <v>45140</v>
      </c>
      <c r="B655" s="751" t="s">
        <v>3124</v>
      </c>
      <c r="C655" s="128">
        <v>18401868</v>
      </c>
      <c r="D655" s="750" t="s">
        <v>3800</v>
      </c>
      <c r="E655" s="750"/>
      <c r="F655" s="6" t="s">
        <v>2755</v>
      </c>
      <c r="G655" s="503" t="s">
        <v>1970</v>
      </c>
      <c r="H655" s="503" t="s">
        <v>3125</v>
      </c>
      <c r="I655" s="366"/>
      <c r="J655" s="360"/>
      <c r="K655" s="361">
        <v>2</v>
      </c>
      <c r="L655" s="361"/>
      <c r="M655" s="815" t="s">
        <v>4142</v>
      </c>
      <c r="N655" s="166"/>
      <c r="P655" s="166"/>
    </row>
    <row r="656" spans="1:16" s="7" customFormat="1" ht="14.4" hidden="1" customHeight="1">
      <c r="A656" s="2124">
        <v>45140</v>
      </c>
      <c r="B656" s="751" t="s">
        <v>3126</v>
      </c>
      <c r="C656" s="128">
        <v>85093048</v>
      </c>
      <c r="D656" s="750" t="s">
        <v>3800</v>
      </c>
      <c r="E656" s="750">
        <v>1</v>
      </c>
      <c r="F656" s="6" t="s">
        <v>2755</v>
      </c>
      <c r="G656" s="503" t="s">
        <v>2012</v>
      </c>
      <c r="H656" s="503" t="s">
        <v>3127</v>
      </c>
      <c r="I656" s="366"/>
      <c r="J656" s="360"/>
      <c r="K656" s="361"/>
      <c r="L656" s="361"/>
      <c r="M656" s="244"/>
      <c r="N656" s="166"/>
      <c r="P656" s="166"/>
    </row>
    <row r="657" spans="1:16" s="7" customFormat="1" ht="14.4" hidden="1" customHeight="1">
      <c r="A657" s="2125">
        <v>45141</v>
      </c>
      <c r="B657" s="584" t="s">
        <v>3132</v>
      </c>
      <c r="C657" s="128">
        <v>32578605</v>
      </c>
      <c r="D657" s="128"/>
      <c r="E657" s="128"/>
      <c r="F657" s="128"/>
      <c r="G657" s="584" t="s">
        <v>3312</v>
      </c>
      <c r="H657" s="505" t="s">
        <v>3133</v>
      </c>
      <c r="I657" s="366"/>
      <c r="J657" s="360"/>
      <c r="K657" s="361"/>
      <c r="L657" s="361"/>
      <c r="M657" s="244"/>
      <c r="N657" s="166" t="s">
        <v>1045</v>
      </c>
      <c r="P657" s="166"/>
    </row>
    <row r="658" spans="1:16" s="7" customFormat="1" ht="14.4" hidden="1" customHeight="1">
      <c r="A658" s="2125">
        <v>45141</v>
      </c>
      <c r="B658" s="616" t="s">
        <v>3138</v>
      </c>
      <c r="C658" s="128">
        <v>44065217</v>
      </c>
      <c r="D658" s="128"/>
      <c r="E658" s="128"/>
      <c r="F658" s="6" t="s">
        <v>3408</v>
      </c>
      <c r="G658" s="505" t="s">
        <v>1006</v>
      </c>
      <c r="H658" s="505" t="s">
        <v>3139</v>
      </c>
      <c r="I658" s="366"/>
      <c r="J658" s="360"/>
      <c r="K658" s="361"/>
      <c r="L658" s="361"/>
      <c r="M658" s="666" t="s">
        <v>3558</v>
      </c>
      <c r="N658" s="166"/>
      <c r="P658" s="166"/>
    </row>
    <row r="659" spans="1:16" s="7" customFormat="1" ht="14.4" hidden="1" customHeight="1">
      <c r="A659" s="2125">
        <v>45141</v>
      </c>
      <c r="B659" s="505" t="s">
        <v>3136</v>
      </c>
      <c r="C659" s="128">
        <v>44026606</v>
      </c>
      <c r="D659" s="128"/>
      <c r="E659" s="128"/>
      <c r="F659" s="128"/>
      <c r="G659" s="499"/>
      <c r="H659" s="505" t="s">
        <v>3137</v>
      </c>
      <c r="I659" s="366"/>
      <c r="J659" s="360"/>
      <c r="K659" s="361"/>
      <c r="L659" s="361"/>
      <c r="M659" s="530" t="s">
        <v>3242</v>
      </c>
      <c r="N659" s="166"/>
      <c r="P659" s="166"/>
    </row>
    <row r="660" spans="1:16" s="7" customFormat="1" ht="14.4" hidden="1" customHeight="1">
      <c r="A660" s="2126">
        <v>45142</v>
      </c>
      <c r="B660" s="573" t="s">
        <v>3140</v>
      </c>
      <c r="C660" s="128">
        <v>61976281</v>
      </c>
      <c r="D660" s="6" t="s">
        <v>3706</v>
      </c>
      <c r="E660" s="6"/>
      <c r="F660" s="128" t="s">
        <v>3861</v>
      </c>
      <c r="G660" s="756" t="s">
        <v>2073</v>
      </c>
      <c r="H660" s="616" t="s">
        <v>3455</v>
      </c>
      <c r="I660" s="366"/>
      <c r="J660" s="360"/>
      <c r="K660" s="361"/>
      <c r="L660" s="361"/>
      <c r="M660" s="244"/>
      <c r="N660" s="166"/>
      <c r="P660" s="166"/>
    </row>
    <row r="661" spans="1:16" s="7" customFormat="1" ht="14.4" customHeight="1">
      <c r="A661" s="2127">
        <v>45143</v>
      </c>
      <c r="B661" s="507" t="s">
        <v>3142</v>
      </c>
      <c r="C661" s="288"/>
      <c r="D661" s="288"/>
      <c r="E661" s="288" t="s">
        <v>6443</v>
      </c>
      <c r="F661" s="1483"/>
      <c r="G661" s="509" t="s">
        <v>2005</v>
      </c>
      <c r="H661" s="509" t="s">
        <v>3143</v>
      </c>
      <c r="I661" s="360">
        <f>22-5.2</f>
        <v>16.8</v>
      </c>
      <c r="J661" s="360"/>
      <c r="K661" s="361"/>
      <c r="L661" s="361"/>
      <c r="M661" s="244"/>
      <c r="N661" s="166"/>
      <c r="P661" s="166"/>
    </row>
    <row r="662" spans="1:16" s="7" customFormat="1" ht="14.4" hidden="1" customHeight="1">
      <c r="A662" s="2127">
        <v>45143</v>
      </c>
      <c r="B662" s="573" t="s">
        <v>3148</v>
      </c>
      <c r="C662" s="128">
        <v>93818294</v>
      </c>
      <c r="D662" s="128" t="s">
        <v>3145</v>
      </c>
      <c r="E662" s="128"/>
      <c r="F662" s="128"/>
      <c r="G662" s="574" t="s">
        <v>736</v>
      </c>
      <c r="H662" s="574" t="s">
        <v>3144</v>
      </c>
      <c r="I662" s="366"/>
      <c r="J662" s="509"/>
      <c r="K662" s="509" t="s">
        <v>3146</v>
      </c>
      <c r="L662" s="509"/>
      <c r="M662" s="244"/>
      <c r="N662" s="642">
        <v>1</v>
      </c>
      <c r="O662" s="7" t="s">
        <v>3503</v>
      </c>
      <c r="P662" s="166"/>
    </row>
    <row r="663" spans="1:16" s="7" customFormat="1" ht="14.4" hidden="1" customHeight="1">
      <c r="A663" s="2127">
        <v>45143</v>
      </c>
      <c r="B663" s="842" t="s">
        <v>4015</v>
      </c>
      <c r="C663" s="128">
        <v>41102199</v>
      </c>
      <c r="D663" s="128" t="s">
        <v>4234</v>
      </c>
      <c r="E663" s="128"/>
      <c r="F663" s="128" t="s">
        <v>2755</v>
      </c>
      <c r="G663" s="6" t="s">
        <v>2215</v>
      </c>
      <c r="H663" s="574" t="s">
        <v>3147</v>
      </c>
      <c r="I663" s="366"/>
      <c r="J663" s="360"/>
      <c r="K663" s="511" t="s">
        <v>3170</v>
      </c>
      <c r="L663" s="511"/>
      <c r="M663" s="244"/>
      <c r="N663" s="166" t="s">
        <v>4270</v>
      </c>
      <c r="P663" s="166"/>
    </row>
    <row r="664" spans="1:16" s="7" customFormat="1" ht="14.4" customHeight="1">
      <c r="A664" s="2128">
        <v>45144</v>
      </c>
      <c r="B664" s="511" t="s">
        <v>3149</v>
      </c>
      <c r="C664" s="288"/>
      <c r="D664" s="288"/>
      <c r="E664" s="288" t="s">
        <v>6443</v>
      </c>
      <c r="F664" s="1483"/>
      <c r="G664" s="511" t="s">
        <v>2005</v>
      </c>
      <c r="H664" s="511" t="s">
        <v>3151</v>
      </c>
      <c r="I664" s="360">
        <v>20</v>
      </c>
      <c r="J664" s="360"/>
      <c r="K664" s="361"/>
      <c r="L664" s="361"/>
      <c r="M664" s="244"/>
      <c r="N664" s="166"/>
      <c r="P664" s="166"/>
    </row>
    <row r="665" spans="1:16" s="7" customFormat="1" ht="13.8" customHeight="1">
      <c r="A665" s="2128">
        <v>45144</v>
      </c>
      <c r="B665" s="511" t="s">
        <v>3150</v>
      </c>
      <c r="C665" s="288"/>
      <c r="D665" s="288"/>
      <c r="E665" s="288" t="s">
        <v>6443</v>
      </c>
      <c r="F665" s="1483"/>
      <c r="G665" s="511" t="s">
        <v>2005</v>
      </c>
      <c r="H665" s="511" t="s">
        <v>3152</v>
      </c>
      <c r="I665" s="360">
        <v>20</v>
      </c>
      <c r="J665" s="360"/>
      <c r="K665" s="361"/>
      <c r="L665" s="361"/>
      <c r="M665" s="244"/>
      <c r="N665" s="166"/>
      <c r="P665" s="166"/>
    </row>
    <row r="666" spans="1:16" s="7" customFormat="1" ht="13.8" hidden="1" customHeight="1">
      <c r="A666" s="2128">
        <v>45145</v>
      </c>
      <c r="B666" s="556" t="s">
        <v>3154</v>
      </c>
      <c r="C666" s="128">
        <v>52024583</v>
      </c>
      <c r="D666" s="128"/>
      <c r="E666" s="128"/>
      <c r="F666" s="128"/>
      <c r="G666" s="512" t="s">
        <v>1199</v>
      </c>
      <c r="H666" s="512" t="s">
        <v>3155</v>
      </c>
      <c r="I666" s="366"/>
      <c r="J666" s="360"/>
      <c r="K666" s="361"/>
      <c r="L666" s="361"/>
      <c r="M666" s="244"/>
      <c r="N666" s="579" t="s">
        <v>3328</v>
      </c>
      <c r="P666" s="579" t="s">
        <v>3334</v>
      </c>
    </row>
    <row r="667" spans="1:16" s="7" customFormat="1" ht="13.8" hidden="1" customHeight="1">
      <c r="A667" s="2128">
        <v>45145</v>
      </c>
      <c r="B667" s="512" t="s">
        <v>3160</v>
      </c>
      <c r="C667" s="128">
        <v>91531644</v>
      </c>
      <c r="D667" s="128" t="s">
        <v>3570</v>
      </c>
      <c r="E667" s="128"/>
      <c r="F667" s="128"/>
      <c r="G667" s="512" t="s">
        <v>3161</v>
      </c>
      <c r="H667" s="512" t="s">
        <v>3162</v>
      </c>
      <c r="I667" s="366"/>
      <c r="J667" s="360"/>
      <c r="K667" s="361"/>
      <c r="L667" s="361"/>
      <c r="M667" s="244"/>
      <c r="N667" s="166"/>
      <c r="P667" s="166"/>
    </row>
    <row r="668" spans="1:16" s="7" customFormat="1" ht="13.8" hidden="1" customHeight="1">
      <c r="A668" s="2128">
        <v>45145</v>
      </c>
      <c r="B668" s="767" t="s">
        <v>3164</v>
      </c>
      <c r="C668" s="128">
        <v>43067621</v>
      </c>
      <c r="D668" s="740" t="s">
        <v>3756</v>
      </c>
      <c r="E668" s="767"/>
      <c r="F668" s="128"/>
      <c r="G668" s="512" t="s">
        <v>1970</v>
      </c>
      <c r="H668" s="512" t="s">
        <v>3165</v>
      </c>
      <c r="I668" s="366"/>
      <c r="J668" s="511"/>
      <c r="K668" s="361">
        <v>2</v>
      </c>
      <c r="L668" s="361"/>
      <c r="M668" s="815" t="s">
        <v>4142</v>
      </c>
      <c r="N668" s="166"/>
      <c r="P668" s="166"/>
    </row>
    <row r="669" spans="1:16" s="7" customFormat="1" ht="13.8" hidden="1" customHeight="1">
      <c r="A669" s="2128">
        <v>45145</v>
      </c>
      <c r="B669" s="801" t="s">
        <v>3166</v>
      </c>
      <c r="C669" s="128">
        <v>79311718</v>
      </c>
      <c r="D669" s="128" t="s">
        <v>4128</v>
      </c>
      <c r="E669" s="128"/>
      <c r="F669" s="128" t="s">
        <v>2755</v>
      </c>
      <c r="G669" s="6" t="s">
        <v>2215</v>
      </c>
      <c r="H669" s="512" t="s">
        <v>3167</v>
      </c>
      <c r="I669" s="366"/>
      <c r="J669" s="511"/>
      <c r="K669" s="361"/>
      <c r="L669" s="361"/>
      <c r="M669" s="244"/>
      <c r="N669" s="166" t="s">
        <v>4153</v>
      </c>
      <c r="P669" s="166"/>
    </row>
    <row r="670" spans="1:16" s="7" customFormat="1" ht="13.8" hidden="1" customHeight="1">
      <c r="A670" s="2128">
        <v>45145</v>
      </c>
      <c r="B670" s="887" t="s">
        <v>3168</v>
      </c>
      <c r="C670" s="560">
        <v>49723633</v>
      </c>
      <c r="D670" s="91" t="s">
        <v>4336</v>
      </c>
      <c r="E670" s="91" t="s">
        <v>3925</v>
      </c>
      <c r="F670" s="560" t="s">
        <v>3580</v>
      </c>
      <c r="G670" s="676" t="s">
        <v>736</v>
      </c>
      <c r="H670" s="676" t="s">
        <v>3169</v>
      </c>
      <c r="I670" s="561"/>
      <c r="J670" s="511"/>
      <c r="K670" s="511" t="s">
        <v>3170</v>
      </c>
      <c r="L670" s="511"/>
      <c r="M670" s="244"/>
      <c r="N670" s="166"/>
      <c r="P670" s="166"/>
    </row>
    <row r="671" spans="1:16" s="7" customFormat="1" ht="13.8" hidden="1" customHeight="1">
      <c r="A671" s="510"/>
      <c r="B671" s="751" t="s">
        <v>3779</v>
      </c>
      <c r="C671" s="128">
        <v>11464388</v>
      </c>
      <c r="D671" s="750" t="s">
        <v>3800</v>
      </c>
      <c r="E671" s="750"/>
      <c r="F671" s="6" t="s">
        <v>2755</v>
      </c>
      <c r="G671" s="512" t="s">
        <v>1970</v>
      </c>
      <c r="H671" s="512"/>
      <c r="I671" s="366"/>
      <c r="J671" s="360"/>
      <c r="K671" s="361">
        <v>0.5</v>
      </c>
      <c r="L671" s="361"/>
      <c r="M671" s="815" t="s">
        <v>4142</v>
      </c>
      <c r="N671" s="166"/>
      <c r="P671" s="166"/>
    </row>
    <row r="672" spans="1:16" s="7" customFormat="1" ht="13.8" hidden="1" customHeight="1">
      <c r="A672" s="510"/>
      <c r="B672" s="751" t="s">
        <v>3780</v>
      </c>
      <c r="C672" s="128">
        <v>29401964</v>
      </c>
      <c r="D672" s="750" t="s">
        <v>3800</v>
      </c>
      <c r="E672" s="750"/>
      <c r="F672" s="6" t="s">
        <v>2755</v>
      </c>
      <c r="G672" s="512" t="s">
        <v>1970</v>
      </c>
      <c r="H672" s="512"/>
      <c r="I672" s="366"/>
      <c r="J672" s="360"/>
      <c r="K672" s="361">
        <v>0.5</v>
      </c>
      <c r="L672" s="361"/>
      <c r="M672" s="815" t="s">
        <v>4142</v>
      </c>
      <c r="N672" s="166"/>
      <c r="P672" s="166"/>
    </row>
    <row r="673" spans="1:16" s="7" customFormat="1" ht="13.8" hidden="1" customHeight="1">
      <c r="A673" s="510"/>
      <c r="B673" s="751" t="s">
        <v>3023</v>
      </c>
      <c r="C673" s="128">
        <v>19720243</v>
      </c>
      <c r="D673" s="128" t="s">
        <v>3650</v>
      </c>
      <c r="E673" s="128"/>
      <c r="F673" s="128" t="s">
        <v>3569</v>
      </c>
      <c r="G673" s="473" t="s">
        <v>1009</v>
      </c>
      <c r="H673" s="473" t="s">
        <v>3024</v>
      </c>
      <c r="I673" s="366"/>
      <c r="J673" s="360"/>
      <c r="K673" s="361"/>
      <c r="L673" s="361"/>
      <c r="M673" s="244"/>
      <c r="N673" s="166"/>
      <c r="P673" s="166"/>
    </row>
    <row r="674" spans="1:16" s="7" customFormat="1" ht="13.8" hidden="1" customHeight="1">
      <c r="A674" s="2129">
        <v>45146</v>
      </c>
      <c r="B674" s="649" t="s">
        <v>3506</v>
      </c>
      <c r="C674" s="128"/>
      <c r="D674" s="128"/>
      <c r="E674" s="128"/>
      <c r="F674" s="128"/>
      <c r="G674" s="519" t="s">
        <v>2715</v>
      </c>
      <c r="H674" s="519" t="s">
        <v>3174</v>
      </c>
      <c r="I674" s="366"/>
      <c r="J674" s="360"/>
      <c r="K674" s="361"/>
      <c r="L674" s="361"/>
      <c r="M674" s="244"/>
      <c r="N674" s="166"/>
      <c r="P674" s="166"/>
    </row>
    <row r="675" spans="1:16" s="7" customFormat="1" ht="13.8" hidden="1" customHeight="1">
      <c r="A675" s="2129">
        <v>45146</v>
      </c>
      <c r="B675" s="616" t="s">
        <v>3175</v>
      </c>
      <c r="C675" s="128">
        <v>48115036</v>
      </c>
      <c r="D675" s="128"/>
      <c r="E675" s="128"/>
      <c r="F675" s="6" t="s">
        <v>3408</v>
      </c>
      <c r="G675" s="519" t="s">
        <v>3177</v>
      </c>
      <c r="H675" s="519" t="s">
        <v>3176</v>
      </c>
      <c r="I675" s="366"/>
      <c r="J675" s="360"/>
      <c r="K675" s="361">
        <v>26.5</v>
      </c>
      <c r="L675" s="361"/>
      <c r="M675" s="244"/>
      <c r="N675" s="166"/>
      <c r="P675" s="166"/>
    </row>
    <row r="676" spans="1:16" s="7" customFormat="1" ht="13.8" hidden="1" customHeight="1">
      <c r="A676" s="2129">
        <v>45146</v>
      </c>
      <c r="B676" s="518" t="s">
        <v>3156</v>
      </c>
      <c r="C676" s="128">
        <v>59732364</v>
      </c>
      <c r="D676" s="128"/>
      <c r="E676" s="128"/>
      <c r="F676" s="128"/>
      <c r="G676" s="499"/>
      <c r="H676" s="512" t="s">
        <v>3163</v>
      </c>
      <c r="I676" s="366"/>
      <c r="J676" s="360"/>
      <c r="K676" s="361"/>
      <c r="L676" s="361"/>
      <c r="M676" s="244"/>
      <c r="N676" s="166"/>
      <c r="P676" s="166"/>
    </row>
    <row r="677" spans="1:16" s="7" customFormat="1" ht="13.8" hidden="1" customHeight="1">
      <c r="A677" s="2129">
        <v>45146</v>
      </c>
      <c r="B677" s="1716" t="s">
        <v>3181</v>
      </c>
      <c r="C677" s="128">
        <v>97074989</v>
      </c>
      <c r="D677" s="128"/>
      <c r="E677" s="128"/>
      <c r="F677" s="128"/>
      <c r="G677" s="519" t="s">
        <v>3182</v>
      </c>
      <c r="H677" s="519" t="s">
        <v>3183</v>
      </c>
      <c r="I677" s="366"/>
      <c r="J677" s="360"/>
      <c r="K677" s="361"/>
      <c r="L677" s="361"/>
      <c r="M677" s="244"/>
      <c r="N677" s="166"/>
      <c r="P677" s="166"/>
    </row>
    <row r="678" spans="1:16" s="7" customFormat="1" ht="13.8" hidden="1" customHeight="1">
      <c r="A678" s="2129">
        <v>45146</v>
      </c>
      <c r="B678" s="518" t="s">
        <v>3179</v>
      </c>
      <c r="C678" s="128">
        <v>97806248</v>
      </c>
      <c r="D678" s="128"/>
      <c r="E678" s="128"/>
      <c r="F678" s="128"/>
      <c r="G678" s="519" t="s">
        <v>3129</v>
      </c>
      <c r="H678" s="519" t="s">
        <v>3180</v>
      </c>
      <c r="I678" s="519"/>
      <c r="J678" s="514"/>
      <c r="K678" s="361"/>
      <c r="L678" s="361"/>
      <c r="M678" s="244"/>
      <c r="N678" s="166"/>
      <c r="P678" s="166"/>
    </row>
    <row r="679" spans="1:16" s="7" customFormat="1" ht="13.8" hidden="1" customHeight="1">
      <c r="A679" s="2129">
        <v>45146</v>
      </c>
      <c r="B679" s="578" t="s">
        <v>3190</v>
      </c>
      <c r="C679" s="128">
        <v>96618296</v>
      </c>
      <c r="D679" s="541" t="s">
        <v>3277</v>
      </c>
      <c r="E679" s="541"/>
      <c r="F679" s="128"/>
      <c r="G679" s="519" t="s">
        <v>3182</v>
      </c>
      <c r="H679" s="519" t="s">
        <v>3191</v>
      </c>
      <c r="I679" s="366"/>
      <c r="J679" s="514"/>
      <c r="K679" s="361"/>
      <c r="L679" s="361"/>
      <c r="M679" s="244"/>
      <c r="N679" s="166"/>
      <c r="P679" s="166"/>
    </row>
    <row r="680" spans="1:16" s="7" customFormat="1" ht="13.8" hidden="1" customHeight="1">
      <c r="A680" s="2130">
        <v>45147</v>
      </c>
      <c r="B680" s="516"/>
      <c r="C680" s="288"/>
      <c r="D680" s="288"/>
      <c r="E680" s="288"/>
      <c r="F680" s="288"/>
      <c r="G680" s="516"/>
      <c r="H680" s="516"/>
      <c r="I680" s="360"/>
      <c r="J680" s="514"/>
      <c r="K680" s="361"/>
      <c r="L680" s="361"/>
      <c r="M680" s="244"/>
      <c r="N680" s="166"/>
      <c r="P680" s="166"/>
    </row>
    <row r="681" spans="1:16" s="7" customFormat="1" ht="13.8" hidden="1" customHeight="1">
      <c r="A681" s="2130">
        <v>45147</v>
      </c>
      <c r="B681" s="524" t="s">
        <v>3198</v>
      </c>
      <c r="C681" s="128"/>
      <c r="D681" s="128"/>
      <c r="E681" s="128"/>
      <c r="F681" s="128"/>
      <c r="G681" s="518" t="s">
        <v>2456</v>
      </c>
      <c r="H681" s="518" t="s">
        <v>3201</v>
      </c>
      <c r="I681" s="366"/>
      <c r="J681" s="514"/>
      <c r="K681" s="514">
        <v>25.5</v>
      </c>
      <c r="L681" s="514"/>
      <c r="M681" s="244"/>
      <c r="N681" s="166"/>
      <c r="P681" s="166"/>
    </row>
    <row r="682" spans="1:16" s="7" customFormat="1" ht="13.8" hidden="1" customHeight="1">
      <c r="A682" s="2130">
        <v>45147</v>
      </c>
      <c r="B682" s="518" t="s">
        <v>3199</v>
      </c>
      <c r="C682" s="128">
        <v>11111111</v>
      </c>
      <c r="D682" s="128"/>
      <c r="E682" s="128"/>
      <c r="F682" s="128"/>
      <c r="G682" s="519"/>
      <c r="H682" s="518" t="s">
        <v>3200</v>
      </c>
      <c r="I682" s="366"/>
      <c r="J682" s="514"/>
      <c r="K682" s="514">
        <v>22</v>
      </c>
      <c r="L682" s="514"/>
      <c r="M682" s="244"/>
      <c r="N682" s="166"/>
      <c r="P682" s="166"/>
    </row>
    <row r="683" spans="1:16" s="7" customFormat="1" ht="13.8" hidden="1" customHeight="1">
      <c r="A683" s="2130">
        <v>45147</v>
      </c>
      <c r="B683" s="1716" t="s">
        <v>2946</v>
      </c>
      <c r="C683" s="128">
        <v>44975389</v>
      </c>
      <c r="D683" s="128"/>
      <c r="E683" s="128"/>
      <c r="F683" s="128"/>
      <c r="G683" s="461" t="s">
        <v>2019</v>
      </c>
      <c r="H683" s="461" t="s">
        <v>2947</v>
      </c>
      <c r="I683" s="366"/>
      <c r="J683" s="514"/>
      <c r="K683" s="539" t="s">
        <v>3287</v>
      </c>
      <c r="L683" s="539"/>
      <c r="M683" s="244"/>
      <c r="N683" s="166"/>
      <c r="P683" s="166"/>
    </row>
    <row r="684" spans="1:16" s="7" customFormat="1" ht="13.8" hidden="1" customHeight="1">
      <c r="A684" s="2130">
        <v>45147</v>
      </c>
      <c r="B684" s="518" t="s">
        <v>3204</v>
      </c>
      <c r="C684" s="128"/>
      <c r="D684" s="128"/>
      <c r="E684" s="128"/>
      <c r="F684" s="128"/>
      <c r="G684" s="461"/>
      <c r="H684" s="461"/>
      <c r="I684" s="366"/>
      <c r="J684" s="514"/>
      <c r="K684" s="361">
        <v>33</v>
      </c>
      <c r="L684" s="361"/>
      <c r="M684" s="244"/>
      <c r="N684" s="166"/>
      <c r="P684" s="166"/>
    </row>
    <row r="685" spans="1:16" s="7" customFormat="1" ht="13.8" hidden="1" customHeight="1">
      <c r="A685" s="2131">
        <v>45148</v>
      </c>
      <c r="B685" s="616" t="s">
        <v>3209</v>
      </c>
      <c r="C685" s="128">
        <v>96939647</v>
      </c>
      <c r="D685" s="128"/>
      <c r="E685" s="128"/>
      <c r="F685" s="6" t="s">
        <v>3408</v>
      </c>
      <c r="G685" s="541" t="s">
        <v>2554</v>
      </c>
      <c r="H685" s="524" t="s">
        <v>3210</v>
      </c>
      <c r="I685" s="366"/>
      <c r="J685" s="514"/>
      <c r="K685" s="361"/>
      <c r="L685" s="361"/>
      <c r="M685" s="244"/>
      <c r="N685" s="166"/>
      <c r="P685" s="166"/>
    </row>
    <row r="686" spans="1:16" s="7" customFormat="1" ht="13.8" hidden="1" customHeight="1">
      <c r="A686" s="2131">
        <v>45148</v>
      </c>
      <c r="B686" s="767" t="s">
        <v>3212</v>
      </c>
      <c r="C686" s="128">
        <v>74082871</v>
      </c>
      <c r="D686" s="128" t="s">
        <v>3836</v>
      </c>
      <c r="E686" s="128"/>
      <c r="F686" s="128" t="s">
        <v>3568</v>
      </c>
      <c r="G686" s="524" t="s">
        <v>3213</v>
      </c>
      <c r="H686" s="524" t="s">
        <v>3214</v>
      </c>
      <c r="I686" s="366"/>
      <c r="J686" s="514"/>
      <c r="K686" s="361"/>
      <c r="L686" s="361"/>
      <c r="M686" s="244"/>
      <c r="N686" s="166"/>
      <c r="P686" s="166"/>
    </row>
    <row r="687" spans="1:16" s="7" customFormat="1" ht="13.8" hidden="1" customHeight="1">
      <c r="A687" s="2132">
        <v>45149</v>
      </c>
      <c r="B687" s="527" t="s">
        <v>3224</v>
      </c>
      <c r="C687" s="128"/>
      <c r="D687" s="128"/>
      <c r="E687" s="128"/>
      <c r="F687" s="128"/>
      <c r="G687" s="527" t="s">
        <v>736</v>
      </c>
      <c r="H687" s="527" t="s">
        <v>3225</v>
      </c>
      <c r="I687" s="366"/>
      <c r="J687" s="514"/>
      <c r="K687" s="361"/>
      <c r="L687" s="361"/>
      <c r="M687" s="244"/>
      <c r="N687" s="642">
        <v>1</v>
      </c>
      <c r="O687" s="7" t="s">
        <v>3503</v>
      </c>
      <c r="P687" s="166"/>
    </row>
    <row r="688" spans="1:16" s="7" customFormat="1" ht="13.8" hidden="1" customHeight="1">
      <c r="A688" s="2132">
        <v>45149</v>
      </c>
      <c r="B688" s="601" t="s">
        <v>3232</v>
      </c>
      <c r="C688" s="128"/>
      <c r="D688" s="128" t="s">
        <v>3233</v>
      </c>
      <c r="E688" s="128"/>
      <c r="F688" s="128"/>
      <c r="G688" s="519" t="s">
        <v>2715</v>
      </c>
      <c r="H688" s="527" t="s">
        <v>3234</v>
      </c>
      <c r="I688" s="366"/>
      <c r="J688" s="514"/>
      <c r="K688" s="361"/>
      <c r="L688" s="361"/>
      <c r="M688" s="244"/>
      <c r="N688" s="166"/>
      <c r="P688" s="166"/>
    </row>
    <row r="689" spans="1:16" s="7" customFormat="1" ht="13.8" hidden="1" customHeight="1">
      <c r="A689" s="2132">
        <v>45149</v>
      </c>
      <c r="B689" s="541" t="s">
        <v>3243</v>
      </c>
      <c r="C689" s="128"/>
      <c r="D689" s="128"/>
      <c r="E689" s="128"/>
      <c r="F689" s="128"/>
      <c r="G689" s="527" t="s">
        <v>2221</v>
      </c>
      <c r="H689" s="527" t="s">
        <v>3237</v>
      </c>
      <c r="I689" s="366"/>
      <c r="J689" s="514"/>
      <c r="K689" s="361"/>
      <c r="L689" s="361"/>
      <c r="M689" s="244"/>
      <c r="N689" s="166"/>
      <c r="P689" s="166"/>
    </row>
    <row r="690" spans="1:16" s="7" customFormat="1" ht="13.8" hidden="1" customHeight="1">
      <c r="A690" s="2132">
        <v>45149</v>
      </c>
      <c r="B690" s="527" t="s">
        <v>3229</v>
      </c>
      <c r="C690" s="128">
        <v>67875253</v>
      </c>
      <c r="D690" s="128"/>
      <c r="E690" s="128"/>
      <c r="F690" s="128"/>
      <c r="G690" s="527" t="s">
        <v>3231</v>
      </c>
      <c r="H690" s="527" t="s">
        <v>3230</v>
      </c>
      <c r="I690" s="366"/>
      <c r="J690" s="514"/>
      <c r="K690" s="361"/>
      <c r="L690" s="361"/>
      <c r="M690" s="244"/>
      <c r="N690" s="166"/>
      <c r="P690" s="166"/>
    </row>
    <row r="691" spans="1:16" s="7" customFormat="1" ht="13.8" hidden="1" customHeight="1">
      <c r="A691" s="2132">
        <v>45149</v>
      </c>
      <c r="B691" s="527" t="s">
        <v>3219</v>
      </c>
      <c r="C691" s="128">
        <v>16047291</v>
      </c>
      <c r="D691" s="128"/>
      <c r="E691" s="128"/>
      <c r="F691" s="128"/>
      <c r="G691" s="461" t="s">
        <v>3220</v>
      </c>
      <c r="H691" s="524" t="s">
        <v>3221</v>
      </c>
      <c r="I691" s="366"/>
      <c r="J691" s="514"/>
      <c r="K691" s="514">
        <v>21</v>
      </c>
      <c r="L691" s="514"/>
      <c r="M691" s="244"/>
      <c r="N691" s="166"/>
      <c r="P691" s="166"/>
    </row>
    <row r="692" spans="1:16" s="7" customFormat="1" ht="13.8" hidden="1" customHeight="1">
      <c r="A692" s="2132">
        <v>45149</v>
      </c>
      <c r="B692" s="529" t="s">
        <v>3238</v>
      </c>
      <c r="C692" s="128"/>
      <c r="D692" s="128"/>
      <c r="E692" s="128"/>
      <c r="F692" s="128"/>
      <c r="G692" s="527" t="s">
        <v>2076</v>
      </c>
      <c r="H692" s="527" t="s">
        <v>3239</v>
      </c>
      <c r="I692" s="366"/>
      <c r="J692" s="514"/>
      <c r="K692" s="361"/>
      <c r="L692" s="361"/>
      <c r="M692" s="244"/>
      <c r="N692" s="166"/>
      <c r="P692" s="166"/>
    </row>
    <row r="693" spans="1:16" s="7" customFormat="1" ht="13.8" hidden="1" customHeight="1">
      <c r="A693" s="2132">
        <v>45149</v>
      </c>
      <c r="B693" s="621" t="s">
        <v>3240</v>
      </c>
      <c r="C693" s="128">
        <v>67195035</v>
      </c>
      <c r="D693" s="128"/>
      <c r="E693" s="128"/>
      <c r="F693" s="128" t="s">
        <v>3430</v>
      </c>
      <c r="G693" s="527" t="s">
        <v>2000</v>
      </c>
      <c r="H693" s="527" t="s">
        <v>3241</v>
      </c>
      <c r="I693" s="366"/>
      <c r="J693" s="514"/>
      <c r="K693" s="361"/>
      <c r="L693" s="361"/>
      <c r="M693" s="244"/>
      <c r="N693" s="166"/>
      <c r="P693" s="166"/>
    </row>
    <row r="694" spans="1:16" s="7" customFormat="1" ht="13.8" hidden="1" customHeight="1">
      <c r="A694" s="2133">
        <v>45150</v>
      </c>
      <c r="B694" s="589" t="s">
        <v>3279</v>
      </c>
      <c r="C694" s="128">
        <v>22610313</v>
      </c>
      <c r="D694" s="128"/>
      <c r="E694" s="128"/>
      <c r="F694" s="128"/>
      <c r="G694" s="461" t="s">
        <v>2019</v>
      </c>
      <c r="H694" s="590" t="s">
        <v>3245</v>
      </c>
      <c r="I694" s="366"/>
      <c r="J694" s="514"/>
      <c r="K694" s="361">
        <v>27</v>
      </c>
      <c r="L694" s="361"/>
      <c r="M694" s="244"/>
      <c r="N694" s="166"/>
      <c r="P694" s="166"/>
    </row>
    <row r="695" spans="1:16" s="7" customFormat="1" ht="13.8" hidden="1" customHeight="1">
      <c r="A695" s="2134">
        <v>45152</v>
      </c>
      <c r="B695" s="878" t="s">
        <v>3253</v>
      </c>
      <c r="C695" s="128">
        <v>90679637</v>
      </c>
      <c r="D695" s="128" t="s">
        <v>4370</v>
      </c>
      <c r="E695" s="128">
        <v>1</v>
      </c>
      <c r="F695" s="128" t="s">
        <v>2755</v>
      </c>
      <c r="G695" s="541" t="s">
        <v>2012</v>
      </c>
      <c r="H695" s="541" t="s">
        <v>3254</v>
      </c>
      <c r="I695" s="366"/>
      <c r="J695" s="514"/>
      <c r="K695" s="361"/>
      <c r="L695" s="361"/>
      <c r="M695" s="244"/>
      <c r="N695" s="166"/>
      <c r="P695" s="166"/>
    </row>
    <row r="696" spans="1:16" s="7" customFormat="1" ht="13.8" hidden="1" customHeight="1">
      <c r="A696" s="2134">
        <v>45152</v>
      </c>
      <c r="B696" s="621" t="s">
        <v>3255</v>
      </c>
      <c r="C696" s="128">
        <v>29304698</v>
      </c>
      <c r="D696" s="128"/>
      <c r="E696" s="128"/>
      <c r="F696" s="6" t="s">
        <v>3408</v>
      </c>
      <c r="G696" s="541" t="s">
        <v>3256</v>
      </c>
      <c r="H696" s="541" t="s">
        <v>3257</v>
      </c>
      <c r="I696" s="366"/>
      <c r="J696" s="539"/>
      <c r="K696" s="539" t="s">
        <v>3269</v>
      </c>
      <c r="L696" s="539"/>
      <c r="M696" s="244"/>
      <c r="N696" s="166"/>
      <c r="P696" s="166"/>
    </row>
    <row r="697" spans="1:16" s="7" customFormat="1" ht="13.8" hidden="1" customHeight="1">
      <c r="A697" s="2134">
        <v>45152</v>
      </c>
      <c r="B697" s="629" t="s">
        <v>3258</v>
      </c>
      <c r="C697" s="128">
        <v>58600269</v>
      </c>
      <c r="D697" s="128"/>
      <c r="E697" s="128"/>
      <c r="F697" s="6" t="s">
        <v>1743</v>
      </c>
      <c r="G697" s="461" t="s">
        <v>2019</v>
      </c>
      <c r="H697" s="541" t="s">
        <v>3278</v>
      </c>
      <c r="I697" s="366"/>
      <c r="J697" s="514"/>
      <c r="K697" s="361"/>
      <c r="L697" s="361"/>
      <c r="M697" s="244"/>
      <c r="N697" s="166"/>
      <c r="P697" s="166"/>
    </row>
    <row r="698" spans="1:16" s="7" customFormat="1" ht="13.8" hidden="1" customHeight="1">
      <c r="A698" s="2134">
        <v>45152</v>
      </c>
      <c r="B698" s="741" t="s">
        <v>3267</v>
      </c>
      <c r="C698" s="128">
        <v>91439421</v>
      </c>
      <c r="D698" s="128" t="s">
        <v>3650</v>
      </c>
      <c r="E698" s="128"/>
      <c r="F698" s="128" t="s">
        <v>3568</v>
      </c>
      <c r="G698" s="541" t="s">
        <v>2266</v>
      </c>
      <c r="H698" s="541" t="s">
        <v>3268</v>
      </c>
      <c r="I698" s="366"/>
      <c r="J698" s="514"/>
      <c r="K698" s="361"/>
      <c r="L698" s="361"/>
      <c r="M698" s="244"/>
      <c r="N698" s="166"/>
      <c r="P698" s="166"/>
    </row>
    <row r="699" spans="1:16" s="7" customFormat="1" ht="13.8" customHeight="1">
      <c r="A699" s="2134">
        <v>45153</v>
      </c>
      <c r="B699" s="678" t="s">
        <v>3274</v>
      </c>
      <c r="C699" s="383"/>
      <c r="D699" s="383" t="s">
        <v>3570</v>
      </c>
      <c r="E699" s="6" t="s">
        <v>6459</v>
      </c>
      <c r="F699" s="383" t="s">
        <v>3586</v>
      </c>
      <c r="G699" s="543" t="s">
        <v>1973</v>
      </c>
      <c r="H699" s="543" t="s">
        <v>3275</v>
      </c>
      <c r="I699" s="384">
        <f>22-21-0.6</f>
        <v>0.4</v>
      </c>
      <c r="J699" s="1659" t="s">
        <v>6913</v>
      </c>
      <c r="K699" s="361"/>
      <c r="L699" s="361"/>
      <c r="M699" s="244"/>
      <c r="N699" s="166"/>
      <c r="P699" s="166"/>
    </row>
    <row r="700" spans="1:16" s="7" customFormat="1" ht="13.8" hidden="1" customHeight="1">
      <c r="A700" s="2134">
        <v>45153</v>
      </c>
      <c r="B700" s="566" t="s">
        <v>3309</v>
      </c>
      <c r="C700" s="128"/>
      <c r="D700" s="128"/>
      <c r="E700" s="128"/>
      <c r="F700" s="128"/>
      <c r="G700" s="541" t="s">
        <v>2715</v>
      </c>
      <c r="H700" s="541" t="s">
        <v>3276</v>
      </c>
      <c r="I700" s="366"/>
      <c r="J700" s="514"/>
      <c r="K700" s="361"/>
      <c r="L700" s="361"/>
      <c r="M700" s="244"/>
      <c r="N700" s="166"/>
      <c r="P700" s="166"/>
    </row>
    <row r="701" spans="1:16" s="7" customFormat="1" ht="13.8" hidden="1" customHeight="1">
      <c r="A701" s="2134">
        <v>45154</v>
      </c>
      <c r="B701" s="621" t="s">
        <v>3281</v>
      </c>
      <c r="C701" s="128">
        <v>95289665</v>
      </c>
      <c r="D701" s="128"/>
      <c r="E701" s="128"/>
      <c r="F701" s="6" t="s">
        <v>3408</v>
      </c>
      <c r="G701" s="722" t="s">
        <v>2554</v>
      </c>
      <c r="H701" s="541" t="s">
        <v>3282</v>
      </c>
      <c r="I701" s="366"/>
      <c r="J701" s="514"/>
      <c r="K701" s="539"/>
      <c r="L701" s="539"/>
      <c r="M701" s="244"/>
      <c r="N701" s="166"/>
      <c r="P701" s="166"/>
    </row>
    <row r="702" spans="1:16" s="7" customFormat="1" ht="13.8" hidden="1" customHeight="1">
      <c r="A702" s="2134">
        <v>45154</v>
      </c>
      <c r="B702" s="621" t="s">
        <v>3283</v>
      </c>
      <c r="C702" s="128">
        <v>65621474</v>
      </c>
      <c r="D702" s="128"/>
      <c r="E702" s="128"/>
      <c r="F702" s="6" t="s">
        <v>3408</v>
      </c>
      <c r="G702" s="541" t="s">
        <v>2554</v>
      </c>
      <c r="H702" s="541" t="s">
        <v>3284</v>
      </c>
      <c r="I702" s="366"/>
      <c r="J702" s="514"/>
      <c r="K702" s="539"/>
      <c r="L702" s="539"/>
      <c r="M702" s="244"/>
      <c r="N702" s="166"/>
      <c r="P702" s="166"/>
    </row>
    <row r="703" spans="1:16" s="7" customFormat="1" ht="13.8" hidden="1" customHeight="1">
      <c r="A703" s="2134">
        <v>45154</v>
      </c>
      <c r="B703" s="741" t="s">
        <v>3288</v>
      </c>
      <c r="C703" s="128"/>
      <c r="D703" s="719" t="s">
        <v>3663</v>
      </c>
      <c r="E703" s="719"/>
      <c r="F703" s="737" t="s">
        <v>3748</v>
      </c>
      <c r="G703" s="541" t="s">
        <v>2000</v>
      </c>
      <c r="H703" s="616" t="s">
        <v>3431</v>
      </c>
      <c r="I703" s="366"/>
      <c r="J703" s="514"/>
      <c r="K703" s="539"/>
      <c r="L703" s="539"/>
      <c r="M703" s="244"/>
      <c r="N703" s="166"/>
      <c r="P703" s="166"/>
    </row>
    <row r="704" spans="1:16" s="7" customFormat="1" ht="13.8" hidden="1" customHeight="1">
      <c r="A704" s="2134">
        <v>45154</v>
      </c>
      <c r="B704" s="548" t="s">
        <v>3290</v>
      </c>
      <c r="C704" s="128"/>
      <c r="D704" s="128"/>
      <c r="E704" s="128"/>
      <c r="F704" s="128"/>
      <c r="G704" s="541" t="s">
        <v>1043</v>
      </c>
      <c r="H704" s="541" t="s">
        <v>3291</v>
      </c>
      <c r="I704" s="366"/>
      <c r="J704" s="514"/>
      <c r="K704" s="539"/>
      <c r="L704" s="539"/>
      <c r="M704" s="244"/>
      <c r="N704" s="166"/>
      <c r="P704" s="166"/>
    </row>
    <row r="705" spans="1:16" s="7" customFormat="1" ht="13.8" hidden="1" customHeight="1">
      <c r="A705" s="2134">
        <v>45154</v>
      </c>
      <c r="B705" s="629" t="s">
        <v>3289</v>
      </c>
      <c r="C705" s="128"/>
      <c r="D705" s="128"/>
      <c r="E705" s="128"/>
      <c r="F705" s="628" t="s">
        <v>3469</v>
      </c>
      <c r="G705" s="541" t="s">
        <v>3292</v>
      </c>
      <c r="H705" s="541" t="s">
        <v>3293</v>
      </c>
      <c r="I705" s="366"/>
      <c r="J705" s="514"/>
      <c r="K705" s="539"/>
      <c r="L705" s="539"/>
      <c r="M705" s="244"/>
      <c r="N705" s="166"/>
      <c r="P705" s="166"/>
    </row>
    <row r="706" spans="1:16" s="7" customFormat="1" ht="13.8" hidden="1" customHeight="1">
      <c r="A706" s="2134">
        <v>45154</v>
      </c>
      <c r="B706" s="803" t="s">
        <v>3294</v>
      </c>
      <c r="C706" s="128">
        <v>97952631</v>
      </c>
      <c r="D706" s="128" t="s">
        <v>4128</v>
      </c>
      <c r="E706" s="128"/>
      <c r="F706" s="128" t="s">
        <v>4129</v>
      </c>
      <c r="G706" s="541" t="s">
        <v>2719</v>
      </c>
      <c r="H706" s="541" t="s">
        <v>3295</v>
      </c>
      <c r="I706" s="366"/>
      <c r="J706" s="514"/>
      <c r="K706" s="539"/>
      <c r="L706" s="539"/>
      <c r="M706" s="244"/>
      <c r="N706" s="166"/>
      <c r="P706" s="166"/>
    </row>
    <row r="707" spans="1:16" s="7" customFormat="1" ht="13.8" hidden="1" customHeight="1">
      <c r="A707" s="2135">
        <v>45155</v>
      </c>
      <c r="B707" s="577" t="s">
        <v>3297</v>
      </c>
      <c r="C707" s="128">
        <v>79969051</v>
      </c>
      <c r="D707" s="128"/>
      <c r="E707" s="128"/>
      <c r="F707" s="128"/>
      <c r="G707" s="556" t="s">
        <v>2005</v>
      </c>
      <c r="H707" s="556" t="s">
        <v>3298</v>
      </c>
      <c r="I707" s="366"/>
      <c r="J707" s="514"/>
      <c r="K707" s="514">
        <v>26.5</v>
      </c>
      <c r="L707" s="514"/>
      <c r="M707" s="244"/>
      <c r="N707" s="166"/>
      <c r="P707" s="166"/>
    </row>
    <row r="708" spans="1:16" s="7" customFormat="1" ht="13.8" hidden="1" customHeight="1">
      <c r="A708" s="2135">
        <v>45155</v>
      </c>
      <c r="B708" s="577" t="s">
        <v>3299</v>
      </c>
      <c r="C708" s="128">
        <v>53750075</v>
      </c>
      <c r="D708" s="128"/>
      <c r="E708" s="128"/>
      <c r="F708" s="128"/>
      <c r="G708" s="556" t="s">
        <v>2005</v>
      </c>
      <c r="H708" s="556" t="s">
        <v>3300</v>
      </c>
      <c r="I708" s="366"/>
      <c r="J708" s="514"/>
      <c r="K708" s="539"/>
      <c r="L708" s="539"/>
      <c r="M708" s="244"/>
      <c r="N708" s="166"/>
      <c r="P708" s="166"/>
    </row>
    <row r="709" spans="1:16" s="7" customFormat="1" ht="13.8" hidden="1" customHeight="1">
      <c r="A709" s="2135">
        <v>45156</v>
      </c>
      <c r="B709" s="648" t="s">
        <v>3308</v>
      </c>
      <c r="C709" s="128">
        <v>20514507</v>
      </c>
      <c r="D709" s="128"/>
      <c r="E709" s="128"/>
      <c r="F709" s="622" t="s">
        <v>3432</v>
      </c>
      <c r="G709" s="556" t="s">
        <v>3129</v>
      </c>
      <c r="H709" s="556" t="s">
        <v>3310</v>
      </c>
      <c r="I709" s="366"/>
      <c r="J709" s="555"/>
      <c r="K709" s="539"/>
      <c r="L709" s="539"/>
      <c r="M709" s="244"/>
      <c r="N709" s="166"/>
      <c r="P709" s="166"/>
    </row>
    <row r="710" spans="1:16" s="7" customFormat="1" ht="13.8" hidden="1" customHeight="1">
      <c r="A710" s="2135">
        <v>45156</v>
      </c>
      <c r="B710" s="589" t="s">
        <v>3311</v>
      </c>
      <c r="C710" s="128">
        <v>31216032</v>
      </c>
      <c r="D710" s="128"/>
      <c r="E710" s="128"/>
      <c r="F710" s="128"/>
      <c r="G710" s="584" t="s">
        <v>3312</v>
      </c>
      <c r="H710" s="556" t="s">
        <v>3313</v>
      </c>
      <c r="I710" s="366"/>
      <c r="J710" s="555"/>
      <c r="K710" s="539"/>
      <c r="L710" s="539"/>
      <c r="M710" s="244"/>
      <c r="N710" s="166" t="s">
        <v>3391</v>
      </c>
      <c r="P710" s="166"/>
    </row>
    <row r="711" spans="1:16" s="7" customFormat="1" ht="13.8" hidden="1" customHeight="1">
      <c r="A711" s="2135">
        <v>45156</v>
      </c>
      <c r="B711" s="886" t="s">
        <v>3315</v>
      </c>
      <c r="C711" s="128">
        <v>23028189</v>
      </c>
      <c r="D711" s="885" t="s">
        <v>4397</v>
      </c>
      <c r="E711" s="774"/>
      <c r="F711" s="885" t="s">
        <v>2755</v>
      </c>
      <c r="G711" s="556" t="s">
        <v>2124</v>
      </c>
      <c r="H711" s="556" t="s">
        <v>3316</v>
      </c>
      <c r="I711" s="366"/>
      <c r="J711" s="555"/>
      <c r="K711" s="539"/>
      <c r="L711" s="539"/>
      <c r="M711" s="244"/>
      <c r="N711" s="166"/>
      <c r="P711" s="166"/>
    </row>
    <row r="712" spans="1:16" s="7" customFormat="1" ht="13.8" hidden="1" customHeight="1">
      <c r="A712" s="2135">
        <v>45156</v>
      </c>
      <c r="B712" s="726" t="s">
        <v>3319</v>
      </c>
      <c r="C712" s="128">
        <v>76273955</v>
      </c>
      <c r="D712" s="128" t="s">
        <v>3663</v>
      </c>
      <c r="E712" s="128"/>
      <c r="F712" s="727" t="s">
        <v>2755</v>
      </c>
      <c r="G712" s="584" t="s">
        <v>3312</v>
      </c>
      <c r="H712" s="556" t="s">
        <v>3320</v>
      </c>
      <c r="I712" s="366"/>
      <c r="J712" s="555"/>
      <c r="K712" s="539"/>
      <c r="L712" s="539"/>
      <c r="M712" s="734" t="s">
        <v>3687</v>
      </c>
      <c r="N712" s="166"/>
      <c r="P712" s="166"/>
    </row>
    <row r="713" spans="1:16" s="7" customFormat="1" ht="13.8" hidden="1" customHeight="1">
      <c r="A713" s="2135">
        <v>45156</v>
      </c>
      <c r="B713" s="803" t="s">
        <v>3321</v>
      </c>
      <c r="C713" s="128">
        <v>87057147</v>
      </c>
      <c r="D713" s="876" t="s">
        <v>4370</v>
      </c>
      <c r="E713" s="684"/>
      <c r="F713" s="128" t="s">
        <v>2755</v>
      </c>
      <c r="G713" s="556" t="s">
        <v>1032</v>
      </c>
      <c r="H713" s="556" t="s">
        <v>3322</v>
      </c>
      <c r="I713" s="366"/>
      <c r="J713" s="555">
        <v>5</v>
      </c>
      <c r="K713" s="539"/>
      <c r="L713" s="539"/>
      <c r="M713" s="244"/>
      <c r="N713" s="166"/>
      <c r="O713" s="811" t="s">
        <v>4142</v>
      </c>
      <c r="P713" s="166"/>
    </row>
    <row r="714" spans="1:16" s="7" customFormat="1" ht="13.8" hidden="1" customHeight="1">
      <c r="A714" s="2135">
        <v>45156</v>
      </c>
      <c r="B714" s="720" t="s">
        <v>3508</v>
      </c>
      <c r="C714" s="128">
        <v>98819795</v>
      </c>
      <c r="D714" s="128" t="s">
        <v>3663</v>
      </c>
      <c r="E714" s="128"/>
      <c r="F714" s="128" t="s">
        <v>2755</v>
      </c>
      <c r="G714" s="556" t="s">
        <v>1006</v>
      </c>
      <c r="H714" s="556" t="s">
        <v>3323</v>
      </c>
      <c r="I714" s="366"/>
      <c r="J714" s="555"/>
      <c r="K714" s="539">
        <v>1</v>
      </c>
      <c r="L714" s="539"/>
      <c r="M714" s="815" t="s">
        <v>4142</v>
      </c>
      <c r="N714" s="166"/>
      <c r="P714" s="166"/>
    </row>
    <row r="715" spans="1:16" s="7" customFormat="1" ht="13.8" hidden="1" customHeight="1">
      <c r="A715" s="2135">
        <v>45158</v>
      </c>
      <c r="B715" s="577" t="s">
        <v>3325</v>
      </c>
      <c r="C715" s="128">
        <v>86447432</v>
      </c>
      <c r="D715" s="128"/>
      <c r="E715" s="128"/>
      <c r="F715" s="128"/>
      <c r="G715" s="556" t="s">
        <v>3326</v>
      </c>
      <c r="H715" s="556" t="s">
        <v>3327</v>
      </c>
      <c r="I715" s="366"/>
      <c r="J715" s="555"/>
      <c r="K715" s="539"/>
      <c r="L715" s="539"/>
      <c r="M715" s="244"/>
      <c r="N715" s="166"/>
      <c r="P715" s="166"/>
    </row>
    <row r="716" spans="1:16" s="7" customFormat="1" ht="13.8" hidden="1" customHeight="1">
      <c r="A716" s="2136">
        <v>45159</v>
      </c>
      <c r="B716" s="629" t="s">
        <v>3329</v>
      </c>
      <c r="C716" s="128">
        <v>50508705</v>
      </c>
      <c r="D716" s="128"/>
      <c r="E716" s="128"/>
      <c r="F716" s="6" t="s">
        <v>1743</v>
      </c>
      <c r="G716" s="578" t="s">
        <v>2254</v>
      </c>
      <c r="H716" s="578" t="s">
        <v>3330</v>
      </c>
      <c r="I716" s="366"/>
      <c r="J716" s="555"/>
      <c r="K716" s="539"/>
      <c r="L716" s="539"/>
      <c r="M716" s="244"/>
      <c r="N716" s="166"/>
      <c r="P716" s="166"/>
    </row>
    <row r="717" spans="1:16" s="7" customFormat="1" ht="13.8" hidden="1" customHeight="1">
      <c r="A717" s="2136">
        <v>45159</v>
      </c>
      <c r="B717" s="594" t="s">
        <v>3332</v>
      </c>
      <c r="C717" s="128">
        <v>78394051</v>
      </c>
      <c r="D717" s="128"/>
      <c r="E717" s="128"/>
      <c r="F717" s="128"/>
      <c r="G717" s="584" t="s">
        <v>3312</v>
      </c>
      <c r="H717" s="578" t="s">
        <v>3333</v>
      </c>
      <c r="I717" s="366"/>
      <c r="J717" s="555"/>
      <c r="K717" s="539"/>
      <c r="L717" s="539"/>
      <c r="M717" s="244"/>
      <c r="N717" s="166" t="s">
        <v>3485</v>
      </c>
      <c r="P717" s="166"/>
    </row>
    <row r="718" spans="1:16" s="7" customFormat="1" ht="13.8" hidden="1" customHeight="1">
      <c r="A718" s="2136">
        <v>45160</v>
      </c>
      <c r="B718" s="720" t="s">
        <v>3336</v>
      </c>
      <c r="C718" s="128">
        <v>15240294</v>
      </c>
      <c r="D718" s="128" t="s">
        <v>3663</v>
      </c>
      <c r="E718" s="128"/>
      <c r="F718" s="128" t="s">
        <v>2755</v>
      </c>
      <c r="G718" s="578" t="s">
        <v>2115</v>
      </c>
      <c r="H718" s="578" t="s">
        <v>3337</v>
      </c>
      <c r="I718" s="366"/>
      <c r="J718" s="555"/>
      <c r="K718" s="539"/>
      <c r="L718" s="539"/>
      <c r="M718" s="244"/>
      <c r="N718" s="166"/>
      <c r="P718" s="166"/>
    </row>
    <row r="719" spans="1:16" s="7" customFormat="1" ht="13.8" hidden="1" customHeight="1">
      <c r="A719" s="2136">
        <v>45160</v>
      </c>
      <c r="B719" s="621" t="s">
        <v>3340</v>
      </c>
      <c r="C719" s="128">
        <v>20605388</v>
      </c>
      <c r="D719" s="128"/>
      <c r="E719" s="128"/>
      <c r="F719" s="6" t="s">
        <v>3408</v>
      </c>
      <c r="G719" s="578" t="s">
        <v>1032</v>
      </c>
      <c r="H719" s="578" t="s">
        <v>3341</v>
      </c>
      <c r="I719" s="366"/>
      <c r="J719" s="555"/>
      <c r="K719" s="539"/>
      <c r="L719" s="539"/>
      <c r="M719" s="244"/>
      <c r="N719" s="166"/>
      <c r="O719" s="637" t="s">
        <v>3485</v>
      </c>
      <c r="P719" s="166"/>
    </row>
    <row r="720" spans="1:16" s="7" customFormat="1" ht="13.8" hidden="1" customHeight="1">
      <c r="A720" s="2136">
        <v>45160</v>
      </c>
      <c r="B720" s="843" t="s">
        <v>3843</v>
      </c>
      <c r="C720" s="128">
        <v>12000022</v>
      </c>
      <c r="D720" s="842" t="s">
        <v>4234</v>
      </c>
      <c r="E720" s="761"/>
      <c r="F720" s="128" t="s">
        <v>2755</v>
      </c>
      <c r="G720" s="578" t="s">
        <v>763</v>
      </c>
      <c r="H720" s="578" t="s">
        <v>3342</v>
      </c>
      <c r="I720" s="366"/>
      <c r="J720" s="555"/>
      <c r="K720" s="539"/>
      <c r="L720" s="539"/>
      <c r="M720" s="244"/>
      <c r="N720" s="166" t="s">
        <v>4322</v>
      </c>
      <c r="P720" s="166"/>
    </row>
    <row r="721" spans="1:16" s="7" customFormat="1" ht="13.8" hidden="1" customHeight="1">
      <c r="A721" s="2137">
        <v>45161</v>
      </c>
      <c r="B721" s="704" t="s">
        <v>3346</v>
      </c>
      <c r="C721" s="128">
        <v>37929578</v>
      </c>
      <c r="D721" s="128" t="s">
        <v>3663</v>
      </c>
      <c r="E721" s="128"/>
      <c r="F721" s="128" t="s">
        <v>2755</v>
      </c>
      <c r="G721" s="584" t="s">
        <v>2115</v>
      </c>
      <c r="H721" s="584" t="s">
        <v>3348</v>
      </c>
      <c r="I721" s="366"/>
      <c r="J721" s="555"/>
      <c r="K721" s="539"/>
      <c r="L721" s="539"/>
      <c r="M721" s="244"/>
      <c r="N721" s="166"/>
      <c r="P721" s="166"/>
    </row>
    <row r="722" spans="1:16" s="7" customFormat="1" ht="13.8" hidden="1" customHeight="1">
      <c r="A722" s="2137">
        <v>45161</v>
      </c>
      <c r="B722" s="741" t="s">
        <v>3349</v>
      </c>
      <c r="C722" s="128">
        <v>93499196</v>
      </c>
      <c r="D722" s="719" t="s">
        <v>3663</v>
      </c>
      <c r="E722" s="719"/>
      <c r="F722" s="705" t="s">
        <v>1743</v>
      </c>
      <c r="G722" s="584" t="s">
        <v>763</v>
      </c>
      <c r="H722" s="584" t="s">
        <v>3350</v>
      </c>
      <c r="I722" s="366"/>
      <c r="J722" s="555"/>
      <c r="K722" s="539"/>
      <c r="L722" s="539"/>
      <c r="M722" s="244"/>
      <c r="N722" s="166" t="s">
        <v>4156</v>
      </c>
      <c r="P722" s="166"/>
    </row>
    <row r="723" spans="1:16" s="7" customFormat="1" ht="13.8" hidden="1" customHeight="1">
      <c r="A723" s="2137">
        <v>45161</v>
      </c>
      <c r="B723" s="843" t="s">
        <v>3351</v>
      </c>
      <c r="C723" s="128">
        <v>20666689</v>
      </c>
      <c r="D723" s="128" t="s">
        <v>4234</v>
      </c>
      <c r="E723" s="128"/>
      <c r="F723" s="128" t="s">
        <v>2755</v>
      </c>
      <c r="G723" s="584" t="s">
        <v>763</v>
      </c>
      <c r="H723" s="584" t="s">
        <v>3352</v>
      </c>
      <c r="I723" s="366"/>
      <c r="J723" s="555"/>
      <c r="K723" s="539"/>
      <c r="L723" s="539"/>
      <c r="M723" s="244"/>
      <c r="N723" s="166" t="s">
        <v>4322</v>
      </c>
      <c r="P723" s="166"/>
    </row>
    <row r="724" spans="1:16" s="7" customFormat="1" ht="13.8" hidden="1" customHeight="1">
      <c r="A724" s="2137">
        <v>45161</v>
      </c>
      <c r="B724" s="720" t="s">
        <v>3356</v>
      </c>
      <c r="C724" s="128">
        <v>83040352</v>
      </c>
      <c r="D724" s="128" t="s">
        <v>3663</v>
      </c>
      <c r="E724" s="128"/>
      <c r="F724" s="128" t="s">
        <v>2755</v>
      </c>
      <c r="G724" s="584" t="s">
        <v>1032</v>
      </c>
      <c r="H724" s="584" t="s">
        <v>3357</v>
      </c>
      <c r="I724" s="366"/>
      <c r="J724" s="555"/>
      <c r="K724" s="539"/>
      <c r="L724" s="539"/>
      <c r="M724" s="244"/>
      <c r="N724" s="166"/>
      <c r="O724" s="811" t="s">
        <v>4142</v>
      </c>
      <c r="P724" s="166"/>
    </row>
    <row r="725" spans="1:16" s="7" customFormat="1" ht="13.8" hidden="1" customHeight="1">
      <c r="A725" s="2138">
        <v>45162</v>
      </c>
      <c r="B725" s="886" t="s">
        <v>3365</v>
      </c>
      <c r="C725" s="128">
        <v>46892008</v>
      </c>
      <c r="D725" s="128" t="s">
        <v>4397</v>
      </c>
      <c r="E725" s="128"/>
      <c r="F725" s="128" t="s">
        <v>2755</v>
      </c>
      <c r="G725" s="592" t="s">
        <v>763</v>
      </c>
      <c r="H725" s="592" t="s">
        <v>3364</v>
      </c>
      <c r="I725" s="366"/>
      <c r="J725" s="555"/>
      <c r="K725" s="539"/>
      <c r="L725" s="539"/>
      <c r="M725" s="244"/>
      <c r="N725" s="882" t="s">
        <v>4382</v>
      </c>
      <c r="P725" s="166"/>
    </row>
    <row r="726" spans="1:16" s="7" customFormat="1" ht="13.8" hidden="1" customHeight="1">
      <c r="A726" s="2138">
        <v>45162</v>
      </c>
      <c r="B726" s="878" t="s">
        <v>3366</v>
      </c>
      <c r="C726" s="128">
        <v>88806004</v>
      </c>
      <c r="D726" s="128" t="s">
        <v>4370</v>
      </c>
      <c r="E726" s="767" t="s">
        <v>3925</v>
      </c>
      <c r="F726" s="862" t="s">
        <v>2755</v>
      </c>
      <c r="G726" s="459" t="s">
        <v>2237</v>
      </c>
      <c r="H726" s="592" t="s">
        <v>3367</v>
      </c>
      <c r="I726" s="366"/>
      <c r="J726" s="555"/>
      <c r="K726" s="539"/>
      <c r="L726" s="539"/>
      <c r="M726" s="244"/>
      <c r="N726" s="166"/>
      <c r="P726" s="166"/>
    </row>
    <row r="727" spans="1:16" s="7" customFormat="1" ht="13.8" hidden="1" customHeight="1">
      <c r="A727" s="2138">
        <v>45162</v>
      </c>
      <c r="B727" s="1044" t="s">
        <v>4417</v>
      </c>
      <c r="C727" s="954">
        <v>15071993</v>
      </c>
      <c r="D727" s="998" t="s">
        <v>4738</v>
      </c>
      <c r="E727" s="998">
        <v>5</v>
      </c>
      <c r="F727" s="998" t="s">
        <v>3568</v>
      </c>
      <c r="G727" s="1077" t="s">
        <v>763</v>
      </c>
      <c r="H727" s="1017" t="s">
        <v>4348</v>
      </c>
      <c r="I727" s="463"/>
      <c r="J727" s="555">
        <v>5</v>
      </c>
      <c r="K727" s="539"/>
      <c r="L727" s="539"/>
      <c r="M727" s="244"/>
      <c r="N727" s="166"/>
      <c r="P727" s="166"/>
    </row>
    <row r="728" spans="1:16" s="7" customFormat="1" ht="13.8" hidden="1" customHeight="1">
      <c r="A728" s="2139">
        <v>45163</v>
      </c>
      <c r="B728" s="595"/>
      <c r="C728" s="288"/>
      <c r="D728" s="288"/>
      <c r="E728" s="288"/>
      <c r="F728" s="288"/>
      <c r="G728" s="593"/>
      <c r="H728" s="593"/>
      <c r="I728" s="360"/>
      <c r="J728" s="555"/>
      <c r="K728" s="539"/>
      <c r="L728" s="539"/>
      <c r="M728" s="244"/>
      <c r="N728" s="166"/>
      <c r="P728" s="166"/>
    </row>
    <row r="729" spans="1:16" s="7" customFormat="1" ht="13.8" hidden="1" customHeight="1">
      <c r="A729" s="2139">
        <v>45163</v>
      </c>
      <c r="B729" s="704" t="s">
        <v>3369</v>
      </c>
      <c r="C729" s="128">
        <v>81657245</v>
      </c>
      <c r="D729" s="701" t="s">
        <v>3653</v>
      </c>
      <c r="E729" s="701"/>
      <c r="F729" s="701" t="s">
        <v>2755</v>
      </c>
      <c r="G729" s="596" t="s">
        <v>763</v>
      </c>
      <c r="H729" s="596" t="s">
        <v>3370</v>
      </c>
      <c r="I729" s="366"/>
      <c r="J729" s="555"/>
      <c r="K729" s="539"/>
      <c r="L729" s="539"/>
      <c r="M729" s="244"/>
      <c r="N729" s="166" t="s">
        <v>3836</v>
      </c>
      <c r="P729" s="166"/>
    </row>
    <row r="730" spans="1:16" s="7" customFormat="1" ht="13.8" hidden="1" customHeight="1">
      <c r="A730" s="2139">
        <v>45163</v>
      </c>
      <c r="B730" s="1661" t="s">
        <v>3870</v>
      </c>
      <c r="C730" s="128">
        <v>86652309</v>
      </c>
      <c r="D730" s="128" t="s">
        <v>3570</v>
      </c>
      <c r="E730" s="128"/>
      <c r="F730" s="128" t="s">
        <v>3586</v>
      </c>
      <c r="G730" s="596" t="s">
        <v>1973</v>
      </c>
      <c r="H730" s="596" t="s">
        <v>3372</v>
      </c>
      <c r="I730" s="366"/>
      <c r="J730" s="1659" t="s">
        <v>6913</v>
      </c>
      <c r="K730" s="539"/>
      <c r="L730" s="539"/>
      <c r="M730" s="244"/>
      <c r="N730" s="166"/>
      <c r="P730" s="166"/>
    </row>
    <row r="731" spans="1:16" s="7" customFormat="1" ht="13.8" hidden="1" customHeight="1">
      <c r="A731" s="2140">
        <v>45164</v>
      </c>
      <c r="B731" s="720" t="s">
        <v>3378</v>
      </c>
      <c r="C731" s="128">
        <v>69172140</v>
      </c>
      <c r="D731" s="701" t="s">
        <v>3653</v>
      </c>
      <c r="E731" s="701"/>
      <c r="F731" s="701" t="s">
        <v>2755</v>
      </c>
      <c r="G731" s="662" t="s">
        <v>1923</v>
      </c>
      <c r="H731" s="662" t="s">
        <v>3379</v>
      </c>
      <c r="I731" s="366"/>
      <c r="J731" s="555"/>
      <c r="K731" s="539"/>
      <c r="L731" s="539"/>
      <c r="M731" s="244"/>
      <c r="N731" s="166" t="s">
        <v>3836</v>
      </c>
      <c r="P731" s="166"/>
    </row>
    <row r="732" spans="1:16" s="7" customFormat="1" ht="13.8" hidden="1" customHeight="1">
      <c r="A732" s="2140">
        <v>45165</v>
      </c>
      <c r="B732" s="878" t="s">
        <v>3374</v>
      </c>
      <c r="C732" s="128">
        <v>82365080</v>
      </c>
      <c r="D732" s="128" t="s">
        <v>3650</v>
      </c>
      <c r="E732" s="128"/>
      <c r="F732" s="128" t="s">
        <v>3577</v>
      </c>
      <c r="G732" s="662" t="s">
        <v>2478</v>
      </c>
      <c r="H732" s="772" t="s">
        <v>3375</v>
      </c>
      <c r="I732" s="366"/>
      <c r="J732" s="599"/>
      <c r="K732" s="539"/>
      <c r="L732" s="539"/>
      <c r="M732" s="244"/>
      <c r="N732" s="166"/>
      <c r="P732" s="166"/>
    </row>
    <row r="733" spans="1:16" s="7" customFormat="1" ht="13.8" hidden="1" customHeight="1">
      <c r="A733" s="2140">
        <v>45165</v>
      </c>
      <c r="B733" s="1074" t="s">
        <v>3470</v>
      </c>
      <c r="C733" s="954">
        <v>58815436</v>
      </c>
      <c r="D733" s="1072" t="s">
        <v>4738</v>
      </c>
      <c r="E733" s="998" t="s">
        <v>4557</v>
      </c>
      <c r="F733" s="1075" t="s">
        <v>4349</v>
      </c>
      <c r="G733" s="1076" t="s">
        <v>763</v>
      </c>
      <c r="H733" s="1017" t="s">
        <v>3383</v>
      </c>
      <c r="I733" s="463"/>
      <c r="J733" s="555">
        <v>5</v>
      </c>
      <c r="K733" s="539"/>
      <c r="L733" s="539"/>
      <c r="M733" s="244"/>
      <c r="N733" s="166"/>
      <c r="P733" s="166"/>
    </row>
    <row r="734" spans="1:16" s="7" customFormat="1" ht="13.8" hidden="1" customHeight="1">
      <c r="A734" s="2112">
        <v>45167</v>
      </c>
      <c r="B734" s="878" t="s">
        <v>3389</v>
      </c>
      <c r="C734" s="128">
        <v>16570682</v>
      </c>
      <c r="D734" s="797" t="s">
        <v>4109</v>
      </c>
      <c r="E734" s="761"/>
      <c r="F734" s="802" t="s">
        <v>2755</v>
      </c>
      <c r="G734" s="604" t="s">
        <v>2478</v>
      </c>
      <c r="H734" s="601" t="s">
        <v>2478</v>
      </c>
      <c r="I734" s="366"/>
      <c r="J734" s="599"/>
      <c r="K734" s="539"/>
      <c r="L734" s="539"/>
      <c r="M734" s="244"/>
      <c r="N734" s="166"/>
      <c r="P734" s="166"/>
    </row>
    <row r="735" spans="1:16" s="7" customFormat="1" ht="13.8" hidden="1" customHeight="1">
      <c r="A735" s="2112">
        <v>45167</v>
      </c>
      <c r="B735" s="683" t="s">
        <v>3399</v>
      </c>
      <c r="C735" s="128">
        <v>76467420</v>
      </c>
      <c r="D735" s="128" t="s">
        <v>3570</v>
      </c>
      <c r="E735" s="128"/>
      <c r="F735" s="128" t="s">
        <v>3568</v>
      </c>
      <c r="G735" s="604" t="s">
        <v>2019</v>
      </c>
      <c r="H735" s="601" t="s">
        <v>3390</v>
      </c>
      <c r="I735" s="366"/>
      <c r="J735" s="555"/>
      <c r="K735" s="539"/>
      <c r="L735" s="539"/>
      <c r="M735" s="244"/>
      <c r="N735" s="166"/>
      <c r="P735" s="166"/>
    </row>
    <row r="736" spans="1:16" s="7" customFormat="1" ht="13.8" hidden="1" customHeight="1">
      <c r="A736" s="2141">
        <v>45168</v>
      </c>
      <c r="B736" s="648" t="s">
        <v>3392</v>
      </c>
      <c r="C736" s="128">
        <v>65921460</v>
      </c>
      <c r="D736" s="128"/>
      <c r="E736" s="128"/>
      <c r="F736" s="128"/>
      <c r="G736" s="604" t="s">
        <v>3182</v>
      </c>
      <c r="H736" s="649" t="s">
        <v>3514</v>
      </c>
      <c r="I736" s="366"/>
      <c r="J736" s="555"/>
      <c r="K736" s="539"/>
      <c r="L736" s="539"/>
      <c r="M736" s="244"/>
      <c r="N736" s="166"/>
      <c r="P736" s="166"/>
    </row>
    <row r="737" spans="1:16" s="7" customFormat="1" ht="13.8" hidden="1" customHeight="1">
      <c r="A737" s="2141">
        <v>45168</v>
      </c>
      <c r="B737" s="648" t="s">
        <v>3393</v>
      </c>
      <c r="C737" s="128"/>
      <c r="D737" s="128"/>
      <c r="E737" s="128"/>
      <c r="F737" s="645" t="s">
        <v>3528</v>
      </c>
      <c r="G737" s="604" t="s">
        <v>2148</v>
      </c>
      <c r="H737" s="604" t="s">
        <v>3394</v>
      </c>
      <c r="I737" s="366"/>
      <c r="J737" s="555"/>
      <c r="K737" s="539"/>
      <c r="L737" s="539"/>
      <c r="M737" s="244"/>
      <c r="N737" s="166"/>
      <c r="P737" s="166"/>
    </row>
    <row r="738" spans="1:16" s="7" customFormat="1" ht="13.8" hidden="1" customHeight="1">
      <c r="A738" s="2141">
        <v>45168</v>
      </c>
      <c r="B738" s="762" t="s">
        <v>3395</v>
      </c>
      <c r="C738" s="128">
        <v>65652119</v>
      </c>
      <c r="D738" s="6" t="s">
        <v>3706</v>
      </c>
      <c r="E738" s="6"/>
      <c r="F738" s="128" t="s">
        <v>3571</v>
      </c>
      <c r="G738" s="604" t="s">
        <v>2073</v>
      </c>
      <c r="H738" s="604" t="s">
        <v>3396</v>
      </c>
      <c r="I738" s="366"/>
      <c r="J738" s="555"/>
      <c r="K738" s="539"/>
      <c r="L738" s="539"/>
      <c r="M738" s="244"/>
      <c r="N738" s="166"/>
      <c r="P738" s="166"/>
    </row>
    <row r="739" spans="1:16" s="7" customFormat="1" ht="13.8" hidden="1" customHeight="1">
      <c r="A739" s="2141">
        <v>45168</v>
      </c>
      <c r="B739" s="648" t="s">
        <v>3397</v>
      </c>
      <c r="C739" s="128">
        <v>98604014</v>
      </c>
      <c r="D739" s="128"/>
      <c r="E739" s="128"/>
      <c r="F739" s="128"/>
      <c r="G739" s="604" t="s">
        <v>2719</v>
      </c>
      <c r="H739" s="604" t="s">
        <v>3024</v>
      </c>
      <c r="I739" s="366"/>
      <c r="J739" s="555"/>
      <c r="K739" s="539"/>
      <c r="L739" s="539"/>
      <c r="M739" s="244"/>
      <c r="N739" s="166"/>
      <c r="P739" s="166"/>
    </row>
    <row r="740" spans="1:16" s="7" customFormat="1" ht="13.8" hidden="1" customHeight="1">
      <c r="A740" s="2141">
        <v>45168</v>
      </c>
      <c r="B740" s="621" t="s">
        <v>3398</v>
      </c>
      <c r="C740" s="128">
        <v>75449590</v>
      </c>
      <c r="D740" s="128"/>
      <c r="E740" s="128"/>
      <c r="F740" s="6" t="s">
        <v>3408</v>
      </c>
      <c r="G740" s="604" t="s">
        <v>2000</v>
      </c>
      <c r="H740" s="604" t="s">
        <v>3402</v>
      </c>
      <c r="I740" s="366"/>
      <c r="J740" s="555"/>
      <c r="K740" s="539"/>
      <c r="L740" s="539"/>
      <c r="M740" s="244"/>
      <c r="N740" s="166"/>
      <c r="P740" s="166"/>
    </row>
    <row r="741" spans="1:16" s="7" customFormat="1" ht="13.8" hidden="1" customHeight="1">
      <c r="A741" s="2141">
        <v>45168</v>
      </c>
      <c r="B741" s="634" t="s">
        <v>3400</v>
      </c>
      <c r="C741" s="128">
        <v>34552643</v>
      </c>
      <c r="D741" s="6" t="s">
        <v>3427</v>
      </c>
      <c r="E741" s="6"/>
      <c r="F741" s="6" t="s">
        <v>1743</v>
      </c>
      <c r="G741" s="604" t="s">
        <v>2221</v>
      </c>
      <c r="H741" s="604" t="s">
        <v>3401</v>
      </c>
      <c r="I741" s="366"/>
      <c r="J741" s="555"/>
      <c r="K741" s="539"/>
      <c r="L741" s="539"/>
      <c r="M741" s="244"/>
      <c r="N741" s="166"/>
      <c r="P741" s="166"/>
    </row>
    <row r="742" spans="1:16" s="7" customFormat="1" ht="13.8" hidden="1" customHeight="1">
      <c r="A742" s="2141">
        <v>45168</v>
      </c>
      <c r="B742" s="741" t="s">
        <v>3443</v>
      </c>
      <c r="C742" s="128">
        <v>39543122</v>
      </c>
      <c r="D742" s="128" t="s">
        <v>3663</v>
      </c>
      <c r="E742" s="128"/>
      <c r="F742" s="128" t="s">
        <v>2755</v>
      </c>
      <c r="G742" s="604"/>
      <c r="H742" s="604" t="s">
        <v>3404</v>
      </c>
      <c r="I742" s="366"/>
      <c r="J742" s="555"/>
      <c r="K742" s="539"/>
      <c r="L742" s="539"/>
      <c r="M742" s="244"/>
      <c r="N742" s="166"/>
      <c r="P742" s="166"/>
    </row>
    <row r="743" spans="1:16" s="7" customFormat="1" ht="13.8" hidden="1" customHeight="1">
      <c r="A743" s="2141">
        <v>45168</v>
      </c>
      <c r="B743" s="878" t="s">
        <v>4208</v>
      </c>
      <c r="C743" s="128">
        <v>65720256</v>
      </c>
      <c r="D743" s="876" t="s">
        <v>4370</v>
      </c>
      <c r="E743" s="6" t="s">
        <v>6443</v>
      </c>
      <c r="F743" s="1481" t="s">
        <v>6196</v>
      </c>
      <c r="G743" s="604" t="s">
        <v>1971</v>
      </c>
      <c r="H743" s="604" t="s">
        <v>3405</v>
      </c>
      <c r="I743" s="366"/>
      <c r="J743" s="1631" t="s">
        <v>6846</v>
      </c>
      <c r="K743" s="539"/>
      <c r="L743" s="539"/>
      <c r="M743" s="244"/>
      <c r="N743" s="166"/>
      <c r="P743" s="166"/>
    </row>
    <row r="744" spans="1:16" s="7" customFormat="1" ht="13.8" hidden="1" customHeight="1">
      <c r="A744" s="2142">
        <v>45169</v>
      </c>
      <c r="B744" s="771" t="s">
        <v>3409</v>
      </c>
      <c r="C744" s="128">
        <v>95259174</v>
      </c>
      <c r="D744" s="128" t="s">
        <v>3570</v>
      </c>
      <c r="E744" s="128"/>
      <c r="F744" s="128" t="s">
        <v>3589</v>
      </c>
      <c r="G744" s="609" t="s">
        <v>2402</v>
      </c>
      <c r="H744" s="609" t="s">
        <v>3410</v>
      </c>
      <c r="I744" s="366"/>
      <c r="J744" s="555"/>
      <c r="K744" s="539"/>
      <c r="L744" s="539"/>
      <c r="M744" s="780" t="s">
        <v>4008</v>
      </c>
      <c r="N744" s="166"/>
      <c r="P744" s="166"/>
    </row>
    <row r="745" spans="1:16" s="7" customFormat="1" ht="13.8" hidden="1" customHeight="1">
      <c r="A745" s="2142">
        <v>45169</v>
      </c>
      <c r="B745" s="608" t="s">
        <v>3411</v>
      </c>
      <c r="C745" s="128"/>
      <c r="D745" s="128"/>
      <c r="E745" s="128"/>
      <c r="F745" s="128"/>
      <c r="G745" s="609" t="s">
        <v>3412</v>
      </c>
      <c r="H745" s="609" t="s">
        <v>3413</v>
      </c>
      <c r="I745" s="366"/>
      <c r="J745" s="555"/>
      <c r="K745" s="539"/>
      <c r="L745" s="539"/>
      <c r="M745" s="244"/>
      <c r="N745" s="166"/>
      <c r="P745" s="166"/>
    </row>
    <row r="746" spans="1:16" s="7" customFormat="1" ht="13.8" hidden="1" customHeight="1">
      <c r="A746" s="2143">
        <v>45172</v>
      </c>
      <c r="B746" s="648" t="s">
        <v>3416</v>
      </c>
      <c r="C746" s="128">
        <v>17334730</v>
      </c>
      <c r="D746" s="128"/>
      <c r="E746" s="128"/>
      <c r="F746" s="128"/>
      <c r="G746" s="651" t="s">
        <v>1971</v>
      </c>
      <c r="H746" s="651" t="s">
        <v>3417</v>
      </c>
      <c r="I746" s="366"/>
      <c r="J746" s="555"/>
      <c r="K746" s="539"/>
      <c r="L746" s="539"/>
      <c r="M746" s="244"/>
      <c r="N746" s="166"/>
      <c r="P746" s="166"/>
    </row>
    <row r="747" spans="1:16" s="7" customFormat="1" ht="13.8" hidden="1" customHeight="1">
      <c r="A747" s="2144">
        <v>45173</v>
      </c>
      <c r="B747" s="850" t="s">
        <v>3428</v>
      </c>
      <c r="C747" s="128">
        <v>45186633</v>
      </c>
      <c r="D747" s="128" t="s">
        <v>4244</v>
      </c>
      <c r="E747" s="128"/>
      <c r="F747" s="848" t="s">
        <v>2755</v>
      </c>
      <c r="G747" s="616" t="s">
        <v>2124</v>
      </c>
      <c r="H747" s="616" t="s">
        <v>3429</v>
      </c>
      <c r="I747" s="366"/>
      <c r="J747" s="555"/>
      <c r="K747" s="539"/>
      <c r="L747" s="539"/>
      <c r="M747" s="244"/>
      <c r="N747" s="166"/>
      <c r="P747" s="166"/>
    </row>
    <row r="748" spans="1:16" s="7" customFormat="1" ht="13.8" hidden="1" customHeight="1">
      <c r="A748" s="2144">
        <v>45173</v>
      </c>
      <c r="B748" s="648" t="s">
        <v>3433</v>
      </c>
      <c r="C748" s="649"/>
      <c r="D748" s="649"/>
      <c r="E748" s="649"/>
      <c r="F748" s="649"/>
      <c r="G748" s="649" t="s">
        <v>2715</v>
      </c>
      <c r="H748" s="649" t="s">
        <v>3434</v>
      </c>
      <c r="I748" s="649"/>
      <c r="J748" s="555"/>
      <c r="K748" s="539"/>
      <c r="L748" s="539"/>
      <c r="M748" s="244"/>
      <c r="N748" s="166"/>
      <c r="P748" s="166"/>
    </row>
    <row r="749" spans="1:16" s="7" customFormat="1" ht="13.8" hidden="1" customHeight="1">
      <c r="A749" s="2144">
        <v>45173</v>
      </c>
      <c r="B749" s="771" t="s">
        <v>3435</v>
      </c>
      <c r="C749" s="128">
        <v>59796445</v>
      </c>
      <c r="D749" s="128" t="s">
        <v>3836</v>
      </c>
      <c r="E749" s="128"/>
      <c r="F749" s="761" t="s">
        <v>3568</v>
      </c>
      <c r="G749" s="616" t="s">
        <v>667</v>
      </c>
      <c r="H749" s="616" t="s">
        <v>3436</v>
      </c>
      <c r="I749" s="366"/>
      <c r="J749" s="555"/>
      <c r="K749" s="539"/>
      <c r="L749" s="539"/>
      <c r="M749" s="244"/>
      <c r="N749" s="166"/>
      <c r="O749" s="764" t="s">
        <v>3935</v>
      </c>
      <c r="P749" s="166"/>
    </row>
    <row r="750" spans="1:16" s="7" customFormat="1" ht="13.8" hidden="1" customHeight="1">
      <c r="A750" s="2144">
        <v>45173</v>
      </c>
      <c r="B750" s="638" t="s">
        <v>3507</v>
      </c>
      <c r="C750" s="128"/>
      <c r="D750" s="128"/>
      <c r="E750" s="128"/>
      <c r="F750" s="128"/>
      <c r="G750" s="519" t="s">
        <v>2715</v>
      </c>
      <c r="H750" s="616" t="s">
        <v>3439</v>
      </c>
      <c r="I750" s="366"/>
      <c r="J750" s="555"/>
      <c r="K750" s="539"/>
      <c r="L750" s="539"/>
      <c r="M750" s="244"/>
      <c r="N750" s="166"/>
      <c r="P750" s="166"/>
    </row>
    <row r="751" spans="1:16" s="7" customFormat="1" ht="13.8" hidden="1" customHeight="1">
      <c r="A751" s="2144">
        <v>45174</v>
      </c>
      <c r="B751" s="843" t="s">
        <v>3445</v>
      </c>
      <c r="C751" s="128">
        <v>39772912</v>
      </c>
      <c r="D751" s="128" t="s">
        <v>4234</v>
      </c>
      <c r="E751" s="128"/>
      <c r="F751" s="821" t="s">
        <v>2755</v>
      </c>
      <c r="G751" s="616" t="s">
        <v>763</v>
      </c>
      <c r="H751" s="616" t="s">
        <v>3446</v>
      </c>
      <c r="I751" s="366"/>
      <c r="J751" s="555"/>
      <c r="K751" s="539"/>
      <c r="L751" s="539"/>
      <c r="M751" s="244"/>
      <c r="N751" s="166" t="s">
        <v>4322</v>
      </c>
      <c r="P751" s="166"/>
    </row>
    <row r="752" spans="1:16" s="7" customFormat="1" ht="13.8" hidden="1" customHeight="1">
      <c r="A752" s="2144">
        <v>45174</v>
      </c>
      <c r="B752" s="629" t="s">
        <v>3447</v>
      </c>
      <c r="C752" s="128">
        <v>98676065</v>
      </c>
      <c r="D752" s="128"/>
      <c r="E752" s="128"/>
      <c r="F752" s="128"/>
      <c r="G752" s="326" t="s">
        <v>2056</v>
      </c>
      <c r="H752" s="616" t="s">
        <v>3448</v>
      </c>
      <c r="I752" s="366"/>
      <c r="J752" s="555"/>
      <c r="K752" s="539"/>
      <c r="L752" s="539"/>
      <c r="M752" s="244"/>
      <c r="N752" s="166"/>
      <c r="O752" s="7" t="s">
        <v>3503</v>
      </c>
      <c r="P752" s="166"/>
    </row>
    <row r="753" spans="1:16" s="7" customFormat="1" ht="13.8" hidden="1" customHeight="1">
      <c r="A753" s="2144">
        <v>45174</v>
      </c>
      <c r="B753" s="629" t="s">
        <v>3452</v>
      </c>
      <c r="C753" s="128">
        <v>63447663</v>
      </c>
      <c r="D753" s="128"/>
      <c r="E753" s="128"/>
      <c r="F753" s="128"/>
      <c r="G753" s="326" t="s">
        <v>2056</v>
      </c>
      <c r="H753" s="616" t="s">
        <v>3453</v>
      </c>
      <c r="I753" s="366"/>
      <c r="J753" s="555"/>
      <c r="K753" s="539"/>
      <c r="L753" s="539"/>
      <c r="M753" s="244"/>
      <c r="N753" s="166"/>
      <c r="O753" s="7" t="s">
        <v>3503</v>
      </c>
      <c r="P753" s="166"/>
    </row>
    <row r="754" spans="1:16" s="7" customFormat="1" ht="14.4" hidden="1" customHeight="1">
      <c r="A754" s="2144">
        <v>45174</v>
      </c>
      <c r="B754" s="720" t="s">
        <v>3454</v>
      </c>
      <c r="C754" s="128">
        <v>27860527</v>
      </c>
      <c r="D754" s="701" t="s">
        <v>3653</v>
      </c>
      <c r="E754" s="701"/>
      <c r="F754" s="701" t="s">
        <v>2755</v>
      </c>
      <c r="G754" s="616" t="s">
        <v>1032</v>
      </c>
      <c r="H754" s="661" t="s">
        <v>3520</v>
      </c>
      <c r="I754" s="366"/>
      <c r="J754" s="555"/>
      <c r="K754" s="539"/>
      <c r="L754" s="539"/>
      <c r="M754" s="244"/>
      <c r="N754" s="166"/>
      <c r="O754" s="811" t="s">
        <v>4142</v>
      </c>
      <c r="P754" s="166"/>
    </row>
    <row r="755" spans="1:16" s="7" customFormat="1" ht="13.8" customHeight="1">
      <c r="A755" s="2145">
        <v>45174</v>
      </c>
      <c r="B755" s="843" t="s">
        <v>3459</v>
      </c>
      <c r="C755" s="128">
        <v>29919377</v>
      </c>
      <c r="D755" s="128" t="s">
        <v>4370</v>
      </c>
      <c r="E755" s="6" t="s">
        <v>6847</v>
      </c>
      <c r="F755" s="1481" t="s">
        <v>6196</v>
      </c>
      <c r="G755" s="652" t="s">
        <v>3182</v>
      </c>
      <c r="H755" s="649" t="s">
        <v>3515</v>
      </c>
      <c r="I755" s="366">
        <f>1-1</f>
        <v>0</v>
      </c>
      <c r="J755" s="1639" t="s">
        <v>6873</v>
      </c>
      <c r="K755" s="539"/>
      <c r="L755" s="539"/>
      <c r="M755" s="244"/>
      <c r="N755" s="166"/>
      <c r="P755" s="166"/>
    </row>
    <row r="756" spans="1:16" s="7" customFormat="1" ht="13.8" hidden="1" customHeight="1">
      <c r="A756" s="2146">
        <v>45175</v>
      </c>
      <c r="B756" s="663" t="s">
        <v>3464</v>
      </c>
      <c r="C756" s="128"/>
      <c r="D756" s="128"/>
      <c r="E756" s="128"/>
      <c r="F756" s="128"/>
      <c r="G756" s="628" t="s">
        <v>2254</v>
      </c>
      <c r="H756" s="628" t="s">
        <v>3465</v>
      </c>
      <c r="I756" s="366"/>
      <c r="J756" s="555"/>
      <c r="K756" s="539"/>
      <c r="L756" s="539"/>
      <c r="M756" s="244"/>
      <c r="N756" s="166"/>
      <c r="P756" s="166"/>
    </row>
    <row r="757" spans="1:16" s="7" customFormat="1" ht="13.8" hidden="1" customHeight="1">
      <c r="A757" s="2146">
        <v>45175</v>
      </c>
      <c r="B757" s="850" t="s">
        <v>3471</v>
      </c>
      <c r="C757" s="128">
        <v>23540572</v>
      </c>
      <c r="D757" s="128" t="s">
        <v>4244</v>
      </c>
      <c r="E757" s="128"/>
      <c r="F757" s="848" t="s">
        <v>2755</v>
      </c>
      <c r="G757" s="628" t="s">
        <v>2124</v>
      </c>
      <c r="H757" s="628" t="s">
        <v>3472</v>
      </c>
      <c r="I757" s="366"/>
      <c r="J757" s="555"/>
      <c r="K757" s="539"/>
      <c r="L757" s="539"/>
      <c r="M757" s="244"/>
      <c r="N757" s="166"/>
      <c r="P757" s="166"/>
    </row>
    <row r="758" spans="1:16" s="7" customFormat="1" ht="13.8" hidden="1" customHeight="1">
      <c r="A758" s="2146">
        <v>45175</v>
      </c>
      <c r="B758" s="704" t="s">
        <v>3473</v>
      </c>
      <c r="C758" s="128">
        <v>56315136</v>
      </c>
      <c r="D758" s="128" t="s">
        <v>3050</v>
      </c>
      <c r="E758" s="128"/>
      <c r="F758" s="128" t="s">
        <v>3651</v>
      </c>
      <c r="G758" s="628" t="s">
        <v>2005</v>
      </c>
      <c r="H758" s="628" t="s">
        <v>3474</v>
      </c>
      <c r="I758" s="366"/>
      <c r="J758" s="555"/>
      <c r="K758" s="539"/>
      <c r="L758" s="539"/>
      <c r="M758" s="244"/>
      <c r="N758" s="166"/>
      <c r="P758" s="166"/>
    </row>
    <row r="759" spans="1:16" s="7" customFormat="1" ht="13.8" hidden="1" customHeight="1">
      <c r="A759" s="2147">
        <v>45176</v>
      </c>
      <c r="B759" s="790" t="s">
        <v>3481</v>
      </c>
      <c r="C759" s="128">
        <v>42425015</v>
      </c>
      <c r="D759" s="128" t="s">
        <v>3836</v>
      </c>
      <c r="E759" s="128"/>
      <c r="F759" s="128" t="s">
        <v>3568</v>
      </c>
      <c r="G759" s="633" t="s">
        <v>1972</v>
      </c>
      <c r="H759" s="636" t="s">
        <v>3499</v>
      </c>
      <c r="I759" s="366"/>
      <c r="J759" s="555"/>
      <c r="K759" s="539"/>
      <c r="L759" s="539"/>
      <c r="M759" s="244"/>
      <c r="N759" s="166"/>
      <c r="P759" s="166"/>
    </row>
    <row r="760" spans="1:16" s="7" customFormat="1" ht="13.8" hidden="1" customHeight="1">
      <c r="A760" s="2147">
        <v>45176</v>
      </c>
      <c r="B760" s="755" t="s">
        <v>3482</v>
      </c>
      <c r="C760" s="128">
        <v>85994378</v>
      </c>
      <c r="D760" s="750" t="s">
        <v>3800</v>
      </c>
      <c r="E760" s="750"/>
      <c r="F760" s="6" t="s">
        <v>2755</v>
      </c>
      <c r="G760" s="633" t="s">
        <v>2000</v>
      </c>
      <c r="H760" s="727" t="s">
        <v>3681</v>
      </c>
      <c r="I760" s="366"/>
      <c r="J760" s="555"/>
      <c r="K760" s="539"/>
      <c r="L760" s="539"/>
      <c r="M760" s="244"/>
      <c r="N760" s="166"/>
      <c r="P760" s="166"/>
    </row>
    <row r="761" spans="1:16" s="7" customFormat="1" ht="13.8" hidden="1" customHeight="1">
      <c r="A761" s="2148">
        <v>45177</v>
      </c>
      <c r="B761" s="634" t="s">
        <v>3488</v>
      </c>
      <c r="C761" s="128">
        <v>39542532</v>
      </c>
      <c r="D761" s="128"/>
      <c r="E761" s="128"/>
      <c r="F761" s="128"/>
      <c r="G761" s="636" t="s">
        <v>2056</v>
      </c>
      <c r="H761" s="636" t="s">
        <v>3489</v>
      </c>
      <c r="I761" s="366"/>
      <c r="J761" s="555"/>
      <c r="K761" s="539"/>
      <c r="L761" s="539"/>
      <c r="M761" s="244"/>
      <c r="N761" s="166"/>
      <c r="O761" s="7" t="s">
        <v>3614</v>
      </c>
      <c r="P761" s="166"/>
    </row>
    <row r="762" spans="1:16" s="7" customFormat="1" ht="13.8" hidden="1" customHeight="1">
      <c r="A762" s="2148">
        <v>45177</v>
      </c>
      <c r="B762" s="720" t="s">
        <v>3490</v>
      </c>
      <c r="C762" s="128">
        <v>80289346</v>
      </c>
      <c r="D762" s="701" t="s">
        <v>3653</v>
      </c>
      <c r="E762" s="701"/>
      <c r="F762" s="701" t="s">
        <v>2755</v>
      </c>
      <c r="G762" s="636" t="s">
        <v>686</v>
      </c>
      <c r="H762" s="636" t="s">
        <v>3491</v>
      </c>
      <c r="I762" s="366"/>
      <c r="J762" s="555"/>
      <c r="K762" s="539"/>
      <c r="L762" s="539"/>
      <c r="M762" s="244"/>
      <c r="N762" s="166"/>
      <c r="O762" s="811" t="s">
        <v>4142</v>
      </c>
      <c r="P762" s="166"/>
    </row>
    <row r="763" spans="1:16" s="7" customFormat="1" ht="13.8" hidden="1" customHeight="1">
      <c r="A763" s="2148">
        <v>45177</v>
      </c>
      <c r="B763" s="799" t="s">
        <v>3869</v>
      </c>
      <c r="C763" s="128">
        <v>46505235</v>
      </c>
      <c r="D763" s="797" t="s">
        <v>4109</v>
      </c>
      <c r="E763" s="761"/>
      <c r="F763" s="6" t="s">
        <v>2755</v>
      </c>
      <c r="G763" s="636" t="s">
        <v>736</v>
      </c>
      <c r="H763" s="636" t="s">
        <v>3492</v>
      </c>
      <c r="I763" s="366"/>
      <c r="J763" s="555"/>
      <c r="K763" s="539"/>
      <c r="L763" s="539"/>
      <c r="M763" s="244"/>
      <c r="N763" s="166">
        <v>1</v>
      </c>
      <c r="O763" s="7" t="s">
        <v>4530</v>
      </c>
      <c r="P763" s="166"/>
    </row>
    <row r="764" spans="1:16" s="7" customFormat="1" ht="13.8" hidden="1" customHeight="1">
      <c r="A764" s="2148">
        <v>45178</v>
      </c>
      <c r="B764" s="679" t="s">
        <v>3511</v>
      </c>
      <c r="C764" s="128">
        <v>98529699</v>
      </c>
      <c r="D764" s="128"/>
      <c r="E764" s="128"/>
      <c r="F764" s="128"/>
      <c r="G764" s="649" t="s">
        <v>3510</v>
      </c>
      <c r="H764" s="649" t="s">
        <v>3509</v>
      </c>
      <c r="I764" s="366"/>
      <c r="J764" s="555"/>
      <c r="K764" s="640"/>
      <c r="L764" s="640"/>
      <c r="M764" s="244"/>
      <c r="N764" s="166"/>
      <c r="P764" s="166"/>
    </row>
    <row r="765" spans="1:16" s="7" customFormat="1" ht="13.8" hidden="1" customHeight="1">
      <c r="A765" s="2148">
        <v>45178</v>
      </c>
      <c r="B765" s="648" t="s">
        <v>3478</v>
      </c>
      <c r="C765" s="128">
        <v>76159257</v>
      </c>
      <c r="D765" s="128"/>
      <c r="E765" s="128"/>
      <c r="F765" s="649" t="s">
        <v>3408</v>
      </c>
      <c r="G765" s="633" t="s">
        <v>3479</v>
      </c>
      <c r="H765" s="633" t="s">
        <v>3480</v>
      </c>
      <c r="I765" s="366"/>
      <c r="J765" s="555"/>
      <c r="K765" s="555">
        <v>22.5</v>
      </c>
      <c r="L765" s="555"/>
      <c r="M765" s="244"/>
      <c r="N765" s="166"/>
      <c r="P765" s="166"/>
    </row>
    <row r="766" spans="1:16" s="7" customFormat="1" ht="13.8" hidden="1" customHeight="1">
      <c r="A766" s="2148">
        <v>45179</v>
      </c>
      <c r="B766" s="634" t="s">
        <v>3494</v>
      </c>
      <c r="C766" s="128"/>
      <c r="D766" s="128"/>
      <c r="E766" s="128"/>
      <c r="F766" s="128"/>
      <c r="G766" s="596" t="s">
        <v>2715</v>
      </c>
      <c r="H766" s="636" t="s">
        <v>3495</v>
      </c>
      <c r="I766" s="366"/>
      <c r="J766" s="555"/>
      <c r="K766" s="539"/>
      <c r="L766" s="539"/>
      <c r="M766" s="244"/>
      <c r="N766" s="166"/>
      <c r="P766" s="166"/>
    </row>
    <row r="767" spans="1:16" s="7" customFormat="1" ht="13.8" hidden="1" customHeight="1">
      <c r="A767" s="2148">
        <v>45179</v>
      </c>
      <c r="B767" s="720" t="s">
        <v>3496</v>
      </c>
      <c r="C767" s="128">
        <v>11730540</v>
      </c>
      <c r="D767" s="705" t="s">
        <v>3653</v>
      </c>
      <c r="E767" s="705"/>
      <c r="F767" s="701" t="s">
        <v>2755</v>
      </c>
      <c r="G767" s="636" t="s">
        <v>763</v>
      </c>
      <c r="H767" s="636" t="s">
        <v>3497</v>
      </c>
      <c r="I767" s="366"/>
      <c r="J767" s="555"/>
      <c r="K767" s="539"/>
      <c r="L767" s="539"/>
      <c r="M767" s="244"/>
      <c r="N767" s="166" t="s">
        <v>3836</v>
      </c>
      <c r="P767" s="166"/>
    </row>
    <row r="768" spans="1:16" s="7" customFormat="1" ht="13.8" hidden="1" customHeight="1">
      <c r="A768" s="2148">
        <v>45179</v>
      </c>
      <c r="B768" s="935" t="s">
        <v>4388</v>
      </c>
      <c r="C768" s="128">
        <v>19821982</v>
      </c>
      <c r="D768" s="128" t="s">
        <v>4234</v>
      </c>
      <c r="E768" s="128">
        <v>10</v>
      </c>
      <c r="F768" s="128"/>
      <c r="G768" s="636" t="s">
        <v>3498</v>
      </c>
      <c r="H768" s="705" t="s">
        <v>3655</v>
      </c>
      <c r="I768" s="366"/>
      <c r="J768" s="555"/>
      <c r="K768" s="539"/>
      <c r="L768" s="539"/>
      <c r="M768" s="244"/>
      <c r="N768" s="166"/>
      <c r="P768" s="166"/>
    </row>
    <row r="769" spans="1:16" s="7" customFormat="1" ht="13.8" hidden="1" customHeight="1">
      <c r="A769" s="2148">
        <v>45179</v>
      </c>
      <c r="B769" s="843" t="s">
        <v>3863</v>
      </c>
      <c r="C769" s="128">
        <v>84649274</v>
      </c>
      <c r="D769" s="128" t="s">
        <v>4234</v>
      </c>
      <c r="E769" s="128"/>
      <c r="F769" s="128" t="s">
        <v>2755</v>
      </c>
      <c r="G769" s="636" t="s">
        <v>1971</v>
      </c>
      <c r="H769" s="636" t="s">
        <v>3501</v>
      </c>
      <c r="I769" s="366"/>
      <c r="J769" s="555"/>
      <c r="K769" s="539"/>
      <c r="L769" s="539"/>
      <c r="M769" s="244"/>
      <c r="N769" s="166"/>
      <c r="P769" s="166"/>
    </row>
    <row r="770" spans="1:16" s="7" customFormat="1" ht="13.8" hidden="1" customHeight="1">
      <c r="A770" s="2149">
        <v>45181</v>
      </c>
      <c r="B770" s="914" t="s">
        <v>3536</v>
      </c>
      <c r="C770" s="128">
        <v>18908573</v>
      </c>
      <c r="D770" s="128" t="s">
        <v>4234</v>
      </c>
      <c r="E770" s="128"/>
      <c r="F770" s="821" t="s">
        <v>2755</v>
      </c>
      <c r="G770" s="649" t="s">
        <v>763</v>
      </c>
      <c r="H770" s="649" t="s">
        <v>3521</v>
      </c>
      <c r="I770" s="366"/>
      <c r="J770" s="555"/>
      <c r="K770" s="539"/>
      <c r="L770" s="539"/>
      <c r="M770" s="244"/>
      <c r="N770" s="882" t="s">
        <v>4382</v>
      </c>
      <c r="P770" s="166"/>
    </row>
    <row r="771" spans="1:16" s="7" customFormat="1" ht="13.8" hidden="1" customHeight="1">
      <c r="A771" s="2149">
        <v>45181</v>
      </c>
      <c r="B771" s="814" t="s">
        <v>3525</v>
      </c>
      <c r="C771" s="128">
        <v>36507576</v>
      </c>
      <c r="D771" s="705" t="s">
        <v>3653</v>
      </c>
      <c r="E771" s="705"/>
      <c r="F771" s="701" t="s">
        <v>2755</v>
      </c>
      <c r="G771" s="649" t="s">
        <v>1006</v>
      </c>
      <c r="H771" s="649" t="s">
        <v>3522</v>
      </c>
      <c r="I771" s="366"/>
      <c r="J771" s="555"/>
      <c r="K771" s="539">
        <v>1</v>
      </c>
      <c r="L771" s="539"/>
      <c r="M771" s="815" t="s">
        <v>4142</v>
      </c>
      <c r="N771" s="166"/>
      <c r="P771" s="166"/>
    </row>
    <row r="772" spans="1:16" s="7" customFormat="1" ht="13.8" hidden="1" customHeight="1">
      <c r="A772" s="2149">
        <v>45181</v>
      </c>
      <c r="B772" s="850" t="s">
        <v>3523</v>
      </c>
      <c r="C772" s="128">
        <v>53641911</v>
      </c>
      <c r="D772" s="128" t="s">
        <v>4234</v>
      </c>
      <c r="E772" s="128"/>
      <c r="F772" s="821" t="s">
        <v>2755</v>
      </c>
      <c r="G772" s="459" t="s">
        <v>2237</v>
      </c>
      <c r="H772" s="649" t="s">
        <v>3524</v>
      </c>
      <c r="I772" s="366"/>
      <c r="J772" s="555"/>
      <c r="K772" s="539"/>
      <c r="L772" s="539"/>
      <c r="M772" s="244"/>
      <c r="N772" s="166"/>
      <c r="P772" s="166"/>
    </row>
    <row r="773" spans="1:16" s="7" customFormat="1" ht="13.8" hidden="1" customHeight="1">
      <c r="A773" s="2149">
        <v>45182</v>
      </c>
      <c r="B773" s="741" t="s">
        <v>3611</v>
      </c>
      <c r="C773" s="128">
        <v>44661372</v>
      </c>
      <c r="D773" s="128" t="s">
        <v>3570</v>
      </c>
      <c r="E773" s="128"/>
      <c r="F773" s="128" t="s">
        <v>3579</v>
      </c>
      <c r="G773" s="649" t="s">
        <v>3312</v>
      </c>
      <c r="H773" s="649" t="s">
        <v>3533</v>
      </c>
      <c r="I773" s="366"/>
      <c r="J773" s="555"/>
      <c r="K773" s="664"/>
      <c r="L773" s="664"/>
      <c r="M773" s="244"/>
      <c r="N773" s="747" t="s">
        <v>3747</v>
      </c>
      <c r="P773" s="166"/>
    </row>
    <row r="774" spans="1:16" s="7" customFormat="1" ht="13.8" hidden="1" customHeight="1">
      <c r="A774" s="2149">
        <v>45182</v>
      </c>
      <c r="B774" s="814" t="s">
        <v>3534</v>
      </c>
      <c r="C774" s="128">
        <v>14432453</v>
      </c>
      <c r="D774" s="705" t="s">
        <v>3653</v>
      </c>
      <c r="E774" s="705"/>
      <c r="F774" s="701" t="s">
        <v>2755</v>
      </c>
      <c r="G774" s="649" t="s">
        <v>1006</v>
      </c>
      <c r="H774" s="649" t="s">
        <v>3535</v>
      </c>
      <c r="I774" s="366"/>
      <c r="J774" s="555">
        <v>22</v>
      </c>
      <c r="K774" s="539">
        <v>1</v>
      </c>
      <c r="L774" s="539"/>
      <c r="M774" s="815" t="s">
        <v>4142</v>
      </c>
      <c r="N774" s="166"/>
      <c r="P774" s="166"/>
    </row>
    <row r="775" spans="1:16" s="7" customFormat="1" ht="13.8" hidden="1" customHeight="1">
      <c r="A775" s="2149">
        <v>45183</v>
      </c>
      <c r="B775" s="814" t="s">
        <v>3537</v>
      </c>
      <c r="C775" s="128">
        <v>17323955</v>
      </c>
      <c r="D775" s="705" t="s">
        <v>3653</v>
      </c>
      <c r="E775" s="705"/>
      <c r="F775" s="701" t="s">
        <v>2755</v>
      </c>
      <c r="G775" s="649" t="s">
        <v>1006</v>
      </c>
      <c r="H775" s="649" t="s">
        <v>3538</v>
      </c>
      <c r="I775" s="366"/>
      <c r="J775" s="812">
        <v>22</v>
      </c>
      <c r="K775" s="539">
        <v>1</v>
      </c>
      <c r="L775" s="539"/>
      <c r="M775" s="815" t="s">
        <v>4142</v>
      </c>
      <c r="N775" s="166"/>
      <c r="P775" s="166"/>
    </row>
    <row r="776" spans="1:16" s="7" customFormat="1" ht="13.8" hidden="1" customHeight="1">
      <c r="A776" s="2150">
        <v>45184</v>
      </c>
      <c r="B776" s="704" t="s">
        <v>3549</v>
      </c>
      <c r="C776" s="128">
        <v>35873345</v>
      </c>
      <c r="D776" s="128" t="s">
        <v>3570</v>
      </c>
      <c r="E776" s="128"/>
      <c r="F776" s="705" t="s">
        <v>3408</v>
      </c>
      <c r="G776" s="654" t="s">
        <v>1971</v>
      </c>
      <c r="H776" s="654" t="s">
        <v>3550</v>
      </c>
      <c r="I776" s="366"/>
      <c r="J776" s="555"/>
      <c r="K776" s="539"/>
      <c r="L776" s="539"/>
      <c r="M776" s="244"/>
      <c r="N776" s="166"/>
      <c r="P776" s="166"/>
    </row>
    <row r="777" spans="1:16" s="7" customFormat="1" ht="13.8" hidden="1" customHeight="1">
      <c r="A777" s="2150">
        <v>45184</v>
      </c>
      <c r="B777" s="1294" t="s">
        <v>3551</v>
      </c>
      <c r="C777" s="992">
        <v>44761649</v>
      </c>
      <c r="D777" s="998" t="s">
        <v>3570</v>
      </c>
      <c r="E777" s="998"/>
      <c r="F777" s="998" t="s">
        <v>3568</v>
      </c>
      <c r="G777" s="1039" t="s">
        <v>1943</v>
      </c>
      <c r="H777" s="1017" t="s">
        <v>3552</v>
      </c>
      <c r="I777" s="463"/>
      <c r="J777" s="555"/>
      <c r="K777" s="539"/>
      <c r="L777" s="539"/>
      <c r="M777" s="244"/>
      <c r="N777" s="166"/>
      <c r="P777" s="166"/>
    </row>
    <row r="778" spans="1:16" s="7" customFormat="1" ht="13.8" hidden="1" customHeight="1">
      <c r="A778" s="2150">
        <v>45184</v>
      </c>
      <c r="B778" s="683" t="s">
        <v>3553</v>
      </c>
      <c r="C778" s="128">
        <v>36641493</v>
      </c>
      <c r="D778" s="128" t="s">
        <v>3570</v>
      </c>
      <c r="E778" s="128"/>
      <c r="F778" s="128" t="s">
        <v>3568</v>
      </c>
      <c r="G778" s="654" t="s">
        <v>2614</v>
      </c>
      <c r="H778" s="654" t="s">
        <v>3554</v>
      </c>
      <c r="I778" s="366"/>
      <c r="J778" s="555"/>
      <c r="K778" s="539"/>
      <c r="L778" s="539"/>
      <c r="M778" s="696" t="s">
        <v>3631</v>
      </c>
      <c r="N778" s="166"/>
      <c r="P778" s="166"/>
    </row>
    <row r="779" spans="1:16" s="7" customFormat="1" ht="13.8" hidden="1" customHeight="1">
      <c r="A779" s="2150">
        <v>45184</v>
      </c>
      <c r="B779" s="726" t="s">
        <v>3598</v>
      </c>
      <c r="C779" s="128">
        <v>55387495</v>
      </c>
      <c r="D779" s="128" t="s">
        <v>3570</v>
      </c>
      <c r="E779" s="128"/>
      <c r="F779" s="128" t="s">
        <v>1743</v>
      </c>
      <c r="G779" s="654" t="s">
        <v>2221</v>
      </c>
      <c r="H779" s="654" t="s">
        <v>3555</v>
      </c>
      <c r="I779" s="366"/>
      <c r="J779" s="555"/>
      <c r="K779" s="539"/>
      <c r="L779" s="539"/>
      <c r="M779" s="244"/>
      <c r="N779" s="166"/>
      <c r="P779" s="166"/>
    </row>
    <row r="780" spans="1:16" s="7" customFormat="1" ht="13.8" hidden="1" customHeight="1">
      <c r="A780" s="2150">
        <v>45184</v>
      </c>
      <c r="B780" s="741" t="s">
        <v>3612</v>
      </c>
      <c r="C780" s="128">
        <v>80251211</v>
      </c>
      <c r="D780" s="128" t="s">
        <v>3570</v>
      </c>
      <c r="E780" s="128"/>
      <c r="F780" s="128" t="s">
        <v>3568</v>
      </c>
      <c r="G780" s="654" t="s">
        <v>2221</v>
      </c>
      <c r="H780" s="654" t="s">
        <v>3556</v>
      </c>
      <c r="I780" s="366"/>
      <c r="J780" s="555"/>
      <c r="K780" s="539"/>
      <c r="L780" s="539"/>
      <c r="M780" s="244"/>
      <c r="N780" s="166"/>
      <c r="P780" s="166"/>
    </row>
    <row r="781" spans="1:16" s="7" customFormat="1" ht="13.8" hidden="1" customHeight="1">
      <c r="A781" s="2151">
        <v>45185</v>
      </c>
      <c r="B781" s="720" t="s">
        <v>3559</v>
      </c>
      <c r="C781" s="128">
        <v>48630243</v>
      </c>
      <c r="D781" s="128" t="s">
        <v>3570</v>
      </c>
      <c r="E781" s="128"/>
      <c r="F781" s="128" t="s">
        <v>2755</v>
      </c>
      <c r="G781" s="665" t="s">
        <v>3560</v>
      </c>
      <c r="H781" s="665" t="s">
        <v>3561</v>
      </c>
      <c r="I781" s="366"/>
      <c r="J781" s="555"/>
      <c r="K781" s="539"/>
      <c r="L781" s="539"/>
      <c r="M781" s="244"/>
      <c r="N781" s="166"/>
      <c r="P781" s="166"/>
    </row>
    <row r="782" spans="1:16" s="7" customFormat="1" ht="13.8" hidden="1" customHeight="1">
      <c r="A782" s="2151">
        <v>45185</v>
      </c>
      <c r="B782" s="835" t="s">
        <v>3564</v>
      </c>
      <c r="C782" s="128">
        <v>80718520</v>
      </c>
      <c r="D782" s="128" t="s">
        <v>4109</v>
      </c>
      <c r="E782" s="128"/>
      <c r="F782" s="796" t="s">
        <v>1743</v>
      </c>
      <c r="G782" s="665" t="s">
        <v>1009</v>
      </c>
      <c r="H782" s="665" t="s">
        <v>3565</v>
      </c>
      <c r="I782" s="366"/>
      <c r="J782" s="555"/>
      <c r="K782" s="539"/>
      <c r="L782" s="539"/>
      <c r="M782" s="244"/>
      <c r="N782" s="166"/>
      <c r="P782" s="166"/>
    </row>
    <row r="783" spans="1:16" s="7" customFormat="1" ht="13.8" hidden="1" customHeight="1">
      <c r="A783" s="2152">
        <v>45186</v>
      </c>
      <c r="B783" s="704" t="s">
        <v>3573</v>
      </c>
      <c r="C783" s="128">
        <v>98495116</v>
      </c>
      <c r="D783" s="128" t="s">
        <v>3650</v>
      </c>
      <c r="E783" s="128"/>
      <c r="F783" s="128" t="s">
        <v>3651</v>
      </c>
      <c r="G783" s="670" t="s">
        <v>2005</v>
      </c>
      <c r="H783" s="670" t="s">
        <v>3574</v>
      </c>
      <c r="I783" s="366"/>
      <c r="J783" s="555"/>
      <c r="K783" s="539"/>
      <c r="L783" s="539"/>
      <c r="M783" s="244"/>
      <c r="N783" s="166"/>
      <c r="P783" s="166"/>
    </row>
    <row r="784" spans="1:16" s="7" customFormat="1" ht="13.8" hidden="1" customHeight="1">
      <c r="A784" s="2152">
        <v>45187</v>
      </c>
      <c r="B784" s="726" t="s">
        <v>3592</v>
      </c>
      <c r="C784" s="128">
        <v>12785296</v>
      </c>
      <c r="D784" s="128" t="s">
        <v>3576</v>
      </c>
      <c r="E784" s="128"/>
      <c r="F784" s="705" t="s">
        <v>3656</v>
      </c>
      <c r="G784" s="670" t="s">
        <v>1989</v>
      </c>
      <c r="H784" s="670" t="s">
        <v>3593</v>
      </c>
      <c r="I784" s="366"/>
      <c r="J784" s="555"/>
      <c r="K784" s="539"/>
      <c r="L784" s="539"/>
      <c r="M784" s="244"/>
      <c r="N784" s="166"/>
      <c r="O784" s="7" t="s">
        <v>4156</v>
      </c>
      <c r="P784" s="166"/>
    </row>
    <row r="785" spans="1:16" s="7" customFormat="1" ht="13.8" hidden="1" customHeight="1">
      <c r="A785" s="2152">
        <v>45187</v>
      </c>
      <c r="B785" s="886" t="s">
        <v>4284</v>
      </c>
      <c r="C785" s="128">
        <v>70109515</v>
      </c>
      <c r="D785" s="128" t="s">
        <v>4397</v>
      </c>
      <c r="E785" s="128">
        <v>1</v>
      </c>
      <c r="F785" s="128" t="s">
        <v>2755</v>
      </c>
      <c r="G785" s="365" t="s">
        <v>2012</v>
      </c>
      <c r="H785" s="852" t="s">
        <v>4269</v>
      </c>
      <c r="I785" s="366"/>
      <c r="J785" s="555"/>
      <c r="K785" s="539"/>
      <c r="L785" s="539"/>
      <c r="M785" s="244"/>
      <c r="N785" s="166"/>
      <c r="P785" s="166"/>
    </row>
    <row r="786" spans="1:16" s="7" customFormat="1" ht="13.8" hidden="1" customHeight="1">
      <c r="A786" s="2152">
        <v>45187</v>
      </c>
      <c r="B786" s="686" t="s">
        <v>3596</v>
      </c>
      <c r="C786" s="128">
        <v>79168762</v>
      </c>
      <c r="D786" s="128"/>
      <c r="E786" s="128"/>
      <c r="F786" s="128" t="s">
        <v>3568</v>
      </c>
      <c r="G786" s="670" t="s">
        <v>3249</v>
      </c>
      <c r="H786" s="670" t="s">
        <v>3597</v>
      </c>
      <c r="I786" s="366"/>
      <c r="J786" s="555"/>
      <c r="K786" s="539"/>
      <c r="L786" s="539"/>
      <c r="M786" s="244"/>
      <c r="N786" s="166"/>
      <c r="P786" s="166"/>
    </row>
    <row r="787" spans="1:16" s="7" customFormat="1" ht="13.8" hidden="1" customHeight="1">
      <c r="A787" s="2152">
        <v>45187</v>
      </c>
      <c r="B787" s="726" t="s">
        <v>3599</v>
      </c>
      <c r="C787" s="128">
        <v>87306149</v>
      </c>
      <c r="D787" s="705" t="s">
        <v>3653</v>
      </c>
      <c r="E787" s="705"/>
      <c r="F787" s="701" t="s">
        <v>2755</v>
      </c>
      <c r="G787" s="670" t="s">
        <v>2019</v>
      </c>
      <c r="H787" s="670" t="s">
        <v>3600</v>
      </c>
      <c r="I787" s="366"/>
      <c r="J787" s="555"/>
      <c r="K787" s="539"/>
      <c r="L787" s="539"/>
      <c r="M787" s="244"/>
      <c r="N787" s="166"/>
      <c r="P787" s="166"/>
    </row>
    <row r="788" spans="1:16" s="7" customFormat="1" ht="13.8" hidden="1" customHeight="1">
      <c r="A788" s="2152">
        <v>45187</v>
      </c>
      <c r="B788" s="720" t="s">
        <v>3590</v>
      </c>
      <c r="C788" s="128">
        <v>87926821</v>
      </c>
      <c r="D788" s="705" t="s">
        <v>3653</v>
      </c>
      <c r="E788" s="705"/>
      <c r="F788" s="701" t="s">
        <v>2755</v>
      </c>
      <c r="G788" s="670" t="s">
        <v>3591</v>
      </c>
      <c r="H788" s="681" t="s">
        <v>3602</v>
      </c>
      <c r="I788" s="366"/>
      <c r="J788" s="555"/>
      <c r="K788" s="539"/>
      <c r="L788" s="539"/>
      <c r="M788" s="244"/>
      <c r="N788" s="166"/>
      <c r="P788" s="166"/>
    </row>
    <row r="789" spans="1:16" s="7" customFormat="1" ht="13.8" hidden="1" customHeight="1">
      <c r="A789" s="2152">
        <v>45187</v>
      </c>
      <c r="B789" s="891" t="s">
        <v>3993</v>
      </c>
      <c r="C789" s="128">
        <v>34664830</v>
      </c>
      <c r="D789" s="885" t="s">
        <v>4397</v>
      </c>
      <c r="E789" s="128">
        <v>10</v>
      </c>
      <c r="F789" s="6" t="s">
        <v>2755</v>
      </c>
      <c r="G789" s="670" t="s">
        <v>763</v>
      </c>
      <c r="H789" s="681" t="s">
        <v>3603</v>
      </c>
      <c r="I789" s="366"/>
      <c r="J789" s="555"/>
      <c r="K789" s="539"/>
      <c r="L789" s="539"/>
      <c r="M789" s="244"/>
      <c r="N789" s="166" t="s">
        <v>4450</v>
      </c>
      <c r="P789" s="166"/>
    </row>
    <row r="790" spans="1:16" s="7" customFormat="1" ht="13.8" hidden="1" customHeight="1">
      <c r="A790" s="2152">
        <v>45187</v>
      </c>
      <c r="B790" s="720" t="s">
        <v>3610</v>
      </c>
      <c r="C790" s="128">
        <v>88116557</v>
      </c>
      <c r="D790" s="705" t="s">
        <v>3653</v>
      </c>
      <c r="E790" s="705"/>
      <c r="F790" s="701" t="s">
        <v>2755</v>
      </c>
      <c r="G790" s="670" t="s">
        <v>2148</v>
      </c>
      <c r="H790" s="681" t="s">
        <v>3604</v>
      </c>
      <c r="I790" s="366"/>
      <c r="J790" s="555"/>
      <c r="K790" s="539"/>
      <c r="L790" s="539"/>
      <c r="M790" s="244"/>
      <c r="N790" s="166"/>
      <c r="P790" s="166"/>
    </row>
    <row r="791" spans="1:16" s="7" customFormat="1" ht="13.8" hidden="1" customHeight="1">
      <c r="A791" s="2152">
        <v>45187</v>
      </c>
      <c r="B791" s="799" t="s">
        <v>3605</v>
      </c>
      <c r="C791" s="128">
        <v>43777225</v>
      </c>
      <c r="D791" s="128"/>
      <c r="E791" s="128"/>
      <c r="F791" s="128"/>
      <c r="G791" s="670" t="s">
        <v>3249</v>
      </c>
      <c r="H791" s="681" t="s">
        <v>3606</v>
      </c>
      <c r="I791" s="366"/>
      <c r="J791" s="555"/>
      <c r="K791" s="539"/>
      <c r="L791" s="539"/>
      <c r="M791" s="244"/>
      <c r="N791" s="166"/>
      <c r="P791" s="166"/>
    </row>
    <row r="792" spans="1:16" s="7" customFormat="1" ht="13.8" hidden="1" customHeight="1">
      <c r="A792" s="2152">
        <v>45187</v>
      </c>
      <c r="B792" s="692" t="s">
        <v>3635</v>
      </c>
      <c r="C792" s="128"/>
      <c r="D792" s="128"/>
      <c r="E792" s="128"/>
      <c r="F792" s="128"/>
      <c r="G792" s="670" t="s">
        <v>3249</v>
      </c>
      <c r="H792" s="670" t="s">
        <v>3607</v>
      </c>
      <c r="I792" s="366"/>
      <c r="J792" s="555"/>
      <c r="K792" s="539"/>
      <c r="L792" s="539"/>
      <c r="M792" s="244"/>
      <c r="N792" s="166"/>
      <c r="P792" s="166"/>
    </row>
    <row r="793" spans="1:16" s="7" customFormat="1" ht="13.8" hidden="1" customHeight="1">
      <c r="A793" s="2152">
        <v>45187</v>
      </c>
      <c r="B793" s="679" t="s">
        <v>3608</v>
      </c>
      <c r="C793" s="128"/>
      <c r="D793" s="128"/>
      <c r="E793" s="128"/>
      <c r="F793" s="128"/>
      <c r="G793" s="670" t="s">
        <v>3510</v>
      </c>
      <c r="H793" s="670" t="s">
        <v>3609</v>
      </c>
      <c r="I793" s="366"/>
      <c r="J793" s="555"/>
      <c r="K793" s="539"/>
      <c r="L793" s="539"/>
      <c r="M793" s="244"/>
      <c r="N793" s="166"/>
      <c r="P793" s="166"/>
    </row>
    <row r="794" spans="1:16" s="7" customFormat="1" ht="13.8" hidden="1" customHeight="1">
      <c r="A794" s="2153">
        <v>45188</v>
      </c>
      <c r="B794" s="720" t="s">
        <v>3615</v>
      </c>
      <c r="C794" s="128">
        <v>85728173</v>
      </c>
      <c r="D794" s="128" t="s">
        <v>3650</v>
      </c>
      <c r="E794" s="128"/>
      <c r="F794" s="128" t="s">
        <v>2755</v>
      </c>
      <c r="G794" s="684" t="s">
        <v>3249</v>
      </c>
      <c r="H794" s="684" t="s">
        <v>3616</v>
      </c>
      <c r="I794" s="366"/>
      <c r="J794" s="555"/>
      <c r="K794" s="539"/>
      <c r="L794" s="539"/>
      <c r="M794" s="244"/>
      <c r="N794" s="166"/>
      <c r="P794" s="166"/>
    </row>
    <row r="795" spans="1:16" s="7" customFormat="1" ht="13.8" hidden="1" customHeight="1">
      <c r="A795" s="2153">
        <v>45188</v>
      </c>
      <c r="B795" s="704" t="s">
        <v>3617</v>
      </c>
      <c r="C795" s="128">
        <v>28272471</v>
      </c>
      <c r="D795" s="128" t="s">
        <v>3650</v>
      </c>
      <c r="E795" s="128"/>
      <c r="F795" s="128" t="s">
        <v>2755</v>
      </c>
      <c r="G795" s="684" t="s">
        <v>2554</v>
      </c>
      <c r="H795" s="684" t="s">
        <v>3618</v>
      </c>
      <c r="I795" s="366"/>
      <c r="J795" s="555"/>
      <c r="K795" s="539"/>
      <c r="L795" s="539"/>
      <c r="M795" s="244"/>
      <c r="N795" s="166"/>
      <c r="P795" s="166"/>
    </row>
    <row r="796" spans="1:16" s="7" customFormat="1" ht="13.8" hidden="1" customHeight="1">
      <c r="A796" s="2153">
        <v>45188</v>
      </c>
      <c r="B796" s="878" t="s">
        <v>3621</v>
      </c>
      <c r="C796" s="128">
        <v>47114335</v>
      </c>
      <c r="D796" s="761" t="s">
        <v>3862</v>
      </c>
      <c r="E796" s="761"/>
      <c r="F796" s="761" t="s">
        <v>3568</v>
      </c>
      <c r="G796" s="684" t="s">
        <v>2478</v>
      </c>
      <c r="H796" s="761" t="s">
        <v>3622</v>
      </c>
      <c r="I796" s="366"/>
      <c r="J796" s="555"/>
      <c r="K796" s="682" t="s">
        <v>3623</v>
      </c>
      <c r="L796" s="682"/>
      <c r="M796" s="244"/>
      <c r="N796" s="166"/>
      <c r="P796" s="166"/>
    </row>
    <row r="797" spans="1:16" s="7" customFormat="1" ht="13.8" hidden="1" customHeight="1">
      <c r="A797" s="2153">
        <v>45188</v>
      </c>
      <c r="B797" s="704" t="s">
        <v>3624</v>
      </c>
      <c r="C797" s="128">
        <v>41465544</v>
      </c>
      <c r="D797" s="705" t="s">
        <v>3653</v>
      </c>
      <c r="E797" s="705"/>
      <c r="F797" s="705" t="s">
        <v>2755</v>
      </c>
      <c r="G797" s="684" t="s">
        <v>3591</v>
      </c>
      <c r="H797" s="684" t="s">
        <v>3625</v>
      </c>
      <c r="I797" s="366"/>
      <c r="J797" s="555"/>
      <c r="K797" s="539"/>
      <c r="L797" s="539"/>
      <c r="M797" s="244"/>
      <c r="N797" s="166"/>
      <c r="P797" s="166"/>
    </row>
    <row r="798" spans="1:16" s="7" customFormat="1" ht="13.8" hidden="1" customHeight="1">
      <c r="A798" s="2153">
        <v>45188</v>
      </c>
      <c r="B798" s="814" t="s">
        <v>3626</v>
      </c>
      <c r="C798" s="128">
        <v>13028625</v>
      </c>
      <c r="D798" s="705" t="s">
        <v>3653</v>
      </c>
      <c r="E798" s="705"/>
      <c r="F798" s="705" t="s">
        <v>2755</v>
      </c>
      <c r="G798" s="684" t="s">
        <v>1006</v>
      </c>
      <c r="H798" s="684" t="s">
        <v>3627</v>
      </c>
      <c r="I798" s="366"/>
      <c r="J798" s="555">
        <v>22</v>
      </c>
      <c r="K798" s="539">
        <v>1</v>
      </c>
      <c r="L798" s="539"/>
      <c r="M798" s="815" t="s">
        <v>4142</v>
      </c>
      <c r="N798" s="166"/>
      <c r="P798" s="166"/>
    </row>
    <row r="799" spans="1:16" s="7" customFormat="1" ht="13.8" hidden="1" customHeight="1">
      <c r="A799" s="2154">
        <v>45189</v>
      </c>
      <c r="B799" s="803" t="s">
        <v>4038</v>
      </c>
      <c r="C799" s="683">
        <v>92403059</v>
      </c>
      <c r="D799" s="803" t="s">
        <v>4109</v>
      </c>
      <c r="E799" s="683"/>
      <c r="F799" s="796" t="s">
        <v>1743</v>
      </c>
      <c r="G799" s="683" t="s">
        <v>2614</v>
      </c>
      <c r="H799" s="683" t="s">
        <v>3629</v>
      </c>
      <c r="I799" s="683"/>
      <c r="J799" s="555"/>
      <c r="K799" s="539"/>
      <c r="L799" s="539"/>
      <c r="M799" s="816" t="s">
        <v>4153</v>
      </c>
      <c r="N799" s="166"/>
      <c r="P799" s="166"/>
    </row>
    <row r="800" spans="1:16" s="7" customFormat="1" ht="13.8" hidden="1" customHeight="1">
      <c r="A800" s="2154">
        <v>45189</v>
      </c>
      <c r="B800" s="819" t="s">
        <v>3666</v>
      </c>
      <c r="C800" s="683">
        <v>81852846</v>
      </c>
      <c r="D800" s="803" t="s">
        <v>4109</v>
      </c>
      <c r="E800" s="762"/>
      <c r="F800" s="818" t="s">
        <v>2755</v>
      </c>
      <c r="G800" s="683" t="s">
        <v>763</v>
      </c>
      <c r="H800" s="762" t="s">
        <v>3866</v>
      </c>
      <c r="I800" s="683"/>
      <c r="J800" s="555"/>
      <c r="K800" s="539"/>
      <c r="L800" s="539"/>
      <c r="M800" s="244"/>
      <c r="N800" s="882" t="s">
        <v>4382</v>
      </c>
      <c r="P800" s="166"/>
    </row>
    <row r="801" spans="1:16" s="7" customFormat="1" ht="13.8" hidden="1" customHeight="1">
      <c r="A801" s="2155">
        <v>45189</v>
      </c>
      <c r="B801" s="1312" t="s">
        <v>3672</v>
      </c>
      <c r="C801" s="128">
        <v>30587061</v>
      </c>
      <c r="D801" s="705" t="s">
        <v>3653</v>
      </c>
      <c r="E801" s="705"/>
      <c r="F801" s="705" t="s">
        <v>2755</v>
      </c>
      <c r="G801" s="691" t="s">
        <v>3249</v>
      </c>
      <c r="H801" s="691"/>
      <c r="I801" s="366"/>
      <c r="J801" s="555"/>
      <c r="K801" s="539"/>
      <c r="L801" s="539"/>
      <c r="M801" s="244"/>
      <c r="N801" s="166"/>
      <c r="P801" s="166"/>
    </row>
    <row r="802" spans="1:16" s="7" customFormat="1" ht="13.8" hidden="1" customHeight="1">
      <c r="A802" s="2155">
        <v>45190</v>
      </c>
      <c r="B802" s="1312" t="s">
        <v>3664</v>
      </c>
      <c r="C802" s="128">
        <v>16564366</v>
      </c>
      <c r="D802" s="727" t="s">
        <v>3679</v>
      </c>
      <c r="E802" s="727"/>
      <c r="F802" s="727" t="s">
        <v>3571</v>
      </c>
      <c r="G802" s="691" t="s">
        <v>1199</v>
      </c>
      <c r="H802" s="691" t="s">
        <v>3636</v>
      </c>
      <c r="I802" s="366"/>
      <c r="J802" s="555"/>
      <c r="K802" s="539"/>
      <c r="L802" s="539"/>
      <c r="M802" s="244"/>
      <c r="N802" s="166" t="s">
        <v>3800</v>
      </c>
      <c r="P802" s="166"/>
    </row>
    <row r="803" spans="1:16" s="7" customFormat="1" ht="13.8" customHeight="1">
      <c r="A803" s="2156">
        <v>45191</v>
      </c>
      <c r="B803" s="715" t="s">
        <v>3643</v>
      </c>
      <c r="C803" s="716"/>
      <c r="D803" s="288"/>
      <c r="E803" s="766" t="s">
        <v>3925</v>
      </c>
      <c r="F803" s="288"/>
      <c r="G803" s="697" t="s">
        <v>3645</v>
      </c>
      <c r="H803" s="697" t="s">
        <v>3644</v>
      </c>
      <c r="I803" s="360">
        <f>21-11-3.5</f>
        <v>6.5</v>
      </c>
      <c r="J803" s="555"/>
      <c r="K803" s="539"/>
      <c r="L803" s="539"/>
      <c r="M803" s="244"/>
      <c r="N803" s="166"/>
      <c r="P803" s="166"/>
    </row>
    <row r="804" spans="1:16" s="7" customFormat="1" ht="13.8" hidden="1" customHeight="1">
      <c r="A804" s="2157">
        <v>45192</v>
      </c>
      <c r="B804" s="717" t="s">
        <v>3648</v>
      </c>
      <c r="C804" s="719">
        <v>75772369</v>
      </c>
      <c r="D804" s="705" t="s">
        <v>3653</v>
      </c>
      <c r="E804" s="791">
        <v>10</v>
      </c>
      <c r="F804" s="705" t="s">
        <v>3568</v>
      </c>
      <c r="G804" s="705" t="s">
        <v>3649</v>
      </c>
      <c r="H804" s="897" t="s">
        <v>4418</v>
      </c>
      <c r="I804" s="366"/>
      <c r="J804" s="555"/>
      <c r="K804" s="539"/>
      <c r="L804" s="539"/>
      <c r="M804" s="244"/>
      <c r="N804" s="166"/>
      <c r="P804" s="166"/>
    </row>
    <row r="805" spans="1:16" s="711" customFormat="1" ht="13.8" hidden="1" customHeight="1">
      <c r="A805" s="2157">
        <v>45194</v>
      </c>
      <c r="B805" s="717" t="s">
        <v>3652</v>
      </c>
      <c r="C805" s="719">
        <v>86024408</v>
      </c>
      <c r="D805" s="885" t="s">
        <v>4397</v>
      </c>
      <c r="E805" s="1313"/>
      <c r="F805" s="885" t="s">
        <v>2755</v>
      </c>
      <c r="G805" s="705" t="s">
        <v>763</v>
      </c>
      <c r="H805" s="705" t="s">
        <v>3654</v>
      </c>
      <c r="I805" s="705"/>
      <c r="J805" s="703"/>
      <c r="K805" s="703"/>
      <c r="L805" s="703"/>
      <c r="M805" s="708"/>
      <c r="N805" s="166"/>
      <c r="O805" s="1311"/>
      <c r="P805" s="166"/>
    </row>
    <row r="806" spans="1:16" s="711" customFormat="1" ht="13.8" hidden="1" customHeight="1">
      <c r="A806" s="2157">
        <v>45194</v>
      </c>
      <c r="B806" s="717" t="s">
        <v>4012</v>
      </c>
      <c r="C806" s="719">
        <v>53029424</v>
      </c>
      <c r="D806" s="1313"/>
      <c r="E806" s="724"/>
      <c r="F806" s="1313"/>
      <c r="G806" s="705" t="s">
        <v>2019</v>
      </c>
      <c r="H806" s="705" t="s">
        <v>3660</v>
      </c>
      <c r="I806" s="705"/>
      <c r="J806" s="703"/>
      <c r="K806" s="703"/>
      <c r="L806" s="703"/>
      <c r="M806" s="708"/>
      <c r="N806" s="166"/>
      <c r="P806" s="166"/>
    </row>
    <row r="807" spans="1:16" s="711" customFormat="1" ht="13.8" hidden="1" customHeight="1">
      <c r="A807" s="2157">
        <v>45194</v>
      </c>
      <c r="B807" s="717" t="s">
        <v>3661</v>
      </c>
      <c r="C807" s="719">
        <v>34491353</v>
      </c>
      <c r="D807" s="724" t="s">
        <v>4109</v>
      </c>
      <c r="E807" s="724"/>
      <c r="F807" s="724" t="s">
        <v>2755</v>
      </c>
      <c r="G807" s="705" t="s">
        <v>1032</v>
      </c>
      <c r="H807" s="705" t="s">
        <v>3662</v>
      </c>
      <c r="I807" s="705"/>
      <c r="J807" s="703"/>
      <c r="K807" s="703"/>
      <c r="L807" s="703"/>
      <c r="M807" s="708"/>
      <c r="N807" s="166"/>
      <c r="O807" s="811" t="s">
        <v>4142</v>
      </c>
      <c r="P807" s="166"/>
    </row>
    <row r="808" spans="1:16" s="711" customFormat="1" ht="13.8" hidden="1" customHeight="1">
      <c r="A808" s="2158">
        <v>45195</v>
      </c>
      <c r="B808" s="717" t="s">
        <v>3670</v>
      </c>
      <c r="C808" s="1313">
        <v>26093663</v>
      </c>
      <c r="D808" s="724" t="s">
        <v>4234</v>
      </c>
      <c r="E808" s="724"/>
      <c r="F808" s="804" t="s">
        <v>2755</v>
      </c>
      <c r="G808" s="719" t="s">
        <v>1006</v>
      </c>
      <c r="H808" s="719" t="s">
        <v>3671</v>
      </c>
      <c r="I808" s="705"/>
      <c r="J808" s="703"/>
      <c r="K808" s="703"/>
      <c r="L808" s="703"/>
      <c r="M808" s="708"/>
      <c r="N808" s="166"/>
      <c r="O808" s="1311"/>
      <c r="P808" s="166"/>
    </row>
    <row r="809" spans="1:16" s="711" customFormat="1" ht="13.8" hidden="1" customHeight="1">
      <c r="A809" s="2159">
        <v>45196</v>
      </c>
      <c r="B809" s="717" t="s">
        <v>3680</v>
      </c>
      <c r="C809" s="724">
        <v>32871961</v>
      </c>
      <c r="D809" s="724"/>
      <c r="E809" s="724"/>
      <c r="F809" s="1313"/>
      <c r="G809" s="722" t="s">
        <v>3312</v>
      </c>
      <c r="H809" s="722" t="s">
        <v>3676</v>
      </c>
      <c r="I809" s="705"/>
      <c r="J809" s="703"/>
      <c r="K809" s="703"/>
      <c r="L809" s="703"/>
      <c r="M809" s="708"/>
      <c r="N809" s="166" t="s">
        <v>3800</v>
      </c>
      <c r="P809" s="166"/>
    </row>
    <row r="810" spans="1:16" s="711" customFormat="1" ht="13.8" hidden="1" customHeight="1">
      <c r="A810" s="2159">
        <v>45196</v>
      </c>
      <c r="B810" s="717" t="s">
        <v>3677</v>
      </c>
      <c r="C810" s="724">
        <v>35243113</v>
      </c>
      <c r="D810" s="724"/>
      <c r="E810" s="724"/>
      <c r="F810" s="724"/>
      <c r="G810" s="722" t="s">
        <v>2019</v>
      </c>
      <c r="H810" s="722" t="s">
        <v>3678</v>
      </c>
      <c r="I810" s="705"/>
      <c r="J810" s="703"/>
      <c r="K810" s="703"/>
      <c r="L810" s="703"/>
      <c r="M810" s="708"/>
      <c r="N810" s="166"/>
      <c r="P810" s="166"/>
    </row>
    <row r="811" spans="1:16" s="711" customFormat="1" ht="13.8" hidden="1" customHeight="1">
      <c r="A811" s="2160">
        <v>45197</v>
      </c>
      <c r="B811" s="717" t="s">
        <v>3684</v>
      </c>
      <c r="C811" s="724">
        <v>33617695</v>
      </c>
      <c r="D811" s="724" t="s">
        <v>4109</v>
      </c>
      <c r="E811" s="724"/>
      <c r="F811" s="796" t="s">
        <v>1743</v>
      </c>
      <c r="G811" s="727" t="s">
        <v>2115</v>
      </c>
      <c r="H811" s="727" t="s">
        <v>3685</v>
      </c>
      <c r="I811" s="705"/>
      <c r="J811" s="703"/>
      <c r="K811" s="703"/>
      <c r="L811" s="703"/>
      <c r="M811" s="708"/>
      <c r="N811" s="166"/>
      <c r="P811" s="166"/>
    </row>
    <row r="812" spans="1:16" s="711" customFormat="1" ht="13.8" hidden="1" customHeight="1">
      <c r="A812" s="2160">
        <v>45198</v>
      </c>
      <c r="B812" s="717" t="s">
        <v>3688</v>
      </c>
      <c r="C812" s="724">
        <v>43488889</v>
      </c>
      <c r="D812" s="724" t="s">
        <v>3800</v>
      </c>
      <c r="E812" s="724"/>
      <c r="F812" s="128" t="s">
        <v>3569</v>
      </c>
      <c r="G812" s="727" t="s">
        <v>1989</v>
      </c>
      <c r="H812" s="727" t="s">
        <v>3689</v>
      </c>
      <c r="I812" s="705"/>
      <c r="J812" s="703"/>
      <c r="K812" s="703"/>
      <c r="L812" s="703"/>
      <c r="M812" s="708"/>
      <c r="N812" s="166"/>
      <c r="O812" s="764" t="s">
        <v>3935</v>
      </c>
      <c r="P812" s="776" t="s">
        <v>3936</v>
      </c>
    </row>
    <row r="813" spans="1:16" s="711" customFormat="1" ht="14.4" hidden="1" customHeight="1">
      <c r="A813" s="2160">
        <v>45198</v>
      </c>
      <c r="B813" s="709"/>
      <c r="C813" s="1310"/>
      <c r="D813" s="1310"/>
      <c r="E813" s="1310"/>
      <c r="F813" s="1310"/>
      <c r="G813" s="723"/>
      <c r="H813" s="731" t="s">
        <v>3690</v>
      </c>
      <c r="I813" s="703"/>
      <c r="J813" s="703">
        <v>17.350000000000001</v>
      </c>
      <c r="K813" s="703"/>
      <c r="L813" s="703"/>
      <c r="M813" s="708"/>
      <c r="N813" s="166"/>
      <c r="O813" s="1311"/>
      <c r="P813" s="166"/>
    </row>
    <row r="814" spans="1:16" s="711" customFormat="1" ht="13.8" hidden="1" customHeight="1">
      <c r="A814" s="2160">
        <v>45198</v>
      </c>
      <c r="B814" s="1312" t="s">
        <v>3691</v>
      </c>
      <c r="C814" s="1313"/>
      <c r="D814" s="1313"/>
      <c r="E814" s="1313"/>
      <c r="F814" s="1313"/>
      <c r="G814" s="727" t="s">
        <v>667</v>
      </c>
      <c r="H814" s="727"/>
      <c r="I814" s="705"/>
      <c r="J814" s="703"/>
      <c r="K814" s="703"/>
      <c r="L814" s="703"/>
      <c r="M814" s="708"/>
      <c r="N814" s="166"/>
      <c r="P814" s="166"/>
    </row>
    <row r="815" spans="1:16" s="711" customFormat="1" ht="13.8" hidden="1" customHeight="1">
      <c r="A815" s="2160">
        <v>45199</v>
      </c>
      <c r="B815" s="717" t="s">
        <v>4199</v>
      </c>
      <c r="C815" s="724">
        <v>91153598</v>
      </c>
      <c r="D815" s="724" t="s">
        <v>4316</v>
      </c>
      <c r="E815" s="767" t="s">
        <v>3925</v>
      </c>
      <c r="F815" s="724" t="s">
        <v>4129</v>
      </c>
      <c r="G815" s="727" t="s">
        <v>2868</v>
      </c>
      <c r="H815" s="727"/>
      <c r="I815" s="705"/>
      <c r="J815" s="703"/>
      <c r="K815" s="703"/>
      <c r="L815" s="703"/>
      <c r="M815" s="708"/>
      <c r="N815" s="166"/>
      <c r="P815" s="166"/>
    </row>
    <row r="816" spans="1:16" s="711" customFormat="1" ht="13.8" hidden="1" customHeight="1">
      <c r="A816" s="2161">
        <v>45202</v>
      </c>
      <c r="B816" s="717" t="s">
        <v>3710</v>
      </c>
      <c r="C816" s="724">
        <v>38987123</v>
      </c>
      <c r="D816" s="804" t="s">
        <v>4109</v>
      </c>
      <c r="E816" s="750"/>
      <c r="F816" s="6" t="s">
        <v>2755</v>
      </c>
      <c r="G816" s="740" t="s">
        <v>1043</v>
      </c>
      <c r="H816" s="740" t="s">
        <v>3711</v>
      </c>
      <c r="I816" s="705"/>
      <c r="J816" s="703"/>
      <c r="K816" s="703"/>
      <c r="L816" s="703"/>
      <c r="M816" s="708"/>
      <c r="N816" s="166"/>
      <c r="P816" s="166"/>
    </row>
    <row r="817" spans="1:16" s="711" customFormat="1" ht="13.8" hidden="1" customHeight="1">
      <c r="A817" s="2161">
        <v>45203</v>
      </c>
      <c r="B817" s="717" t="s">
        <v>3721</v>
      </c>
      <c r="C817" s="724">
        <v>40209619</v>
      </c>
      <c r="D817" s="1313" t="s">
        <v>3836</v>
      </c>
      <c r="E817" s="1313"/>
      <c r="F817" s="761" t="s">
        <v>3568</v>
      </c>
      <c r="G817" s="740" t="s">
        <v>1006</v>
      </c>
      <c r="H817" s="740" t="s">
        <v>3718</v>
      </c>
      <c r="I817" s="705"/>
      <c r="J817" s="703"/>
      <c r="K817" s="703">
        <v>2</v>
      </c>
      <c r="L817" s="703"/>
      <c r="M817" s="815" t="s">
        <v>4142</v>
      </c>
      <c r="N817" s="166"/>
      <c r="P817" s="166"/>
    </row>
    <row r="818" spans="1:16" s="711" customFormat="1" ht="13.8" hidden="1" customHeight="1">
      <c r="A818" s="2161">
        <v>45203</v>
      </c>
      <c r="B818" s="717" t="s">
        <v>3820</v>
      </c>
      <c r="C818" s="724">
        <v>71428916</v>
      </c>
      <c r="D818" s="724" t="s">
        <v>4234</v>
      </c>
      <c r="E818" s="724"/>
      <c r="F818" s="128" t="s">
        <v>2755</v>
      </c>
      <c r="G818" s="6" t="s">
        <v>2335</v>
      </c>
      <c r="H818" s="740" t="s">
        <v>3739</v>
      </c>
      <c r="I818" s="705"/>
      <c r="J818" s="703"/>
      <c r="K818" s="703"/>
      <c r="L818" s="703"/>
      <c r="M818" s="708"/>
      <c r="N818" s="166" t="s">
        <v>4279</v>
      </c>
      <c r="P818" s="166"/>
    </row>
    <row r="819" spans="1:16" s="711" customFormat="1" ht="13.8" hidden="1" customHeight="1">
      <c r="A819" s="2161">
        <v>45203</v>
      </c>
      <c r="B819" s="717" t="s">
        <v>3821</v>
      </c>
      <c r="C819" s="724">
        <v>77197110</v>
      </c>
      <c r="D819" s="724" t="s">
        <v>3836</v>
      </c>
      <c r="E819" s="724"/>
      <c r="F819" s="1313" t="s">
        <v>3568</v>
      </c>
      <c r="G819" s="740" t="s">
        <v>2115</v>
      </c>
      <c r="H819" s="740" t="s">
        <v>3740</v>
      </c>
      <c r="I819" s="705"/>
      <c r="J819" s="703"/>
      <c r="K819" s="703"/>
      <c r="L819" s="703"/>
      <c r="M819" s="708"/>
      <c r="N819" s="166"/>
      <c r="P819" s="166"/>
    </row>
    <row r="820" spans="1:16" s="711" customFormat="1" ht="13.8" hidden="1" customHeight="1">
      <c r="A820" s="2161">
        <v>45203</v>
      </c>
      <c r="B820" s="717" t="s">
        <v>3746</v>
      </c>
      <c r="C820" s="724">
        <v>14850930</v>
      </c>
      <c r="D820" s="724" t="s">
        <v>3836</v>
      </c>
      <c r="E820" s="724"/>
      <c r="F820" s="724" t="s">
        <v>3568</v>
      </c>
      <c r="G820" s="740" t="s">
        <v>2115</v>
      </c>
      <c r="H820" s="740" t="s">
        <v>3741</v>
      </c>
      <c r="I820" s="705"/>
      <c r="J820" s="703"/>
      <c r="K820" s="703"/>
      <c r="L820" s="703"/>
      <c r="M820" s="708"/>
      <c r="N820" s="166"/>
      <c r="P820" s="166"/>
    </row>
    <row r="821" spans="1:16" s="711" customFormat="1" ht="13.8" hidden="1" customHeight="1">
      <c r="A821" s="2161">
        <v>45203</v>
      </c>
      <c r="B821" s="717" t="s">
        <v>3844</v>
      </c>
      <c r="C821" s="724">
        <v>31878277</v>
      </c>
      <c r="D821" s="885" t="s">
        <v>4397</v>
      </c>
      <c r="E821" s="724">
        <v>10</v>
      </c>
      <c r="F821" s="885" t="s">
        <v>2755</v>
      </c>
      <c r="G821" s="740" t="s">
        <v>763</v>
      </c>
      <c r="H821" s="740" t="s">
        <v>3742</v>
      </c>
      <c r="I821" s="705"/>
      <c r="J821" s="703"/>
      <c r="K821" s="703"/>
      <c r="L821" s="703"/>
      <c r="M821" s="708"/>
      <c r="N821" s="166" t="s">
        <v>4450</v>
      </c>
      <c r="P821" s="166"/>
    </row>
    <row r="822" spans="1:16" s="711" customFormat="1" ht="13.8" hidden="1" customHeight="1">
      <c r="A822" s="2161">
        <v>45203</v>
      </c>
      <c r="B822" s="717" t="s">
        <v>3834</v>
      </c>
      <c r="C822" s="724">
        <v>37171524</v>
      </c>
      <c r="D822" s="1313" t="s">
        <v>4109</v>
      </c>
      <c r="E822" s="724"/>
      <c r="F822" s="802" t="s">
        <v>2755</v>
      </c>
      <c r="G822" s="740" t="s">
        <v>2221</v>
      </c>
      <c r="H822" s="740" t="s">
        <v>3743</v>
      </c>
      <c r="I822" s="705"/>
      <c r="J822" s="703"/>
      <c r="K822" s="703"/>
      <c r="L822" s="703"/>
      <c r="M822" s="708"/>
      <c r="N822" s="166"/>
      <c r="P822" s="166"/>
    </row>
    <row r="823" spans="1:16" s="711" customFormat="1" ht="13.8" hidden="1" customHeight="1">
      <c r="A823" s="2161">
        <v>45204</v>
      </c>
      <c r="B823" s="709" t="s">
        <v>3749</v>
      </c>
      <c r="C823" s="1310">
        <v>48256939</v>
      </c>
      <c r="D823" s="1310"/>
      <c r="E823" s="1310"/>
      <c r="F823" s="1310"/>
      <c r="G823" s="738" t="s">
        <v>2005</v>
      </c>
      <c r="H823" s="738" t="s">
        <v>3750</v>
      </c>
      <c r="I823" s="703"/>
      <c r="J823" s="703"/>
      <c r="K823" s="703"/>
      <c r="L823" s="703"/>
      <c r="M823" s="708"/>
      <c r="N823" s="166"/>
      <c r="P823" s="166"/>
    </row>
    <row r="824" spans="1:16" s="711" customFormat="1" ht="13.8" hidden="1" customHeight="1">
      <c r="A824" s="2161">
        <v>45204</v>
      </c>
      <c r="B824" s="1312" t="s">
        <v>3915</v>
      </c>
      <c r="C824" s="1313">
        <v>77302612</v>
      </c>
      <c r="D824" s="1313" t="s">
        <v>3903</v>
      </c>
      <c r="E824" s="1313"/>
      <c r="F824" s="1313" t="s">
        <v>3568</v>
      </c>
      <c r="G824" s="740" t="s">
        <v>1199</v>
      </c>
      <c r="H824" s="740" t="s">
        <v>3751</v>
      </c>
      <c r="I824" s="705"/>
      <c r="J824" s="703"/>
      <c r="K824" s="703"/>
      <c r="L824" s="703"/>
      <c r="M824" s="708"/>
      <c r="N824" s="166" t="s">
        <v>4008</v>
      </c>
      <c r="P824" s="166"/>
    </row>
    <row r="825" spans="1:16" s="711" customFormat="1" ht="13.8" hidden="1" customHeight="1">
      <c r="A825" s="2161">
        <v>45204</v>
      </c>
      <c r="B825" s="717" t="s">
        <v>3757</v>
      </c>
      <c r="C825" s="724">
        <v>17250991</v>
      </c>
      <c r="D825" s="724" t="s">
        <v>3836</v>
      </c>
      <c r="E825" s="724"/>
      <c r="F825" s="724"/>
      <c r="G825" s="740" t="s">
        <v>1199</v>
      </c>
      <c r="H825" s="740" t="s">
        <v>3758</v>
      </c>
      <c r="I825" s="705"/>
      <c r="J825" s="703"/>
      <c r="K825" s="703"/>
      <c r="L825" s="703"/>
      <c r="M825" s="708"/>
      <c r="N825" s="166" t="s">
        <v>4008</v>
      </c>
      <c r="P825" s="166"/>
    </row>
    <row r="826" spans="1:16" s="711" customFormat="1" ht="13.8" hidden="1" customHeight="1">
      <c r="A826" s="2161">
        <v>45205</v>
      </c>
      <c r="B826" s="717" t="s">
        <v>3722</v>
      </c>
      <c r="C826" s="724">
        <v>72337394</v>
      </c>
      <c r="D826" s="724" t="s">
        <v>4127</v>
      </c>
      <c r="E826" s="724"/>
      <c r="F826" s="128" t="s">
        <v>2755</v>
      </c>
      <c r="G826" s="740" t="s">
        <v>2456</v>
      </c>
      <c r="H826" s="740" t="s">
        <v>3764</v>
      </c>
      <c r="I826" s="705"/>
      <c r="J826" s="703"/>
      <c r="K826" s="703"/>
      <c r="L826" s="703"/>
      <c r="M826" s="708"/>
      <c r="N826" s="166"/>
      <c r="P826" s="166"/>
    </row>
    <row r="827" spans="1:16" s="711" customFormat="1" ht="13.8" hidden="1" customHeight="1">
      <c r="A827" s="2161">
        <v>45205</v>
      </c>
      <c r="B827" s="717" t="s">
        <v>3762</v>
      </c>
      <c r="C827" s="724">
        <v>72745845</v>
      </c>
      <c r="D827" s="750" t="s">
        <v>3800</v>
      </c>
      <c r="E827" s="750"/>
      <c r="F827" s="6" t="s">
        <v>2755</v>
      </c>
      <c r="G827" s="740" t="s">
        <v>3249</v>
      </c>
      <c r="H827" s="740" t="s">
        <v>3763</v>
      </c>
      <c r="I827" s="705"/>
      <c r="J827" s="703"/>
      <c r="K827" s="703"/>
      <c r="L827" s="703"/>
      <c r="M827" s="708"/>
      <c r="N827" s="166"/>
      <c r="P827" s="166"/>
    </row>
    <row r="828" spans="1:16" s="711" customFormat="1" ht="13.8" customHeight="1">
      <c r="A828" s="2161">
        <v>45205</v>
      </c>
      <c r="B828" s="1312" t="s">
        <v>3714</v>
      </c>
      <c r="C828" s="1313">
        <v>13355605</v>
      </c>
      <c r="D828" s="1313" t="s">
        <v>4370</v>
      </c>
      <c r="E828" s="1313"/>
      <c r="F828" s="1481" t="s">
        <v>6196</v>
      </c>
      <c r="G828" s="740" t="s">
        <v>3713</v>
      </c>
      <c r="H828" s="902" t="s">
        <v>4422</v>
      </c>
      <c r="I828" s="705">
        <v>0</v>
      </c>
      <c r="J828" s="703">
        <v>5</v>
      </c>
      <c r="K828" s="703"/>
      <c r="L828" s="703"/>
      <c r="M828" s="708"/>
      <c r="N828" s="166"/>
      <c r="O828" s="1311"/>
      <c r="P828" s="166"/>
    </row>
    <row r="829" spans="1:16" s="711" customFormat="1" ht="13.8" hidden="1" customHeight="1">
      <c r="A829" s="2162">
        <v>45205</v>
      </c>
      <c r="B829" s="1312" t="s">
        <v>3712</v>
      </c>
      <c r="C829" s="1313">
        <v>88064241</v>
      </c>
      <c r="D829" s="1313" t="s">
        <v>4109</v>
      </c>
      <c r="E829" s="1313"/>
      <c r="F829" s="128" t="s">
        <v>2755</v>
      </c>
      <c r="G829" s="740" t="s">
        <v>3713</v>
      </c>
      <c r="H829" s="797" t="s">
        <v>4115</v>
      </c>
      <c r="I829" s="705"/>
      <c r="J829" s="703">
        <v>5</v>
      </c>
      <c r="K829" s="703"/>
      <c r="L829" s="703"/>
      <c r="M829" s="708"/>
      <c r="N829" s="166"/>
      <c r="O829" s="1311"/>
      <c r="P829" s="166"/>
    </row>
    <row r="830" spans="1:16" s="711" customFormat="1" ht="13.8" hidden="1" customHeight="1">
      <c r="A830" s="2162">
        <v>45206</v>
      </c>
      <c r="B830" s="717" t="s">
        <v>3789</v>
      </c>
      <c r="C830" s="724">
        <v>71444181</v>
      </c>
      <c r="D830" s="724" t="s">
        <v>3836</v>
      </c>
      <c r="E830" s="724"/>
      <c r="F830" s="1313" t="s">
        <v>3568</v>
      </c>
      <c r="G830" s="778" t="s">
        <v>1972</v>
      </c>
      <c r="H830" s="778" t="s">
        <v>3790</v>
      </c>
      <c r="I830" s="705"/>
      <c r="J830" s="703"/>
      <c r="K830" s="703"/>
      <c r="L830" s="703"/>
      <c r="M830" s="708"/>
      <c r="N830" s="166"/>
      <c r="P830" s="166"/>
    </row>
    <row r="831" spans="1:16" s="711" customFormat="1" ht="13.8" hidden="1" customHeight="1">
      <c r="A831" s="2162">
        <v>45206</v>
      </c>
      <c r="B831" s="717" t="s">
        <v>3995</v>
      </c>
      <c r="C831" s="724">
        <v>80501778</v>
      </c>
      <c r="D831" s="724"/>
      <c r="E831" s="724"/>
      <c r="F831" s="724" t="s">
        <v>2755</v>
      </c>
      <c r="G831" s="778" t="s">
        <v>1996</v>
      </c>
      <c r="H831" s="761" t="s">
        <v>3848</v>
      </c>
      <c r="I831" s="705"/>
      <c r="J831" s="703"/>
      <c r="K831" s="703"/>
      <c r="L831" s="703"/>
      <c r="M831" s="708"/>
      <c r="N831" s="166"/>
      <c r="P831" s="166"/>
    </row>
    <row r="832" spans="1:16" s="711" customFormat="1" ht="13.8" hidden="1" customHeight="1">
      <c r="A832" s="753"/>
      <c r="B832" s="717" t="s">
        <v>3791</v>
      </c>
      <c r="C832" s="724"/>
      <c r="D832" s="724"/>
      <c r="E832" s="767" t="s">
        <v>3925</v>
      </c>
      <c r="F832" s="724"/>
      <c r="G832" s="751" t="s">
        <v>1970</v>
      </c>
      <c r="H832" s="751" t="s">
        <v>3792</v>
      </c>
      <c r="I832" s="705"/>
      <c r="J832" s="703"/>
      <c r="K832" s="703">
        <v>2</v>
      </c>
      <c r="L832" s="703"/>
      <c r="M832" s="815" t="s">
        <v>4142</v>
      </c>
      <c r="N832" s="166"/>
      <c r="P832" s="166"/>
    </row>
    <row r="833" spans="1:16" s="711" customFormat="1" ht="13.8" hidden="1" customHeight="1">
      <c r="A833" s="2163">
        <v>45207</v>
      </c>
      <c r="B833" s="717" t="s">
        <v>3875</v>
      </c>
      <c r="C833" s="724">
        <v>74276412</v>
      </c>
      <c r="D833" s="724"/>
      <c r="E833" s="1313"/>
      <c r="F833" s="724"/>
      <c r="G833" s="751" t="s">
        <v>1970</v>
      </c>
      <c r="H833" s="751" t="s">
        <v>3793</v>
      </c>
      <c r="I833" s="705"/>
      <c r="J833" s="703"/>
      <c r="K833" s="703">
        <v>2</v>
      </c>
      <c r="L833" s="703"/>
      <c r="M833" s="815" t="s">
        <v>4142</v>
      </c>
      <c r="N833" s="166"/>
      <c r="P833" s="166"/>
    </row>
    <row r="834" spans="1:16" s="711" customFormat="1" ht="13.8" hidden="1" customHeight="1">
      <c r="A834" s="2163">
        <v>45207</v>
      </c>
      <c r="B834" s="717" t="s">
        <v>3794</v>
      </c>
      <c r="C834" s="724"/>
      <c r="D834" s="750" t="s">
        <v>3800</v>
      </c>
      <c r="E834" s="750"/>
      <c r="F834" s="6" t="s">
        <v>2755</v>
      </c>
      <c r="G834" s="751" t="s">
        <v>1970</v>
      </c>
      <c r="H834" s="751" t="s">
        <v>3795</v>
      </c>
      <c r="I834" s="705"/>
      <c r="J834" s="703"/>
      <c r="K834" s="703">
        <v>2</v>
      </c>
      <c r="L834" s="703"/>
      <c r="M834" s="815" t="s">
        <v>4142</v>
      </c>
      <c r="N834" s="166"/>
      <c r="P834" s="166"/>
    </row>
    <row r="835" spans="1:16" s="711" customFormat="1" ht="13.8" hidden="1" customHeight="1">
      <c r="A835" s="2163">
        <v>45207</v>
      </c>
      <c r="B835" s="717" t="s">
        <v>3928</v>
      </c>
      <c r="C835" s="724">
        <v>23707957</v>
      </c>
      <c r="D835" s="1313"/>
      <c r="E835" s="1313"/>
      <c r="F835" s="1313"/>
      <c r="G835" s="751" t="s">
        <v>1970</v>
      </c>
      <c r="H835" s="751" t="s">
        <v>3796</v>
      </c>
      <c r="I835" s="705"/>
      <c r="J835" s="703"/>
      <c r="K835" s="703">
        <v>2</v>
      </c>
      <c r="L835" s="703"/>
      <c r="M835" s="815" t="s">
        <v>4142</v>
      </c>
      <c r="N835" s="166"/>
      <c r="P835" s="166"/>
    </row>
    <row r="836" spans="1:16" s="711" customFormat="1" ht="13.8" hidden="1" customHeight="1">
      <c r="A836" s="2163">
        <v>45208</v>
      </c>
      <c r="B836" s="717" t="s">
        <v>3801</v>
      </c>
      <c r="C836" s="724"/>
      <c r="D836" s="724" t="s">
        <v>3800</v>
      </c>
      <c r="E836" s="724"/>
      <c r="F836" s="128" t="s">
        <v>3569</v>
      </c>
      <c r="G836" s="751" t="s">
        <v>1970</v>
      </c>
      <c r="H836" s="751" t="s">
        <v>3802</v>
      </c>
      <c r="I836" s="705"/>
      <c r="J836" s="703"/>
      <c r="K836" s="703">
        <v>2</v>
      </c>
      <c r="L836" s="703"/>
      <c r="M836" s="815" t="s">
        <v>4142</v>
      </c>
      <c r="N836" s="166"/>
      <c r="P836" s="166"/>
    </row>
    <row r="837" spans="1:16" s="711" customFormat="1" ht="13.8" hidden="1" customHeight="1">
      <c r="A837" s="2163">
        <v>45208</v>
      </c>
      <c r="B837" s="717" t="s">
        <v>3803</v>
      </c>
      <c r="C837" s="724">
        <v>76621486</v>
      </c>
      <c r="D837" s="724"/>
      <c r="E837" s="724"/>
      <c r="F837" s="1313"/>
      <c r="G837" s="751" t="s">
        <v>1970</v>
      </c>
      <c r="H837" s="751" t="s">
        <v>3804</v>
      </c>
      <c r="I837" s="705"/>
      <c r="J837" s="703"/>
      <c r="K837" s="703">
        <v>2</v>
      </c>
      <c r="L837" s="703"/>
      <c r="M837" s="815" t="s">
        <v>4142</v>
      </c>
      <c r="N837" s="166"/>
      <c r="P837" s="166"/>
    </row>
    <row r="838" spans="1:16" s="711" customFormat="1" ht="13.8" hidden="1" customHeight="1">
      <c r="A838" s="2163">
        <v>45208</v>
      </c>
      <c r="B838" s="717" t="s">
        <v>3805</v>
      </c>
      <c r="C838" s="724"/>
      <c r="D838" s="724" t="s">
        <v>3800</v>
      </c>
      <c r="E838" s="724"/>
      <c r="F838" s="128" t="s">
        <v>3569</v>
      </c>
      <c r="G838" s="751" t="s">
        <v>1970</v>
      </c>
      <c r="H838" s="751" t="s">
        <v>3806</v>
      </c>
      <c r="I838" s="705"/>
      <c r="J838" s="703"/>
      <c r="K838" s="703">
        <v>2</v>
      </c>
      <c r="L838" s="703"/>
      <c r="M838" s="815" t="s">
        <v>4142</v>
      </c>
      <c r="N838" s="166"/>
      <c r="P838" s="166"/>
    </row>
    <row r="839" spans="1:16" s="711" customFormat="1" ht="13.8" hidden="1" customHeight="1">
      <c r="A839" s="2163">
        <v>45208</v>
      </c>
      <c r="B839" s="717" t="s">
        <v>3807</v>
      </c>
      <c r="C839" s="724">
        <v>91439909</v>
      </c>
      <c r="D839" s="724" t="s">
        <v>3571</v>
      </c>
      <c r="E839" s="724"/>
      <c r="F839" s="1313"/>
      <c r="G839" s="751" t="s">
        <v>1970</v>
      </c>
      <c r="H839" s="751" t="s">
        <v>3808</v>
      </c>
      <c r="I839" s="705"/>
      <c r="J839" s="703"/>
      <c r="K839" s="703">
        <v>2</v>
      </c>
      <c r="L839" s="703"/>
      <c r="M839" s="815" t="s">
        <v>4142</v>
      </c>
      <c r="N839" s="166"/>
      <c r="P839" s="166"/>
    </row>
    <row r="840" spans="1:16" s="711" customFormat="1" ht="13.8" hidden="1" customHeight="1">
      <c r="A840" s="2163">
        <v>45208</v>
      </c>
      <c r="B840" s="717" t="s">
        <v>4385</v>
      </c>
      <c r="C840" s="724">
        <v>21799308</v>
      </c>
      <c r="D840" s="724" t="s">
        <v>4443</v>
      </c>
      <c r="E840" s="821">
        <v>10</v>
      </c>
      <c r="F840" s="724" t="s">
        <v>3568</v>
      </c>
      <c r="G840" s="751" t="s">
        <v>2056</v>
      </c>
      <c r="H840" s="751" t="s">
        <v>3809</v>
      </c>
      <c r="I840" s="705"/>
      <c r="J840" s="703"/>
      <c r="K840" s="703"/>
      <c r="L840" s="703"/>
      <c r="M840" s="708"/>
      <c r="N840" s="166"/>
      <c r="P840" s="166"/>
    </row>
    <row r="841" spans="1:16" s="711" customFormat="1" ht="13.8" hidden="1" customHeight="1">
      <c r="A841" s="2163">
        <v>45208</v>
      </c>
      <c r="B841" s="1709" t="s">
        <v>3930</v>
      </c>
      <c r="C841" s="724">
        <v>33360190</v>
      </c>
      <c r="D841" s="724" t="s">
        <v>3836</v>
      </c>
      <c r="E841" s="1313"/>
      <c r="F841" s="724" t="s">
        <v>3568</v>
      </c>
      <c r="G841" s="751" t="s">
        <v>2306</v>
      </c>
      <c r="H841" s="751" t="s">
        <v>3810</v>
      </c>
      <c r="I841" s="705"/>
      <c r="J841" s="703"/>
      <c r="K841" s="703"/>
      <c r="L841" s="703"/>
      <c r="M841" s="708"/>
      <c r="N841" s="166"/>
      <c r="P841" s="166"/>
    </row>
    <row r="842" spans="1:16" s="711" customFormat="1" ht="13.8" hidden="1" customHeight="1">
      <c r="A842" s="2163">
        <v>45209</v>
      </c>
      <c r="B842" s="1312" t="s">
        <v>3812</v>
      </c>
      <c r="C842" s="724">
        <v>58357921</v>
      </c>
      <c r="D842" s="724" t="s">
        <v>3836</v>
      </c>
      <c r="E842" s="724"/>
      <c r="F842" s="724"/>
      <c r="G842" s="751" t="s">
        <v>1199</v>
      </c>
      <c r="H842" s="751" t="s">
        <v>3813</v>
      </c>
      <c r="I842" s="705"/>
      <c r="J842" s="703"/>
      <c r="K842" s="703"/>
      <c r="L842" s="703"/>
      <c r="M842" s="708"/>
      <c r="N842" s="166" t="s">
        <v>4008</v>
      </c>
      <c r="P842" s="166"/>
    </row>
    <row r="843" spans="1:16" s="711" customFormat="1" ht="13.8" hidden="1" customHeight="1">
      <c r="A843" s="2163">
        <v>45209</v>
      </c>
      <c r="B843" s="717" t="s">
        <v>3814</v>
      </c>
      <c r="C843" s="724">
        <v>59019544</v>
      </c>
      <c r="D843" s="724"/>
      <c r="E843" s="724"/>
      <c r="F843" s="724"/>
      <c r="G843" s="751" t="s">
        <v>1970</v>
      </c>
      <c r="H843" s="751" t="s">
        <v>3815</v>
      </c>
      <c r="I843" s="705"/>
      <c r="J843" s="703"/>
      <c r="K843" s="703">
        <v>2</v>
      </c>
      <c r="L843" s="703"/>
      <c r="M843" s="815" t="s">
        <v>4142</v>
      </c>
      <c r="N843" s="166"/>
      <c r="P843" s="166"/>
    </row>
    <row r="844" spans="1:16" s="711" customFormat="1" ht="13.8" hidden="1" customHeight="1">
      <c r="A844" s="2163">
        <v>45209</v>
      </c>
      <c r="B844" s="717" t="s">
        <v>3816</v>
      </c>
      <c r="C844" s="724">
        <v>78761727</v>
      </c>
      <c r="D844" s="761" t="s">
        <v>3872</v>
      </c>
      <c r="E844" s="767" t="s">
        <v>3933</v>
      </c>
      <c r="F844" s="724"/>
      <c r="G844" s="751" t="s">
        <v>1970</v>
      </c>
      <c r="H844" s="751" t="s">
        <v>3817</v>
      </c>
      <c r="I844" s="705"/>
      <c r="J844" s="703"/>
      <c r="K844" s="703">
        <v>2</v>
      </c>
      <c r="L844" s="703"/>
      <c r="M844" s="815" t="s">
        <v>4142</v>
      </c>
      <c r="N844" s="166"/>
      <c r="P844" s="166"/>
    </row>
    <row r="845" spans="1:16" s="711" customFormat="1" ht="13.8" hidden="1" customHeight="1">
      <c r="A845" s="2163">
        <v>45209</v>
      </c>
      <c r="B845" s="717" t="s">
        <v>3818</v>
      </c>
      <c r="C845" s="724">
        <v>22941090</v>
      </c>
      <c r="D845" s="1313"/>
      <c r="E845" s="1313"/>
      <c r="F845" s="724"/>
      <c r="G845" s="751" t="s">
        <v>1970</v>
      </c>
      <c r="H845" s="751" t="s">
        <v>3819</v>
      </c>
      <c r="I845" s="705"/>
      <c r="J845" s="703"/>
      <c r="K845" s="703">
        <v>2</v>
      </c>
      <c r="L845" s="703"/>
      <c r="M845" s="815" t="s">
        <v>4142</v>
      </c>
      <c r="N845" s="166"/>
      <c r="P845" s="166"/>
    </row>
    <row r="846" spans="1:16" s="711" customFormat="1" ht="13.8" hidden="1" customHeight="1">
      <c r="A846" s="2163">
        <v>45209</v>
      </c>
      <c r="B846" s="712" t="s">
        <v>3822</v>
      </c>
      <c r="C846" s="735">
        <v>90278574</v>
      </c>
      <c r="D846" s="735" t="s">
        <v>3836</v>
      </c>
      <c r="E846" s="735"/>
      <c r="F846" s="735" t="s">
        <v>3568</v>
      </c>
      <c r="G846" s="752" t="s">
        <v>763</v>
      </c>
      <c r="H846" s="752" t="s">
        <v>3823</v>
      </c>
      <c r="I846" s="707"/>
      <c r="J846" s="703"/>
      <c r="K846" s="832" t="s">
        <v>4200</v>
      </c>
      <c r="L846" s="832"/>
      <c r="M846" s="708"/>
      <c r="N846" s="166"/>
      <c r="P846" s="166"/>
    </row>
    <row r="847" spans="1:16" s="711" customFormat="1" ht="13.8" hidden="1" customHeight="1">
      <c r="A847" s="2163">
        <v>45209</v>
      </c>
      <c r="B847" s="1312" t="s">
        <v>4386</v>
      </c>
      <c r="C847" s="1313">
        <v>51217684</v>
      </c>
      <c r="D847" s="1313" t="s">
        <v>4397</v>
      </c>
      <c r="E847" s="1313">
        <v>10</v>
      </c>
      <c r="F847" s="1313" t="s">
        <v>2755</v>
      </c>
      <c r="G847" s="751" t="s">
        <v>3824</v>
      </c>
      <c r="H847" s="751" t="s">
        <v>3825</v>
      </c>
      <c r="I847" s="705"/>
      <c r="J847" s="703"/>
      <c r="K847" s="703"/>
      <c r="L847" s="703"/>
      <c r="M847" s="708">
        <v>1</v>
      </c>
      <c r="N847" s="166"/>
      <c r="P847" s="166"/>
    </row>
    <row r="848" spans="1:16" s="711" customFormat="1" ht="13.8" hidden="1" customHeight="1">
      <c r="A848" s="2163">
        <v>45209</v>
      </c>
      <c r="B848" s="717" t="s">
        <v>3826</v>
      </c>
      <c r="C848" s="724">
        <v>83587459</v>
      </c>
      <c r="D848" s="724"/>
      <c r="E848" s="724"/>
      <c r="F848" s="724"/>
      <c r="G848" s="751" t="s">
        <v>2221</v>
      </c>
      <c r="H848" s="751" t="s">
        <v>3827</v>
      </c>
      <c r="I848" s="705"/>
      <c r="J848" s="703"/>
      <c r="K848" s="703"/>
      <c r="L848" s="703"/>
      <c r="M848" s="708"/>
      <c r="N848" s="166"/>
      <c r="P848" s="166"/>
    </row>
    <row r="849" spans="1:16" s="711" customFormat="1" ht="13.8" hidden="1" customHeight="1">
      <c r="A849" s="2163">
        <v>45209</v>
      </c>
      <c r="B849" s="717" t="s">
        <v>3828</v>
      </c>
      <c r="C849" s="724">
        <v>90789150</v>
      </c>
      <c r="D849" s="724"/>
      <c r="E849" s="724"/>
      <c r="F849" s="724"/>
      <c r="G849" s="751" t="s">
        <v>1970</v>
      </c>
      <c r="H849" s="751" t="s">
        <v>3829</v>
      </c>
      <c r="I849" s="705"/>
      <c r="J849" s="703"/>
      <c r="K849" s="703">
        <v>2</v>
      </c>
      <c r="L849" s="703"/>
      <c r="M849" s="815" t="s">
        <v>4142</v>
      </c>
      <c r="N849" s="166"/>
      <c r="P849" s="166"/>
    </row>
    <row r="850" spans="1:16" s="711" customFormat="1" ht="13.8" hidden="1" customHeight="1">
      <c r="A850" s="2163">
        <v>45209</v>
      </c>
      <c r="B850" s="717" t="s">
        <v>3830</v>
      </c>
      <c r="C850" s="724">
        <v>53262064</v>
      </c>
      <c r="D850" s="802" t="s">
        <v>4109</v>
      </c>
      <c r="E850" s="767" t="s">
        <v>3925</v>
      </c>
      <c r="F850" s="802" t="s">
        <v>2755</v>
      </c>
      <c r="G850" s="751" t="s">
        <v>1970</v>
      </c>
      <c r="H850" s="751" t="s">
        <v>3831</v>
      </c>
      <c r="I850" s="705"/>
      <c r="J850" s="703"/>
      <c r="K850" s="703">
        <v>2</v>
      </c>
      <c r="L850" s="703"/>
      <c r="M850" s="815" t="s">
        <v>4142</v>
      </c>
      <c r="N850" s="166"/>
      <c r="P850" s="166"/>
    </row>
    <row r="851" spans="1:16" s="711" customFormat="1" ht="13.8" hidden="1" customHeight="1">
      <c r="A851" s="2163">
        <v>45209</v>
      </c>
      <c r="B851" s="717" t="s">
        <v>4533</v>
      </c>
      <c r="C851" s="724">
        <v>30965170</v>
      </c>
      <c r="D851" s="1313" t="s">
        <v>4443</v>
      </c>
      <c r="E851" s="1313">
        <v>10</v>
      </c>
      <c r="F851" s="1313" t="s">
        <v>3583</v>
      </c>
      <c r="G851" s="751" t="s">
        <v>2056</v>
      </c>
      <c r="H851" s="751" t="s">
        <v>3832</v>
      </c>
      <c r="I851" s="705"/>
      <c r="J851" s="703"/>
      <c r="K851" s="703"/>
      <c r="L851" s="703"/>
      <c r="M851" s="708"/>
      <c r="N851" s="166"/>
      <c r="P851" s="166"/>
    </row>
    <row r="852" spans="1:16" s="711" customFormat="1" ht="13.8" hidden="1" customHeight="1">
      <c r="A852" s="2164">
        <v>45210</v>
      </c>
      <c r="B852" s="717" t="s">
        <v>3846</v>
      </c>
      <c r="C852" s="724">
        <v>30149322</v>
      </c>
      <c r="D852" s="724" t="s">
        <v>3836</v>
      </c>
      <c r="E852" s="724"/>
      <c r="F852" s="724" t="s">
        <v>3568</v>
      </c>
      <c r="G852" s="761" t="s">
        <v>1949</v>
      </c>
      <c r="H852" s="761" t="s">
        <v>3847</v>
      </c>
      <c r="I852" s="705"/>
      <c r="J852" s="703"/>
      <c r="K852" s="703"/>
      <c r="L852" s="703"/>
      <c r="M852" s="708"/>
      <c r="N852" s="166"/>
      <c r="O852" s="711" t="s">
        <v>4109</v>
      </c>
      <c r="P852" s="166"/>
    </row>
    <row r="853" spans="1:16" s="711" customFormat="1" ht="13.8" hidden="1" customHeight="1">
      <c r="A853" s="2164">
        <v>45210</v>
      </c>
      <c r="B853" s="717" t="s">
        <v>3851</v>
      </c>
      <c r="C853" s="724">
        <v>32409198</v>
      </c>
      <c r="D853" s="724" t="s">
        <v>4443</v>
      </c>
      <c r="E853" s="821">
        <v>10</v>
      </c>
      <c r="F853" s="724" t="s">
        <v>3568</v>
      </c>
      <c r="G853" s="761" t="s">
        <v>2056</v>
      </c>
      <c r="H853" s="761" t="s">
        <v>3852</v>
      </c>
      <c r="I853" s="705"/>
      <c r="J853" s="703"/>
      <c r="K853" s="703"/>
      <c r="L853" s="703"/>
      <c r="M853" s="708"/>
      <c r="N853" s="166"/>
      <c r="P853" s="166"/>
    </row>
    <row r="854" spans="1:16" s="711" customFormat="1" ht="13.8" hidden="1" customHeight="1">
      <c r="A854" s="2164">
        <v>45210</v>
      </c>
      <c r="B854" s="717" t="s">
        <v>3853</v>
      </c>
      <c r="C854" s="724">
        <v>46916041</v>
      </c>
      <c r="D854" s="724" t="s">
        <v>3836</v>
      </c>
      <c r="E854" s="1313"/>
      <c r="F854" s="724" t="s">
        <v>3568</v>
      </c>
      <c r="G854" s="761" t="s">
        <v>1970</v>
      </c>
      <c r="H854" s="761" t="s">
        <v>3854</v>
      </c>
      <c r="I854" s="705"/>
      <c r="J854" s="703"/>
      <c r="K854" s="703">
        <v>2</v>
      </c>
      <c r="L854" s="703"/>
      <c r="M854" s="815" t="s">
        <v>4142</v>
      </c>
      <c r="N854" s="166"/>
      <c r="P854" s="166"/>
    </row>
    <row r="855" spans="1:16" s="711" customFormat="1" ht="13.8" hidden="1" customHeight="1">
      <c r="A855" s="2164">
        <v>45210</v>
      </c>
      <c r="B855" s="717" t="s">
        <v>4108</v>
      </c>
      <c r="C855" s="724">
        <v>86579121</v>
      </c>
      <c r="D855" s="724" t="s">
        <v>4316</v>
      </c>
      <c r="E855" s="724"/>
      <c r="F855" s="724" t="s">
        <v>2755</v>
      </c>
      <c r="G855" s="761" t="s">
        <v>2073</v>
      </c>
      <c r="H855" s="761" t="s">
        <v>3855</v>
      </c>
      <c r="I855" s="705"/>
      <c r="J855" s="703"/>
      <c r="K855" s="703"/>
      <c r="L855" s="703"/>
      <c r="M855" s="708"/>
      <c r="N855" s="166"/>
      <c r="P855" s="166"/>
    </row>
    <row r="856" spans="1:16" s="711" customFormat="1" ht="13.8" hidden="1" customHeight="1">
      <c r="A856" s="2164">
        <v>45210</v>
      </c>
      <c r="B856" s="717" t="s">
        <v>3856</v>
      </c>
      <c r="C856" s="724">
        <v>29287838</v>
      </c>
      <c r="D856" s="724" t="s">
        <v>4443</v>
      </c>
      <c r="E856" s="724">
        <v>10</v>
      </c>
      <c r="F856" s="724" t="s">
        <v>3568</v>
      </c>
      <c r="G856" s="761" t="s">
        <v>2056</v>
      </c>
      <c r="H856" s="761" t="s">
        <v>3857</v>
      </c>
      <c r="I856" s="705"/>
      <c r="J856" s="703"/>
      <c r="K856" s="703"/>
      <c r="L856" s="703"/>
      <c r="M856" s="708"/>
      <c r="N856" s="166"/>
      <c r="P856" s="166"/>
    </row>
    <row r="857" spans="1:16" s="711" customFormat="1" ht="13.8" hidden="1" customHeight="1">
      <c r="A857" s="2164">
        <v>45210</v>
      </c>
      <c r="B857" s="1312" t="s">
        <v>4039</v>
      </c>
      <c r="C857" s="1313">
        <v>34031580</v>
      </c>
      <c r="D857" s="1313" t="s">
        <v>4370</v>
      </c>
      <c r="E857" s="1313" t="s">
        <v>6443</v>
      </c>
      <c r="F857" s="1481" t="s">
        <v>6196</v>
      </c>
      <c r="G857" s="761" t="s">
        <v>2005</v>
      </c>
      <c r="H857" s="761" t="s">
        <v>3858</v>
      </c>
      <c r="I857" s="705"/>
      <c r="J857" s="703">
        <v>5</v>
      </c>
      <c r="K857" s="703"/>
      <c r="L857" s="703"/>
      <c r="M857" s="708"/>
      <c r="N857" s="166"/>
      <c r="O857" s="1311"/>
      <c r="P857" s="166"/>
    </row>
    <row r="858" spans="1:16" s="711" customFormat="1" ht="13.8" hidden="1" customHeight="1">
      <c r="A858" s="2164">
        <v>45210</v>
      </c>
      <c r="B858" s="1312" t="s">
        <v>3914</v>
      </c>
      <c r="C858" s="1313"/>
      <c r="D858" s="1313"/>
      <c r="E858" s="1313"/>
      <c r="F858" s="1313"/>
      <c r="G858" s="761" t="s">
        <v>2005</v>
      </c>
      <c r="H858" s="761" t="s">
        <v>3859</v>
      </c>
      <c r="I858" s="705"/>
      <c r="J858" s="703"/>
      <c r="K858" s="703"/>
      <c r="L858" s="703"/>
      <c r="M858" s="708"/>
      <c r="N858" s="166"/>
      <c r="O858" s="1311"/>
      <c r="P858" s="166"/>
    </row>
    <row r="859" spans="1:16" s="711" customFormat="1" ht="13.8" hidden="1" customHeight="1">
      <c r="A859" s="2164">
        <v>45211</v>
      </c>
      <c r="B859" s="717" t="s">
        <v>3864</v>
      </c>
      <c r="C859" s="724">
        <v>63944230</v>
      </c>
      <c r="D859" s="724" t="s">
        <v>3862</v>
      </c>
      <c r="E859" s="724"/>
      <c r="F859" s="724" t="s">
        <v>3568</v>
      </c>
      <c r="G859" s="761" t="s">
        <v>1006</v>
      </c>
      <c r="H859" s="761" t="s">
        <v>3865</v>
      </c>
      <c r="I859" s="705"/>
      <c r="J859" s="703"/>
      <c r="K859" s="703">
        <v>1</v>
      </c>
      <c r="L859" s="703"/>
      <c r="M859" s="815" t="s">
        <v>4142</v>
      </c>
      <c r="N859" s="166"/>
      <c r="P859" s="166"/>
    </row>
    <row r="860" spans="1:16" s="711" customFormat="1" ht="13.8" hidden="1" customHeight="1">
      <c r="A860" s="2164">
        <v>45211</v>
      </c>
      <c r="B860" s="717" t="s">
        <v>3873</v>
      </c>
      <c r="C860" s="724">
        <v>16535479</v>
      </c>
      <c r="D860" s="797" t="s">
        <v>4109</v>
      </c>
      <c r="E860" s="761"/>
      <c r="F860" s="802" t="s">
        <v>2755</v>
      </c>
      <c r="G860" s="761" t="s">
        <v>2749</v>
      </c>
      <c r="H860" s="761" t="s">
        <v>3874</v>
      </c>
      <c r="I860" s="705"/>
      <c r="J860" s="703"/>
      <c r="K860" s="703"/>
      <c r="L860" s="703"/>
      <c r="M860" s="708"/>
      <c r="N860" s="166"/>
      <c r="P860" s="166"/>
    </row>
    <row r="861" spans="1:16" s="711" customFormat="1" ht="13.8" hidden="1" customHeight="1">
      <c r="A861" s="2164">
        <v>45211</v>
      </c>
      <c r="B861" s="717" t="s">
        <v>3886</v>
      </c>
      <c r="C861" s="724">
        <v>15779885</v>
      </c>
      <c r="D861" s="1313" t="s">
        <v>4370</v>
      </c>
      <c r="E861" s="1313"/>
      <c r="F861" s="128" t="s">
        <v>4377</v>
      </c>
      <c r="G861" s="761" t="s">
        <v>2231</v>
      </c>
      <c r="H861" s="918" t="s">
        <v>4481</v>
      </c>
      <c r="I861" s="705"/>
      <c r="J861" s="703">
        <v>5</v>
      </c>
      <c r="K861" s="703"/>
      <c r="L861" s="703"/>
      <c r="M861" s="708"/>
      <c r="N861" s="166"/>
      <c r="P861" s="166"/>
    </row>
    <row r="862" spans="1:16" s="711" customFormat="1" ht="13.8" hidden="1" customHeight="1">
      <c r="A862" s="2164">
        <v>45211</v>
      </c>
      <c r="B862" s="717" t="s">
        <v>3891</v>
      </c>
      <c r="C862" s="724">
        <v>63812265</v>
      </c>
      <c r="D862" s="802" t="s">
        <v>4128</v>
      </c>
      <c r="E862" s="761"/>
      <c r="F862" s="801" t="s">
        <v>2755</v>
      </c>
      <c r="G862" s="761" t="s">
        <v>2215</v>
      </c>
      <c r="H862" s="761" t="s">
        <v>3892</v>
      </c>
      <c r="I862" s="705"/>
      <c r="J862" s="703"/>
      <c r="K862" s="703"/>
      <c r="L862" s="703"/>
      <c r="M862" s="708"/>
      <c r="N862" s="166" t="s">
        <v>4153</v>
      </c>
      <c r="P862" s="166"/>
    </row>
    <row r="863" spans="1:16" s="711" customFormat="1" ht="13.8" hidden="1" customHeight="1">
      <c r="A863" s="2164">
        <v>45211</v>
      </c>
      <c r="B863" s="787" t="s">
        <v>3893</v>
      </c>
      <c r="C863" s="788">
        <v>23844095</v>
      </c>
      <c r="D863" s="757" t="s">
        <v>3862</v>
      </c>
      <c r="E863" s="757"/>
      <c r="F863" s="757" t="s">
        <v>3568</v>
      </c>
      <c r="G863" s="757" t="s">
        <v>1970</v>
      </c>
      <c r="H863" s="757" t="s">
        <v>3894</v>
      </c>
      <c r="I863" s="789"/>
      <c r="J863" s="703"/>
      <c r="K863" s="784" t="s">
        <v>4052</v>
      </c>
      <c r="L863" s="784"/>
      <c r="M863" s="708"/>
      <c r="N863" s="166"/>
      <c r="P863" s="166"/>
    </row>
    <row r="864" spans="1:16" s="711" customFormat="1" ht="13.8" hidden="1" customHeight="1">
      <c r="A864" s="2164">
        <v>45211</v>
      </c>
      <c r="B864" s="1312" t="s">
        <v>3895</v>
      </c>
      <c r="C864" s="1313">
        <v>16603074</v>
      </c>
      <c r="D864" s="761" t="s">
        <v>3862</v>
      </c>
      <c r="E864" s="761"/>
      <c r="F864" s="761" t="s">
        <v>3568</v>
      </c>
      <c r="G864" s="761" t="s">
        <v>1970</v>
      </c>
      <c r="H864" s="761" t="s">
        <v>3896</v>
      </c>
      <c r="I864" s="705"/>
      <c r="J864" s="703"/>
      <c r="K864" s="703">
        <v>2</v>
      </c>
      <c r="L864" s="703"/>
      <c r="M864" s="815" t="s">
        <v>4142</v>
      </c>
      <c r="N864" s="166"/>
      <c r="P864" s="166"/>
    </row>
    <row r="865" spans="1:16" s="711" customFormat="1" ht="13.8" hidden="1" customHeight="1">
      <c r="A865" s="2164">
        <v>45211</v>
      </c>
      <c r="B865" s="717" t="s">
        <v>3940</v>
      </c>
      <c r="C865" s="724">
        <v>69703385</v>
      </c>
      <c r="D865" s="1313"/>
      <c r="E865" s="767"/>
      <c r="F865" s="1313"/>
      <c r="G865" s="761" t="s">
        <v>1970</v>
      </c>
      <c r="H865" s="761" t="s">
        <v>3897</v>
      </c>
      <c r="I865" s="705"/>
      <c r="J865" s="703"/>
      <c r="K865" s="703">
        <v>2</v>
      </c>
      <c r="L865" s="703"/>
      <c r="M865" s="815" t="s">
        <v>4142</v>
      </c>
      <c r="N865" s="166"/>
      <c r="P865" s="166"/>
    </row>
    <row r="866" spans="1:16" s="711" customFormat="1" ht="14.4" hidden="1" customHeight="1">
      <c r="A866" s="2164">
        <v>45211</v>
      </c>
      <c r="B866" s="717" t="s">
        <v>3898</v>
      </c>
      <c r="C866" s="724">
        <v>21628391</v>
      </c>
      <c r="D866" s="724"/>
      <c r="E866" s="1313"/>
      <c r="F866" s="724"/>
      <c r="G866" s="761" t="s">
        <v>1970</v>
      </c>
      <c r="H866" s="761" t="s">
        <v>3899</v>
      </c>
      <c r="I866" s="705"/>
      <c r="J866" s="703"/>
      <c r="K866" s="703">
        <v>2</v>
      </c>
      <c r="L866" s="703"/>
      <c r="M866" s="815" t="s">
        <v>4142</v>
      </c>
      <c r="N866" s="166"/>
      <c r="P866" s="166"/>
    </row>
    <row r="867" spans="1:16" s="711" customFormat="1" ht="16.8" hidden="1" customHeight="1">
      <c r="A867" s="2164">
        <v>45211</v>
      </c>
      <c r="B867" s="717" t="s">
        <v>4082</v>
      </c>
      <c r="C867" s="724">
        <v>93568948</v>
      </c>
      <c r="D867" s="724" t="s">
        <v>4109</v>
      </c>
      <c r="E867" s="767" t="s">
        <v>3925</v>
      </c>
      <c r="F867" s="724" t="s">
        <v>2755</v>
      </c>
      <c r="G867" s="761" t="s">
        <v>2266</v>
      </c>
      <c r="H867" s="761" t="s">
        <v>3900</v>
      </c>
      <c r="I867" s="705"/>
      <c r="J867" s="703"/>
      <c r="K867" s="703"/>
      <c r="L867" s="703"/>
      <c r="M867" s="708"/>
      <c r="N867" s="166"/>
      <c r="P867" s="166"/>
    </row>
    <row r="868" spans="1:16" s="711" customFormat="1" ht="13.8" hidden="1" customHeight="1">
      <c r="A868" s="2164">
        <v>45211</v>
      </c>
      <c r="B868" s="717" t="s">
        <v>3901</v>
      </c>
      <c r="C868" s="724">
        <v>26946514</v>
      </c>
      <c r="D868" s="724" t="s">
        <v>3903</v>
      </c>
      <c r="E868" s="1313">
        <v>1</v>
      </c>
      <c r="F868" s="724" t="s">
        <v>3568</v>
      </c>
      <c r="G868" s="761" t="s">
        <v>2012</v>
      </c>
      <c r="H868" s="761" t="s">
        <v>3902</v>
      </c>
      <c r="I868" s="705"/>
      <c r="J868" s="703"/>
      <c r="K868" s="703"/>
      <c r="L868" s="703"/>
      <c r="M868" s="708"/>
      <c r="N868" s="166"/>
      <c r="P868" s="166"/>
    </row>
    <row r="869" spans="1:16" s="711" customFormat="1" ht="13.2" hidden="1" customHeight="1">
      <c r="A869" s="2165">
        <v>45212</v>
      </c>
      <c r="B869" s="717" t="s">
        <v>3904</v>
      </c>
      <c r="C869" s="724">
        <v>52165634</v>
      </c>
      <c r="D869" s="724" t="s">
        <v>4316</v>
      </c>
      <c r="E869" s="724"/>
      <c r="F869" s="724" t="s">
        <v>2755</v>
      </c>
      <c r="G869" s="761" t="s">
        <v>2231</v>
      </c>
      <c r="H869" s="767" t="s">
        <v>3905</v>
      </c>
      <c r="I869" s="705"/>
      <c r="J869" s="703"/>
      <c r="K869" s="703"/>
      <c r="L869" s="703"/>
      <c r="M869" s="708"/>
      <c r="N869" s="166"/>
      <c r="P869" s="166"/>
    </row>
    <row r="870" spans="1:16" s="711" customFormat="1" ht="13.2" hidden="1" customHeight="1">
      <c r="A870" s="2165">
        <v>45212</v>
      </c>
      <c r="B870" s="717" t="s">
        <v>3906</v>
      </c>
      <c r="C870" s="724">
        <v>27917017</v>
      </c>
      <c r="D870" s="724" t="s">
        <v>4109</v>
      </c>
      <c r="E870" s="724"/>
      <c r="F870" s="802" t="s">
        <v>2755</v>
      </c>
      <c r="G870" s="767" t="s">
        <v>1006</v>
      </c>
      <c r="H870" s="767" t="s">
        <v>3907</v>
      </c>
      <c r="I870" s="705"/>
      <c r="J870" s="703"/>
      <c r="K870" s="703"/>
      <c r="L870" s="703"/>
      <c r="M870" s="708"/>
      <c r="N870" s="166"/>
      <c r="P870" s="166"/>
    </row>
    <row r="871" spans="1:16" s="711" customFormat="1" ht="13.2" hidden="1" customHeight="1">
      <c r="A871" s="2165">
        <v>45212</v>
      </c>
      <c r="B871" s="717" t="s">
        <v>3918</v>
      </c>
      <c r="C871" s="724">
        <v>71307522</v>
      </c>
      <c r="D871" s="724" t="s">
        <v>4443</v>
      </c>
      <c r="E871" s="724">
        <v>10</v>
      </c>
      <c r="F871" s="1313" t="s">
        <v>3568</v>
      </c>
      <c r="G871" s="767" t="s">
        <v>2056</v>
      </c>
      <c r="H871" s="767" t="s">
        <v>3919</v>
      </c>
      <c r="I871" s="705"/>
      <c r="J871" s="703"/>
      <c r="K871" s="703"/>
      <c r="L871" s="703"/>
      <c r="M871" s="708"/>
      <c r="N871" s="166"/>
      <c r="P871" s="166"/>
    </row>
    <row r="872" spans="1:16" s="711" customFormat="1" ht="13.2" hidden="1" customHeight="1">
      <c r="A872" s="2165">
        <v>45212</v>
      </c>
      <c r="B872" s="717" t="s">
        <v>3920</v>
      </c>
      <c r="C872" s="724">
        <v>57521574</v>
      </c>
      <c r="D872" s="724" t="s">
        <v>4370</v>
      </c>
      <c r="E872" s="724">
        <v>1</v>
      </c>
      <c r="F872" s="724" t="s">
        <v>4129</v>
      </c>
      <c r="G872" s="767" t="s">
        <v>2012</v>
      </c>
      <c r="H872" s="767" t="s">
        <v>3921</v>
      </c>
      <c r="I872" s="705"/>
      <c r="J872" s="703"/>
      <c r="K872" s="703"/>
      <c r="L872" s="703"/>
      <c r="M872" s="708"/>
      <c r="N872" s="166"/>
      <c r="P872" s="166"/>
    </row>
    <row r="873" spans="1:16" s="711" customFormat="1" ht="13.2" hidden="1" customHeight="1">
      <c r="A873" s="2165">
        <v>45212</v>
      </c>
      <c r="B873" s="717" t="s">
        <v>3922</v>
      </c>
      <c r="C873" s="724">
        <v>46115725</v>
      </c>
      <c r="D873" s="724" t="s">
        <v>4443</v>
      </c>
      <c r="E873" s="724">
        <v>10</v>
      </c>
      <c r="F873" s="724" t="s">
        <v>3568</v>
      </c>
      <c r="G873" s="767" t="s">
        <v>2056</v>
      </c>
      <c r="H873" s="767" t="s">
        <v>3923</v>
      </c>
      <c r="I873" s="705"/>
      <c r="J873" s="703"/>
      <c r="K873" s="703"/>
      <c r="L873" s="703"/>
      <c r="M873" s="708"/>
      <c r="N873" s="166"/>
      <c r="P873" s="166"/>
    </row>
    <row r="874" spans="1:16" s="711" customFormat="1" ht="13.2" hidden="1" customHeight="1">
      <c r="A874" s="2165">
        <v>45212</v>
      </c>
      <c r="B874" s="717" t="s">
        <v>3908</v>
      </c>
      <c r="C874" s="724"/>
      <c r="D874" s="724"/>
      <c r="E874" s="724"/>
      <c r="F874" s="724"/>
      <c r="G874" s="767" t="s">
        <v>3909</v>
      </c>
      <c r="H874" s="751"/>
      <c r="I874" s="705"/>
      <c r="J874" s="703"/>
      <c r="K874" s="703"/>
      <c r="L874" s="703"/>
      <c r="M874" s="708"/>
      <c r="N874" s="166"/>
      <c r="P874" s="166"/>
    </row>
    <row r="875" spans="1:16" s="711" customFormat="1" ht="13.2" hidden="1" customHeight="1">
      <c r="A875" s="2165">
        <v>45212</v>
      </c>
      <c r="B875" s="717" t="s">
        <v>3916</v>
      </c>
      <c r="C875" s="724">
        <v>12345678</v>
      </c>
      <c r="D875" s="724"/>
      <c r="E875" s="724"/>
      <c r="F875" s="724"/>
      <c r="G875" s="767" t="s">
        <v>3917</v>
      </c>
      <c r="H875" s="751"/>
      <c r="I875" s="705"/>
      <c r="J875" s="703"/>
      <c r="K875" s="703"/>
      <c r="L875" s="703"/>
      <c r="M875" s="708"/>
      <c r="N875" s="166"/>
      <c r="P875" s="166"/>
    </row>
    <row r="876" spans="1:16" s="711" customFormat="1" ht="13.2" hidden="1" customHeight="1">
      <c r="A876" s="2165">
        <v>45213</v>
      </c>
      <c r="B876" s="717" t="s">
        <v>3931</v>
      </c>
      <c r="C876" s="767">
        <v>25284273</v>
      </c>
      <c r="D876" s="767"/>
      <c r="E876" s="767"/>
      <c r="F876" s="767"/>
      <c r="G876" s="767" t="s">
        <v>1970</v>
      </c>
      <c r="H876" s="767" t="s">
        <v>3932</v>
      </c>
      <c r="I876" s="767"/>
      <c r="J876" s="703"/>
      <c r="K876" s="703">
        <v>2</v>
      </c>
      <c r="L876" s="703"/>
      <c r="M876" s="815" t="s">
        <v>4142</v>
      </c>
      <c r="N876" s="166"/>
      <c r="P876" s="166"/>
    </row>
    <row r="877" spans="1:16" s="711" customFormat="1" ht="13.2" hidden="1" customHeight="1">
      <c r="A877" s="2165">
        <v>45213</v>
      </c>
      <c r="B877" s="717" t="s">
        <v>3962</v>
      </c>
      <c r="C877" s="767">
        <v>62033743</v>
      </c>
      <c r="D877" s="767"/>
      <c r="E877" s="767"/>
      <c r="F877" s="767"/>
      <c r="G877" s="767" t="s">
        <v>1970</v>
      </c>
      <c r="H877" s="767" t="s">
        <v>3963</v>
      </c>
      <c r="I877" s="767"/>
      <c r="J877" s="703"/>
      <c r="K877" s="703">
        <v>2</v>
      </c>
      <c r="L877" s="703"/>
      <c r="M877" s="815" t="s">
        <v>4142</v>
      </c>
      <c r="N877" s="166"/>
      <c r="P877" s="166"/>
    </row>
    <row r="878" spans="1:16" s="711" customFormat="1" ht="13.2" hidden="1" customHeight="1">
      <c r="A878" s="2165">
        <v>45213</v>
      </c>
      <c r="B878" s="709"/>
      <c r="C878" s="766"/>
      <c r="D878" s="766"/>
      <c r="E878" s="766"/>
      <c r="F878" s="766"/>
      <c r="G878" s="7"/>
      <c r="H878" s="766"/>
      <c r="I878" s="766"/>
      <c r="J878" s="703"/>
      <c r="K878" s="703"/>
      <c r="L878" s="703"/>
      <c r="M878" s="708"/>
      <c r="N878" s="166"/>
      <c r="P878" s="166"/>
    </row>
    <row r="879" spans="1:16" s="711" customFormat="1" ht="13.2" hidden="1" customHeight="1">
      <c r="A879" s="2165">
        <v>45215</v>
      </c>
      <c r="B879" s="1312" t="s">
        <v>3967</v>
      </c>
      <c r="C879" s="767">
        <v>43650044</v>
      </c>
      <c r="D879" s="802" t="s">
        <v>4109</v>
      </c>
      <c r="E879" s="767"/>
      <c r="F879" s="802" t="s">
        <v>2755</v>
      </c>
      <c r="G879" s="767" t="s">
        <v>2215</v>
      </c>
      <c r="H879" s="767" t="s">
        <v>3968</v>
      </c>
      <c r="I879" s="767"/>
      <c r="J879" s="703"/>
      <c r="K879" s="703"/>
      <c r="L879" s="703"/>
      <c r="M879" s="708"/>
      <c r="N879" s="166" t="s">
        <v>4153</v>
      </c>
      <c r="P879" s="166"/>
    </row>
    <row r="880" spans="1:16" s="711" customFormat="1" ht="13.2" hidden="1" customHeight="1">
      <c r="A880" s="2165">
        <v>45215</v>
      </c>
      <c r="B880" s="717" t="s">
        <v>3965</v>
      </c>
      <c r="C880" s="767">
        <v>20709208</v>
      </c>
      <c r="D880" s="876" t="s">
        <v>4370</v>
      </c>
      <c r="E880" s="797" t="s">
        <v>4121</v>
      </c>
      <c r="F880" s="869" t="s">
        <v>2755</v>
      </c>
      <c r="G880" s="767" t="s">
        <v>2124</v>
      </c>
      <c r="H880" s="767" t="s">
        <v>3966</v>
      </c>
      <c r="I880" s="767"/>
      <c r="J880" s="703"/>
      <c r="K880" s="703"/>
      <c r="L880" s="703"/>
      <c r="M880" s="708"/>
      <c r="N880" s="166"/>
      <c r="P880" s="166"/>
    </row>
    <row r="881" spans="1:16" s="711" customFormat="1" ht="14.4" hidden="1" customHeight="1">
      <c r="A881" s="2165">
        <v>45215</v>
      </c>
      <c r="B881" s="717" t="s">
        <v>3941</v>
      </c>
      <c r="C881" s="1313">
        <v>38884043</v>
      </c>
      <c r="D881" s="1313"/>
      <c r="E881" s="1313"/>
      <c r="F881" s="1313"/>
      <c r="G881" s="767" t="s">
        <v>3942</v>
      </c>
      <c r="H881" s="767" t="s">
        <v>3943</v>
      </c>
      <c r="I881" s="705"/>
      <c r="J881" s="703"/>
      <c r="K881" s="703"/>
      <c r="L881" s="703"/>
      <c r="M881" s="708"/>
      <c r="N881" s="166"/>
      <c r="P881" s="166"/>
    </row>
    <row r="882" spans="1:16" s="711" customFormat="1" ht="14.4" hidden="1" customHeight="1">
      <c r="A882" s="2165">
        <v>45215</v>
      </c>
      <c r="B882" s="717" t="s">
        <v>3944</v>
      </c>
      <c r="C882" s="724">
        <v>52544542</v>
      </c>
      <c r="D882" s="797" t="s">
        <v>4109</v>
      </c>
      <c r="E882" s="724"/>
      <c r="F882" s="802" t="s">
        <v>2755</v>
      </c>
      <c r="G882" s="767" t="s">
        <v>2749</v>
      </c>
      <c r="H882" s="767" t="s">
        <v>3964</v>
      </c>
      <c r="I882" s="705"/>
      <c r="J882" s="703"/>
      <c r="K882" s="703"/>
      <c r="L882" s="703"/>
      <c r="M882" s="708"/>
      <c r="N882" s="166"/>
      <c r="P882" s="166"/>
    </row>
    <row r="883" spans="1:16" s="711" customFormat="1" ht="14.4" hidden="1" customHeight="1">
      <c r="A883" s="2165">
        <v>45215</v>
      </c>
      <c r="B883" s="717" t="s">
        <v>3948</v>
      </c>
      <c r="C883" s="724">
        <v>42038195</v>
      </c>
      <c r="D883" s="1313"/>
      <c r="E883" s="724"/>
      <c r="F883" s="1313"/>
      <c r="G883" s="767" t="s">
        <v>1970</v>
      </c>
      <c r="H883" s="782" t="s">
        <v>3949</v>
      </c>
      <c r="I883" s="705"/>
      <c r="J883" s="703"/>
      <c r="K883" s="703">
        <v>2</v>
      </c>
      <c r="L883" s="703"/>
      <c r="M883" s="815" t="s">
        <v>4142</v>
      </c>
      <c r="N883" s="166"/>
      <c r="P883" s="166"/>
    </row>
    <row r="884" spans="1:16" s="711" customFormat="1" ht="14.4" hidden="1" customHeight="1">
      <c r="A884" s="2165">
        <v>45215</v>
      </c>
      <c r="B884" s="717" t="s">
        <v>3957</v>
      </c>
      <c r="C884" s="724">
        <v>58714143</v>
      </c>
      <c r="D884" s="724"/>
      <c r="E884" s="724"/>
      <c r="F884" s="724"/>
      <c r="G884" s="767" t="s">
        <v>3958</v>
      </c>
      <c r="H884" s="767" t="s">
        <v>3969</v>
      </c>
      <c r="I884" s="705"/>
      <c r="J884" s="703"/>
      <c r="K884" s="703"/>
      <c r="L884" s="703"/>
      <c r="M884" s="708"/>
      <c r="N884" s="166"/>
      <c r="P884" s="166"/>
    </row>
    <row r="885" spans="1:16" s="711" customFormat="1" hidden="1">
      <c r="A885" s="2165">
        <v>45215</v>
      </c>
      <c r="B885" s="717" t="s">
        <v>3959</v>
      </c>
      <c r="C885" s="724">
        <v>80311652</v>
      </c>
      <c r="D885" s="885" t="s">
        <v>4397</v>
      </c>
      <c r="E885" s="791" t="s">
        <v>3925</v>
      </c>
      <c r="F885" s="724" t="s">
        <v>2755</v>
      </c>
      <c r="G885" s="767" t="s">
        <v>3960</v>
      </c>
      <c r="H885" s="767" t="s">
        <v>3961</v>
      </c>
      <c r="I885" s="705"/>
      <c r="J885" s="703"/>
      <c r="K885" s="703"/>
      <c r="L885" s="703"/>
      <c r="M885" s="708"/>
      <c r="N885" s="166"/>
      <c r="P885" s="166"/>
    </row>
    <row r="886" spans="1:16" s="711" customFormat="1" ht="26.4" hidden="1" customHeight="1">
      <c r="A886" s="2165">
        <v>45216</v>
      </c>
      <c r="B886" s="717" t="s">
        <v>3973</v>
      </c>
      <c r="C886" s="724">
        <v>38091276</v>
      </c>
      <c r="D886" s="1313"/>
      <c r="E886" s="1313"/>
      <c r="F886" s="724"/>
      <c r="G886" s="767" t="s">
        <v>1970</v>
      </c>
      <c r="H886" s="767" t="s">
        <v>3975</v>
      </c>
      <c r="I886" s="705"/>
      <c r="J886" s="703"/>
      <c r="K886" s="703">
        <v>2</v>
      </c>
      <c r="L886" s="703"/>
      <c r="M886" s="815" t="s">
        <v>4142</v>
      </c>
      <c r="N886" s="166"/>
      <c r="P886" s="166"/>
    </row>
    <row r="887" spans="1:16" s="711" customFormat="1" ht="14.4" hidden="1" customHeight="1">
      <c r="A887" s="2165">
        <v>45216</v>
      </c>
      <c r="B887" s="717" t="s">
        <v>3976</v>
      </c>
      <c r="C887" s="724">
        <v>85869056</v>
      </c>
      <c r="D887" s="797" t="s">
        <v>4109</v>
      </c>
      <c r="E887" s="724"/>
      <c r="F887" s="6" t="s">
        <v>2755</v>
      </c>
      <c r="G887" s="767" t="s">
        <v>736</v>
      </c>
      <c r="H887" s="767" t="s">
        <v>3977</v>
      </c>
      <c r="I887" s="705"/>
      <c r="J887" s="703"/>
      <c r="K887" s="703"/>
      <c r="L887" s="703"/>
      <c r="M887" s="708"/>
      <c r="N887" s="166">
        <v>1</v>
      </c>
      <c r="O887" s="711" t="s">
        <v>4530</v>
      </c>
      <c r="P887" s="166"/>
    </row>
    <row r="888" spans="1:16" s="711" customFormat="1" hidden="1">
      <c r="A888" s="2165">
        <v>45216</v>
      </c>
      <c r="B888" s="717" t="s">
        <v>3979</v>
      </c>
      <c r="C888" s="724">
        <v>91404349</v>
      </c>
      <c r="D888" s="1313" t="s">
        <v>4234</v>
      </c>
      <c r="E888" s="724">
        <v>1</v>
      </c>
      <c r="F888" s="823" t="s">
        <v>2755</v>
      </c>
      <c r="G888" s="767" t="s">
        <v>2012</v>
      </c>
      <c r="H888" s="767" t="s">
        <v>3980</v>
      </c>
      <c r="I888" s="705"/>
      <c r="J888" s="703"/>
      <c r="K888" s="703"/>
      <c r="L888" s="703"/>
      <c r="M888" s="708"/>
      <c r="N888" s="166"/>
      <c r="P888" s="166"/>
    </row>
    <row r="889" spans="1:16" s="711" customFormat="1" hidden="1">
      <c r="A889" s="2165">
        <v>45216</v>
      </c>
      <c r="B889" s="717" t="s">
        <v>3996</v>
      </c>
      <c r="C889" s="724">
        <v>50877938</v>
      </c>
      <c r="D889" s="724" t="s">
        <v>4234</v>
      </c>
      <c r="E889" s="724">
        <v>1</v>
      </c>
      <c r="F889" s="842" t="s">
        <v>2755</v>
      </c>
      <c r="G889" s="767" t="s">
        <v>2012</v>
      </c>
      <c r="H889" s="767" t="s">
        <v>3981</v>
      </c>
      <c r="I889" s="705"/>
      <c r="J889" s="703"/>
      <c r="K889" s="703"/>
      <c r="L889" s="703"/>
      <c r="M889" s="708"/>
      <c r="N889" s="166"/>
      <c r="P889" s="166"/>
    </row>
    <row r="890" spans="1:16" s="711" customFormat="1" ht="14.4" hidden="1" customHeight="1">
      <c r="A890" s="2165">
        <v>45216</v>
      </c>
      <c r="B890" s="717" t="s">
        <v>3988</v>
      </c>
      <c r="C890" s="724"/>
      <c r="D890" s="724"/>
      <c r="E890" s="724"/>
      <c r="F890" s="1313"/>
      <c r="G890" s="767" t="s">
        <v>3989</v>
      </c>
      <c r="H890" s="767"/>
      <c r="I890" s="705"/>
      <c r="J890" s="703"/>
      <c r="K890" s="703"/>
      <c r="L890" s="703"/>
      <c r="M890" s="708"/>
      <c r="N890" s="166"/>
      <c r="P890" s="166"/>
    </row>
    <row r="891" spans="1:16" s="711" customFormat="1" hidden="1">
      <c r="A891" s="2165">
        <v>45216</v>
      </c>
      <c r="B891" s="717" t="s">
        <v>4032</v>
      </c>
      <c r="C891" s="724">
        <v>310049018</v>
      </c>
      <c r="D891" s="724" t="s">
        <v>4370</v>
      </c>
      <c r="E891" s="724"/>
      <c r="F891" s="724" t="s">
        <v>4319</v>
      </c>
      <c r="G891" s="767" t="s">
        <v>3987</v>
      </c>
      <c r="H891" s="1279" t="s">
        <v>5451</v>
      </c>
      <c r="I891" s="705"/>
      <c r="J891" s="703">
        <v>5</v>
      </c>
      <c r="K891" s="703"/>
      <c r="L891" s="703"/>
      <c r="M891" s="708"/>
      <c r="N891" s="166"/>
      <c r="P891" s="166"/>
    </row>
    <row r="892" spans="1:16" s="711" customFormat="1" ht="14.4" hidden="1" customHeight="1">
      <c r="A892" s="2165">
        <v>45216</v>
      </c>
      <c r="B892" s="717" t="s">
        <v>3990</v>
      </c>
      <c r="C892" s="724">
        <v>73380859</v>
      </c>
      <c r="D892" s="767" t="s">
        <v>3974</v>
      </c>
      <c r="E892" s="724"/>
      <c r="F892" s="767" t="s">
        <v>3568</v>
      </c>
      <c r="G892" s="767" t="s">
        <v>3991</v>
      </c>
      <c r="H892" s="767" t="s">
        <v>3992</v>
      </c>
      <c r="I892" s="705"/>
      <c r="J892" s="703"/>
      <c r="K892" s="703"/>
      <c r="L892" s="703"/>
      <c r="M892" s="708"/>
      <c r="N892" s="166"/>
      <c r="O892" s="711" t="s">
        <v>4142</v>
      </c>
      <c r="P892" s="166"/>
    </row>
    <row r="893" spans="1:16" s="711" customFormat="1" ht="14.4" hidden="1" customHeight="1">
      <c r="A893" s="2166">
        <v>45217</v>
      </c>
      <c r="B893" s="717" t="s">
        <v>4023</v>
      </c>
      <c r="C893" s="724">
        <v>42506727</v>
      </c>
      <c r="D893" s="767"/>
      <c r="E893" s="724"/>
      <c r="F893" s="767"/>
      <c r="G893" s="779" t="s">
        <v>1970</v>
      </c>
      <c r="H893" s="779" t="s">
        <v>4025</v>
      </c>
      <c r="I893" s="705"/>
      <c r="J893" s="703"/>
      <c r="K893" s="703">
        <v>2</v>
      </c>
      <c r="L893" s="703"/>
      <c r="M893" s="815" t="s">
        <v>4142</v>
      </c>
      <c r="N893" s="166"/>
      <c r="P893" s="166"/>
    </row>
    <row r="894" spans="1:16" s="711" customFormat="1" hidden="1">
      <c r="A894" s="2166">
        <v>45217</v>
      </c>
      <c r="B894" s="717" t="s">
        <v>4024</v>
      </c>
      <c r="C894" s="724">
        <v>48740767</v>
      </c>
      <c r="D894" s="842" t="s">
        <v>4234</v>
      </c>
      <c r="E894" s="724"/>
      <c r="F894" s="802" t="s">
        <v>2755</v>
      </c>
      <c r="G894" s="779" t="s">
        <v>1970</v>
      </c>
      <c r="H894" s="779" t="s">
        <v>4026</v>
      </c>
      <c r="I894" s="705"/>
      <c r="J894" s="703"/>
      <c r="K894" s="703">
        <v>2</v>
      </c>
      <c r="L894" s="703"/>
      <c r="M894" s="815" t="s">
        <v>4142</v>
      </c>
      <c r="N894" s="166"/>
      <c r="P894" s="166"/>
    </row>
    <row r="895" spans="1:16" s="711" customFormat="1" ht="14.4" hidden="1" customHeight="1">
      <c r="A895" s="2166">
        <v>45217</v>
      </c>
      <c r="B895" s="717" t="s">
        <v>4027</v>
      </c>
      <c r="C895" s="724">
        <v>97007414</v>
      </c>
      <c r="D895" s="1313" t="s">
        <v>4109</v>
      </c>
      <c r="E895" s="724"/>
      <c r="F895" s="1313" t="s">
        <v>2755</v>
      </c>
      <c r="G895" s="779" t="s">
        <v>2651</v>
      </c>
      <c r="H895" s="779" t="s">
        <v>4028</v>
      </c>
      <c r="I895" s="705"/>
      <c r="J895" s="703">
        <v>5</v>
      </c>
      <c r="K895" s="703"/>
      <c r="L895" s="703"/>
      <c r="M895" s="708"/>
      <c r="N895" s="166"/>
      <c r="P895" s="166"/>
    </row>
    <row r="896" spans="1:16" s="711" customFormat="1" ht="14.4" hidden="1" customHeight="1">
      <c r="A896" s="2166">
        <v>45217</v>
      </c>
      <c r="B896" s="717" t="s">
        <v>4007</v>
      </c>
      <c r="C896" s="724">
        <v>31611111</v>
      </c>
      <c r="D896" s="724"/>
      <c r="E896" s="724"/>
      <c r="F896" s="724"/>
      <c r="G896" s="779" t="s">
        <v>3693</v>
      </c>
      <c r="H896" s="779" t="s">
        <v>4009</v>
      </c>
      <c r="I896" s="705"/>
      <c r="J896" s="703"/>
      <c r="K896" s="703">
        <v>2</v>
      </c>
      <c r="L896" s="703"/>
      <c r="M896" s="815" t="s">
        <v>4142</v>
      </c>
      <c r="N896" s="166"/>
      <c r="P896" s="166"/>
    </row>
    <row r="897" spans="1:16" s="711" customFormat="1" ht="14.4" hidden="1" customHeight="1">
      <c r="A897" s="2166">
        <v>45217</v>
      </c>
      <c r="B897" s="717" t="s">
        <v>4013</v>
      </c>
      <c r="C897" s="724">
        <v>89064908</v>
      </c>
      <c r="D897" s="724" t="s">
        <v>4109</v>
      </c>
      <c r="E897" s="724"/>
      <c r="F897" s="6" t="s">
        <v>2755</v>
      </c>
      <c r="G897" s="779" t="s">
        <v>736</v>
      </c>
      <c r="H897" s="779" t="s">
        <v>4014</v>
      </c>
      <c r="I897" s="705"/>
      <c r="J897" s="703"/>
      <c r="K897" s="703"/>
      <c r="L897" s="703"/>
      <c r="M897" s="708"/>
      <c r="N897" s="166"/>
      <c r="P897" s="166"/>
    </row>
    <row r="898" spans="1:16" s="711" customFormat="1" ht="14.4" hidden="1" customHeight="1">
      <c r="A898" s="2166">
        <v>45217</v>
      </c>
      <c r="B898" s="717" t="s">
        <v>4048</v>
      </c>
      <c r="C898" s="724"/>
      <c r="D898" s="724" t="s">
        <v>4109</v>
      </c>
      <c r="E898" s="724"/>
      <c r="F898" s="1313" t="s">
        <v>2755</v>
      </c>
      <c r="G898" s="779" t="s">
        <v>4016</v>
      </c>
      <c r="H898" s="779" t="s">
        <v>4017</v>
      </c>
      <c r="I898" s="705"/>
      <c r="J898" s="703"/>
      <c r="K898" s="703"/>
      <c r="L898" s="703"/>
      <c r="M898" s="708"/>
      <c r="N898" s="166"/>
      <c r="P898" s="166"/>
    </row>
    <row r="899" spans="1:16" s="711" customFormat="1" ht="26.4" hidden="1" customHeight="1">
      <c r="A899" s="2166">
        <v>45217</v>
      </c>
      <c r="B899" s="717" t="s">
        <v>4018</v>
      </c>
      <c r="C899" s="724">
        <v>73660683</v>
      </c>
      <c r="D899" s="724"/>
      <c r="E899" s="724"/>
      <c r="F899" s="724"/>
      <c r="G899" s="779" t="s">
        <v>1970</v>
      </c>
      <c r="H899" s="779" t="s">
        <v>4019</v>
      </c>
      <c r="I899" s="705"/>
      <c r="J899" s="703"/>
      <c r="K899" s="703">
        <v>2</v>
      </c>
      <c r="L899" s="703"/>
      <c r="M899" s="815" t="s">
        <v>4142</v>
      </c>
      <c r="N899" s="166"/>
      <c r="P899" s="166"/>
    </row>
    <row r="900" spans="1:16" s="711" customFormat="1" hidden="1">
      <c r="A900" s="2167">
        <v>45218</v>
      </c>
      <c r="B900" s="1312" t="s">
        <v>4035</v>
      </c>
      <c r="C900" s="1313">
        <v>16550442</v>
      </c>
      <c r="D900" s="1313" t="s">
        <v>4370</v>
      </c>
      <c r="E900" s="1313" t="s">
        <v>6443</v>
      </c>
      <c r="F900" s="1481" t="s">
        <v>6196</v>
      </c>
      <c r="G900" s="683" t="s">
        <v>763</v>
      </c>
      <c r="H900" s="1012" t="s">
        <v>4037</v>
      </c>
      <c r="I900" s="705"/>
      <c r="J900" s="703">
        <v>5</v>
      </c>
      <c r="K900" s="703"/>
      <c r="L900" s="703"/>
      <c r="M900" s="708"/>
      <c r="N900" s="166"/>
      <c r="O900" s="1311"/>
      <c r="P900" s="166"/>
    </row>
    <row r="901" spans="1:16" s="711" customFormat="1" ht="14.4" hidden="1" customHeight="1">
      <c r="A901" s="2167">
        <v>45218</v>
      </c>
      <c r="B901" s="1312" t="s">
        <v>4155</v>
      </c>
      <c r="C901" s="1313"/>
      <c r="D901" s="1313"/>
      <c r="E901" s="1313"/>
      <c r="F901" s="1313" t="s">
        <v>1743</v>
      </c>
      <c r="G901" s="786" t="s">
        <v>3312</v>
      </c>
      <c r="H901" s="786" t="s">
        <v>4049</v>
      </c>
      <c r="I901" s="705"/>
      <c r="J901" s="703"/>
      <c r="K901" s="703"/>
      <c r="L901" s="703"/>
      <c r="M901" s="708"/>
      <c r="N901" s="166" t="s">
        <v>4201</v>
      </c>
      <c r="O901" s="1311"/>
      <c r="P901" s="166"/>
    </row>
    <row r="902" spans="1:16" s="711" customFormat="1" ht="26.4" hidden="1" customHeight="1">
      <c r="A902" s="2167">
        <v>45218</v>
      </c>
      <c r="B902" s="717" t="s">
        <v>4050</v>
      </c>
      <c r="C902" s="724">
        <v>53340422</v>
      </c>
      <c r="D902" s="724" t="s">
        <v>4109</v>
      </c>
      <c r="E902" s="724"/>
      <c r="F902" s="724" t="s">
        <v>2755</v>
      </c>
      <c r="G902" s="786" t="s">
        <v>1006</v>
      </c>
      <c r="H902" s="786" t="s">
        <v>4051</v>
      </c>
      <c r="I902" s="705"/>
      <c r="J902" s="703"/>
      <c r="K902" s="703"/>
      <c r="L902" s="703">
        <v>1</v>
      </c>
      <c r="M902" s="708"/>
      <c r="N902" s="166"/>
      <c r="P902" s="166"/>
    </row>
    <row r="903" spans="1:16" s="711" customFormat="1" ht="14.4" hidden="1" customHeight="1">
      <c r="A903" s="2167">
        <v>45218</v>
      </c>
      <c r="B903" s="717" t="s">
        <v>4042</v>
      </c>
      <c r="C903" s="724">
        <v>78670549</v>
      </c>
      <c r="D903" s="724" t="s">
        <v>4109</v>
      </c>
      <c r="E903" s="724"/>
      <c r="F903" s="724" t="s">
        <v>2755</v>
      </c>
      <c r="G903" s="786" t="s">
        <v>1941</v>
      </c>
      <c r="H903" s="786" t="s">
        <v>4043</v>
      </c>
      <c r="I903" s="705"/>
      <c r="J903" s="703"/>
      <c r="K903" s="703"/>
      <c r="L903" s="703"/>
      <c r="M903" s="708"/>
      <c r="N903" s="166"/>
      <c r="P903" s="166"/>
    </row>
    <row r="904" spans="1:16" s="711" customFormat="1" ht="14.4" hidden="1" customHeight="1">
      <c r="A904" s="2167">
        <v>45218</v>
      </c>
      <c r="B904" s="717" t="s">
        <v>4046</v>
      </c>
      <c r="C904" s="724">
        <v>23232227</v>
      </c>
      <c r="D904" s="724"/>
      <c r="E904" s="724"/>
      <c r="F904" s="724" t="s">
        <v>2755</v>
      </c>
      <c r="G904" s="786" t="s">
        <v>1996</v>
      </c>
      <c r="H904" s="786" t="s">
        <v>4047</v>
      </c>
      <c r="I904" s="705"/>
      <c r="J904" s="703"/>
      <c r="K904" s="703"/>
      <c r="L904" s="703"/>
      <c r="M904" s="708"/>
      <c r="N904" s="166"/>
      <c r="P904" s="166"/>
    </row>
    <row r="905" spans="1:16" s="711" customFormat="1" ht="14.4" hidden="1" customHeight="1">
      <c r="A905" s="2167">
        <v>45218</v>
      </c>
      <c r="B905" s="717" t="s">
        <v>4044</v>
      </c>
      <c r="C905" s="724">
        <v>34037399</v>
      </c>
      <c r="D905" s="724"/>
      <c r="E905" s="724"/>
      <c r="F905" s="724"/>
      <c r="G905" s="786" t="s">
        <v>1970</v>
      </c>
      <c r="H905" s="786" t="s">
        <v>4045</v>
      </c>
      <c r="I905" s="705"/>
      <c r="J905" s="703"/>
      <c r="K905" s="703">
        <v>2</v>
      </c>
      <c r="L905" s="703"/>
      <c r="M905" s="815" t="s">
        <v>4142</v>
      </c>
      <c r="N905" s="166"/>
      <c r="P905" s="166"/>
    </row>
    <row r="906" spans="1:16" s="711" customFormat="1" ht="14.4" hidden="1" customHeight="1">
      <c r="A906" s="2168">
        <v>45219</v>
      </c>
      <c r="B906" s="717" t="s">
        <v>4057</v>
      </c>
      <c r="C906" s="724">
        <v>60840037</v>
      </c>
      <c r="D906" s="724" t="s">
        <v>4109</v>
      </c>
      <c r="E906" s="724"/>
      <c r="F906" s="724" t="s">
        <v>2755</v>
      </c>
      <c r="G906" s="791" t="s">
        <v>2237</v>
      </c>
      <c r="H906" s="791" t="s">
        <v>4058</v>
      </c>
      <c r="I906" s="705"/>
      <c r="J906" s="703"/>
      <c r="K906" s="703"/>
      <c r="L906" s="703"/>
      <c r="M906" s="708"/>
      <c r="N906" s="166"/>
      <c r="P906" s="166"/>
    </row>
    <row r="907" spans="1:16" s="711" customFormat="1" ht="14.4" hidden="1" customHeight="1">
      <c r="A907" s="2168">
        <v>45219</v>
      </c>
      <c r="B907" s="717" t="s">
        <v>4059</v>
      </c>
      <c r="C907" s="724">
        <v>58655559</v>
      </c>
      <c r="D907" s="724"/>
      <c r="E907" s="724"/>
      <c r="F907" s="724"/>
      <c r="G907" s="791" t="s">
        <v>1970</v>
      </c>
      <c r="H907" s="791" t="s">
        <v>4060</v>
      </c>
      <c r="I907" s="705"/>
      <c r="J907" s="703"/>
      <c r="K907" s="703">
        <v>2</v>
      </c>
      <c r="L907" s="703"/>
      <c r="M907" s="815" t="s">
        <v>4142</v>
      </c>
      <c r="N907" s="166"/>
      <c r="P907" s="166"/>
    </row>
    <row r="908" spans="1:16" s="711" customFormat="1" hidden="1">
      <c r="A908" s="2168">
        <v>45219</v>
      </c>
      <c r="B908" s="717" t="s">
        <v>4096</v>
      </c>
      <c r="C908" s="724">
        <v>93473233</v>
      </c>
      <c r="D908" s="724" t="s">
        <v>4316</v>
      </c>
      <c r="E908" s="724"/>
      <c r="F908" s="724" t="s">
        <v>2755</v>
      </c>
      <c r="G908" s="791" t="s">
        <v>1972</v>
      </c>
      <c r="H908" s="852" t="s">
        <v>4261</v>
      </c>
      <c r="I908" s="705"/>
      <c r="J908" s="703"/>
      <c r="K908" s="703"/>
      <c r="L908" s="703"/>
      <c r="M908" s="708"/>
      <c r="N908" s="166"/>
      <c r="P908" s="166"/>
    </row>
    <row r="909" spans="1:16" s="711" customFormat="1" hidden="1">
      <c r="A909" s="2168">
        <v>45219</v>
      </c>
      <c r="B909" s="717" t="s">
        <v>4061</v>
      </c>
      <c r="C909" s="724">
        <v>64657249</v>
      </c>
      <c r="D909" s="724" t="s">
        <v>4397</v>
      </c>
      <c r="E909" s="724">
        <v>10</v>
      </c>
      <c r="F909" s="724" t="s">
        <v>2755</v>
      </c>
      <c r="G909" s="791" t="s">
        <v>2215</v>
      </c>
      <c r="H909" s="791" t="s">
        <v>4062</v>
      </c>
      <c r="I909" s="791"/>
      <c r="J909" s="703"/>
      <c r="K909" s="703"/>
      <c r="L909" s="703"/>
      <c r="M909" s="708"/>
      <c r="N909" s="166"/>
      <c r="P909" s="166"/>
    </row>
    <row r="910" spans="1:16" s="711" customFormat="1" hidden="1">
      <c r="A910" s="2168">
        <v>45219</v>
      </c>
      <c r="B910" s="717" t="s">
        <v>4423</v>
      </c>
      <c r="C910" s="724">
        <v>17111324</v>
      </c>
      <c r="D910" s="724" t="s">
        <v>4421</v>
      </c>
      <c r="E910" s="767">
        <v>10</v>
      </c>
      <c r="F910" s="724" t="s">
        <v>3568</v>
      </c>
      <c r="G910" s="858" t="s">
        <v>2056</v>
      </c>
      <c r="H910" s="791" t="s">
        <v>4055</v>
      </c>
      <c r="I910" s="705"/>
      <c r="J910" s="703"/>
      <c r="K910" s="703"/>
      <c r="L910" s="703"/>
      <c r="M910" s="708"/>
      <c r="N910" s="166"/>
      <c r="P910" s="166"/>
    </row>
    <row r="911" spans="1:16" s="711" customFormat="1" ht="14.4" hidden="1" customHeight="1">
      <c r="A911" s="2168">
        <v>45219</v>
      </c>
      <c r="B911" s="717" t="s">
        <v>4101</v>
      </c>
      <c r="C911" s="724">
        <v>71918577</v>
      </c>
      <c r="D911" s="724" t="s">
        <v>4109</v>
      </c>
      <c r="E911" s="1313"/>
      <c r="F911" s="724" t="s">
        <v>2755</v>
      </c>
      <c r="G911" s="791" t="s">
        <v>3991</v>
      </c>
      <c r="H911" s="791" t="s">
        <v>4063</v>
      </c>
      <c r="I911" s="705"/>
      <c r="J911" s="703"/>
      <c r="K911" s="703"/>
      <c r="L911" s="703"/>
      <c r="M911" s="708"/>
      <c r="N911" s="166"/>
      <c r="O911" s="711" t="s">
        <v>4142</v>
      </c>
      <c r="P911" s="166"/>
    </row>
    <row r="912" spans="1:16" s="711" customFormat="1" hidden="1">
      <c r="A912" s="2168">
        <v>45219</v>
      </c>
      <c r="B912" s="717" t="s">
        <v>4064</v>
      </c>
      <c r="C912" s="724">
        <v>98418985</v>
      </c>
      <c r="D912" s="724" t="s">
        <v>4370</v>
      </c>
      <c r="E912" s="724">
        <v>1</v>
      </c>
      <c r="F912" s="724" t="s">
        <v>2755</v>
      </c>
      <c r="G912" s="791" t="s">
        <v>2012</v>
      </c>
      <c r="H912" s="791" t="s">
        <v>4065</v>
      </c>
      <c r="I912" s="705"/>
      <c r="J912" s="703"/>
      <c r="K912" s="703"/>
      <c r="L912" s="703"/>
      <c r="M912" s="708"/>
      <c r="N912" s="166"/>
      <c r="P912" s="166"/>
    </row>
    <row r="913" spans="1:16" s="711" customFormat="1" hidden="1">
      <c r="A913" s="2168">
        <v>45220</v>
      </c>
      <c r="B913" s="717" t="s">
        <v>4071</v>
      </c>
      <c r="C913" s="724">
        <v>60815588</v>
      </c>
      <c r="D913" s="724" t="s">
        <v>4370</v>
      </c>
      <c r="E913" s="724"/>
      <c r="F913" s="724" t="s">
        <v>2755</v>
      </c>
      <c r="G913" s="797" t="s">
        <v>2005</v>
      </c>
      <c r="H913" s="990" t="s">
        <v>4072</v>
      </c>
      <c r="I913" s="797"/>
      <c r="J913" s="703"/>
      <c r="K913" s="703"/>
      <c r="L913" s="703"/>
      <c r="M913" s="708"/>
      <c r="N913" s="166"/>
      <c r="P913" s="166"/>
    </row>
    <row r="914" spans="1:16" s="711" customFormat="1" hidden="1">
      <c r="A914" s="2168">
        <v>45220</v>
      </c>
      <c r="B914" s="1312" t="s">
        <v>4083</v>
      </c>
      <c r="C914" s="1313">
        <v>80960732</v>
      </c>
      <c r="D914" s="1313" t="s">
        <v>4370</v>
      </c>
      <c r="E914" s="1313" t="s">
        <v>6443</v>
      </c>
      <c r="F914" s="1481" t="s">
        <v>6196</v>
      </c>
      <c r="G914" s="791" t="s">
        <v>1970</v>
      </c>
      <c r="H914" s="791" t="s">
        <v>4070</v>
      </c>
      <c r="I914" s="705"/>
      <c r="J914" s="703">
        <v>5</v>
      </c>
      <c r="K914" s="703">
        <v>2</v>
      </c>
      <c r="L914" s="703"/>
      <c r="M914" s="815" t="s">
        <v>4142</v>
      </c>
      <c r="N914" s="166"/>
      <c r="O914" s="1311"/>
      <c r="P914" s="166"/>
    </row>
    <row r="915" spans="1:16" s="711" customFormat="1">
      <c r="A915" s="2168">
        <v>45220</v>
      </c>
      <c r="B915" s="1312" t="s">
        <v>4084</v>
      </c>
      <c r="C915" s="1313">
        <v>79305629</v>
      </c>
      <c r="D915" s="1313" t="s">
        <v>4370</v>
      </c>
      <c r="E915" s="1313" t="s">
        <v>6443</v>
      </c>
      <c r="F915" s="1481" t="s">
        <v>6196</v>
      </c>
      <c r="G915" s="791" t="s">
        <v>1970</v>
      </c>
      <c r="H915" s="1556" t="s">
        <v>6467</v>
      </c>
      <c r="I915" s="705">
        <v>0</v>
      </c>
      <c r="J915" s="703">
        <v>5</v>
      </c>
      <c r="K915" s="703">
        <v>2</v>
      </c>
      <c r="L915" s="703"/>
      <c r="M915" s="815" t="s">
        <v>4142</v>
      </c>
      <c r="N915" s="166"/>
      <c r="O915" s="1311"/>
      <c r="P915" s="166"/>
    </row>
    <row r="916" spans="1:16" s="711" customFormat="1" ht="14.4" hidden="1" customHeight="1">
      <c r="A916" s="2168">
        <v>45220</v>
      </c>
      <c r="B916" s="1312" t="s">
        <v>4104</v>
      </c>
      <c r="C916" s="1313">
        <v>96990555</v>
      </c>
      <c r="D916" s="1313" t="s">
        <v>4109</v>
      </c>
      <c r="E916" s="1313"/>
      <c r="F916" s="1313" t="s">
        <v>2755</v>
      </c>
      <c r="G916" s="791" t="s">
        <v>1970</v>
      </c>
      <c r="H916" s="791" t="s">
        <v>4079</v>
      </c>
      <c r="I916" s="705"/>
      <c r="J916" s="703"/>
      <c r="K916" s="703">
        <v>1</v>
      </c>
      <c r="L916" s="706">
        <v>2</v>
      </c>
      <c r="M916" s="896" t="s">
        <v>628</v>
      </c>
      <c r="N916" s="166"/>
      <c r="O916" s="1311"/>
      <c r="P916" s="166"/>
    </row>
    <row r="917" spans="1:16" s="711" customFormat="1" ht="14.4" hidden="1" customHeight="1">
      <c r="A917" s="2168">
        <v>45220</v>
      </c>
      <c r="B917" s="717" t="s">
        <v>4105</v>
      </c>
      <c r="C917" s="724"/>
      <c r="D917" s="724"/>
      <c r="E917" s="724"/>
      <c r="F917" s="724" t="s">
        <v>1743</v>
      </c>
      <c r="G917" s="791" t="s">
        <v>1970</v>
      </c>
      <c r="H917" s="791" t="s">
        <v>4080</v>
      </c>
      <c r="I917" s="705"/>
      <c r="J917" s="826"/>
      <c r="K917" s="703">
        <v>1</v>
      </c>
      <c r="L917" s="706">
        <v>2</v>
      </c>
      <c r="M917" s="896" t="s">
        <v>628</v>
      </c>
      <c r="N917" s="166"/>
      <c r="P917" s="166"/>
    </row>
    <row r="918" spans="1:16" s="711" customFormat="1" ht="14.4" hidden="1" customHeight="1">
      <c r="A918" s="2169">
        <v>45221</v>
      </c>
      <c r="B918" s="717" t="s">
        <v>4106</v>
      </c>
      <c r="C918" s="724">
        <v>82270295</v>
      </c>
      <c r="D918" s="724" t="s">
        <v>4128</v>
      </c>
      <c r="E918" s="724"/>
      <c r="F918" s="724" t="s">
        <v>2755</v>
      </c>
      <c r="G918" s="797" t="s">
        <v>1970</v>
      </c>
      <c r="H918" s="797" t="s">
        <v>4107</v>
      </c>
      <c r="I918" s="705"/>
      <c r="J918" s="703"/>
      <c r="K918" s="703">
        <v>2</v>
      </c>
      <c r="L918" s="703"/>
      <c r="M918" s="815" t="s">
        <v>4142</v>
      </c>
      <c r="N918" s="166"/>
      <c r="P918" s="166"/>
    </row>
    <row r="919" spans="1:16" s="711" customFormat="1" ht="14.4" hidden="1" customHeight="1">
      <c r="A919" s="2169">
        <v>45222</v>
      </c>
      <c r="B919" s="717" t="s">
        <v>4089</v>
      </c>
      <c r="C919" s="724">
        <v>94896003</v>
      </c>
      <c r="D919" s="724" t="s">
        <v>4128</v>
      </c>
      <c r="E919" s="724"/>
      <c r="F919" s="724" t="s">
        <v>1743</v>
      </c>
      <c r="G919" s="797" t="s">
        <v>1970</v>
      </c>
      <c r="H919" s="797" t="s">
        <v>4090</v>
      </c>
      <c r="I919" s="705"/>
      <c r="J919" s="703"/>
      <c r="K919" s="703">
        <v>2</v>
      </c>
      <c r="L919" s="703"/>
      <c r="M919" s="815" t="s">
        <v>4142</v>
      </c>
      <c r="N919" s="166"/>
      <c r="P919" s="166"/>
    </row>
    <row r="920" spans="1:16" s="711" customFormat="1" ht="13.2" hidden="1" customHeight="1">
      <c r="A920" s="2169">
        <v>45222</v>
      </c>
      <c r="B920" s="717" t="s">
        <v>4188</v>
      </c>
      <c r="C920" s="724">
        <v>51308599</v>
      </c>
      <c r="D920" s="724" t="s">
        <v>4244</v>
      </c>
      <c r="E920" s="724">
        <v>1</v>
      </c>
      <c r="F920" s="849" t="s">
        <v>2755</v>
      </c>
      <c r="G920" s="797" t="s">
        <v>2012</v>
      </c>
      <c r="H920" s="797" t="s">
        <v>4095</v>
      </c>
      <c r="I920" s="831"/>
      <c r="J920" s="703"/>
      <c r="K920" s="703"/>
      <c r="L920" s="703"/>
      <c r="M920" s="708"/>
      <c r="N920" s="166"/>
      <c r="P920" s="166"/>
    </row>
    <row r="921" spans="1:16" s="711" customFormat="1" ht="13.2" hidden="1" customHeight="1">
      <c r="A921" s="2169">
        <v>45222</v>
      </c>
      <c r="B921" s="717" t="s">
        <v>4097</v>
      </c>
      <c r="C921" s="724">
        <v>80034792</v>
      </c>
      <c r="D921" s="724" t="s">
        <v>4316</v>
      </c>
      <c r="E921" s="724"/>
      <c r="F921" s="1313" t="s">
        <v>2755</v>
      </c>
      <c r="G921" s="797" t="s">
        <v>1972</v>
      </c>
      <c r="H921" s="791"/>
      <c r="I921" s="705"/>
      <c r="J921" s="703"/>
      <c r="K921" s="703"/>
      <c r="L921" s="703"/>
      <c r="M921" s="708"/>
      <c r="N921" s="166"/>
      <c r="P921" s="166"/>
    </row>
    <row r="922" spans="1:16" s="711" customFormat="1" ht="13.2" hidden="1" customHeight="1">
      <c r="A922" s="2169">
        <v>45224</v>
      </c>
      <c r="B922" s="717" t="s">
        <v>4122</v>
      </c>
      <c r="C922" s="724">
        <v>26265239</v>
      </c>
      <c r="D922" s="724"/>
      <c r="E922" s="724" t="s">
        <v>2755</v>
      </c>
      <c r="F922" s="724"/>
      <c r="G922" s="797" t="s">
        <v>1970</v>
      </c>
      <c r="H922" s="797" t="s">
        <v>4123</v>
      </c>
      <c r="I922" s="705"/>
      <c r="J922" s="703"/>
      <c r="K922" s="703">
        <v>2</v>
      </c>
      <c r="L922" s="703"/>
      <c r="M922" s="815" t="s">
        <v>4142</v>
      </c>
      <c r="N922" s="166"/>
      <c r="P922" s="166"/>
    </row>
    <row r="923" spans="1:16" s="711" customFormat="1" ht="13.2" hidden="1" customHeight="1">
      <c r="A923" s="2169">
        <v>45224</v>
      </c>
      <c r="B923" s="717" t="s">
        <v>4124</v>
      </c>
      <c r="C923" s="724"/>
      <c r="D923" s="724"/>
      <c r="E923" s="724"/>
      <c r="F923" s="724" t="s">
        <v>1743</v>
      </c>
      <c r="G923" s="797" t="s">
        <v>1970</v>
      </c>
      <c r="H923" s="797" t="s">
        <v>4125</v>
      </c>
      <c r="I923" s="705"/>
      <c r="J923" s="703"/>
      <c r="K923" s="703">
        <v>1</v>
      </c>
      <c r="L923" s="706">
        <v>2</v>
      </c>
      <c r="M923" s="896" t="s">
        <v>628</v>
      </c>
      <c r="N923" s="166"/>
      <c r="P923" s="166"/>
    </row>
    <row r="924" spans="1:16" s="711" customFormat="1" ht="13.2" customHeight="1">
      <c r="A924" s="2169">
        <v>45224</v>
      </c>
      <c r="B924" s="1312" t="s">
        <v>4126</v>
      </c>
      <c r="C924" s="1313">
        <v>16260318</v>
      </c>
      <c r="D924" s="1313" t="s">
        <v>4370</v>
      </c>
      <c r="E924" s="1313" t="s">
        <v>6443</v>
      </c>
      <c r="F924" s="1481" t="s">
        <v>6196</v>
      </c>
      <c r="G924" s="797" t="s">
        <v>1970</v>
      </c>
      <c r="H924" s="1556" t="s">
        <v>6468</v>
      </c>
      <c r="I924" s="705">
        <v>0</v>
      </c>
      <c r="J924" s="1631" t="s">
        <v>6848</v>
      </c>
      <c r="K924" s="703">
        <v>1</v>
      </c>
      <c r="L924" s="706">
        <v>2</v>
      </c>
      <c r="M924" s="896" t="s">
        <v>628</v>
      </c>
      <c r="N924" s="166"/>
      <c r="O924" s="1311"/>
      <c r="P924" s="166"/>
    </row>
    <row r="925" spans="1:16" s="711" customFormat="1" ht="13.2" hidden="1" customHeight="1">
      <c r="A925" s="2170">
        <v>45225</v>
      </c>
      <c r="B925" s="1312" t="s">
        <v>4134</v>
      </c>
      <c r="C925" s="1313">
        <v>78015072</v>
      </c>
      <c r="D925" s="1313" t="s">
        <v>4316</v>
      </c>
      <c r="E925" s="1313"/>
      <c r="F925" s="1313" t="s">
        <v>2755</v>
      </c>
      <c r="G925" s="802" t="s">
        <v>2335</v>
      </c>
      <c r="H925" s="802" t="s">
        <v>4135</v>
      </c>
      <c r="I925" s="705"/>
      <c r="J925" s="703"/>
      <c r="K925" s="703"/>
      <c r="L925" s="703"/>
      <c r="M925" s="708"/>
      <c r="N925" s="166" t="s">
        <v>4322</v>
      </c>
      <c r="O925" s="1311"/>
      <c r="P925" s="166"/>
    </row>
    <row r="926" spans="1:16" s="711" customFormat="1" ht="13.2" hidden="1" customHeight="1">
      <c r="A926" s="2170">
        <v>45225</v>
      </c>
      <c r="B926" s="717" t="s">
        <v>4136</v>
      </c>
      <c r="C926" s="724">
        <v>39803442</v>
      </c>
      <c r="D926" s="724" t="s">
        <v>4316</v>
      </c>
      <c r="E926" s="724"/>
      <c r="F926" s="724" t="s">
        <v>2755</v>
      </c>
      <c r="G926" s="802" t="s">
        <v>2335</v>
      </c>
      <c r="H926" s="802" t="s">
        <v>4137</v>
      </c>
      <c r="I926" s="705"/>
      <c r="J926" s="703"/>
      <c r="K926" s="703"/>
      <c r="L926" s="703"/>
      <c r="M926" s="708"/>
      <c r="N926" s="166"/>
      <c r="P926" s="166"/>
    </row>
    <row r="927" spans="1:16" s="711" customFormat="1" ht="13.2" hidden="1" customHeight="1">
      <c r="A927" s="2170">
        <v>45225</v>
      </c>
      <c r="B927" s="717" t="s">
        <v>4138</v>
      </c>
      <c r="C927" s="724">
        <v>69143971</v>
      </c>
      <c r="D927" s="724"/>
      <c r="E927" s="724"/>
      <c r="F927" s="724" t="s">
        <v>4159</v>
      </c>
      <c r="G927" s="802" t="s">
        <v>1970</v>
      </c>
      <c r="H927" s="802" t="s">
        <v>4139</v>
      </c>
      <c r="I927" s="705"/>
      <c r="J927" s="703"/>
      <c r="K927" s="703">
        <v>1</v>
      </c>
      <c r="L927" s="706">
        <v>2</v>
      </c>
      <c r="M927" s="896" t="s">
        <v>628</v>
      </c>
      <c r="N927" s="166"/>
      <c r="P927" s="166"/>
    </row>
    <row r="928" spans="1:16" s="711" customFormat="1" ht="13.8" hidden="1" customHeight="1">
      <c r="A928" s="2170">
        <v>45225</v>
      </c>
      <c r="B928" s="717" t="s">
        <v>4140</v>
      </c>
      <c r="C928" s="724">
        <v>87323521</v>
      </c>
      <c r="D928" s="885" t="s">
        <v>4397</v>
      </c>
      <c r="E928" s="724">
        <v>10</v>
      </c>
      <c r="F928" s="724" t="s">
        <v>2755</v>
      </c>
      <c r="G928" s="802" t="s">
        <v>1032</v>
      </c>
      <c r="H928" s="802" t="s">
        <v>4141</v>
      </c>
      <c r="I928" s="705"/>
      <c r="J928" s="703"/>
      <c r="K928" s="703"/>
      <c r="L928" s="703"/>
      <c r="M928" s="708"/>
      <c r="N928" s="166"/>
      <c r="O928" s="900" t="s">
        <v>4421</v>
      </c>
      <c r="P928" s="166"/>
    </row>
    <row r="929" spans="1:16" s="711" customFormat="1" ht="13.2" hidden="1" customHeight="1">
      <c r="A929" s="2170">
        <v>45225</v>
      </c>
      <c r="B929" s="717" t="s">
        <v>4133</v>
      </c>
      <c r="C929" s="1053">
        <v>10292091</v>
      </c>
      <c r="D929" s="1313" t="s">
        <v>4370</v>
      </c>
      <c r="E929" s="724"/>
      <c r="F929" s="128" t="s">
        <v>4377</v>
      </c>
      <c r="G929" s="761" t="s">
        <v>2231</v>
      </c>
      <c r="H929" s="918" t="s">
        <v>4481</v>
      </c>
      <c r="I929" s="705"/>
      <c r="J929" s="703">
        <v>5</v>
      </c>
      <c r="K929" s="703"/>
      <c r="L929" s="703"/>
      <c r="M929" s="708"/>
      <c r="N929" s="166"/>
      <c r="O929" s="1311"/>
      <c r="P929" s="166"/>
    </row>
    <row r="930" spans="1:16" s="711" customFormat="1" ht="13.2" hidden="1" customHeight="1">
      <c r="A930" s="2171">
        <v>45226</v>
      </c>
      <c r="B930" s="717" t="s">
        <v>4143</v>
      </c>
      <c r="C930" s="1313">
        <v>88511764</v>
      </c>
      <c r="D930" s="724" t="s">
        <v>4397</v>
      </c>
      <c r="E930" s="724"/>
      <c r="F930" s="1313" t="s">
        <v>2755</v>
      </c>
      <c r="G930" s="806" t="s">
        <v>1996</v>
      </c>
      <c r="H930" s="806" t="s">
        <v>4144</v>
      </c>
      <c r="I930" s="705"/>
      <c r="J930" s="703"/>
      <c r="K930" s="703"/>
      <c r="L930" s="703"/>
      <c r="M930" s="708"/>
      <c r="N930" s="166"/>
      <c r="P930" s="166"/>
    </row>
    <row r="931" spans="1:16" s="711" customFormat="1" ht="13.2" hidden="1" customHeight="1">
      <c r="A931" s="2171">
        <v>45226</v>
      </c>
      <c r="B931" s="709" t="s">
        <v>4145</v>
      </c>
      <c r="C931" s="735">
        <v>70245086</v>
      </c>
      <c r="D931" s="1310"/>
      <c r="E931" s="1310">
        <v>10</v>
      </c>
      <c r="F931" s="1310"/>
      <c r="G931" s="812" t="s">
        <v>3249</v>
      </c>
      <c r="H931" s="845" t="s">
        <v>4238</v>
      </c>
      <c r="I931" s="703"/>
      <c r="J931" s="703"/>
      <c r="K931" s="703"/>
      <c r="L931" s="703"/>
      <c r="M931" s="708"/>
      <c r="N931" s="166"/>
      <c r="P931" s="166"/>
    </row>
    <row r="932" spans="1:16" s="711" customFormat="1" ht="13.2" hidden="1" customHeight="1">
      <c r="A932" s="2172">
        <v>45228</v>
      </c>
      <c r="B932" s="1312" t="s">
        <v>4157</v>
      </c>
      <c r="C932" s="1313">
        <v>95378332</v>
      </c>
      <c r="D932" s="1313" t="s">
        <v>4316</v>
      </c>
      <c r="E932" s="1313"/>
      <c r="F932" s="1313" t="s">
        <v>2755</v>
      </c>
      <c r="G932" s="821" t="s">
        <v>2073</v>
      </c>
      <c r="H932" s="821" t="s">
        <v>4158</v>
      </c>
      <c r="I932" s="705"/>
      <c r="J932" s="703"/>
      <c r="K932" s="703"/>
      <c r="L932" s="703"/>
      <c r="M932" s="708"/>
      <c r="N932" s="166"/>
      <c r="P932" s="166"/>
    </row>
    <row r="933" spans="1:16" s="711" customFormat="1" ht="13.2" hidden="1" customHeight="1">
      <c r="A933" s="2173">
        <v>45229</v>
      </c>
      <c r="B933" s="717" t="s">
        <v>4168</v>
      </c>
      <c r="C933" s="724">
        <v>77081170</v>
      </c>
      <c r="D933" s="724"/>
      <c r="E933" s="724"/>
      <c r="F933" s="724" t="s">
        <v>1743</v>
      </c>
      <c r="G933" s="823" t="s">
        <v>1970</v>
      </c>
      <c r="H933" s="823" t="s">
        <v>4169</v>
      </c>
      <c r="I933" s="705"/>
      <c r="J933" s="703"/>
      <c r="K933" s="703">
        <v>1</v>
      </c>
      <c r="L933" s="703">
        <v>2</v>
      </c>
      <c r="M933" s="896" t="s">
        <v>628</v>
      </c>
      <c r="N933" s="166"/>
      <c r="P933" s="166"/>
    </row>
    <row r="934" spans="1:16" s="711" customFormat="1" ht="13.2" hidden="1" customHeight="1">
      <c r="A934" s="2173">
        <v>45229</v>
      </c>
      <c r="B934" s="717" t="s">
        <v>4164</v>
      </c>
      <c r="C934" s="724">
        <v>53429130</v>
      </c>
      <c r="D934" s="724" t="s">
        <v>4397</v>
      </c>
      <c r="E934" s="724"/>
      <c r="F934" s="724" t="s">
        <v>2755</v>
      </c>
      <c r="G934" s="823" t="s">
        <v>4165</v>
      </c>
      <c r="H934" s="823" t="s">
        <v>4166</v>
      </c>
      <c r="I934" s="705"/>
      <c r="J934" s="703"/>
      <c r="K934" s="703"/>
      <c r="L934" s="703"/>
      <c r="M934" s="708"/>
      <c r="N934" s="166"/>
      <c r="P934" s="166"/>
    </row>
    <row r="935" spans="1:16" s="711" customFormat="1" ht="13.2" hidden="1" customHeight="1">
      <c r="A935" s="2173">
        <v>45229</v>
      </c>
      <c r="B935" s="717" t="s">
        <v>4170</v>
      </c>
      <c r="C935" s="724">
        <v>38648520</v>
      </c>
      <c r="D935" s="724" t="s">
        <v>4234</v>
      </c>
      <c r="E935" s="724">
        <v>1</v>
      </c>
      <c r="F935" s="842" t="s">
        <v>2755</v>
      </c>
      <c r="G935" s="823" t="s">
        <v>2012</v>
      </c>
      <c r="H935" s="823" t="s">
        <v>4171</v>
      </c>
      <c r="I935" s="705"/>
      <c r="J935" s="703"/>
      <c r="K935" s="703"/>
      <c r="L935" s="703"/>
      <c r="M935" s="708"/>
      <c r="N935" s="166"/>
      <c r="P935" s="166"/>
    </row>
    <row r="936" spans="1:16" s="711" customFormat="1" ht="13.2" hidden="1" customHeight="1">
      <c r="A936" s="2174">
        <v>45230</v>
      </c>
      <c r="B936" s="182" t="s">
        <v>4191</v>
      </c>
      <c r="C936" s="724">
        <v>78228322</v>
      </c>
      <c r="D936" s="724" t="s">
        <v>4376</v>
      </c>
      <c r="E936" s="842"/>
      <c r="F936" s="1313" t="s">
        <v>2755</v>
      </c>
      <c r="G936" s="831" t="s">
        <v>2614</v>
      </c>
      <c r="H936" s="831" t="s">
        <v>4192</v>
      </c>
      <c r="I936" s="705"/>
      <c r="J936" s="703"/>
      <c r="K936" s="703"/>
      <c r="L936" s="703"/>
      <c r="M936" s="708"/>
      <c r="N936" s="166"/>
      <c r="P936" s="166"/>
    </row>
    <row r="937" spans="1:16" s="711" customFormat="1" ht="13.2" hidden="1" customHeight="1">
      <c r="A937" s="2174">
        <v>45230</v>
      </c>
      <c r="B937" s="1312" t="s">
        <v>4193</v>
      </c>
      <c r="C937" s="724">
        <v>41803602</v>
      </c>
      <c r="D937" s="724" t="s">
        <v>4443</v>
      </c>
      <c r="E937" s="1313"/>
      <c r="F937" s="724" t="s">
        <v>4462</v>
      </c>
      <c r="G937" s="831" t="s">
        <v>1009</v>
      </c>
      <c r="H937" s="844" t="s">
        <v>4194</v>
      </c>
      <c r="I937" s="705"/>
      <c r="J937" s="703"/>
      <c r="K937" s="703"/>
      <c r="L937" s="703"/>
      <c r="M937" s="708"/>
      <c r="N937" s="166"/>
      <c r="P937" s="166"/>
    </row>
    <row r="938" spans="1:16" s="711" customFormat="1" ht="13.2" hidden="1" customHeight="1">
      <c r="A938" s="2174">
        <v>45230</v>
      </c>
      <c r="B938" s="709" t="s">
        <v>4195</v>
      </c>
      <c r="C938" s="1310">
        <v>10263032</v>
      </c>
      <c r="D938" s="1310"/>
      <c r="E938" s="1310"/>
      <c r="F938" s="1310"/>
      <c r="G938" s="830" t="s">
        <v>2124</v>
      </c>
      <c r="H938" s="830" t="s">
        <v>4196</v>
      </c>
      <c r="I938" s="703"/>
      <c r="J938" s="703"/>
      <c r="K938" s="703"/>
      <c r="L938" s="703"/>
      <c r="M938" s="708"/>
      <c r="N938" s="166"/>
      <c r="P938" s="166"/>
    </row>
    <row r="939" spans="1:16" s="711" customFormat="1" ht="13.2" hidden="1" customHeight="1">
      <c r="A939" s="2174">
        <v>45230</v>
      </c>
      <c r="B939" s="1312" t="s">
        <v>4197</v>
      </c>
      <c r="C939" s="1313">
        <v>70371131</v>
      </c>
      <c r="D939" s="1313"/>
      <c r="E939" s="1313"/>
      <c r="F939" s="1313"/>
      <c r="G939" s="831" t="s">
        <v>1970</v>
      </c>
      <c r="H939" s="831" t="s">
        <v>4198</v>
      </c>
      <c r="I939" s="705"/>
      <c r="J939" s="703"/>
      <c r="K939" s="703">
        <v>1</v>
      </c>
      <c r="L939" s="703">
        <v>2</v>
      </c>
      <c r="M939" s="896" t="s">
        <v>628</v>
      </c>
      <c r="N939" s="166"/>
      <c r="P939" s="166"/>
    </row>
    <row r="940" spans="1:16" s="711" customFormat="1" ht="13.2" hidden="1" customHeight="1">
      <c r="A940" s="2175">
        <v>45231</v>
      </c>
      <c r="B940" s="717" t="s">
        <v>4451</v>
      </c>
      <c r="C940" s="724">
        <v>21464579</v>
      </c>
      <c r="D940" s="724" t="s">
        <v>4443</v>
      </c>
      <c r="E940" s="724">
        <v>10</v>
      </c>
      <c r="F940" s="724" t="s">
        <v>3568</v>
      </c>
      <c r="G940" s="858" t="s">
        <v>2056</v>
      </c>
      <c r="H940" s="858" t="s">
        <v>4207</v>
      </c>
      <c r="I940" s="705"/>
      <c r="J940" s="703"/>
      <c r="K940" s="703"/>
      <c r="L940" s="703"/>
      <c r="M940" s="708"/>
      <c r="N940" s="166"/>
      <c r="P940" s="166"/>
    </row>
    <row r="941" spans="1:16" s="711" customFormat="1" ht="13.2" hidden="1" customHeight="1">
      <c r="A941" s="2175">
        <v>45231</v>
      </c>
      <c r="B941" s="717" t="s">
        <v>4254</v>
      </c>
      <c r="C941" s="724">
        <v>35981768</v>
      </c>
      <c r="D941" s="724" t="s">
        <v>4376</v>
      </c>
      <c r="E941" s="724"/>
      <c r="F941" s="870" t="s">
        <v>2755</v>
      </c>
      <c r="G941" s="842" t="s">
        <v>2237</v>
      </c>
      <c r="H941" s="849" t="s">
        <v>4255</v>
      </c>
      <c r="I941" s="705"/>
      <c r="J941" s="703"/>
      <c r="K941" s="703"/>
      <c r="L941" s="703"/>
      <c r="M941" s="708"/>
      <c r="N941" s="166"/>
      <c r="P941" s="166"/>
    </row>
    <row r="942" spans="1:16" s="711" customFormat="1" ht="13.2" hidden="1" customHeight="1">
      <c r="A942" s="2176">
        <v>45232</v>
      </c>
      <c r="B942" s="717" t="s">
        <v>4210</v>
      </c>
      <c r="C942" s="724">
        <v>25139408</v>
      </c>
      <c r="D942" s="724" t="s">
        <v>4316</v>
      </c>
      <c r="E942" s="724"/>
      <c r="F942" s="1313" t="s">
        <v>2755</v>
      </c>
      <c r="G942" s="834" t="s">
        <v>2335</v>
      </c>
      <c r="H942" s="834" t="s">
        <v>4211</v>
      </c>
      <c r="I942" s="705"/>
      <c r="J942" s="703"/>
      <c r="K942" s="703"/>
      <c r="L942" s="703"/>
      <c r="M942" s="708"/>
      <c r="N942" s="166" t="s">
        <v>4322</v>
      </c>
      <c r="P942" s="166"/>
    </row>
    <row r="943" spans="1:16" s="711" customFormat="1" ht="13.2" hidden="1" customHeight="1">
      <c r="A943" s="2176">
        <v>45232</v>
      </c>
      <c r="B943" s="717" t="s">
        <v>4212</v>
      </c>
      <c r="C943" s="724">
        <v>48188648</v>
      </c>
      <c r="D943" s="724" t="s">
        <v>4234</v>
      </c>
      <c r="E943" s="724"/>
      <c r="F943" s="724"/>
      <c r="G943" s="834" t="s">
        <v>2651</v>
      </c>
      <c r="H943" s="834" t="s">
        <v>4213</v>
      </c>
      <c r="I943" s="705"/>
      <c r="J943" s="703"/>
      <c r="K943" s="703"/>
      <c r="L943" s="703"/>
      <c r="M943" s="708"/>
      <c r="N943" s="166"/>
      <c r="P943" s="166"/>
    </row>
    <row r="944" spans="1:16" s="711" customFormat="1" ht="13.2" hidden="1" customHeight="1">
      <c r="A944" s="2176">
        <v>45232</v>
      </c>
      <c r="B944" s="717" t="s">
        <v>4214</v>
      </c>
      <c r="C944" s="724">
        <v>37135441</v>
      </c>
      <c r="D944" s="724" t="s">
        <v>4234</v>
      </c>
      <c r="E944" s="724"/>
      <c r="F944" s="724" t="s">
        <v>2755</v>
      </c>
      <c r="G944" s="834" t="s">
        <v>1970</v>
      </c>
      <c r="H944" s="834" t="s">
        <v>4215</v>
      </c>
      <c r="I944" s="705"/>
      <c r="J944" s="703"/>
      <c r="K944" s="703">
        <v>1</v>
      </c>
      <c r="L944" s="703">
        <v>2</v>
      </c>
      <c r="M944" s="896" t="s">
        <v>628</v>
      </c>
      <c r="N944" s="166"/>
      <c r="P944" s="166"/>
    </row>
    <row r="945" spans="1:16" s="711" customFormat="1" ht="13.2" hidden="1" customHeight="1">
      <c r="A945" s="2176">
        <v>45232</v>
      </c>
      <c r="B945" s="717" t="s">
        <v>4222</v>
      </c>
      <c r="C945" s="724">
        <v>88318030</v>
      </c>
      <c r="D945" s="724" t="s">
        <v>4316</v>
      </c>
      <c r="E945" s="724"/>
      <c r="F945" s="724" t="s">
        <v>2755</v>
      </c>
      <c r="G945" s="834" t="s">
        <v>4223</v>
      </c>
      <c r="H945" s="834" t="s">
        <v>4224</v>
      </c>
      <c r="I945" s="705"/>
      <c r="J945" s="703"/>
      <c r="K945" s="703"/>
      <c r="L945" s="703"/>
      <c r="M945" s="708"/>
      <c r="N945" s="166"/>
      <c r="P945" s="166"/>
    </row>
    <row r="946" spans="1:16" s="711" customFormat="1" ht="13.2" hidden="1" customHeight="1">
      <c r="A946" s="2177">
        <v>45233</v>
      </c>
      <c r="B946" s="717" t="s">
        <v>4226</v>
      </c>
      <c r="C946" s="724">
        <v>50652854</v>
      </c>
      <c r="D946" s="724" t="s">
        <v>4316</v>
      </c>
      <c r="E946" s="724"/>
      <c r="F946" s="724" t="s">
        <v>2755</v>
      </c>
      <c r="G946" s="842" t="s">
        <v>1006</v>
      </c>
      <c r="H946" s="842" t="s">
        <v>4227</v>
      </c>
      <c r="I946" s="705"/>
      <c r="J946" s="703"/>
      <c r="K946" s="703"/>
      <c r="L946" s="703">
        <v>1</v>
      </c>
      <c r="M946" s="708"/>
      <c r="N946" s="166"/>
      <c r="P946" s="166"/>
    </row>
    <row r="947" spans="1:16" s="711" customFormat="1" ht="13.2" hidden="1" customHeight="1">
      <c r="A947" s="2177">
        <v>45233</v>
      </c>
      <c r="B947" s="717" t="s">
        <v>4232</v>
      </c>
      <c r="C947" s="724">
        <v>69038220</v>
      </c>
      <c r="D947" s="724" t="s">
        <v>4376</v>
      </c>
      <c r="E947" s="724"/>
      <c r="F947" s="724" t="s">
        <v>2755</v>
      </c>
      <c r="G947" s="842" t="s">
        <v>1970</v>
      </c>
      <c r="H947" s="842" t="s">
        <v>4233</v>
      </c>
      <c r="I947" s="705"/>
      <c r="J947" s="703"/>
      <c r="K947" s="703">
        <v>1</v>
      </c>
      <c r="L947" s="703">
        <v>2</v>
      </c>
      <c r="M947" s="896" t="s">
        <v>628</v>
      </c>
      <c r="N947" s="166"/>
      <c r="P947" s="166"/>
    </row>
    <row r="948" spans="1:16" s="711" customFormat="1" ht="13.2" hidden="1" customHeight="1">
      <c r="A948" s="2177">
        <v>45234</v>
      </c>
      <c r="B948" s="717" t="s">
        <v>4236</v>
      </c>
      <c r="C948" s="724">
        <v>66931039</v>
      </c>
      <c r="D948" s="724" t="s">
        <v>4336</v>
      </c>
      <c r="E948" s="724"/>
      <c r="F948" s="862" t="s">
        <v>2755</v>
      </c>
      <c r="G948" s="842" t="s">
        <v>2237</v>
      </c>
      <c r="H948" s="842" t="s">
        <v>4237</v>
      </c>
      <c r="I948" s="705"/>
      <c r="J948" s="703"/>
      <c r="K948" s="703"/>
      <c r="L948" s="703"/>
      <c r="M948" s="708"/>
      <c r="N948" s="166"/>
      <c r="P948" s="166"/>
    </row>
    <row r="949" spans="1:16" s="711" customFormat="1" ht="13.2" hidden="1" customHeight="1">
      <c r="A949" s="2178">
        <v>45235</v>
      </c>
      <c r="B949" s="717" t="s">
        <v>4239</v>
      </c>
      <c r="C949" s="724">
        <v>97295520</v>
      </c>
      <c r="D949" s="724" t="s">
        <v>4376</v>
      </c>
      <c r="E949" s="724"/>
      <c r="F949" s="874" t="s">
        <v>2755</v>
      </c>
      <c r="G949" s="844" t="s">
        <v>4240</v>
      </c>
      <c r="H949" s="844" t="s">
        <v>4241</v>
      </c>
      <c r="I949" s="849"/>
      <c r="J949" s="703"/>
      <c r="K949" s="703"/>
      <c r="L949" s="703"/>
      <c r="M949" s="708"/>
      <c r="N949" s="166"/>
      <c r="P949" s="166"/>
    </row>
    <row r="950" spans="1:16" s="711" customFormat="1" ht="13.2" hidden="1" customHeight="1">
      <c r="A950" s="2179">
        <v>45236</v>
      </c>
      <c r="B950" s="717" t="s">
        <v>4245</v>
      </c>
      <c r="C950" s="724">
        <v>13278004</v>
      </c>
      <c r="D950" s="724" t="s">
        <v>4376</v>
      </c>
      <c r="E950" s="724"/>
      <c r="F950" s="876" t="s">
        <v>2755</v>
      </c>
      <c r="G950" s="849" t="s">
        <v>2335</v>
      </c>
      <c r="H950" s="849" t="s">
        <v>4246</v>
      </c>
      <c r="I950" s="705"/>
      <c r="J950" s="883"/>
      <c r="K950" s="703"/>
      <c r="L950" s="703"/>
      <c r="M950" s="708"/>
      <c r="N950" s="166" t="s">
        <v>4392</v>
      </c>
      <c r="P950" s="166"/>
    </row>
    <row r="951" spans="1:16" s="711" customFormat="1" ht="13.2" hidden="1" customHeight="1">
      <c r="A951" s="2179">
        <v>45236</v>
      </c>
      <c r="B951" s="717" t="s">
        <v>4247</v>
      </c>
      <c r="C951" s="724">
        <v>42029529</v>
      </c>
      <c r="D951" s="885" t="s">
        <v>4397</v>
      </c>
      <c r="E951" s="724"/>
      <c r="F951" s="874" t="s">
        <v>2755</v>
      </c>
      <c r="G951" s="849" t="s">
        <v>1959</v>
      </c>
      <c r="H951" s="849" t="s">
        <v>4248</v>
      </c>
      <c r="I951" s="705"/>
      <c r="J951" s="703"/>
      <c r="K951" s="703"/>
      <c r="L951" s="703"/>
      <c r="M951" s="708"/>
      <c r="N951" s="166"/>
      <c r="P951" s="166"/>
    </row>
    <row r="952" spans="1:16" s="711" customFormat="1" ht="13.2" hidden="1" customHeight="1">
      <c r="A952" s="2179">
        <v>45236</v>
      </c>
      <c r="B952" s="717" t="s">
        <v>4249</v>
      </c>
      <c r="C952" s="724">
        <v>36367233</v>
      </c>
      <c r="D952" s="885" t="s">
        <v>4397</v>
      </c>
      <c r="E952" s="724">
        <v>10</v>
      </c>
      <c r="F952" s="874" t="s">
        <v>2755</v>
      </c>
      <c r="G952" s="849" t="s">
        <v>1032</v>
      </c>
      <c r="H952" s="849" t="s">
        <v>4250</v>
      </c>
      <c r="I952" s="705"/>
      <c r="J952" s="703"/>
      <c r="K952" s="703"/>
      <c r="L952" s="703"/>
      <c r="M952" s="708"/>
      <c r="N952" s="166"/>
      <c r="O952" s="900" t="s">
        <v>4421</v>
      </c>
      <c r="P952" s="166"/>
    </row>
    <row r="953" spans="1:16" s="711" customFormat="1" ht="13.2" hidden="1" customHeight="1">
      <c r="A953" s="2179">
        <v>45236</v>
      </c>
      <c r="B953" s="729" t="s">
        <v>4252</v>
      </c>
      <c r="C953" s="730">
        <v>77744915</v>
      </c>
      <c r="D953" s="730"/>
      <c r="E953" s="730"/>
      <c r="F953" s="730"/>
      <c r="G953" s="846" t="s">
        <v>1970</v>
      </c>
      <c r="H953" s="846" t="s">
        <v>4253</v>
      </c>
      <c r="I953" s="706"/>
      <c r="J953" s="703"/>
      <c r="K953" s="703"/>
      <c r="L953" s="703"/>
      <c r="M953" s="708"/>
      <c r="N953" s="166"/>
      <c r="O953" s="1311"/>
      <c r="P953" s="166"/>
    </row>
    <row r="954" spans="1:16" s="711" customFormat="1" ht="13.2" hidden="1" customHeight="1">
      <c r="A954" s="2180">
        <v>45237</v>
      </c>
      <c r="B954" s="717" t="s">
        <v>4264</v>
      </c>
      <c r="C954" s="724">
        <v>66780883</v>
      </c>
      <c r="D954" s="724" t="s">
        <v>4376</v>
      </c>
      <c r="E954" s="724"/>
      <c r="F954" s="876" t="s">
        <v>4129</v>
      </c>
      <c r="G954" s="852" t="s">
        <v>2335</v>
      </c>
      <c r="H954" s="852" t="s">
        <v>4265</v>
      </c>
      <c r="I954" s="705"/>
      <c r="J954" s="703"/>
      <c r="K954" s="703"/>
      <c r="L954" s="703"/>
      <c r="M954" s="708"/>
      <c r="N954" s="166" t="s">
        <v>4392</v>
      </c>
      <c r="P954" s="166"/>
    </row>
    <row r="955" spans="1:16" s="711" customFormat="1" ht="13.2" hidden="1" customHeight="1">
      <c r="A955" s="2180">
        <v>45237</v>
      </c>
      <c r="B955" s="717" t="s">
        <v>4266</v>
      </c>
      <c r="C955" s="724">
        <v>57117887</v>
      </c>
      <c r="D955" s="724" t="s">
        <v>4376</v>
      </c>
      <c r="E955" s="724"/>
      <c r="F955" s="876" t="s">
        <v>4129</v>
      </c>
      <c r="G955" s="852" t="s">
        <v>2215</v>
      </c>
      <c r="H955" s="852" t="s">
        <v>4267</v>
      </c>
      <c r="I955" s="705"/>
      <c r="J955" s="703"/>
      <c r="K955" s="703"/>
      <c r="L955" s="703"/>
      <c r="M955" s="708"/>
      <c r="N955" s="166"/>
      <c r="P955" s="166"/>
    </row>
    <row r="956" spans="1:16" s="711" customFormat="1" ht="13.2" hidden="1" customHeight="1">
      <c r="A956" s="2180">
        <v>45238</v>
      </c>
      <c r="B956" s="717" t="s">
        <v>4272</v>
      </c>
      <c r="C956" s="724">
        <v>11897463</v>
      </c>
      <c r="D956" s="724" t="s">
        <v>4336</v>
      </c>
      <c r="E956" s="724"/>
      <c r="F956" s="724" t="s">
        <v>2755</v>
      </c>
      <c r="G956" s="852" t="s">
        <v>2266</v>
      </c>
      <c r="H956" s="852" t="s">
        <v>4271</v>
      </c>
      <c r="I956" s="705"/>
      <c r="J956" s="703"/>
      <c r="K956" s="703"/>
      <c r="L956" s="703"/>
      <c r="M956" s="708"/>
      <c r="N956" s="166"/>
      <c r="P956" s="166"/>
    </row>
    <row r="957" spans="1:16" s="711" customFormat="1" ht="13.2" hidden="1" customHeight="1">
      <c r="A957" s="2180">
        <v>45238</v>
      </c>
      <c r="B957" s="717" t="s">
        <v>4273</v>
      </c>
      <c r="C957" s="724">
        <v>21229236</v>
      </c>
      <c r="D957" s="724" t="s">
        <v>4443</v>
      </c>
      <c r="E957" s="724">
        <v>10</v>
      </c>
      <c r="F957" s="724"/>
      <c r="G957" s="852" t="s">
        <v>2056</v>
      </c>
      <c r="H957" s="852" t="s">
        <v>4274</v>
      </c>
      <c r="I957" s="705"/>
      <c r="J957" s="703"/>
      <c r="K957" s="703"/>
      <c r="L957" s="703"/>
      <c r="M957" s="708"/>
      <c r="N957" s="166"/>
      <c r="P957" s="166"/>
    </row>
    <row r="958" spans="1:16" s="711" customFormat="1" ht="13.2" hidden="1" customHeight="1">
      <c r="A958" s="2180">
        <v>45238</v>
      </c>
      <c r="B958" s="717" t="s">
        <v>4275</v>
      </c>
      <c r="C958" s="1313">
        <v>62953512</v>
      </c>
      <c r="D958" s="1313" t="s">
        <v>4443</v>
      </c>
      <c r="E958" s="1313">
        <v>10</v>
      </c>
      <c r="F958" s="1313"/>
      <c r="G958" s="852" t="s">
        <v>2056</v>
      </c>
      <c r="H958" s="852" t="s">
        <v>4276</v>
      </c>
      <c r="I958" s="705"/>
      <c r="J958" s="703"/>
      <c r="K958" s="703"/>
      <c r="L958" s="703"/>
      <c r="M958" s="708"/>
      <c r="N958" s="166"/>
      <c r="P958" s="166"/>
    </row>
    <row r="959" spans="1:16" s="711" customFormat="1" ht="13.2" hidden="1" customHeight="1">
      <c r="A959" s="2180">
        <v>45238</v>
      </c>
      <c r="B959" s="717" t="s">
        <v>4346</v>
      </c>
      <c r="C959" s="880">
        <v>46184468</v>
      </c>
      <c r="D959" s="885" t="s">
        <v>4397</v>
      </c>
      <c r="E959" s="880">
        <v>1</v>
      </c>
      <c r="F959" s="885" t="s">
        <v>2755</v>
      </c>
      <c r="G959" s="880" t="s">
        <v>2012</v>
      </c>
      <c r="H959" s="880" t="s">
        <v>4277</v>
      </c>
      <c r="I959" s="880"/>
      <c r="J959" s="703"/>
      <c r="K959" s="703"/>
      <c r="L959" s="703"/>
      <c r="M959" s="708"/>
      <c r="N959" s="166"/>
      <c r="P959" s="166"/>
    </row>
    <row r="960" spans="1:16" s="711" customFormat="1" ht="13.2" hidden="1" customHeight="1">
      <c r="A960" s="2181">
        <v>45238</v>
      </c>
      <c r="B960" s="717" t="s">
        <v>4302</v>
      </c>
      <c r="C960" s="724"/>
      <c r="D960" s="724" t="s">
        <v>4316</v>
      </c>
      <c r="E960" s="724"/>
      <c r="F960" s="724" t="s">
        <v>2755</v>
      </c>
      <c r="G960" s="856" t="s">
        <v>1972</v>
      </c>
      <c r="H960" s="856" t="s">
        <v>4303</v>
      </c>
      <c r="I960" s="705"/>
      <c r="J960" s="703"/>
      <c r="K960" s="703"/>
      <c r="L960" s="703"/>
      <c r="M960" s="708"/>
      <c r="N960" s="166"/>
      <c r="P960" s="166"/>
    </row>
    <row r="961" spans="1:16" s="711" customFormat="1" ht="13.2" hidden="1" customHeight="1">
      <c r="A961" s="2181">
        <v>45239</v>
      </c>
      <c r="B961" s="717" t="s">
        <v>4278</v>
      </c>
      <c r="C961" s="724">
        <v>11111111</v>
      </c>
      <c r="D961" s="724" t="s">
        <v>4316</v>
      </c>
      <c r="E961" s="724">
        <v>10</v>
      </c>
      <c r="F961" s="724"/>
      <c r="G961" s="856" t="s">
        <v>4280</v>
      </c>
      <c r="H961" s="856" t="s">
        <v>4281</v>
      </c>
      <c r="I961" s="705"/>
      <c r="J961" s="703"/>
      <c r="K961" s="703"/>
      <c r="L961" s="703"/>
      <c r="M961" s="708"/>
      <c r="N961" s="166"/>
      <c r="P961" s="166"/>
    </row>
    <row r="962" spans="1:16" s="711" customFormat="1" ht="13.2" hidden="1" customHeight="1">
      <c r="A962" s="2181">
        <v>45239</v>
      </c>
      <c r="B962" s="717" t="s">
        <v>4282</v>
      </c>
      <c r="C962" s="724">
        <v>11111111</v>
      </c>
      <c r="D962" s="724" t="s">
        <v>4376</v>
      </c>
      <c r="E962" s="724"/>
      <c r="F962" s="1313" t="s">
        <v>4378</v>
      </c>
      <c r="G962" s="856" t="s">
        <v>4280</v>
      </c>
      <c r="H962" s="852"/>
      <c r="I962" s="705"/>
      <c r="J962" s="703"/>
      <c r="K962" s="703"/>
      <c r="L962" s="703"/>
      <c r="M962" s="708"/>
      <c r="N962" s="166"/>
      <c r="P962" s="166"/>
    </row>
    <row r="963" spans="1:16" s="711" customFormat="1" ht="13.2" hidden="1" customHeight="1">
      <c r="A963" s="2181">
        <v>45239</v>
      </c>
      <c r="B963" s="717" t="s">
        <v>4283</v>
      </c>
      <c r="C963" s="724">
        <v>68435606</v>
      </c>
      <c r="D963" s="724" t="s">
        <v>4376</v>
      </c>
      <c r="E963" s="724"/>
      <c r="F963" s="876" t="s">
        <v>2755</v>
      </c>
      <c r="G963" s="856" t="s">
        <v>1972</v>
      </c>
      <c r="H963" s="864" t="s">
        <v>4321</v>
      </c>
      <c r="I963" s="705"/>
      <c r="J963" s="703"/>
      <c r="K963" s="703"/>
      <c r="L963" s="703"/>
      <c r="M963" s="708"/>
      <c r="N963" s="166"/>
      <c r="P963" s="166"/>
    </row>
    <row r="964" spans="1:16" s="711" customFormat="1" ht="13.2" hidden="1" customHeight="1">
      <c r="A964" s="2181">
        <v>45239</v>
      </c>
      <c r="B964" s="717" t="s">
        <v>4461</v>
      </c>
      <c r="C964" s="724">
        <v>97155768</v>
      </c>
      <c r="D964" s="724" t="s">
        <v>4443</v>
      </c>
      <c r="E964" s="724">
        <v>10</v>
      </c>
      <c r="F964" s="724"/>
      <c r="G964" s="856" t="s">
        <v>2056</v>
      </c>
      <c r="H964" s="856" t="s">
        <v>4297</v>
      </c>
      <c r="I964" s="705"/>
      <c r="J964" s="703"/>
      <c r="K964" s="703"/>
      <c r="L964" s="703"/>
      <c r="M964" s="708"/>
      <c r="N964" s="166"/>
      <c r="P964" s="166"/>
    </row>
    <row r="965" spans="1:16" s="711" customFormat="1" ht="13.2" hidden="1" customHeight="1">
      <c r="A965" s="2181">
        <v>45239</v>
      </c>
      <c r="B965" s="717" t="s">
        <v>4298</v>
      </c>
      <c r="C965" s="724">
        <v>62472963</v>
      </c>
      <c r="D965" s="724" t="s">
        <v>4397</v>
      </c>
      <c r="E965" s="724"/>
      <c r="F965" s="724" t="s">
        <v>2755</v>
      </c>
      <c r="G965" s="856" t="s">
        <v>2749</v>
      </c>
      <c r="H965" s="856" t="s">
        <v>4299</v>
      </c>
      <c r="I965" s="705"/>
      <c r="J965" s="703"/>
      <c r="K965" s="703"/>
      <c r="L965" s="703"/>
      <c r="M965" s="708"/>
      <c r="N965" s="166"/>
      <c r="P965" s="166"/>
    </row>
    <row r="966" spans="1:16" s="711" customFormat="1" ht="13.2" hidden="1" customHeight="1">
      <c r="A966" s="2181">
        <v>45239</v>
      </c>
      <c r="B966" s="717" t="s">
        <v>4300</v>
      </c>
      <c r="C966" s="724">
        <v>39304581</v>
      </c>
      <c r="D966" s="724" t="s">
        <v>4316</v>
      </c>
      <c r="E966" s="724" t="s">
        <v>2755</v>
      </c>
      <c r="F966" s="724"/>
      <c r="G966" s="856" t="s">
        <v>3312</v>
      </c>
      <c r="H966" s="856" t="s">
        <v>4301</v>
      </c>
      <c r="I966" s="705"/>
      <c r="J966" s="703"/>
      <c r="K966" s="703"/>
      <c r="L966" s="703"/>
      <c r="M966" s="708"/>
      <c r="N966" s="166" t="s">
        <v>4387</v>
      </c>
      <c r="P966" s="166"/>
    </row>
    <row r="967" spans="1:16" s="711" customFormat="1" ht="13.2" hidden="1" customHeight="1">
      <c r="A967" s="2182">
        <v>45240</v>
      </c>
      <c r="B967" s="1312" t="s">
        <v>4307</v>
      </c>
      <c r="C967" s="1313">
        <v>40363627</v>
      </c>
      <c r="D967" s="1313"/>
      <c r="E967" s="1313"/>
      <c r="F967" s="1313" t="s">
        <v>2755</v>
      </c>
      <c r="G967" s="860" t="s">
        <v>3249</v>
      </c>
      <c r="H967" s="856"/>
      <c r="I967" s="705"/>
      <c r="J967" s="703"/>
      <c r="K967" s="703"/>
      <c r="L967" s="703"/>
      <c r="M967" s="708"/>
      <c r="N967" s="166"/>
      <c r="O967" s="1311"/>
      <c r="P967" s="166"/>
    </row>
    <row r="968" spans="1:16" s="711" customFormat="1" ht="13.2" hidden="1" customHeight="1">
      <c r="A968" s="2183">
        <v>45240</v>
      </c>
      <c r="B968" s="1312" t="s">
        <v>4308</v>
      </c>
      <c r="C968" s="1313">
        <v>82030058</v>
      </c>
      <c r="D968" s="1313" t="s">
        <v>4376</v>
      </c>
      <c r="E968" s="1313" t="s">
        <v>6443</v>
      </c>
      <c r="F968" s="1481" t="s">
        <v>6196</v>
      </c>
      <c r="G968" s="860" t="s">
        <v>1970</v>
      </c>
      <c r="H968" s="860" t="s">
        <v>4309</v>
      </c>
      <c r="I968" s="705"/>
      <c r="J968" s="703">
        <v>5</v>
      </c>
      <c r="K968" s="703">
        <v>1</v>
      </c>
      <c r="L968" s="703">
        <v>2</v>
      </c>
      <c r="M968" s="896" t="s">
        <v>628</v>
      </c>
      <c r="N968" s="166"/>
      <c r="O968" s="1311"/>
      <c r="P968" s="166"/>
    </row>
    <row r="969" spans="1:16" s="711" customFormat="1" ht="13.2" hidden="1" customHeight="1">
      <c r="A969" s="2182">
        <v>45240</v>
      </c>
      <c r="B969" s="1312" t="s">
        <v>4310</v>
      </c>
      <c r="C969" s="1313">
        <v>89603962</v>
      </c>
      <c r="D969" s="1313" t="s">
        <v>4443</v>
      </c>
      <c r="E969" s="1313"/>
      <c r="F969" s="1313" t="s">
        <v>2755</v>
      </c>
      <c r="G969" s="860" t="s">
        <v>1199</v>
      </c>
      <c r="H969" s="860" t="s">
        <v>4311</v>
      </c>
      <c r="I969" s="705"/>
      <c r="J969" s="703"/>
      <c r="K969" s="703"/>
      <c r="L969" s="703"/>
      <c r="M969" s="708"/>
      <c r="N969" s="166"/>
      <c r="P969" s="166"/>
    </row>
    <row r="970" spans="1:16" s="711" customFormat="1" ht="13.2" hidden="1" customHeight="1">
      <c r="A970" s="854">
        <v>32</v>
      </c>
      <c r="B970" s="709"/>
      <c r="C970" s="1310"/>
      <c r="D970" s="1310"/>
      <c r="E970" s="1310"/>
      <c r="F970" s="1310"/>
      <c r="G970" s="855"/>
      <c r="H970" s="855"/>
      <c r="I970" s="703"/>
      <c r="J970" s="703"/>
      <c r="K970" s="703"/>
      <c r="L970" s="703"/>
      <c r="M970" s="708"/>
      <c r="N970" s="166"/>
      <c r="P970" s="166"/>
    </row>
    <row r="971" spans="1:16" s="711" customFormat="1" ht="13.2" hidden="1" customHeight="1">
      <c r="A971" s="2184">
        <v>45241</v>
      </c>
      <c r="B971" s="1312" t="s">
        <v>4314</v>
      </c>
      <c r="C971" s="1313">
        <v>40263325</v>
      </c>
      <c r="D971" s="1313" t="s">
        <v>4443</v>
      </c>
      <c r="E971" s="1313"/>
      <c r="F971" s="1313" t="s">
        <v>2755</v>
      </c>
      <c r="G971" s="861" t="s">
        <v>1970</v>
      </c>
      <c r="H971" s="861" t="s">
        <v>4315</v>
      </c>
      <c r="I971" s="705"/>
      <c r="J971" s="703">
        <v>2</v>
      </c>
      <c r="K971" s="703"/>
      <c r="L971" s="703"/>
      <c r="M971" s="708"/>
      <c r="N971" s="166"/>
      <c r="P971" s="166"/>
    </row>
    <row r="972" spans="1:16" s="711" customFormat="1" ht="13.2" hidden="1" customHeight="1">
      <c r="A972" s="2184">
        <v>45241</v>
      </c>
      <c r="B972" s="961" t="s">
        <v>4492</v>
      </c>
      <c r="C972" s="980">
        <v>35295237</v>
      </c>
      <c r="D972" s="962"/>
      <c r="E972" s="962">
        <v>10</v>
      </c>
      <c r="F972" s="962"/>
      <c r="G972" s="972" t="s">
        <v>763</v>
      </c>
      <c r="H972" s="973"/>
      <c r="I972" s="965"/>
      <c r="J972" s="703">
        <v>5</v>
      </c>
      <c r="K972" s="996" t="s">
        <v>4590</v>
      </c>
      <c r="L972" s="703"/>
      <c r="M972" s="708"/>
      <c r="N972" s="166"/>
      <c r="P972" s="166"/>
    </row>
    <row r="973" spans="1:16" s="711" customFormat="1" ht="13.2" hidden="1" customHeight="1">
      <c r="A973" s="2185">
        <v>45243</v>
      </c>
      <c r="B973" s="717" t="s">
        <v>4320</v>
      </c>
      <c r="C973" s="724">
        <v>56175380</v>
      </c>
      <c r="D973" s="724" t="s">
        <v>4443</v>
      </c>
      <c r="E973" s="724"/>
      <c r="F973" s="724" t="s">
        <v>4444</v>
      </c>
      <c r="G973" s="864" t="s">
        <v>1989</v>
      </c>
      <c r="H973" s="856"/>
      <c r="I973" s="705"/>
      <c r="J973" s="703"/>
      <c r="K973" s="703"/>
      <c r="L973" s="703"/>
      <c r="M973" s="708"/>
      <c r="N973" s="166"/>
      <c r="P973" s="166"/>
    </row>
    <row r="974" spans="1:16" s="711" customFormat="1" ht="13.2" hidden="1" customHeight="1">
      <c r="A974" s="2185">
        <v>45243</v>
      </c>
      <c r="B974" s="717" t="s">
        <v>4323</v>
      </c>
      <c r="C974" s="724">
        <v>36596165</v>
      </c>
      <c r="D974" s="724" t="s">
        <v>4397</v>
      </c>
      <c r="E974" s="724"/>
      <c r="F974" s="724" t="s">
        <v>2755</v>
      </c>
      <c r="G974" s="864" t="s">
        <v>4324</v>
      </c>
      <c r="H974" s="864" t="s">
        <v>4327</v>
      </c>
      <c r="I974" s="705"/>
      <c r="J974" s="703"/>
      <c r="K974" s="703"/>
      <c r="L974" s="703"/>
      <c r="M974" s="708"/>
      <c r="N974" s="166" t="s">
        <v>4424</v>
      </c>
      <c r="P974" s="166"/>
    </row>
    <row r="975" spans="1:16" s="711" customFormat="1" ht="13.2" hidden="1" customHeight="1">
      <c r="A975" s="2185">
        <v>45243</v>
      </c>
      <c r="B975" s="717" t="s">
        <v>4325</v>
      </c>
      <c r="C975" s="724">
        <v>30445755</v>
      </c>
      <c r="D975" s="724" t="s">
        <v>4443</v>
      </c>
      <c r="E975" s="724"/>
      <c r="F975" s="724"/>
      <c r="G975" s="864" t="s">
        <v>736</v>
      </c>
      <c r="H975" s="864" t="s">
        <v>4326</v>
      </c>
      <c r="I975" s="705"/>
      <c r="J975" s="703"/>
      <c r="K975" s="703"/>
      <c r="L975" s="703"/>
      <c r="M975" s="708"/>
      <c r="N975" s="166"/>
      <c r="P975" s="166"/>
    </row>
    <row r="976" spans="1:16" s="711" customFormat="1" ht="13.2" hidden="1" customHeight="1">
      <c r="A976" s="2185">
        <v>45243</v>
      </c>
      <c r="B976" s="717" t="s">
        <v>4334</v>
      </c>
      <c r="C976" s="724">
        <v>30610616</v>
      </c>
      <c r="D976" s="1313" t="s">
        <v>4443</v>
      </c>
      <c r="E976" s="724">
        <v>10</v>
      </c>
      <c r="F976" s="724"/>
      <c r="G976" s="767" t="s">
        <v>3960</v>
      </c>
      <c r="H976" s="864" t="s">
        <v>4335</v>
      </c>
      <c r="I976" s="705"/>
      <c r="J976" s="703"/>
      <c r="K976" s="703"/>
      <c r="L976" s="703"/>
      <c r="M976" s="708"/>
      <c r="N976" s="166"/>
      <c r="P976" s="166"/>
    </row>
    <row r="977" spans="1:16" s="711" customFormat="1" ht="13.2" hidden="1" customHeight="1">
      <c r="A977" s="2186">
        <v>45244</v>
      </c>
      <c r="B977" s="717" t="s">
        <v>4343</v>
      </c>
      <c r="C977" s="724">
        <v>83021195</v>
      </c>
      <c r="D977" s="885" t="s">
        <v>4397</v>
      </c>
      <c r="E977" s="724">
        <v>10</v>
      </c>
      <c r="F977" s="724" t="s">
        <v>2755</v>
      </c>
      <c r="G977" s="868" t="s">
        <v>2215</v>
      </c>
      <c r="H977" s="868" t="s">
        <v>4340</v>
      </c>
      <c r="I977" s="868"/>
      <c r="J977" s="703"/>
      <c r="K977" s="703"/>
      <c r="L977" s="703"/>
      <c r="M977" s="708"/>
      <c r="N977" s="166"/>
      <c r="P977" s="166"/>
    </row>
    <row r="978" spans="1:16" s="711" customFormat="1" ht="13.2" hidden="1" customHeight="1">
      <c r="A978" s="2186">
        <v>45244</v>
      </c>
      <c r="B978" s="717" t="s">
        <v>4341</v>
      </c>
      <c r="C978" s="724">
        <v>67821357</v>
      </c>
      <c r="D978" s="885" t="s">
        <v>4397</v>
      </c>
      <c r="E978" s="724"/>
      <c r="F978" s="724" t="s">
        <v>2755</v>
      </c>
      <c r="G978" s="868" t="s">
        <v>2073</v>
      </c>
      <c r="H978" s="868" t="s">
        <v>4342</v>
      </c>
      <c r="I978" s="705"/>
      <c r="J978" s="703"/>
      <c r="K978" s="703"/>
      <c r="L978" s="703"/>
      <c r="M978" s="708"/>
      <c r="N978" s="166"/>
      <c r="P978" s="166"/>
    </row>
    <row r="979" spans="1:16" s="711" customFormat="1" ht="13.2" hidden="1" customHeight="1">
      <c r="A979" s="2186">
        <v>45244</v>
      </c>
      <c r="B979" s="717" t="s">
        <v>4344</v>
      </c>
      <c r="C979" s="724">
        <v>16629258</v>
      </c>
      <c r="D979" s="724" t="s">
        <v>4397</v>
      </c>
      <c r="E979" s="724">
        <v>1</v>
      </c>
      <c r="F979" s="724" t="s">
        <v>2755</v>
      </c>
      <c r="G979" s="868" t="s">
        <v>2012</v>
      </c>
      <c r="H979" s="868" t="s">
        <v>4345</v>
      </c>
      <c r="I979" s="705"/>
      <c r="J979" s="703"/>
      <c r="K979" s="703"/>
      <c r="L979" s="703"/>
      <c r="M979" s="708"/>
      <c r="N979" s="166"/>
      <c r="P979" s="166"/>
    </row>
    <row r="980" spans="1:16" s="711" customFormat="1" ht="13.2" hidden="1" customHeight="1">
      <c r="A980" s="871" t="s">
        <v>7811</v>
      </c>
      <c r="B980" s="717" t="s">
        <v>4350</v>
      </c>
      <c r="C980" s="724"/>
      <c r="D980" s="724" t="s">
        <v>4411</v>
      </c>
      <c r="E980" s="724"/>
      <c r="F980" s="724" t="s">
        <v>2755</v>
      </c>
      <c r="G980" s="869" t="s">
        <v>4351</v>
      </c>
      <c r="H980" s="856"/>
      <c r="I980" s="705"/>
      <c r="J980" s="703"/>
      <c r="K980" s="703"/>
      <c r="L980" s="703"/>
      <c r="M980" s="708"/>
      <c r="N980" s="166"/>
      <c r="P980" s="166"/>
    </row>
    <row r="981" spans="1:16" s="711" customFormat="1" ht="13.2" hidden="1" customHeight="1">
      <c r="A981" s="2187">
        <v>45245</v>
      </c>
      <c r="B981" s="1312" t="s">
        <v>4352</v>
      </c>
      <c r="C981" s="1313">
        <v>93146061</v>
      </c>
      <c r="D981" s="1313" t="s">
        <v>4397</v>
      </c>
      <c r="E981" s="1313">
        <v>1</v>
      </c>
      <c r="F981" s="1313" t="s">
        <v>2755</v>
      </c>
      <c r="G981" s="869" t="s">
        <v>2012</v>
      </c>
      <c r="H981" s="869" t="s">
        <v>4353</v>
      </c>
      <c r="I981" s="705"/>
      <c r="J981" s="703"/>
      <c r="K981" s="703"/>
      <c r="L981" s="703"/>
      <c r="M981" s="708"/>
      <c r="N981" s="166"/>
      <c r="O981" s="1311"/>
      <c r="P981" s="166"/>
    </row>
    <row r="982" spans="1:16" s="711" customFormat="1" ht="13.2" hidden="1" customHeight="1">
      <c r="A982" s="2188">
        <v>45246</v>
      </c>
      <c r="B982" s="1312" t="s">
        <v>4354</v>
      </c>
      <c r="C982" s="1313">
        <v>35720149</v>
      </c>
      <c r="D982" s="1313"/>
      <c r="E982" s="1313" t="s">
        <v>6443</v>
      </c>
      <c r="F982" s="1481" t="s">
        <v>6196</v>
      </c>
      <c r="G982" s="874" t="s">
        <v>4355</v>
      </c>
      <c r="H982" s="874" t="s">
        <v>4357</v>
      </c>
      <c r="I982" s="705"/>
      <c r="J982" s="703"/>
      <c r="K982" s="703"/>
      <c r="L982" s="703">
        <v>1</v>
      </c>
      <c r="M982" s="708">
        <v>11.202299999999999</v>
      </c>
      <c r="N982" s="166"/>
      <c r="O982" s="1311"/>
      <c r="P982" s="166"/>
    </row>
    <row r="983" spans="1:16" s="711" customFormat="1" ht="13.2" hidden="1" customHeight="1">
      <c r="A983" s="2188">
        <v>45246</v>
      </c>
      <c r="B983" s="717" t="s">
        <v>4356</v>
      </c>
      <c r="C983" s="724">
        <v>96624313</v>
      </c>
      <c r="D983" s="724"/>
      <c r="E983" s="724"/>
      <c r="F983" s="724"/>
      <c r="G983" s="874" t="s">
        <v>2651</v>
      </c>
      <c r="H983" s="856"/>
      <c r="I983" s="705"/>
      <c r="J983" s="703"/>
      <c r="K983" s="703"/>
      <c r="L983" s="703"/>
      <c r="M983" s="708"/>
      <c r="N983" s="166"/>
      <c r="P983" s="166"/>
    </row>
    <row r="984" spans="1:16" s="711" customFormat="1" ht="13.2" hidden="1" customHeight="1">
      <c r="A984" s="2188">
        <v>45246</v>
      </c>
      <c r="B984" s="1312" t="s">
        <v>4358</v>
      </c>
      <c r="C984" s="1313">
        <v>38958136</v>
      </c>
      <c r="D984" s="1313"/>
      <c r="E984" s="1313"/>
      <c r="F984" s="1313" t="s">
        <v>2755</v>
      </c>
      <c r="G984" s="874" t="s">
        <v>1006</v>
      </c>
      <c r="H984" s="874" t="s">
        <v>4359</v>
      </c>
      <c r="I984" s="705"/>
      <c r="J984" s="703"/>
      <c r="K984" s="703"/>
      <c r="L984" s="703">
        <v>1</v>
      </c>
      <c r="M984" s="708"/>
      <c r="N984" s="166"/>
      <c r="P984" s="166"/>
    </row>
    <row r="985" spans="1:16" s="711" customFormat="1" ht="13.2" hidden="1" customHeight="1">
      <c r="A985" s="2188">
        <v>45246</v>
      </c>
      <c r="B985" s="961" t="s">
        <v>4360</v>
      </c>
      <c r="C985" s="980">
        <v>14292942</v>
      </c>
      <c r="D985" s="962"/>
      <c r="E985" s="962">
        <v>5</v>
      </c>
      <c r="F985" s="962" t="s">
        <v>4445</v>
      </c>
      <c r="G985" s="967" t="s">
        <v>1972</v>
      </c>
      <c r="H985" s="982" t="s">
        <v>4361</v>
      </c>
      <c r="I985" s="965"/>
      <c r="J985" s="703">
        <v>5</v>
      </c>
      <c r="K985" s="996" t="s">
        <v>4590</v>
      </c>
      <c r="L985" s="703"/>
      <c r="M985" s="708"/>
      <c r="N985" s="166"/>
      <c r="O985" s="1311"/>
      <c r="P985" s="166"/>
    </row>
    <row r="986" spans="1:16" s="711" customFormat="1" ht="13.2" customHeight="1">
      <c r="A986" s="2188">
        <v>45246</v>
      </c>
      <c r="B986" s="1312" t="s">
        <v>4366</v>
      </c>
      <c r="C986" s="1313">
        <v>76326970</v>
      </c>
      <c r="D986" s="1313" t="s">
        <v>4397</v>
      </c>
      <c r="E986" s="6" t="s">
        <v>6847</v>
      </c>
      <c r="F986" s="1481" t="s">
        <v>6196</v>
      </c>
      <c r="G986" s="885" t="s">
        <v>2012</v>
      </c>
      <c r="H986" s="1632" t="s">
        <v>6850</v>
      </c>
      <c r="I986" s="705">
        <v>1</v>
      </c>
      <c r="J986" s="1647" t="s">
        <v>6845</v>
      </c>
      <c r="K986" s="703"/>
      <c r="L986" s="703"/>
      <c r="M986" s="708"/>
      <c r="N986" s="166"/>
      <c r="O986" s="1311"/>
      <c r="P986" s="166"/>
    </row>
    <row r="987" spans="1:16" s="711" customFormat="1" ht="13.2" hidden="1" customHeight="1">
      <c r="A987" s="2188">
        <v>45246</v>
      </c>
      <c r="B987" s="717" t="s">
        <v>4367</v>
      </c>
      <c r="C987" s="724">
        <v>77291597</v>
      </c>
      <c r="D987" s="724" t="s">
        <v>4397</v>
      </c>
      <c r="E987" s="724"/>
      <c r="F987" s="724" t="s">
        <v>2755</v>
      </c>
      <c r="G987" s="874" t="s">
        <v>763</v>
      </c>
      <c r="H987" s="874" t="s">
        <v>4368</v>
      </c>
      <c r="I987" s="705"/>
      <c r="J987" s="703"/>
      <c r="K987" s="703"/>
      <c r="L987" s="703"/>
      <c r="M987" s="708"/>
      <c r="N987" s="166" t="s">
        <v>4450</v>
      </c>
      <c r="P987" s="166"/>
    </row>
    <row r="988" spans="1:16" s="711" customFormat="1" ht="13.2" hidden="1" customHeight="1">
      <c r="A988" s="2188">
        <v>45246</v>
      </c>
      <c r="B988" s="717" t="s">
        <v>4379</v>
      </c>
      <c r="C988" s="724">
        <v>38195163</v>
      </c>
      <c r="D988" s="724" t="s">
        <v>4397</v>
      </c>
      <c r="E988" s="724"/>
      <c r="F988" s="724" t="s">
        <v>1743</v>
      </c>
      <c r="G988" s="874" t="s">
        <v>4369</v>
      </c>
      <c r="H988" s="856"/>
      <c r="I988" s="705"/>
      <c r="J988" s="703">
        <v>5</v>
      </c>
      <c r="K988" s="703"/>
      <c r="L988" s="703"/>
      <c r="M988" s="708"/>
      <c r="N988" s="166"/>
      <c r="P988" s="166"/>
    </row>
    <row r="989" spans="1:16" s="711" customFormat="1" ht="13.2" hidden="1" customHeight="1">
      <c r="A989" s="2188">
        <v>45247</v>
      </c>
      <c r="B989" s="717" t="s">
        <v>4374</v>
      </c>
      <c r="C989" s="1313">
        <v>95925202</v>
      </c>
      <c r="D989" s="724"/>
      <c r="E989" s="724"/>
      <c r="F989" s="724"/>
      <c r="G989" s="874" t="s">
        <v>2102</v>
      </c>
      <c r="H989" s="874" t="s">
        <v>4375</v>
      </c>
      <c r="I989" s="705"/>
      <c r="J989" s="703"/>
      <c r="K989" s="703"/>
      <c r="L989" s="703"/>
      <c r="M989" s="708"/>
      <c r="N989" s="166"/>
      <c r="P989" s="166"/>
    </row>
    <row r="990" spans="1:16" s="711" customFormat="1" ht="13.2" hidden="1" customHeight="1">
      <c r="A990" s="2188">
        <v>45247</v>
      </c>
      <c r="B990" s="1312" t="s">
        <v>4372</v>
      </c>
      <c r="C990" s="874">
        <v>96881530</v>
      </c>
      <c r="D990" s="1313" t="s">
        <v>4397</v>
      </c>
      <c r="E990" s="1313">
        <v>1</v>
      </c>
      <c r="F990" s="1313" t="s">
        <v>2755</v>
      </c>
      <c r="G990" s="874" t="s">
        <v>2012</v>
      </c>
      <c r="H990" s="874" t="s">
        <v>4373</v>
      </c>
      <c r="I990" s="705"/>
      <c r="J990" s="703"/>
      <c r="K990" s="703"/>
      <c r="L990" s="703"/>
      <c r="M990" s="708"/>
      <c r="N990" s="166"/>
      <c r="P990" s="166"/>
    </row>
    <row r="991" spans="1:16" s="711" customFormat="1" ht="13.2" hidden="1" customHeight="1">
      <c r="A991" s="2188">
        <v>45247</v>
      </c>
      <c r="B991" s="961" t="s">
        <v>4697</v>
      </c>
      <c r="C991" s="980">
        <v>68503378</v>
      </c>
      <c r="D991" s="1052" t="s">
        <v>4698</v>
      </c>
      <c r="E991" s="962"/>
      <c r="F991" s="962"/>
      <c r="G991" s="1052" t="s">
        <v>4699</v>
      </c>
      <c r="H991" s="967" t="s">
        <v>4371</v>
      </c>
      <c r="I991" s="965"/>
      <c r="J991" s="703"/>
      <c r="K991" s="703"/>
      <c r="L991" s="703"/>
      <c r="M991" s="708"/>
      <c r="N991" s="166"/>
      <c r="P991" s="166"/>
    </row>
    <row r="992" spans="1:16" s="711" customFormat="1" ht="13.2" hidden="1" customHeight="1">
      <c r="A992" s="2189">
        <v>45248</v>
      </c>
      <c r="B992" s="1312" t="s">
        <v>4380</v>
      </c>
      <c r="C992" s="1313">
        <v>11111111</v>
      </c>
      <c r="D992" s="1313"/>
      <c r="E992" s="1313"/>
      <c r="F992" s="1313"/>
      <c r="G992" s="856" t="s">
        <v>4280</v>
      </c>
      <c r="H992" s="856"/>
      <c r="I992" s="705"/>
      <c r="J992" s="703"/>
      <c r="K992" s="703"/>
      <c r="L992" s="703"/>
      <c r="M992" s="708"/>
      <c r="N992" s="166"/>
      <c r="P992" s="166"/>
    </row>
    <row r="993" spans="1:16" s="711" customFormat="1" ht="13.2" hidden="1" customHeight="1">
      <c r="A993" s="2189">
        <v>45248</v>
      </c>
      <c r="B993" s="961" t="s">
        <v>4667</v>
      </c>
      <c r="C993" s="980">
        <v>16672824</v>
      </c>
      <c r="D993" s="962"/>
      <c r="E993" s="962">
        <v>5</v>
      </c>
      <c r="F993" s="962"/>
      <c r="G993" s="964" t="s">
        <v>2124</v>
      </c>
      <c r="H993" s="982" t="s">
        <v>4381</v>
      </c>
      <c r="I993" s="965"/>
      <c r="J993" s="703">
        <v>5</v>
      </c>
      <c r="K993" s="703"/>
      <c r="L993" s="703"/>
      <c r="M993" s="708"/>
      <c r="N993" s="166"/>
      <c r="P993" s="166"/>
    </row>
    <row r="994" spans="1:16" s="711" customFormat="1" ht="13.2" hidden="1" customHeight="1">
      <c r="A994" s="2190">
        <v>45250</v>
      </c>
      <c r="B994" s="961" t="s">
        <v>4383</v>
      </c>
      <c r="C994" s="980">
        <v>22689771</v>
      </c>
      <c r="D994" s="962"/>
      <c r="E994" s="962">
        <v>5</v>
      </c>
      <c r="F994" s="962"/>
      <c r="G994" s="967" t="s">
        <v>763</v>
      </c>
      <c r="H994" s="982" t="s">
        <v>4384</v>
      </c>
      <c r="I994" s="965"/>
      <c r="J994" s="703">
        <v>5</v>
      </c>
      <c r="K994" s="996" t="s">
        <v>4590</v>
      </c>
      <c r="L994" s="703">
        <v>1</v>
      </c>
      <c r="M994" s="1027" t="s">
        <v>4626</v>
      </c>
      <c r="N994" s="166"/>
      <c r="P994" s="166"/>
    </row>
    <row r="995" spans="1:16" s="711" customFormat="1" ht="13.2" hidden="1" customHeight="1">
      <c r="A995" s="2191">
        <v>45252</v>
      </c>
      <c r="B995" s="1312" t="s">
        <v>4393</v>
      </c>
      <c r="C995" s="1313">
        <v>88662294</v>
      </c>
      <c r="D995" s="1313"/>
      <c r="E995" s="1313"/>
      <c r="F995" s="1313" t="s">
        <v>2755</v>
      </c>
      <c r="G995" s="885" t="s">
        <v>1996</v>
      </c>
      <c r="H995" s="885" t="s">
        <v>4394</v>
      </c>
      <c r="I995" s="705"/>
      <c r="J995" s="703"/>
      <c r="K995" s="703"/>
      <c r="L995" s="703"/>
      <c r="M995" s="708"/>
      <c r="N995" s="166"/>
      <c r="P995" s="166"/>
    </row>
    <row r="996" spans="1:16" s="711" customFormat="1" ht="13.2" hidden="1" customHeight="1">
      <c r="A996" s="2191">
        <v>45253</v>
      </c>
      <c r="B996" s="961" t="s">
        <v>4401</v>
      </c>
      <c r="C996" s="980">
        <v>34332606</v>
      </c>
      <c r="D996" s="962"/>
      <c r="E996" s="962">
        <v>5</v>
      </c>
      <c r="F996" s="962"/>
      <c r="G996" s="963" t="s">
        <v>763</v>
      </c>
      <c r="H996" s="964"/>
      <c r="I996" s="965"/>
      <c r="J996" s="703">
        <v>5</v>
      </c>
      <c r="K996" s="996" t="s">
        <v>4590</v>
      </c>
      <c r="L996" s="703">
        <v>1</v>
      </c>
      <c r="M996" s="1027" t="s">
        <v>4626</v>
      </c>
      <c r="N996" s="166"/>
      <c r="P996" s="166"/>
    </row>
    <row r="997" spans="1:16" s="711" customFormat="1" ht="13.2" hidden="1" customHeight="1">
      <c r="A997" s="2191">
        <v>45254</v>
      </c>
      <c r="B997" s="961" t="s">
        <v>4405</v>
      </c>
      <c r="C997" s="980">
        <v>64234244</v>
      </c>
      <c r="D997" s="962"/>
      <c r="E997" s="962">
        <v>5</v>
      </c>
      <c r="F997" s="962"/>
      <c r="G997" s="963" t="s">
        <v>4406</v>
      </c>
      <c r="H997" s="963" t="s">
        <v>4407</v>
      </c>
      <c r="I997" s="965"/>
      <c r="J997" s="703"/>
      <c r="K997" s="703"/>
      <c r="L997" s="703"/>
      <c r="M997" s="708"/>
      <c r="N997" s="166"/>
      <c r="P997" s="166"/>
    </row>
    <row r="998" spans="1:16" s="711" customFormat="1" ht="13.2" hidden="1" customHeight="1">
      <c r="A998" s="2192">
        <v>45255</v>
      </c>
      <c r="B998" s="1312" t="s">
        <v>4412</v>
      </c>
      <c r="C998" s="1313">
        <v>47223142</v>
      </c>
      <c r="D998" s="1313"/>
      <c r="E998" s="1313"/>
      <c r="F998" s="1313"/>
      <c r="G998" s="893" t="s">
        <v>2102</v>
      </c>
      <c r="H998" s="893" t="s">
        <v>4413</v>
      </c>
      <c r="I998" s="705"/>
      <c r="J998" s="703"/>
      <c r="K998" s="703"/>
      <c r="L998" s="703"/>
      <c r="M998" s="708"/>
      <c r="N998" s="166"/>
      <c r="P998" s="166"/>
    </row>
    <row r="999" spans="1:16" s="711" customFormat="1" ht="13.2" hidden="1" customHeight="1">
      <c r="A999" s="2192">
        <v>45257</v>
      </c>
      <c r="B999" s="709" t="s">
        <v>4414</v>
      </c>
      <c r="C999" s="1310">
        <v>47885578</v>
      </c>
      <c r="D999" s="1310"/>
      <c r="E999" s="1310"/>
      <c r="F999" s="1310"/>
      <c r="G999" s="892" t="s">
        <v>4416</v>
      </c>
      <c r="H999" s="892" t="s">
        <v>4415</v>
      </c>
      <c r="I999" s="703"/>
      <c r="J999" s="703"/>
      <c r="K999" s="703"/>
      <c r="L999" s="703"/>
      <c r="M999" s="708"/>
      <c r="N999" s="166"/>
      <c r="P999" s="166"/>
    </row>
    <row r="1000" spans="1:16" s="711" customFormat="1" ht="13.2" hidden="1" customHeight="1">
      <c r="A1000" s="2193">
        <v>45259</v>
      </c>
      <c r="B1000" s="961" t="s">
        <v>4457</v>
      </c>
      <c r="C1000" s="980">
        <v>60428828</v>
      </c>
      <c r="D1000" s="962"/>
      <c r="E1000" s="962"/>
      <c r="F1000" s="962"/>
      <c r="G1000" s="971" t="s">
        <v>763</v>
      </c>
      <c r="H1000" s="982" t="s">
        <v>4435</v>
      </c>
      <c r="I1000" s="965"/>
      <c r="J1000" s="703">
        <v>5</v>
      </c>
      <c r="K1000" s="996" t="s">
        <v>4590</v>
      </c>
      <c r="L1000" s="703">
        <v>1</v>
      </c>
      <c r="M1000" s="1027" t="s">
        <v>4626</v>
      </c>
      <c r="N1000" s="166"/>
      <c r="P1000" s="166"/>
    </row>
    <row r="1001" spans="1:16" s="711" customFormat="1" ht="13.2" hidden="1" customHeight="1">
      <c r="A1001" s="2194">
        <v>45262</v>
      </c>
      <c r="B1001" s="1312" t="s">
        <v>4470</v>
      </c>
      <c r="C1001" s="1313">
        <v>55391607</v>
      </c>
      <c r="D1001" s="1313" t="s">
        <v>4430</v>
      </c>
      <c r="E1001" s="1313"/>
      <c r="F1001" s="1313"/>
      <c r="G1001" s="928" t="s">
        <v>4431</v>
      </c>
      <c r="H1001" s="928" t="s">
        <v>4432</v>
      </c>
      <c r="I1001" s="705"/>
      <c r="J1001" s="703"/>
      <c r="K1001" s="703"/>
      <c r="L1001" s="703"/>
      <c r="M1001" s="708"/>
      <c r="N1001" s="166"/>
      <c r="P1001" s="166"/>
    </row>
    <row r="1002" spans="1:16" s="711" customFormat="1" ht="13.2" hidden="1" customHeight="1">
      <c r="A1002" s="2195">
        <v>45264</v>
      </c>
      <c r="B1002" s="961" t="s">
        <v>4433</v>
      </c>
      <c r="C1002" s="980">
        <v>18460275</v>
      </c>
      <c r="D1002" s="962"/>
      <c r="E1002" s="962"/>
      <c r="F1002" s="962"/>
      <c r="G1002" s="966" t="s">
        <v>2215</v>
      </c>
      <c r="H1002" s="966" t="s">
        <v>4434</v>
      </c>
      <c r="I1002" s="965"/>
      <c r="J1002" s="703">
        <v>5</v>
      </c>
      <c r="K1002" s="996" t="s">
        <v>4590</v>
      </c>
      <c r="L1002" s="703"/>
      <c r="M1002" s="708"/>
      <c r="N1002" s="166" t="s">
        <v>4592</v>
      </c>
      <c r="O1002" s="1311"/>
      <c r="P1002" s="166"/>
    </row>
    <row r="1003" spans="1:16" s="711" customFormat="1" ht="13.2" customHeight="1">
      <c r="A1003" s="2195">
        <v>45264</v>
      </c>
      <c r="B1003" s="961" t="s">
        <v>4438</v>
      </c>
      <c r="C1003" s="962">
        <v>37028009</v>
      </c>
      <c r="D1003" s="962"/>
      <c r="E1003" s="962"/>
      <c r="F1003" s="1481" t="s">
        <v>6196</v>
      </c>
      <c r="G1003" s="966" t="s">
        <v>2335</v>
      </c>
      <c r="H1003" s="1017" t="s">
        <v>4439</v>
      </c>
      <c r="I1003" s="965">
        <f>25-6-1-0.5-3-1-1-1-0.5-3.2-0.2-1.1-2-4.5</f>
        <v>0</v>
      </c>
      <c r="J1003" s="703">
        <v>5</v>
      </c>
      <c r="K1003" s="979" t="s">
        <v>4566</v>
      </c>
      <c r="L1003" s="703">
        <v>1</v>
      </c>
      <c r="M1003" s="920" t="s">
        <v>4485</v>
      </c>
      <c r="N1003" s="166"/>
      <c r="O1003" s="1311"/>
      <c r="P1003" s="166"/>
    </row>
    <row r="1004" spans="1:16" s="711" customFormat="1" ht="13.2" hidden="1" customHeight="1">
      <c r="A1004" s="2195">
        <v>45265</v>
      </c>
      <c r="B1004" s="961" t="s">
        <v>4446</v>
      </c>
      <c r="C1004" s="980">
        <v>98321508</v>
      </c>
      <c r="D1004" s="962"/>
      <c r="E1004" s="962"/>
      <c r="F1004" s="962"/>
      <c r="G1004" s="966" t="s">
        <v>763</v>
      </c>
      <c r="H1004" s="966" t="s">
        <v>4447</v>
      </c>
      <c r="I1004" s="965"/>
      <c r="J1004" s="703"/>
      <c r="K1004" s="996" t="s">
        <v>4590</v>
      </c>
      <c r="L1004" s="703">
        <v>1</v>
      </c>
      <c r="M1004" s="1027" t="s">
        <v>4626</v>
      </c>
      <c r="N1004" s="166"/>
      <c r="P1004" s="166"/>
    </row>
    <row r="1005" spans="1:16" s="711" customFormat="1" ht="13.2" hidden="1" customHeight="1">
      <c r="A1005" s="2195">
        <v>45265</v>
      </c>
      <c r="B1005" s="717" t="s">
        <v>4449</v>
      </c>
      <c r="C1005" s="724">
        <v>83377047</v>
      </c>
      <c r="D1005" s="724"/>
      <c r="E1005" s="724"/>
      <c r="F1005" s="724"/>
      <c r="G1005" s="905" t="s">
        <v>667</v>
      </c>
      <c r="H1005" s="905" t="s">
        <v>4448</v>
      </c>
      <c r="I1005" s="705"/>
      <c r="J1005" s="703"/>
      <c r="K1005" s="703"/>
      <c r="L1005" s="703"/>
      <c r="M1005" s="708"/>
      <c r="N1005" s="166"/>
      <c r="P1005" s="166"/>
    </row>
    <row r="1006" spans="1:16" s="711" customFormat="1" ht="13.2" hidden="1" customHeight="1">
      <c r="A1006" s="2196">
        <v>45266</v>
      </c>
      <c r="B1006" s="717" t="s">
        <v>4452</v>
      </c>
      <c r="C1006" s="724">
        <v>93176410</v>
      </c>
      <c r="D1006" s="724"/>
      <c r="E1006" s="724"/>
      <c r="F1006" s="724"/>
      <c r="G1006" s="908" t="s">
        <v>2651</v>
      </c>
      <c r="H1006" s="908" t="s">
        <v>4453</v>
      </c>
      <c r="I1006" s="705"/>
      <c r="J1006" s="703"/>
      <c r="K1006" s="703"/>
      <c r="L1006" s="703"/>
      <c r="M1006" s="708"/>
      <c r="N1006" s="166"/>
      <c r="P1006" s="166"/>
    </row>
    <row r="1007" spans="1:16" s="711" customFormat="1" ht="13.2" hidden="1" customHeight="1">
      <c r="A1007" s="2196">
        <v>45266</v>
      </c>
      <c r="B1007" s="1312" t="s">
        <v>4454</v>
      </c>
      <c r="C1007" s="1313">
        <v>55769491</v>
      </c>
      <c r="D1007" s="1313"/>
      <c r="E1007" s="1313"/>
      <c r="F1007" s="1313"/>
      <c r="G1007" s="908" t="s">
        <v>2019</v>
      </c>
      <c r="H1007" s="908" t="s">
        <v>4455</v>
      </c>
      <c r="I1007" s="705"/>
      <c r="J1007" s="703"/>
      <c r="K1007" s="703"/>
      <c r="L1007" s="703"/>
      <c r="M1007" s="708"/>
      <c r="N1007" s="166"/>
      <c r="P1007" s="166"/>
    </row>
    <row r="1008" spans="1:16" s="711" customFormat="1" ht="13.2" hidden="1" customHeight="1">
      <c r="A1008" s="2197">
        <v>45267</v>
      </c>
      <c r="B1008" s="961" t="s">
        <v>4459</v>
      </c>
      <c r="C1008" s="980">
        <v>27724917</v>
      </c>
      <c r="D1008" s="962"/>
      <c r="E1008" s="962"/>
      <c r="F1008" s="962"/>
      <c r="G1008" s="970" t="s">
        <v>763</v>
      </c>
      <c r="H1008" s="970" t="s">
        <v>4460</v>
      </c>
      <c r="I1008" s="965"/>
      <c r="J1008" s="703">
        <v>5</v>
      </c>
      <c r="K1008" s="1009" t="s">
        <v>4592</v>
      </c>
      <c r="L1008" s="703">
        <v>1</v>
      </c>
      <c r="M1008" s="1027" t="s">
        <v>4626</v>
      </c>
      <c r="N1008" s="166"/>
      <c r="O1008" s="1311"/>
      <c r="P1008" s="166"/>
    </row>
    <row r="1009" spans="1:16" s="711" customFormat="1" ht="13.2" customHeight="1">
      <c r="A1009" s="2198">
        <v>45268</v>
      </c>
      <c r="B1009" s="1312" t="s">
        <v>4463</v>
      </c>
      <c r="C1009" s="1313">
        <v>50554854</v>
      </c>
      <c r="D1009" s="1313"/>
      <c r="E1009" s="1313"/>
      <c r="F1009" s="1313"/>
      <c r="G1009" s="1352" t="s">
        <v>4332</v>
      </c>
      <c r="H1009" s="908"/>
      <c r="I1009" s="705">
        <f>23-22</f>
        <v>1</v>
      </c>
      <c r="J1009" s="703"/>
      <c r="K1009" s="703"/>
      <c r="L1009" s="703"/>
      <c r="M1009" s="708"/>
      <c r="N1009" s="166"/>
      <c r="O1009" s="1311"/>
      <c r="P1009" s="166"/>
    </row>
    <row r="1010" spans="1:16" s="711" customFormat="1" ht="13.2" hidden="1" customHeight="1">
      <c r="A1010" s="2198">
        <v>45268</v>
      </c>
      <c r="B1010" s="1312" t="s">
        <v>5693</v>
      </c>
      <c r="C1010" s="1313">
        <v>50319592</v>
      </c>
      <c r="D1010" s="1313"/>
      <c r="E1010" s="1313"/>
      <c r="F1010" s="1313"/>
      <c r="G1010" s="1352" t="s">
        <v>4332</v>
      </c>
      <c r="H1010" s="908"/>
      <c r="I1010" s="705"/>
      <c r="J1010" s="703"/>
      <c r="K1010" s="703"/>
      <c r="L1010" s="703"/>
      <c r="M1010" s="708"/>
      <c r="N1010" s="166"/>
      <c r="P1010" s="166"/>
    </row>
    <row r="1011" spans="1:16" s="711" customFormat="1" ht="13.2" hidden="1" customHeight="1">
      <c r="A1011" s="2199">
        <v>45269</v>
      </c>
      <c r="B1011" s="717" t="s">
        <v>4471</v>
      </c>
      <c r="C1011" s="724">
        <v>20459505</v>
      </c>
      <c r="D1011" s="1313"/>
      <c r="E1011" s="1313"/>
      <c r="F1011" s="724"/>
      <c r="G1011" s="917" t="s">
        <v>2056</v>
      </c>
      <c r="H1011" s="917" t="s">
        <v>4472</v>
      </c>
      <c r="I1011" s="705"/>
      <c r="J1011" s="703"/>
      <c r="K1011" s="703"/>
      <c r="L1011" s="703"/>
      <c r="M1011" s="708"/>
      <c r="N1011" s="166"/>
      <c r="P1011" s="166"/>
    </row>
    <row r="1012" spans="1:16" s="711" customFormat="1" ht="13.2" hidden="1" customHeight="1">
      <c r="A1012" s="2199">
        <v>45269</v>
      </c>
      <c r="B1012" s="717" t="s">
        <v>4484</v>
      </c>
      <c r="C1012" s="724">
        <v>31072656</v>
      </c>
      <c r="D1012" s="917" t="s">
        <v>4473</v>
      </c>
      <c r="E1012" s="917" t="s">
        <v>4474</v>
      </c>
      <c r="F1012" s="724"/>
      <c r="G1012" s="917" t="s">
        <v>2266</v>
      </c>
      <c r="H1012" s="917" t="s">
        <v>4475</v>
      </c>
      <c r="I1012" s="705"/>
      <c r="J1012" s="703"/>
      <c r="K1012" s="703"/>
      <c r="L1012" s="703"/>
      <c r="M1012" s="708"/>
      <c r="N1012" s="166"/>
      <c r="P1012" s="166"/>
    </row>
    <row r="1013" spans="1:16" s="711" customFormat="1" ht="13.2" hidden="1" customHeight="1">
      <c r="A1013" s="2200">
        <v>45271</v>
      </c>
      <c r="B1013" s="1312" t="s">
        <v>4490</v>
      </c>
      <c r="C1013" s="1313">
        <v>11111111</v>
      </c>
      <c r="D1013" s="917"/>
      <c r="E1013" s="917"/>
      <c r="F1013" s="1313"/>
      <c r="G1013" s="918" t="s">
        <v>4332</v>
      </c>
      <c r="H1013" s="917"/>
      <c r="I1013" s="705"/>
      <c r="J1013" s="703"/>
      <c r="K1013" s="703"/>
      <c r="L1013" s="703"/>
      <c r="M1013" s="708"/>
      <c r="N1013" s="166"/>
      <c r="P1013" s="166"/>
    </row>
    <row r="1014" spans="1:16" s="711" customFormat="1" ht="13.2" hidden="1" customHeight="1">
      <c r="A1014" s="916"/>
      <c r="B1014" s="709" t="s">
        <v>4491</v>
      </c>
      <c r="C1014" s="1310"/>
      <c r="D1014" s="915"/>
      <c r="E1014" s="915"/>
      <c r="F1014" s="1310"/>
      <c r="G1014" s="915"/>
      <c r="H1014" s="915"/>
      <c r="I1014" s="703"/>
      <c r="J1014" s="703"/>
      <c r="K1014" s="703"/>
      <c r="L1014" s="703"/>
      <c r="M1014" s="708"/>
      <c r="N1014" s="166"/>
      <c r="P1014" s="166"/>
    </row>
    <row r="1015" spans="1:16" s="711" customFormat="1" ht="13.2" hidden="1" customHeight="1">
      <c r="A1015" s="2201">
        <v>45272</v>
      </c>
      <c r="B1015" s="961" t="s">
        <v>4491</v>
      </c>
      <c r="C1015" s="980">
        <v>28102621</v>
      </c>
      <c r="D1015" s="968"/>
      <c r="E1015" s="968"/>
      <c r="F1015" s="962"/>
      <c r="G1015" s="969" t="s">
        <v>2215</v>
      </c>
      <c r="H1015" s="982" t="s">
        <v>4493</v>
      </c>
      <c r="I1015" s="965"/>
      <c r="J1015" s="703">
        <v>3</v>
      </c>
      <c r="K1015" s="996" t="s">
        <v>4590</v>
      </c>
      <c r="L1015" s="703"/>
      <c r="M1015" s="708"/>
      <c r="N1015" s="166" t="s">
        <v>4592</v>
      </c>
      <c r="P1015" s="166"/>
    </row>
    <row r="1016" spans="1:16" s="711" customFormat="1" ht="13.2" hidden="1" customHeight="1">
      <c r="A1016" s="2201">
        <v>45272</v>
      </c>
      <c r="B1016" s="717" t="s">
        <v>4494</v>
      </c>
      <c r="C1016" s="724">
        <v>85962465</v>
      </c>
      <c r="D1016" s="917"/>
      <c r="E1016" s="917"/>
      <c r="F1016" s="724"/>
      <c r="G1016" s="924" t="s">
        <v>4495</v>
      </c>
      <c r="H1016" s="917"/>
      <c r="I1016" s="705"/>
      <c r="J1016" s="703"/>
      <c r="K1016" s="703"/>
      <c r="L1016" s="703"/>
      <c r="M1016" s="708"/>
      <c r="N1016" s="166"/>
      <c r="P1016" s="166"/>
    </row>
    <row r="1017" spans="1:16" s="711" customFormat="1" ht="13.2" hidden="1" customHeight="1">
      <c r="A1017" s="2202">
        <v>45274</v>
      </c>
      <c r="B1017" s="717" t="s">
        <v>4509</v>
      </c>
      <c r="C1017" s="724">
        <v>80292293</v>
      </c>
      <c r="D1017" s="917"/>
      <c r="E1017" s="917"/>
      <c r="F1017" s="724"/>
      <c r="G1017" s="937" t="s">
        <v>4467</v>
      </c>
      <c r="H1017" s="937" t="s">
        <v>4510</v>
      </c>
      <c r="I1017" s="705"/>
      <c r="J1017" s="703"/>
      <c r="K1017" s="703"/>
      <c r="L1017" s="703"/>
      <c r="M1017" s="708"/>
      <c r="N1017" s="166"/>
      <c r="P1017" s="166"/>
    </row>
    <row r="1018" spans="1:16" s="711" customFormat="1" ht="13.2" hidden="1" customHeight="1">
      <c r="A1018" s="2203">
        <v>45275</v>
      </c>
      <c r="B1018" s="717" t="s">
        <v>4511</v>
      </c>
      <c r="C1018" s="724">
        <v>99914761</v>
      </c>
      <c r="D1018" s="917"/>
      <c r="E1018" s="917"/>
      <c r="F1018" s="724"/>
      <c r="G1018" s="933" t="s">
        <v>2266</v>
      </c>
      <c r="H1018" s="938" t="s">
        <v>4518</v>
      </c>
      <c r="I1018" s="705"/>
      <c r="J1018" s="703"/>
      <c r="K1018" s="703"/>
      <c r="L1018" s="703"/>
      <c r="M1018" s="708"/>
      <c r="N1018" s="166"/>
      <c r="P1018" s="166"/>
    </row>
    <row r="1019" spans="1:16" s="711" customFormat="1" ht="13.2" hidden="1" customHeight="1">
      <c r="A1019" s="2203">
        <v>45275</v>
      </c>
      <c r="B1019" s="717" t="s">
        <v>4512</v>
      </c>
      <c r="C1019" s="724">
        <v>11282774</v>
      </c>
      <c r="D1019" s="917"/>
      <c r="E1019" s="917"/>
      <c r="F1019" s="724"/>
      <c r="G1019" s="933" t="s">
        <v>1970</v>
      </c>
      <c r="H1019" s="933" t="s">
        <v>4513</v>
      </c>
      <c r="I1019" s="705"/>
      <c r="J1019" s="703"/>
      <c r="K1019" s="703"/>
      <c r="L1019" s="703"/>
      <c r="M1019" s="708"/>
      <c r="N1019" s="166"/>
      <c r="P1019" s="166"/>
    </row>
    <row r="1020" spans="1:16" s="711" customFormat="1" ht="13.2" hidden="1" customHeight="1">
      <c r="A1020" s="2204">
        <v>45278</v>
      </c>
      <c r="B1020" s="717" t="s">
        <v>4516</v>
      </c>
      <c r="C1020" s="724">
        <v>26492723</v>
      </c>
      <c r="D1020" s="917"/>
      <c r="E1020" s="917"/>
      <c r="F1020" s="724"/>
      <c r="G1020" s="936" t="s">
        <v>1970</v>
      </c>
      <c r="H1020" s="936" t="s">
        <v>4517</v>
      </c>
      <c r="I1020" s="705"/>
      <c r="J1020" s="703"/>
      <c r="K1020" s="703"/>
      <c r="L1020" s="703"/>
      <c r="M1020" s="708"/>
      <c r="N1020" s="166"/>
      <c r="P1020" s="166"/>
    </row>
    <row r="1021" spans="1:16" s="711" customFormat="1" ht="13.2" hidden="1" customHeight="1">
      <c r="A1021" s="2205">
        <v>45280</v>
      </c>
      <c r="B1021" s="717" t="s">
        <v>4522</v>
      </c>
      <c r="C1021" s="724">
        <v>93578394</v>
      </c>
      <c r="D1021" s="917"/>
      <c r="E1021" s="917"/>
      <c r="F1021" s="724"/>
      <c r="G1021" s="938" t="s">
        <v>4523</v>
      </c>
      <c r="H1021" s="938" t="s">
        <v>4524</v>
      </c>
      <c r="I1021" s="705"/>
      <c r="J1021" s="703"/>
      <c r="K1021" s="703"/>
      <c r="L1021" s="703"/>
      <c r="M1021" s="708"/>
      <c r="N1021" s="166"/>
      <c r="P1021" s="166"/>
    </row>
    <row r="1022" spans="1:16" s="711" customFormat="1" ht="13.2" hidden="1" customHeight="1">
      <c r="A1022" s="2206">
        <v>45281</v>
      </c>
      <c r="B1022" s="717" t="s">
        <v>4521</v>
      </c>
      <c r="C1022" s="724"/>
      <c r="D1022" s="917"/>
      <c r="E1022" s="917"/>
      <c r="F1022" s="724"/>
      <c r="G1022" s="939" t="s">
        <v>2012</v>
      </c>
      <c r="H1022" s="939" t="s">
        <v>4529</v>
      </c>
      <c r="I1022" s="705"/>
      <c r="J1022" s="703"/>
      <c r="K1022" s="703"/>
      <c r="L1022" s="703"/>
      <c r="M1022" s="708"/>
      <c r="N1022" s="166"/>
      <c r="P1022" s="166"/>
    </row>
    <row r="1023" spans="1:16" s="711" customFormat="1" ht="13.2" hidden="1" customHeight="1">
      <c r="A1023" s="2206">
        <v>45281</v>
      </c>
      <c r="B1023" s="1312" t="s">
        <v>4531</v>
      </c>
      <c r="C1023" s="1313">
        <v>99686410</v>
      </c>
      <c r="D1023" s="917"/>
      <c r="E1023" s="917"/>
      <c r="F1023" s="1313"/>
      <c r="G1023" s="939" t="s">
        <v>2012</v>
      </c>
      <c r="H1023" s="939" t="s">
        <v>4532</v>
      </c>
      <c r="I1023" s="705"/>
      <c r="J1023" s="703"/>
      <c r="K1023" s="703"/>
      <c r="L1023" s="703"/>
      <c r="M1023" s="708"/>
      <c r="N1023" s="166"/>
      <c r="P1023" s="166"/>
    </row>
    <row r="1024" spans="1:16" s="711" customFormat="1" ht="13.2" hidden="1" customHeight="1">
      <c r="A1024" s="2207">
        <v>44931</v>
      </c>
      <c r="B1024" s="961" t="s">
        <v>4537</v>
      </c>
      <c r="C1024" s="980">
        <v>47743598</v>
      </c>
      <c r="D1024" s="1017" t="s">
        <v>4631</v>
      </c>
      <c r="E1024" s="1028"/>
      <c r="F1024" s="962"/>
      <c r="G1024" s="1029" t="s">
        <v>2012</v>
      </c>
      <c r="H1024" s="1029" t="s">
        <v>4538</v>
      </c>
      <c r="I1024" s="965"/>
      <c r="J1024" s="703"/>
      <c r="K1024" s="703">
        <v>1</v>
      </c>
      <c r="L1024" s="1043" t="s">
        <v>4669</v>
      </c>
      <c r="M1024" s="708"/>
      <c r="N1024" s="166"/>
      <c r="P1024" s="166"/>
    </row>
    <row r="1025" spans="1:16" s="711" customFormat="1" ht="13.2" hidden="1" customHeight="1">
      <c r="A1025" s="2208">
        <v>45301</v>
      </c>
      <c r="B1025" s="1312" t="s">
        <v>4539</v>
      </c>
      <c r="C1025" s="980">
        <v>53192975</v>
      </c>
      <c r="D1025" s="1089" t="s">
        <v>4751</v>
      </c>
      <c r="E1025" s="1099" t="s">
        <v>4768</v>
      </c>
      <c r="F1025" s="1313"/>
      <c r="G1025" s="1203" t="s">
        <v>4467</v>
      </c>
      <c r="H1025" s="1203" t="s">
        <v>4540</v>
      </c>
      <c r="I1025" s="705"/>
      <c r="J1025" s="703"/>
      <c r="K1025" s="703"/>
      <c r="L1025" s="703"/>
      <c r="M1025" s="708"/>
      <c r="N1025" s="166"/>
      <c r="O1025" s="1311"/>
      <c r="P1025" s="166"/>
    </row>
    <row r="1026" spans="1:16" s="711" customFormat="1" ht="13.2" customHeight="1">
      <c r="A1026" s="2209">
        <v>45313</v>
      </c>
      <c r="B1026" s="709" t="s">
        <v>6202</v>
      </c>
      <c r="C1026" s="947" t="s">
        <v>4541</v>
      </c>
      <c r="D1026" s="915"/>
      <c r="E1026" s="915"/>
      <c r="F1026" s="1310"/>
      <c r="G1026" s="948" t="s">
        <v>2317</v>
      </c>
      <c r="H1026" s="946"/>
      <c r="I1026" s="703">
        <v>23</v>
      </c>
      <c r="J1026" s="703"/>
      <c r="K1026" s="703">
        <v>16</v>
      </c>
      <c r="L1026" s="703"/>
      <c r="M1026" s="708"/>
      <c r="N1026" s="166"/>
      <c r="O1026" s="1311"/>
      <c r="P1026" s="166"/>
    </row>
    <row r="1027" spans="1:16" s="711" customFormat="1" ht="13.2" hidden="1" customHeight="1">
      <c r="A1027" s="2209">
        <v>45313</v>
      </c>
      <c r="B1027" s="961" t="s">
        <v>4543</v>
      </c>
      <c r="C1027" s="980">
        <v>90453887</v>
      </c>
      <c r="D1027" s="1017" t="s">
        <v>4631</v>
      </c>
      <c r="E1027" s="1034"/>
      <c r="F1027" s="962"/>
      <c r="G1027" s="1036" t="s">
        <v>2012</v>
      </c>
      <c r="H1027" s="1036" t="s">
        <v>4542</v>
      </c>
      <c r="I1027" s="965"/>
      <c r="J1027" s="703"/>
      <c r="K1027" s="703">
        <v>1</v>
      </c>
      <c r="L1027" s="1062" t="s">
        <v>4722</v>
      </c>
      <c r="M1027" s="708"/>
      <c r="N1027" s="166"/>
      <c r="P1027" s="166"/>
    </row>
    <row r="1028" spans="1:16" s="711" customFormat="1" ht="13.2" hidden="1" customHeight="1">
      <c r="A1028" s="2210">
        <v>45321</v>
      </c>
      <c r="B1028" s="961" t="s">
        <v>4548</v>
      </c>
      <c r="C1028" s="980">
        <v>93176742</v>
      </c>
      <c r="D1028" s="968"/>
      <c r="E1028" s="968"/>
      <c r="F1028" s="962"/>
      <c r="G1028" s="993" t="s">
        <v>2124</v>
      </c>
      <c r="H1028" s="993" t="s">
        <v>4549</v>
      </c>
      <c r="I1028" s="965"/>
      <c r="J1028" s="703"/>
      <c r="K1028" s="1009" t="s">
        <v>4596</v>
      </c>
      <c r="L1028" s="703"/>
      <c r="M1028" s="708"/>
      <c r="N1028" s="166"/>
      <c r="P1028" s="166"/>
    </row>
    <row r="1029" spans="1:16" s="711" customFormat="1" ht="13.2" hidden="1" customHeight="1">
      <c r="A1029" s="2210">
        <v>45321</v>
      </c>
      <c r="B1029" s="961" t="s">
        <v>4569</v>
      </c>
      <c r="C1029" s="980">
        <v>48077010</v>
      </c>
      <c r="D1029" s="1072" t="s">
        <v>4751</v>
      </c>
      <c r="E1029" s="968"/>
      <c r="F1029" s="962" t="s">
        <v>4553</v>
      </c>
      <c r="G1029" s="993" t="s">
        <v>2012</v>
      </c>
      <c r="H1029" s="982" t="s">
        <v>4550</v>
      </c>
      <c r="I1029" s="965"/>
      <c r="J1029" s="703"/>
      <c r="K1029" s="950">
        <v>1</v>
      </c>
      <c r="L1029" s="1383" t="s">
        <v>5896</v>
      </c>
      <c r="M1029" s="708"/>
      <c r="N1029" s="166"/>
      <c r="P1029" s="166"/>
    </row>
    <row r="1030" spans="1:16" s="711" customFormat="1" ht="13.2" hidden="1" customHeight="1">
      <c r="A1030" s="2211">
        <v>45324</v>
      </c>
      <c r="B1030" s="961" t="s">
        <v>4262</v>
      </c>
      <c r="C1030" s="980">
        <v>15004405</v>
      </c>
      <c r="D1030" s="968"/>
      <c r="E1030" s="968"/>
      <c r="F1030" s="962"/>
      <c r="G1030" s="981" t="s">
        <v>763</v>
      </c>
      <c r="H1030" s="982" t="s">
        <v>4263</v>
      </c>
      <c r="I1030" s="965"/>
      <c r="J1030" s="703"/>
      <c r="K1030" s="1009" t="s">
        <v>4592</v>
      </c>
      <c r="L1030" s="703"/>
      <c r="M1030" s="1027"/>
      <c r="N1030" s="166"/>
      <c r="P1030" s="166"/>
    </row>
    <row r="1031" spans="1:16" s="711" customFormat="1" ht="13.2" hidden="1" customHeight="1">
      <c r="A1031" s="2211">
        <v>45329</v>
      </c>
      <c r="B1031" s="961" t="s">
        <v>4560</v>
      </c>
      <c r="C1031" s="980">
        <v>12629843</v>
      </c>
      <c r="D1031" s="1017" t="s">
        <v>4631</v>
      </c>
      <c r="E1031" s="1028"/>
      <c r="F1031" s="962"/>
      <c r="G1031" s="981" t="s">
        <v>2012</v>
      </c>
      <c r="H1031" s="981" t="s">
        <v>4561</v>
      </c>
      <c r="I1031" s="965"/>
      <c r="J1031" s="703"/>
      <c r="K1031" s="950">
        <v>1</v>
      </c>
      <c r="L1031" s="1062" t="s">
        <v>4722</v>
      </c>
      <c r="M1031" s="708"/>
      <c r="N1031" s="166"/>
      <c r="P1031" s="166"/>
    </row>
    <row r="1032" spans="1:16" s="711" customFormat="1" ht="13.2" hidden="1" customHeight="1">
      <c r="A1032" s="2212">
        <v>45331</v>
      </c>
      <c r="B1032" s="961" t="s">
        <v>4563</v>
      </c>
      <c r="C1032" s="980">
        <v>95542593</v>
      </c>
      <c r="D1032" s="1050" t="s">
        <v>4683</v>
      </c>
      <c r="E1032" s="968"/>
      <c r="F1032" s="962"/>
      <c r="G1032" s="982" t="s">
        <v>4564</v>
      </c>
      <c r="H1032" s="1052" t="s">
        <v>4565</v>
      </c>
      <c r="I1032" s="965"/>
      <c r="J1032" s="703"/>
      <c r="K1032" s="703"/>
      <c r="L1032" s="703"/>
      <c r="M1032" s="708"/>
      <c r="N1032" s="166"/>
      <c r="P1032" s="166"/>
    </row>
    <row r="1033" spans="1:16" s="711" customFormat="1" ht="13.2" hidden="1" customHeight="1">
      <c r="A1033" s="2212">
        <v>45331</v>
      </c>
      <c r="B1033" s="961" t="s">
        <v>4558</v>
      </c>
      <c r="C1033" s="980">
        <v>68693912</v>
      </c>
      <c r="D1033" s="968"/>
      <c r="E1033" s="968"/>
      <c r="F1033" s="962"/>
      <c r="G1033" s="981" t="s">
        <v>1032</v>
      </c>
      <c r="H1033" s="982" t="s">
        <v>4559</v>
      </c>
      <c r="I1033" s="965"/>
      <c r="J1033" s="703"/>
      <c r="K1033" s="996" t="s">
        <v>4590</v>
      </c>
      <c r="L1033" s="1229" t="s">
        <v>5336</v>
      </c>
      <c r="M1033" s="708"/>
      <c r="N1033" s="166"/>
      <c r="O1033" s="1311"/>
      <c r="P1033" s="166"/>
    </row>
    <row r="1034" spans="1:16" s="711" customFormat="1" ht="13.2" customHeight="1">
      <c r="A1034" s="2212">
        <v>45331</v>
      </c>
      <c r="B1034" s="1312" t="s">
        <v>5399</v>
      </c>
      <c r="C1034" s="1313">
        <v>11111111</v>
      </c>
      <c r="D1034" s="917"/>
      <c r="E1034" s="917"/>
      <c r="F1034" s="1313"/>
      <c r="G1034" s="1672" t="s">
        <v>2317</v>
      </c>
      <c r="H1034" s="933"/>
      <c r="I1034" s="705">
        <f>26-23</f>
        <v>3</v>
      </c>
      <c r="J1034" s="703"/>
      <c r="K1034" s="703"/>
      <c r="L1034" s="703"/>
      <c r="M1034" s="708"/>
      <c r="N1034" s="166"/>
      <c r="O1034" s="1311"/>
      <c r="P1034" s="166"/>
    </row>
    <row r="1035" spans="1:16" s="711" customFormat="1" ht="13.2" hidden="1" customHeight="1">
      <c r="A1035" s="2213">
        <v>45334</v>
      </c>
      <c r="B1035" s="961" t="s">
        <v>4576</v>
      </c>
      <c r="C1035" s="980"/>
      <c r="D1035" s="968"/>
      <c r="E1035" s="968"/>
      <c r="F1035" s="962"/>
      <c r="G1035" s="982" t="s">
        <v>2335</v>
      </c>
      <c r="H1035" s="981"/>
      <c r="I1035" s="965"/>
      <c r="J1035" s="703"/>
      <c r="K1035" s="996" t="s">
        <v>4590</v>
      </c>
      <c r="L1035" s="703"/>
      <c r="M1035" s="708"/>
      <c r="N1035" s="166"/>
      <c r="P1035" s="166"/>
    </row>
    <row r="1036" spans="1:16" s="711" customFormat="1" ht="13.2" hidden="1" customHeight="1">
      <c r="A1036" s="2213">
        <v>45334</v>
      </c>
      <c r="B1036" s="961" t="s">
        <v>4575</v>
      </c>
      <c r="C1036" s="980">
        <v>15163222</v>
      </c>
      <c r="D1036" s="968"/>
      <c r="E1036" s="968"/>
      <c r="F1036" s="962"/>
      <c r="G1036" s="982" t="s">
        <v>1972</v>
      </c>
      <c r="H1036" s="981"/>
      <c r="I1036" s="965"/>
      <c r="J1036" s="703"/>
      <c r="K1036" s="703"/>
      <c r="L1036" s="703"/>
      <c r="M1036" s="708"/>
      <c r="N1036" s="166"/>
      <c r="P1036" s="166"/>
    </row>
    <row r="1037" spans="1:16" s="711" customFormat="1" ht="13.2" hidden="1" customHeight="1">
      <c r="A1037" s="2213">
        <v>45334</v>
      </c>
      <c r="B1037" s="961" t="s">
        <v>4572</v>
      </c>
      <c r="C1037" s="980">
        <v>50946178</v>
      </c>
      <c r="D1037" s="968"/>
      <c r="E1037" s="968"/>
      <c r="F1037" s="962"/>
      <c r="G1037" s="982" t="s">
        <v>4564</v>
      </c>
      <c r="H1037" s="982" t="s">
        <v>4574</v>
      </c>
      <c r="I1037" s="965"/>
      <c r="J1037" s="703"/>
      <c r="K1037" s="984" t="s">
        <v>4573</v>
      </c>
      <c r="L1037" s="703"/>
      <c r="M1037" s="708"/>
      <c r="N1037" s="166"/>
      <c r="P1037" s="166"/>
    </row>
    <row r="1038" spans="1:16" s="711" customFormat="1" ht="13.2" hidden="1" customHeight="1">
      <c r="A1038" s="2213">
        <v>45334</v>
      </c>
      <c r="B1038" s="961" t="s">
        <v>4570</v>
      </c>
      <c r="C1038" s="980">
        <v>36473175</v>
      </c>
      <c r="D1038" s="995"/>
      <c r="E1038" s="968"/>
      <c r="F1038" s="968"/>
      <c r="G1038" s="982" t="s">
        <v>2237</v>
      </c>
      <c r="H1038" s="982" t="s">
        <v>4571</v>
      </c>
      <c r="I1038" s="965"/>
      <c r="J1038" s="703"/>
      <c r="K1038" s="1013" t="s">
        <v>4602</v>
      </c>
      <c r="L1038" s="703"/>
      <c r="M1038" s="708"/>
      <c r="N1038" s="166"/>
      <c r="O1038" s="1311"/>
      <c r="P1038" s="166"/>
    </row>
    <row r="1039" spans="1:16" s="711" customFormat="1" ht="13.2" customHeight="1">
      <c r="A1039" s="2214">
        <v>45335</v>
      </c>
      <c r="B1039" s="709" t="s">
        <v>4580</v>
      </c>
      <c r="C1039" s="1310"/>
      <c r="D1039" s="915"/>
      <c r="E1039" s="1544" t="s">
        <v>6443</v>
      </c>
      <c r="F1039" s="1481" t="s">
        <v>6196</v>
      </c>
      <c r="G1039" s="991" t="s">
        <v>763</v>
      </c>
      <c r="H1039" s="991" t="s">
        <v>4581</v>
      </c>
      <c r="I1039" s="705">
        <f>18-4-4-4-2-1.5-1-0.5-0.5-0.5</f>
        <v>0</v>
      </c>
      <c r="J1039" s="703"/>
      <c r="K1039" s="1043" t="s">
        <v>4668</v>
      </c>
      <c r="L1039" s="703"/>
      <c r="M1039" s="708"/>
      <c r="N1039" s="166"/>
      <c r="O1039" s="1311"/>
      <c r="P1039" s="166"/>
    </row>
    <row r="1040" spans="1:16" s="711" customFormat="1" ht="13.2" hidden="1" customHeight="1">
      <c r="A1040" s="2214">
        <v>45335</v>
      </c>
      <c r="B1040" s="1312" t="s">
        <v>4583</v>
      </c>
      <c r="C1040" s="980">
        <v>93456695</v>
      </c>
      <c r="D1040" s="1118" t="s">
        <v>1743</v>
      </c>
      <c r="E1040" s="917">
        <v>1</v>
      </c>
      <c r="F1040" s="1313"/>
      <c r="G1040" s="1120" t="s">
        <v>1972</v>
      </c>
      <c r="H1040" s="1120" t="s">
        <v>4584</v>
      </c>
      <c r="I1040" s="705"/>
      <c r="J1040" s="703"/>
      <c r="K1040" s="703"/>
      <c r="L1040" s="703"/>
      <c r="M1040" s="708"/>
      <c r="N1040" s="166"/>
      <c r="P1040" s="166"/>
    </row>
    <row r="1041" spans="1:16" s="711" customFormat="1" ht="13.2" hidden="1" customHeight="1">
      <c r="A1041" s="2215">
        <v>45335</v>
      </c>
      <c r="B1041" s="961" t="s">
        <v>4585</v>
      </c>
      <c r="C1041" s="980">
        <v>84532390</v>
      </c>
      <c r="D1041" s="968"/>
      <c r="E1041" s="968"/>
      <c r="F1041" s="962"/>
      <c r="G1041" s="997" t="s">
        <v>2056</v>
      </c>
      <c r="H1041" s="1148" t="s">
        <v>5017</v>
      </c>
      <c r="I1041" s="965"/>
      <c r="J1041" s="703"/>
      <c r="K1041" s="703"/>
      <c r="L1041" s="703"/>
      <c r="M1041" s="708"/>
      <c r="N1041" s="166"/>
      <c r="P1041" s="166"/>
    </row>
    <row r="1042" spans="1:16" s="711" customFormat="1" ht="13.2" hidden="1" customHeight="1">
      <c r="A1042" s="2216">
        <v>45337</v>
      </c>
      <c r="B1042" s="961" t="s">
        <v>4594</v>
      </c>
      <c r="C1042" s="980">
        <v>59370410</v>
      </c>
      <c r="D1042" s="1017" t="s">
        <v>4630</v>
      </c>
      <c r="E1042" s="1034"/>
      <c r="F1042" s="962"/>
      <c r="G1042" s="1011" t="s">
        <v>2012</v>
      </c>
      <c r="H1042" s="1011" t="s">
        <v>4593</v>
      </c>
      <c r="I1042" s="965"/>
      <c r="J1042" s="703">
        <v>1500</v>
      </c>
      <c r="K1042" s="703">
        <v>1</v>
      </c>
      <c r="L1042" s="1043" t="s">
        <v>4669</v>
      </c>
      <c r="M1042" s="708"/>
      <c r="N1042" s="166"/>
      <c r="P1042" s="166"/>
    </row>
    <row r="1043" spans="1:16" s="711" customFormat="1" ht="13.2" hidden="1" customHeight="1">
      <c r="A1043" s="2217">
        <v>45340</v>
      </c>
      <c r="B1043" s="961" t="s">
        <v>4607</v>
      </c>
      <c r="C1043" s="980">
        <v>50449827</v>
      </c>
      <c r="D1043" s="1017" t="s">
        <v>4630</v>
      </c>
      <c r="E1043" s="1034"/>
      <c r="F1043" s="962"/>
      <c r="G1043" s="1015" t="s">
        <v>2012</v>
      </c>
      <c r="H1043" s="1017" t="s">
        <v>4609</v>
      </c>
      <c r="I1043" s="965"/>
      <c r="J1043" s="1014" t="s">
        <v>4608</v>
      </c>
      <c r="K1043" s="703">
        <v>1</v>
      </c>
      <c r="L1043" s="1383" t="s">
        <v>5896</v>
      </c>
      <c r="M1043" s="708"/>
      <c r="N1043" s="166"/>
      <c r="P1043" s="166"/>
    </row>
    <row r="1044" spans="1:16" s="711" customFormat="1" ht="13.2" hidden="1" customHeight="1">
      <c r="A1044" s="2218">
        <v>45341</v>
      </c>
      <c r="B1044" s="961" t="s">
        <v>4611</v>
      </c>
      <c r="C1044" s="980">
        <v>11905855</v>
      </c>
      <c r="D1044" s="1072" t="s">
        <v>4751</v>
      </c>
      <c r="E1044" s="968"/>
      <c r="F1044" s="962"/>
      <c r="G1044" s="1017" t="s">
        <v>1199</v>
      </c>
      <c r="H1044" s="1017" t="s">
        <v>4612</v>
      </c>
      <c r="I1044" s="965"/>
      <c r="J1044" s="1016" t="s">
        <v>4627</v>
      </c>
      <c r="K1044" s="1268" t="s">
        <v>5433</v>
      </c>
      <c r="L1044" s="1082" t="s">
        <v>1045</v>
      </c>
      <c r="M1044" s="708"/>
      <c r="N1044" s="166"/>
      <c r="P1044" s="166"/>
    </row>
    <row r="1045" spans="1:16" s="711" customFormat="1" ht="13.2" hidden="1" customHeight="1">
      <c r="A1045" s="2218">
        <v>45342</v>
      </c>
      <c r="B1045" s="961" t="s">
        <v>4628</v>
      </c>
      <c r="C1045" s="980">
        <v>93175536</v>
      </c>
      <c r="D1045" s="968"/>
      <c r="E1045" s="968"/>
      <c r="F1045" s="962"/>
      <c r="G1045" s="1017" t="s">
        <v>667</v>
      </c>
      <c r="H1045" s="1017" t="s">
        <v>4629</v>
      </c>
      <c r="I1045" s="965"/>
      <c r="J1045" s="1016" t="s">
        <v>4627</v>
      </c>
      <c r="K1045" s="703"/>
      <c r="L1045" s="703"/>
      <c r="M1045" s="708"/>
      <c r="N1045" s="166"/>
      <c r="P1045" s="166"/>
    </row>
    <row r="1046" spans="1:16" s="711" customFormat="1" ht="13.2" hidden="1" customHeight="1">
      <c r="A1046" s="2218">
        <v>45343</v>
      </c>
      <c r="B1046" s="961" t="s">
        <v>4632</v>
      </c>
      <c r="C1046" s="980">
        <v>52650866</v>
      </c>
      <c r="D1046" s="968"/>
      <c r="E1046" s="968"/>
      <c r="F1046" s="962"/>
      <c r="G1046" s="1017" t="s">
        <v>1943</v>
      </c>
      <c r="H1046" s="1017" t="s">
        <v>4633</v>
      </c>
      <c r="I1046" s="965"/>
      <c r="J1046" s="1033" t="s">
        <v>4652</v>
      </c>
      <c r="K1046" s="703"/>
      <c r="L1046" s="703"/>
      <c r="M1046" s="708"/>
      <c r="N1046" s="166"/>
      <c r="P1046" s="166"/>
    </row>
    <row r="1047" spans="1:16" s="711" customFormat="1" ht="13.2" hidden="1" customHeight="1">
      <c r="A1047" s="2219">
        <v>45344</v>
      </c>
      <c r="B1047" s="961" t="s">
        <v>4637</v>
      </c>
      <c r="C1047" s="980">
        <v>59723341</v>
      </c>
      <c r="D1047" s="968"/>
      <c r="E1047" s="968" t="s">
        <v>4636</v>
      </c>
      <c r="F1047" s="962"/>
      <c r="G1047" s="1028" t="s">
        <v>1924</v>
      </c>
      <c r="H1047" s="1017"/>
      <c r="I1047" s="965"/>
      <c r="J1047" s="1033" t="s">
        <v>4653</v>
      </c>
      <c r="K1047" s="703"/>
      <c r="L1047" s="703"/>
      <c r="M1047" s="708"/>
      <c r="N1047" s="166"/>
      <c r="P1047" s="166"/>
    </row>
    <row r="1048" spans="1:16" s="711" customFormat="1" ht="13.2" hidden="1" customHeight="1">
      <c r="A1048" s="2220">
        <v>45345</v>
      </c>
      <c r="B1048" s="961" t="s">
        <v>4638</v>
      </c>
      <c r="C1048" s="980">
        <v>22988301</v>
      </c>
      <c r="D1048" s="968"/>
      <c r="E1048" s="1034" t="s">
        <v>4636</v>
      </c>
      <c r="F1048" s="962"/>
      <c r="G1048" s="1037" t="s">
        <v>3835</v>
      </c>
      <c r="H1048" s="1037" t="s">
        <v>4641</v>
      </c>
      <c r="I1048" s="965"/>
      <c r="J1048" s="1031" t="s">
        <v>4640</v>
      </c>
      <c r="K1048" s="703"/>
      <c r="L1048" s="703"/>
      <c r="M1048" s="708"/>
      <c r="N1048" s="166"/>
      <c r="P1048" s="166"/>
    </row>
    <row r="1049" spans="1:16" s="711" customFormat="1" ht="13.2" hidden="1" customHeight="1">
      <c r="A1049" s="2221">
        <v>45349</v>
      </c>
      <c r="B1049" s="961" t="s">
        <v>4650</v>
      </c>
      <c r="C1049" s="980">
        <v>92934934</v>
      </c>
      <c r="D1049" s="1072" t="s">
        <v>4751</v>
      </c>
      <c r="E1049" s="1034" t="s">
        <v>4636</v>
      </c>
      <c r="F1049" s="962"/>
      <c r="G1049" s="1034" t="s">
        <v>1996</v>
      </c>
      <c r="H1049" s="1034" t="s">
        <v>4651</v>
      </c>
      <c r="I1049" s="965"/>
      <c r="J1049" s="1033" t="s">
        <v>4654</v>
      </c>
      <c r="K1049" s="703"/>
      <c r="L1049" s="703"/>
      <c r="M1049" s="708"/>
      <c r="N1049" s="166"/>
      <c r="O1049" s="1311"/>
      <c r="P1049" s="166"/>
    </row>
    <row r="1050" spans="1:16" s="711" customFormat="1" ht="13.2" customHeight="1">
      <c r="A1050" s="2221">
        <v>45351</v>
      </c>
      <c r="B1050" s="1018" t="s">
        <v>4659</v>
      </c>
      <c r="C1050" s="1310"/>
      <c r="D1050" s="1446" t="s">
        <v>3770</v>
      </c>
      <c r="E1050" s="1548" t="s">
        <v>6443</v>
      </c>
      <c r="F1050" s="1019" t="s">
        <v>6196</v>
      </c>
      <c r="G1050" s="1040" t="s">
        <v>2237</v>
      </c>
      <c r="H1050" s="1040" t="s">
        <v>4660</v>
      </c>
      <c r="I1050" s="1021">
        <f>22-13-2</f>
        <v>7</v>
      </c>
      <c r="J1050" s="1639" t="s">
        <v>6873</v>
      </c>
      <c r="K1050" s="703"/>
      <c r="L1050" s="703"/>
      <c r="M1050" s="708"/>
      <c r="N1050" s="166"/>
      <c r="O1050" s="1311"/>
      <c r="P1050" s="166"/>
    </row>
    <row r="1051" spans="1:16" s="711" customFormat="1" ht="13.2" hidden="1" customHeight="1">
      <c r="A1051" s="2222">
        <v>45356</v>
      </c>
      <c r="B1051" s="961" t="s">
        <v>4670</v>
      </c>
      <c r="C1051" s="980">
        <v>50928665</v>
      </c>
      <c r="D1051" s="1050" t="s">
        <v>4683</v>
      </c>
      <c r="E1051" s="968"/>
      <c r="F1051" s="962"/>
      <c r="G1051" s="1045" t="s">
        <v>736</v>
      </c>
      <c r="H1051" s="1045" t="s">
        <v>4672</v>
      </c>
      <c r="I1051" s="965"/>
      <c r="J1051" s="1043" t="s">
        <v>4671</v>
      </c>
      <c r="K1051" s="703"/>
      <c r="L1051" s="703">
        <v>1</v>
      </c>
      <c r="M1051" s="1115" t="s">
        <v>4862</v>
      </c>
      <c r="N1051" s="166"/>
      <c r="P1051" s="166"/>
    </row>
    <row r="1052" spans="1:16" s="711" customFormat="1" ht="13.2" hidden="1" customHeight="1">
      <c r="A1052" s="2222">
        <v>45356</v>
      </c>
      <c r="B1052" s="961" t="s">
        <v>4674</v>
      </c>
      <c r="C1052" s="980">
        <v>63378188</v>
      </c>
      <c r="D1052" s="1072" t="s">
        <v>4751</v>
      </c>
      <c r="E1052" s="968"/>
      <c r="F1052" s="962"/>
      <c r="G1052" s="993" t="s">
        <v>2012</v>
      </c>
      <c r="H1052" s="1045" t="s">
        <v>4675</v>
      </c>
      <c r="I1052" s="965"/>
      <c r="J1052" s="1043" t="s">
        <v>4671</v>
      </c>
      <c r="K1052" s="703">
        <v>1</v>
      </c>
      <c r="L1052" s="1383" t="s">
        <v>5896</v>
      </c>
      <c r="M1052" s="708"/>
      <c r="N1052" s="166"/>
      <c r="P1052" s="166"/>
    </row>
    <row r="1053" spans="1:16" s="711" customFormat="1" ht="13.2" hidden="1" customHeight="1">
      <c r="A1053" s="2223">
        <v>45363</v>
      </c>
      <c r="B1053" s="961" t="s">
        <v>4754</v>
      </c>
      <c r="C1053" s="980">
        <v>56535136</v>
      </c>
      <c r="D1053" s="1072" t="s">
        <v>4751</v>
      </c>
      <c r="E1053" s="968"/>
      <c r="F1053" s="962"/>
      <c r="G1053" s="1052" t="s">
        <v>1973</v>
      </c>
      <c r="H1053" s="1052" t="s">
        <v>4691</v>
      </c>
      <c r="I1053" s="965"/>
      <c r="J1053" s="1048"/>
      <c r="K1053" s="703"/>
      <c r="L1053" s="703"/>
      <c r="M1053" s="708"/>
      <c r="N1053" s="166"/>
      <c r="P1053" s="166"/>
    </row>
    <row r="1054" spans="1:16" s="711" customFormat="1" ht="13.2" hidden="1" customHeight="1">
      <c r="A1054" s="2224">
        <v>45363</v>
      </c>
      <c r="B1054" s="961" t="s">
        <v>4753</v>
      </c>
      <c r="C1054" s="980">
        <v>99294159</v>
      </c>
      <c r="D1054" s="1072" t="s">
        <v>4751</v>
      </c>
      <c r="E1054" s="968"/>
      <c r="F1054" s="962"/>
      <c r="G1054" s="1052" t="s">
        <v>1973</v>
      </c>
      <c r="H1054" s="1052" t="s">
        <v>4692</v>
      </c>
      <c r="I1054" s="965"/>
      <c r="J1054" s="1048"/>
      <c r="K1054" s="703"/>
      <c r="L1054" s="703"/>
      <c r="M1054" s="708"/>
      <c r="N1054" s="166"/>
      <c r="P1054" s="166"/>
    </row>
    <row r="1055" spans="1:16" s="711" customFormat="1" ht="13.2" hidden="1" customHeight="1">
      <c r="A1055" s="2224">
        <v>45363</v>
      </c>
      <c r="B1055" s="961" t="s">
        <v>4693</v>
      </c>
      <c r="C1055" s="980">
        <v>38295012</v>
      </c>
      <c r="D1055" s="968"/>
      <c r="E1055" s="968"/>
      <c r="F1055" s="962"/>
      <c r="G1055" s="1052" t="s">
        <v>2237</v>
      </c>
      <c r="H1055" s="1049"/>
      <c r="I1055" s="965"/>
      <c r="J1055" s="1048"/>
      <c r="K1055" s="703"/>
      <c r="L1055" s="703"/>
      <c r="M1055" s="708"/>
      <c r="N1055" s="166"/>
      <c r="P1055" s="166"/>
    </row>
    <row r="1056" spans="1:16" s="711" customFormat="1" ht="13.2" hidden="1" customHeight="1">
      <c r="A1056" s="2224">
        <v>45365</v>
      </c>
      <c r="B1056" s="1312" t="s">
        <v>4767</v>
      </c>
      <c r="C1056" s="980">
        <v>56082188</v>
      </c>
      <c r="D1056" s="1118" t="s">
        <v>4884</v>
      </c>
      <c r="E1056" s="1136" t="s">
        <v>4946</v>
      </c>
      <c r="F1056" s="1313"/>
      <c r="G1056" s="1126" t="s">
        <v>1970</v>
      </c>
      <c r="H1056" s="1126" t="s">
        <v>4694</v>
      </c>
      <c r="I1056" s="705"/>
      <c r="J1056" s="1056" t="s">
        <v>4701</v>
      </c>
      <c r="K1056" s="703"/>
      <c r="L1056" s="703"/>
      <c r="M1056" s="708"/>
      <c r="N1056" s="166"/>
      <c r="P1056" s="166"/>
    </row>
    <row r="1057" spans="1:16" s="711" customFormat="1" ht="13.2" hidden="1" customHeight="1">
      <c r="A1057" s="2224">
        <v>45366</v>
      </c>
      <c r="B1057" s="961" t="s">
        <v>4379</v>
      </c>
      <c r="C1057" s="730">
        <v>79733701</v>
      </c>
      <c r="D1057" s="968"/>
      <c r="E1057" s="968"/>
      <c r="F1057" s="962"/>
      <c r="G1057" s="1052" t="s">
        <v>2073</v>
      </c>
      <c r="H1057" s="1052" t="s">
        <v>4702</v>
      </c>
      <c r="I1057" s="965"/>
      <c r="J1057" s="1056"/>
      <c r="K1057" s="703"/>
      <c r="L1057" s="703"/>
      <c r="M1057" s="708"/>
      <c r="N1057" s="166"/>
      <c r="P1057" s="166"/>
    </row>
    <row r="1058" spans="1:16" s="711" customFormat="1" ht="13.2" hidden="1" customHeight="1">
      <c r="A1058" s="2225">
        <v>45369</v>
      </c>
      <c r="B1058" s="961" t="s">
        <v>4706</v>
      </c>
      <c r="C1058" s="962">
        <v>48515743</v>
      </c>
      <c r="D1058" s="968"/>
      <c r="E1058" s="968"/>
      <c r="F1058" s="962"/>
      <c r="G1058" s="1060" t="s">
        <v>2237</v>
      </c>
      <c r="H1058" s="1052"/>
      <c r="I1058" s="965"/>
      <c r="J1058" s="1058" t="s">
        <v>4700</v>
      </c>
      <c r="K1058" s="703"/>
      <c r="L1058" s="703"/>
      <c r="M1058" s="708"/>
      <c r="N1058" s="166"/>
      <c r="P1058" s="166"/>
    </row>
    <row r="1059" spans="1:16" s="711" customFormat="1" ht="13.2" hidden="1" customHeight="1">
      <c r="A1059" s="2226">
        <v>45371</v>
      </c>
      <c r="B1059" s="961" t="s">
        <v>4712</v>
      </c>
      <c r="C1059" s="980">
        <v>36025357</v>
      </c>
      <c r="D1059" s="1072" t="s">
        <v>4751</v>
      </c>
      <c r="E1059" s="1092"/>
      <c r="F1059" s="962"/>
      <c r="G1059" s="1093" t="s">
        <v>1996</v>
      </c>
      <c r="H1059" s="1093" t="s">
        <v>4713</v>
      </c>
      <c r="I1059" s="965"/>
      <c r="J1059" s="1058"/>
      <c r="K1059" s="703"/>
      <c r="L1059" s="703"/>
      <c r="M1059" s="708"/>
      <c r="N1059" s="166"/>
      <c r="P1059" s="166"/>
    </row>
    <row r="1060" spans="1:16" s="711" customFormat="1" ht="13.2" hidden="1" customHeight="1">
      <c r="A1060" s="2226">
        <v>45373</v>
      </c>
      <c r="B1060" s="1312" t="s">
        <v>4763</v>
      </c>
      <c r="C1060" s="980">
        <v>92733834</v>
      </c>
      <c r="D1060" s="1136" t="s">
        <v>4994</v>
      </c>
      <c r="E1060" s="1136" t="s">
        <v>4993</v>
      </c>
      <c r="F1060" s="1313"/>
      <c r="G1060" s="1134" t="s">
        <v>713</v>
      </c>
      <c r="H1060" s="1135" t="s">
        <v>4716</v>
      </c>
      <c r="I1060" s="705"/>
      <c r="J1060" s="1058"/>
      <c r="K1060" s="703"/>
      <c r="L1060" s="703"/>
      <c r="M1060" s="708"/>
      <c r="N1060" s="166"/>
      <c r="O1060" s="1311"/>
      <c r="P1060" s="166"/>
    </row>
    <row r="1061" spans="1:16" s="711" customFormat="1" ht="13.2" customHeight="1">
      <c r="A1061" s="2226">
        <v>45373</v>
      </c>
      <c r="B1061" s="709" t="s">
        <v>4717</v>
      </c>
      <c r="C1061" s="1310"/>
      <c r="D1061" s="915"/>
      <c r="E1061" s="1544"/>
      <c r="F1061" s="1310" t="s">
        <v>6752</v>
      </c>
      <c r="G1061" s="1062" t="s">
        <v>1970</v>
      </c>
      <c r="H1061" s="1062" t="s">
        <v>4718</v>
      </c>
      <c r="I1061" s="703">
        <v>21</v>
      </c>
      <c r="J1061" s="1058"/>
      <c r="K1061" s="703"/>
      <c r="L1061" s="703"/>
      <c r="M1061" s="708"/>
      <c r="N1061" s="166"/>
      <c r="O1061" s="1311"/>
      <c r="P1061" s="166"/>
    </row>
    <row r="1062" spans="1:16" s="711" customFormat="1" ht="13.2" customHeight="1">
      <c r="A1062" s="2226">
        <v>45373</v>
      </c>
      <c r="B1062" s="709" t="s">
        <v>4719</v>
      </c>
      <c r="C1062" s="1310"/>
      <c r="D1062" s="915"/>
      <c r="E1062" s="1544"/>
      <c r="F1062" s="1310" t="s">
        <v>6752</v>
      </c>
      <c r="G1062" s="1062" t="s">
        <v>1970</v>
      </c>
      <c r="H1062" s="1062" t="s">
        <v>4720</v>
      </c>
      <c r="I1062" s="703">
        <v>21</v>
      </c>
      <c r="J1062" s="1058"/>
      <c r="K1062" s="703"/>
      <c r="L1062" s="703"/>
      <c r="M1062" s="708"/>
      <c r="N1062" s="166"/>
      <c r="O1062" s="1311"/>
      <c r="P1062" s="166"/>
    </row>
    <row r="1063" spans="1:16" s="711" customFormat="1" ht="13.2" hidden="1" customHeight="1">
      <c r="A1063" s="2226">
        <v>45374</v>
      </c>
      <c r="B1063" s="961" t="s">
        <v>4721</v>
      </c>
      <c r="C1063" s="980">
        <v>76122626</v>
      </c>
      <c r="D1063" s="1072" t="s">
        <v>4752</v>
      </c>
      <c r="E1063" s="968"/>
      <c r="F1063" s="962"/>
      <c r="G1063" s="1093" t="s">
        <v>1970</v>
      </c>
      <c r="H1063" s="1093" t="s">
        <v>4723</v>
      </c>
      <c r="I1063" s="965"/>
      <c r="J1063" s="1062" t="s">
        <v>4724</v>
      </c>
      <c r="K1063" s="703"/>
      <c r="L1063" s="703"/>
      <c r="M1063" s="708"/>
      <c r="N1063" s="166"/>
      <c r="P1063" s="166"/>
    </row>
    <row r="1064" spans="1:16" s="711" customFormat="1" ht="13.2" hidden="1" customHeight="1">
      <c r="A1064" s="2227">
        <v>45374</v>
      </c>
      <c r="B1064" s="961" t="s">
        <v>4729</v>
      </c>
      <c r="C1064" s="980">
        <v>55535297</v>
      </c>
      <c r="D1064" s="1072" t="s">
        <v>4751</v>
      </c>
      <c r="E1064" s="968"/>
      <c r="F1064" s="962"/>
      <c r="G1064" s="1093" t="s">
        <v>1970</v>
      </c>
      <c r="H1064" s="1093" t="s">
        <v>4725</v>
      </c>
      <c r="I1064" s="965"/>
      <c r="J1064" s="1062" t="s">
        <v>4724</v>
      </c>
      <c r="K1064" s="703"/>
      <c r="L1064" s="703"/>
      <c r="M1064" s="708"/>
      <c r="N1064" s="166"/>
      <c r="O1064" s="1311"/>
      <c r="P1064" s="166"/>
    </row>
    <row r="1065" spans="1:16" s="711" customFormat="1" ht="13.2" hidden="1" customHeight="1">
      <c r="A1065" s="2228">
        <v>45375</v>
      </c>
      <c r="B1065" s="1312" t="s">
        <v>4726</v>
      </c>
      <c r="C1065" s="980">
        <v>59525450</v>
      </c>
      <c r="D1065" s="1089" t="s">
        <v>4751</v>
      </c>
      <c r="E1065" s="1159" t="s">
        <v>5061</v>
      </c>
      <c r="F1065" s="1313"/>
      <c r="G1065" s="1134" t="s">
        <v>1970</v>
      </c>
      <c r="H1065" s="1134" t="s">
        <v>4727</v>
      </c>
      <c r="I1065" s="1201" t="s">
        <v>5161</v>
      </c>
      <c r="J1065" s="1062" t="s">
        <v>4728</v>
      </c>
      <c r="K1065" s="703"/>
      <c r="L1065" s="703"/>
      <c r="M1065" s="708"/>
      <c r="N1065" s="166"/>
      <c r="O1065" s="1311"/>
      <c r="P1065" s="166"/>
    </row>
    <row r="1066" spans="1:16" s="711" customFormat="1" ht="13.2" hidden="1" customHeight="1">
      <c r="A1066" s="2226">
        <v>45376</v>
      </c>
      <c r="B1066" s="961" t="s">
        <v>4730</v>
      </c>
      <c r="C1066" s="980">
        <v>21266721</v>
      </c>
      <c r="D1066" s="1072" t="s">
        <v>4751</v>
      </c>
      <c r="E1066" s="968"/>
      <c r="F1066" s="962"/>
      <c r="G1066" s="1093" t="s">
        <v>2056</v>
      </c>
      <c r="H1066" s="1078" t="s">
        <v>4731</v>
      </c>
      <c r="I1066" s="965"/>
      <c r="J1066" s="1062" t="s">
        <v>4737</v>
      </c>
      <c r="K1066" s="703"/>
      <c r="L1066" s="703"/>
      <c r="M1066" s="708"/>
      <c r="N1066" s="166"/>
      <c r="P1066" s="166"/>
    </row>
    <row r="1067" spans="1:16" s="711" customFormat="1" ht="13.2" hidden="1" customHeight="1">
      <c r="A1067" s="2226">
        <v>45376</v>
      </c>
      <c r="B1067" s="961" t="s">
        <v>4732</v>
      </c>
      <c r="C1067" s="980">
        <v>45628147</v>
      </c>
      <c r="D1067" s="1072" t="s">
        <v>4751</v>
      </c>
      <c r="E1067" s="968"/>
      <c r="F1067" s="962"/>
      <c r="G1067" s="1093" t="s">
        <v>1970</v>
      </c>
      <c r="H1067" s="1093" t="s">
        <v>4733</v>
      </c>
      <c r="I1067" s="1182" t="s">
        <v>5103</v>
      </c>
      <c r="J1067" s="1062" t="s">
        <v>4734</v>
      </c>
      <c r="K1067" s="1172" t="s">
        <v>5073</v>
      </c>
      <c r="L1067" s="703"/>
      <c r="M1067" s="708"/>
      <c r="N1067" s="166"/>
      <c r="P1067" s="166"/>
    </row>
    <row r="1068" spans="1:16" s="711" customFormat="1" ht="13.2" hidden="1" customHeight="1">
      <c r="A1068" s="2226">
        <v>45376</v>
      </c>
      <c r="B1068" s="961" t="s">
        <v>4735</v>
      </c>
      <c r="C1068" s="980">
        <v>45726841</v>
      </c>
      <c r="D1068" s="1072" t="s">
        <v>4751</v>
      </c>
      <c r="E1068" s="968"/>
      <c r="F1068" s="962"/>
      <c r="G1068" s="1093" t="s">
        <v>713</v>
      </c>
      <c r="H1068" s="1094" t="s">
        <v>4736</v>
      </c>
      <c r="I1068" s="965"/>
      <c r="J1068" s="1058"/>
      <c r="K1068" s="703"/>
      <c r="L1068" s="703"/>
      <c r="M1068" s="708"/>
      <c r="N1068" s="166"/>
      <c r="P1068" s="166"/>
    </row>
    <row r="1069" spans="1:16" s="711" customFormat="1" ht="13.2" hidden="1" customHeight="1">
      <c r="A1069" s="2229">
        <v>45377</v>
      </c>
      <c r="B1069" s="1312" t="s">
        <v>4741</v>
      </c>
      <c r="C1069" s="980">
        <v>37068954</v>
      </c>
      <c r="D1069" s="1089" t="s">
        <v>4751</v>
      </c>
      <c r="E1069" s="1159" t="s">
        <v>5061</v>
      </c>
      <c r="F1069" s="1313"/>
      <c r="G1069" s="1189" t="s">
        <v>1970</v>
      </c>
      <c r="H1069" s="1190" t="s">
        <v>4739</v>
      </c>
      <c r="I1069" s="705"/>
      <c r="J1069" s="1068" t="s">
        <v>4737</v>
      </c>
      <c r="K1069" s="703"/>
      <c r="L1069" s="703"/>
      <c r="M1069" s="708"/>
      <c r="N1069" s="166"/>
      <c r="P1069" s="166"/>
    </row>
    <row r="1070" spans="1:16" s="711" customFormat="1" ht="13.2" hidden="1" customHeight="1">
      <c r="A1070" s="2230">
        <v>45377</v>
      </c>
      <c r="B1070" s="961" t="s">
        <v>4749</v>
      </c>
      <c r="C1070" s="980">
        <v>22936822</v>
      </c>
      <c r="D1070" s="1072" t="s">
        <v>4752</v>
      </c>
      <c r="E1070" s="968"/>
      <c r="F1070" s="962"/>
      <c r="G1070" s="1072" t="s">
        <v>2056</v>
      </c>
      <c r="H1070" s="1085" t="s">
        <v>4750</v>
      </c>
      <c r="I1070" s="965"/>
      <c r="J1070" s="1068" t="s">
        <v>4737</v>
      </c>
      <c r="K1070" s="703"/>
      <c r="L1070" s="703"/>
      <c r="M1070" s="708"/>
      <c r="N1070" s="166"/>
      <c r="P1070" s="166"/>
    </row>
    <row r="1071" spans="1:16" s="711" customFormat="1" ht="13.2" hidden="1" customHeight="1">
      <c r="A1071" s="2230">
        <v>45377</v>
      </c>
      <c r="B1071" s="717" t="s">
        <v>4836</v>
      </c>
      <c r="C1071" s="980">
        <v>22707630</v>
      </c>
      <c r="D1071" s="1118" t="s">
        <v>2755</v>
      </c>
      <c r="E1071" s="917">
        <v>1</v>
      </c>
      <c r="F1071" s="724"/>
      <c r="G1071" s="1099" t="s">
        <v>1006</v>
      </c>
      <c r="H1071" s="1100" t="s">
        <v>4782</v>
      </c>
      <c r="I1071" s="705"/>
      <c r="J1071" s="1068" t="s">
        <v>4737</v>
      </c>
      <c r="K1071" s="703"/>
      <c r="L1071" s="703">
        <v>1</v>
      </c>
      <c r="M1071" s="1226" t="s">
        <v>5298</v>
      </c>
      <c r="N1071" s="166"/>
      <c r="P1071" s="166"/>
    </row>
    <row r="1072" spans="1:16" s="711" customFormat="1" ht="13.2" hidden="1" customHeight="1">
      <c r="A1072" s="2231">
        <v>45378</v>
      </c>
      <c r="B1072" s="1312" t="s">
        <v>4755</v>
      </c>
      <c r="C1072" s="980">
        <v>55988137</v>
      </c>
      <c r="D1072" s="1089" t="s">
        <v>4751</v>
      </c>
      <c r="E1072" s="1159" t="s">
        <v>5061</v>
      </c>
      <c r="F1072" s="1313"/>
      <c r="G1072" s="1089" t="s">
        <v>1970</v>
      </c>
      <c r="H1072" s="1191" t="s">
        <v>4756</v>
      </c>
      <c r="I1072" s="705"/>
      <c r="J1072" s="1068" t="s">
        <v>4757</v>
      </c>
      <c r="K1072" s="703"/>
      <c r="L1072" s="703"/>
      <c r="M1072" s="708"/>
      <c r="N1072" s="166"/>
      <c r="P1072" s="166"/>
    </row>
    <row r="1073" spans="1:16" s="711" customFormat="1" ht="13.2" hidden="1" customHeight="1">
      <c r="A1073" s="2230">
        <v>45378</v>
      </c>
      <c r="B1073" s="961" t="s">
        <v>4758</v>
      </c>
      <c r="C1073" s="980">
        <v>49121849</v>
      </c>
      <c r="D1073" s="1072" t="s">
        <v>4751</v>
      </c>
      <c r="E1073" s="968"/>
      <c r="F1073" s="962"/>
      <c r="G1073" s="1072" t="s">
        <v>1970</v>
      </c>
      <c r="H1073" s="1073" t="s">
        <v>4759</v>
      </c>
      <c r="I1073" s="965"/>
      <c r="J1073" s="1068" t="s">
        <v>4760</v>
      </c>
      <c r="K1073" s="703"/>
      <c r="L1073" s="703"/>
      <c r="M1073" s="708"/>
      <c r="N1073" s="166"/>
      <c r="P1073" s="166"/>
    </row>
    <row r="1074" spans="1:16" s="711" customFormat="1" ht="13.2" hidden="1" customHeight="1">
      <c r="A1074" s="2230">
        <v>45379</v>
      </c>
      <c r="B1074" s="1312" t="s">
        <v>4764</v>
      </c>
      <c r="C1074" s="980">
        <v>68531299</v>
      </c>
      <c r="D1074" s="1118" t="s">
        <v>4894</v>
      </c>
      <c r="E1074" s="917"/>
      <c r="F1074" s="1313"/>
      <c r="G1074" s="1089" t="s">
        <v>2012</v>
      </c>
      <c r="H1074" s="1100" t="s">
        <v>4765</v>
      </c>
      <c r="I1074" s="705"/>
      <c r="J1074" s="1068" t="s">
        <v>4766</v>
      </c>
      <c r="K1074" s="703">
        <v>1</v>
      </c>
      <c r="L1074" s="1383" t="s">
        <v>5896</v>
      </c>
      <c r="M1074" s="708"/>
      <c r="N1074" s="166"/>
      <c r="P1074" s="166"/>
    </row>
    <row r="1075" spans="1:16" s="711" customFormat="1" ht="13.2" hidden="1" customHeight="1">
      <c r="A1075" s="2227">
        <v>45381</v>
      </c>
      <c r="B1075" s="961" t="s">
        <v>4771</v>
      </c>
      <c r="C1075" s="1086">
        <v>27541784</v>
      </c>
      <c r="D1075" s="1072"/>
      <c r="E1075" s="968"/>
      <c r="F1075" s="962"/>
      <c r="G1075" s="1078" t="s">
        <v>1970</v>
      </c>
      <c r="H1075" s="1085" t="s">
        <v>4772</v>
      </c>
      <c r="I1075" s="965"/>
      <c r="J1075" s="1082" t="s">
        <v>4773</v>
      </c>
      <c r="K1075" s="703"/>
      <c r="L1075" s="703"/>
      <c r="M1075" s="708"/>
      <c r="N1075" s="166"/>
      <c r="P1075" s="166"/>
    </row>
    <row r="1076" spans="1:16" s="711" customFormat="1" ht="13.2" hidden="1" customHeight="1">
      <c r="A1076" s="2232">
        <v>45381</v>
      </c>
      <c r="B1076" s="717" t="s">
        <v>4778</v>
      </c>
      <c r="C1076" s="1086">
        <v>31093559</v>
      </c>
      <c r="D1076" s="1166"/>
      <c r="E1076" s="917"/>
      <c r="F1076" s="724"/>
      <c r="G1076" s="1099" t="s">
        <v>1006</v>
      </c>
      <c r="H1076" s="1169" t="s">
        <v>4779</v>
      </c>
      <c r="I1076" s="705"/>
      <c r="J1076" s="1082" t="s">
        <v>4766</v>
      </c>
      <c r="K1076" s="703"/>
      <c r="L1076" s="703">
        <v>1</v>
      </c>
      <c r="M1076" s="1226" t="s">
        <v>5298</v>
      </c>
      <c r="N1076" s="166"/>
      <c r="P1076" s="166"/>
    </row>
    <row r="1077" spans="1:16" s="711" customFormat="1" ht="13.2" hidden="1" customHeight="1">
      <c r="A1077" s="2227">
        <v>45381</v>
      </c>
      <c r="B1077" s="717" t="s">
        <v>4780</v>
      </c>
      <c r="C1077" s="1086">
        <v>35574417</v>
      </c>
      <c r="D1077" s="1118" t="s">
        <v>1743</v>
      </c>
      <c r="E1077" s="1136" t="s">
        <v>4995</v>
      </c>
      <c r="F1077" s="724"/>
      <c r="G1077" s="1099" t="s">
        <v>1006</v>
      </c>
      <c r="H1077" s="1100" t="s">
        <v>4781</v>
      </c>
      <c r="I1077" s="705"/>
      <c r="J1077" s="1082" t="s">
        <v>4766</v>
      </c>
      <c r="K1077" s="703"/>
      <c r="L1077" s="703"/>
      <c r="M1077" s="708"/>
      <c r="N1077" s="166"/>
      <c r="P1077" s="166"/>
    </row>
    <row r="1078" spans="1:16" s="711" customFormat="1" ht="13.2" hidden="1" customHeight="1">
      <c r="A1078" s="2227">
        <v>45382</v>
      </c>
      <c r="B1078" s="717" t="s">
        <v>1695</v>
      </c>
      <c r="C1078" s="1086">
        <v>17032258</v>
      </c>
      <c r="D1078" s="1118"/>
      <c r="E1078" s="917">
        <v>1</v>
      </c>
      <c r="F1078" s="724"/>
      <c r="G1078" s="1099" t="s">
        <v>1009</v>
      </c>
      <c r="H1078" s="1100" t="s">
        <v>4784</v>
      </c>
      <c r="I1078" s="1136" t="s">
        <v>4958</v>
      </c>
      <c r="J1078" s="1129" t="s">
        <v>4783</v>
      </c>
      <c r="K1078" s="703"/>
      <c r="L1078" s="703"/>
      <c r="M1078" s="708"/>
      <c r="N1078" s="166"/>
      <c r="P1078" s="166"/>
    </row>
    <row r="1079" spans="1:16" s="711" customFormat="1" ht="13.2" hidden="1" customHeight="1">
      <c r="A1079" s="2227">
        <v>45383</v>
      </c>
      <c r="B1079" s="1312" t="s">
        <v>4788</v>
      </c>
      <c r="C1079" s="1086">
        <v>86611280</v>
      </c>
      <c r="D1079" s="1118" t="s">
        <v>2755</v>
      </c>
      <c r="E1079" s="917"/>
      <c r="F1079" s="1313"/>
      <c r="G1079" s="1099" t="s">
        <v>4790</v>
      </c>
      <c r="H1079" s="1100" t="s">
        <v>4791</v>
      </c>
      <c r="I1079" s="705"/>
      <c r="J1079" s="1082" t="s">
        <v>4766</v>
      </c>
      <c r="K1079" s="703"/>
      <c r="L1079" s="703"/>
      <c r="M1079" s="708"/>
      <c r="N1079" s="166"/>
      <c r="O1079" s="1311"/>
      <c r="P1079" s="166"/>
    </row>
    <row r="1080" spans="1:16" s="711" customFormat="1" ht="13.2" customHeight="1">
      <c r="A1080" s="2227">
        <v>45383</v>
      </c>
      <c r="B1080" s="709" t="s">
        <v>4806</v>
      </c>
      <c r="C1080" s="1082"/>
      <c r="D1080" s="1068"/>
      <c r="E1080" s="1122" t="s">
        <v>122</v>
      </c>
      <c r="F1080" s="1310" t="s">
        <v>6752</v>
      </c>
      <c r="G1080" s="1082" t="s">
        <v>1970</v>
      </c>
      <c r="H1080" s="1083"/>
      <c r="I1080" s="703">
        <v>18</v>
      </c>
      <c r="J1080" s="1082" t="s">
        <v>4766</v>
      </c>
      <c r="K1080" s="703"/>
      <c r="L1080" s="703"/>
      <c r="M1080" s="708"/>
      <c r="N1080" s="166"/>
      <c r="O1080" s="1311"/>
      <c r="P1080" s="166"/>
    </row>
    <row r="1081" spans="1:16" s="711" customFormat="1" ht="13.2" hidden="1" customHeight="1">
      <c r="A1081" s="2232">
        <v>45384</v>
      </c>
      <c r="B1081" s="717" t="s">
        <v>4798</v>
      </c>
      <c r="C1081" s="1086">
        <v>77030175</v>
      </c>
      <c r="D1081" s="1089"/>
      <c r="E1081" s="1159" t="s">
        <v>5061</v>
      </c>
      <c r="F1081" s="724"/>
      <c r="G1081" s="1099" t="s">
        <v>1970</v>
      </c>
      <c r="H1081" s="1100" t="s">
        <v>4799</v>
      </c>
      <c r="I1081" s="705"/>
      <c r="J1081" s="1082" t="s">
        <v>4800</v>
      </c>
      <c r="K1081" s="703"/>
      <c r="L1081" s="703"/>
      <c r="M1081" s="708"/>
      <c r="N1081" s="166"/>
      <c r="P1081" s="166"/>
    </row>
    <row r="1082" spans="1:16" s="711" customFormat="1" ht="13.2" hidden="1" customHeight="1">
      <c r="A1082" s="2227">
        <v>45384</v>
      </c>
      <c r="B1082" s="717" t="s">
        <v>4801</v>
      </c>
      <c r="C1082" s="1086">
        <v>83062900</v>
      </c>
      <c r="D1082" s="1118" t="s">
        <v>4884</v>
      </c>
      <c r="E1082" s="1136" t="s">
        <v>3589</v>
      </c>
      <c r="F1082" s="724"/>
      <c r="G1082" s="1099" t="s">
        <v>1970</v>
      </c>
      <c r="H1082" s="1100" t="s">
        <v>4803</v>
      </c>
      <c r="I1082" s="1176" t="s">
        <v>4958</v>
      </c>
      <c r="J1082" s="1129" t="s">
        <v>4802</v>
      </c>
      <c r="K1082" s="703"/>
      <c r="L1082" s="703"/>
      <c r="M1082" s="708"/>
      <c r="N1082" s="166"/>
      <c r="P1082" s="166"/>
    </row>
    <row r="1083" spans="1:16" s="711" customFormat="1" ht="13.2" hidden="1" customHeight="1">
      <c r="A1083" s="2227">
        <v>45384</v>
      </c>
      <c r="B1083" s="717" t="s">
        <v>4804</v>
      </c>
      <c r="C1083" s="1086">
        <v>41519560</v>
      </c>
      <c r="D1083" s="1118" t="s">
        <v>4895</v>
      </c>
      <c r="E1083" s="917">
        <v>1</v>
      </c>
      <c r="F1083" s="724"/>
      <c r="G1083" s="1099" t="s">
        <v>1006</v>
      </c>
      <c r="H1083" s="1100" t="s">
        <v>4805</v>
      </c>
      <c r="I1083" s="705"/>
      <c r="J1083" s="1082" t="s">
        <v>4766</v>
      </c>
      <c r="K1083" s="703"/>
      <c r="L1083" s="703"/>
      <c r="M1083" s="708"/>
      <c r="N1083" s="166"/>
      <c r="P1083" s="166"/>
    </row>
    <row r="1084" spans="1:16" s="711" customFormat="1" ht="13.2" hidden="1" customHeight="1">
      <c r="A1084" s="2227">
        <v>45385</v>
      </c>
      <c r="B1084" s="717" t="s">
        <v>4817</v>
      </c>
      <c r="C1084" s="1086">
        <v>88772423</v>
      </c>
      <c r="D1084" s="1118" t="s">
        <v>1743</v>
      </c>
      <c r="E1084" s="1136" t="s">
        <v>4948</v>
      </c>
      <c r="F1084" s="724"/>
      <c r="G1084" s="1099" t="s">
        <v>2237</v>
      </c>
      <c r="H1084" s="1100" t="s">
        <v>4826</v>
      </c>
      <c r="I1084" s="705"/>
      <c r="J1084" s="1082" t="s">
        <v>4818</v>
      </c>
      <c r="K1084" s="703"/>
      <c r="L1084" s="703"/>
      <c r="M1084" s="708"/>
      <c r="N1084" s="166"/>
      <c r="P1084" s="166"/>
    </row>
    <row r="1085" spans="1:16" s="711" customFormat="1" ht="13.2" hidden="1" customHeight="1">
      <c r="A1085" s="2227">
        <v>45385</v>
      </c>
      <c r="B1085" s="717" t="s">
        <v>4821</v>
      </c>
      <c r="C1085" s="1086">
        <v>98014558</v>
      </c>
      <c r="D1085" s="1118" t="s">
        <v>4894</v>
      </c>
      <c r="E1085" s="917"/>
      <c r="F1085" s="724"/>
      <c r="G1085" s="1099" t="s">
        <v>713</v>
      </c>
      <c r="H1085" s="1100" t="s">
        <v>4822</v>
      </c>
      <c r="I1085" s="705"/>
      <c r="J1085" s="1082" t="s">
        <v>4766</v>
      </c>
      <c r="K1085" s="703"/>
      <c r="L1085" s="703"/>
      <c r="M1085" s="708"/>
      <c r="N1085" s="166"/>
      <c r="P1085" s="166"/>
    </row>
    <row r="1086" spans="1:16" s="711" customFormat="1" ht="13.2" hidden="1" customHeight="1">
      <c r="A1086" s="2227">
        <v>45385</v>
      </c>
      <c r="B1086" s="717" t="s">
        <v>4823</v>
      </c>
      <c r="C1086" s="1086">
        <v>53812425</v>
      </c>
      <c r="D1086" s="1118" t="s">
        <v>2755</v>
      </c>
      <c r="E1086" s="917">
        <v>1</v>
      </c>
      <c r="F1086" s="724"/>
      <c r="G1086" s="1099" t="s">
        <v>1199</v>
      </c>
      <c r="H1086" s="1100" t="s">
        <v>4825</v>
      </c>
      <c r="I1086" s="705"/>
      <c r="J1086" s="1082" t="s">
        <v>4824</v>
      </c>
      <c r="K1086" s="703"/>
      <c r="L1086" s="1082" t="s">
        <v>1045</v>
      </c>
      <c r="M1086" s="708"/>
      <c r="N1086" s="166"/>
      <c r="P1086" s="166"/>
    </row>
    <row r="1087" spans="1:16" s="711" customFormat="1" ht="13.2" hidden="1" customHeight="1">
      <c r="A1087" s="2227">
        <v>45385</v>
      </c>
      <c r="B1087" s="717" t="s">
        <v>4842</v>
      </c>
      <c r="C1087" s="1086">
        <v>81898881</v>
      </c>
      <c r="D1087" s="1118" t="s">
        <v>4884</v>
      </c>
      <c r="E1087" s="1136" t="s">
        <v>4947</v>
      </c>
      <c r="F1087" s="724"/>
      <c r="G1087" s="1099" t="s">
        <v>1972</v>
      </c>
      <c r="H1087" s="1100" t="s">
        <v>4827</v>
      </c>
      <c r="I1087" s="705"/>
      <c r="J1087" s="1082" t="s">
        <v>4766</v>
      </c>
      <c r="K1087" s="703"/>
      <c r="L1087" s="703"/>
      <c r="M1087" s="708"/>
      <c r="N1087" s="166"/>
      <c r="P1087" s="166"/>
    </row>
    <row r="1088" spans="1:16" s="711" customFormat="1" ht="13.2" hidden="1" customHeight="1">
      <c r="A1088" s="2227">
        <v>45385</v>
      </c>
      <c r="B1088" s="717" t="s">
        <v>4814</v>
      </c>
      <c r="C1088" s="1086">
        <v>30102966</v>
      </c>
      <c r="D1088" s="1118" t="s">
        <v>4884</v>
      </c>
      <c r="E1088" s="917"/>
      <c r="F1088" s="724"/>
      <c r="G1088" s="1099" t="s">
        <v>1996</v>
      </c>
      <c r="H1088" s="1100" t="s">
        <v>4829</v>
      </c>
      <c r="I1088" s="1136" t="s">
        <v>4958</v>
      </c>
      <c r="J1088" s="1129" t="s">
        <v>4828</v>
      </c>
      <c r="K1088" s="703"/>
      <c r="L1088" s="703"/>
      <c r="M1088" s="708"/>
      <c r="N1088" s="166"/>
      <c r="P1088" s="166"/>
    </row>
    <row r="1089" spans="1:16" s="711" customFormat="1" ht="13.2" hidden="1" customHeight="1">
      <c r="A1089" s="2232">
        <v>45386</v>
      </c>
      <c r="B1089" s="717" t="s">
        <v>4846</v>
      </c>
      <c r="C1089" s="1086">
        <v>10874926</v>
      </c>
      <c r="D1089" s="1118" t="s">
        <v>4884</v>
      </c>
      <c r="E1089" s="1136" t="s">
        <v>4949</v>
      </c>
      <c r="F1089" s="724"/>
      <c r="G1089" s="1099" t="s">
        <v>1970</v>
      </c>
      <c r="H1089" s="1137" t="s">
        <v>4847</v>
      </c>
      <c r="I1089" s="1201" t="s">
        <v>5160</v>
      </c>
      <c r="J1089" s="1122" t="s">
        <v>4996</v>
      </c>
      <c r="K1089" s="703"/>
      <c r="L1089" s="703"/>
      <c r="M1089" s="708"/>
      <c r="N1089" s="166"/>
      <c r="P1089" s="166"/>
    </row>
    <row r="1090" spans="1:16" s="711" customFormat="1" ht="13.2" hidden="1" customHeight="1">
      <c r="A1090" s="2227">
        <v>45387</v>
      </c>
      <c r="B1090" s="717" t="s">
        <v>4852</v>
      </c>
      <c r="C1090" s="1086">
        <v>89114855</v>
      </c>
      <c r="D1090" s="1118" t="s">
        <v>4884</v>
      </c>
      <c r="E1090" s="917"/>
      <c r="F1090" s="724"/>
      <c r="G1090" s="1099" t="s">
        <v>3075</v>
      </c>
      <c r="H1090" s="1100" t="s">
        <v>4854</v>
      </c>
      <c r="I1090" s="705"/>
      <c r="J1090" s="1130" t="s">
        <v>4867</v>
      </c>
      <c r="K1090" s="703"/>
      <c r="L1090" s="703"/>
      <c r="M1090" s="708"/>
      <c r="N1090" s="166"/>
      <c r="P1090" s="166"/>
    </row>
    <row r="1091" spans="1:16" s="711" customFormat="1" ht="13.2" hidden="1" customHeight="1">
      <c r="A1091" s="2232">
        <v>45387</v>
      </c>
      <c r="B1091" s="717" t="s">
        <v>4853</v>
      </c>
      <c r="C1091" s="1086">
        <v>54813477</v>
      </c>
      <c r="D1091" s="1136"/>
      <c r="E1091" s="1118"/>
      <c r="F1091" s="724"/>
      <c r="G1091" s="1099" t="s">
        <v>1970</v>
      </c>
      <c r="H1091" s="1972" t="s">
        <v>122</v>
      </c>
      <c r="I1091" s="1201" t="s">
        <v>4958</v>
      </c>
      <c r="J1091" s="1129" t="s">
        <v>4855</v>
      </c>
      <c r="K1091" s="703"/>
      <c r="L1091" s="703"/>
      <c r="M1091" s="708"/>
      <c r="N1091" s="166"/>
      <c r="P1091" s="166"/>
    </row>
    <row r="1092" spans="1:16" s="711" customFormat="1" ht="13.2" hidden="1" customHeight="1">
      <c r="A1092" s="2233">
        <v>45388</v>
      </c>
      <c r="B1092" s="717" t="s">
        <v>4881</v>
      </c>
      <c r="C1092" s="1086">
        <v>92058515</v>
      </c>
      <c r="D1092" s="1118" t="s">
        <v>4884</v>
      </c>
      <c r="E1092" s="1136" t="s">
        <v>4947</v>
      </c>
      <c r="F1092" s="724"/>
      <c r="G1092" s="1118" t="s">
        <v>1006</v>
      </c>
      <c r="H1092" s="1119" t="s">
        <v>4863</v>
      </c>
      <c r="I1092" s="705"/>
      <c r="J1092" s="1113" t="s">
        <v>4766</v>
      </c>
      <c r="K1092" s="703"/>
      <c r="L1092" s="703">
        <v>1</v>
      </c>
      <c r="M1092" s="1226" t="s">
        <v>5298</v>
      </c>
      <c r="N1092" s="166"/>
      <c r="P1092" s="166"/>
    </row>
    <row r="1093" spans="1:16" s="711" customFormat="1" ht="13.2" hidden="1" customHeight="1">
      <c r="A1093" s="2234">
        <v>45389</v>
      </c>
      <c r="B1093" s="717" t="s">
        <v>5116</v>
      </c>
      <c r="C1093" s="1086">
        <v>51475095</v>
      </c>
      <c r="D1093" s="1201" t="s">
        <v>2755</v>
      </c>
      <c r="E1093" s="1124"/>
      <c r="F1093" s="724"/>
      <c r="G1093" s="1118" t="s">
        <v>2073</v>
      </c>
      <c r="H1093" s="1119" t="s">
        <v>4865</v>
      </c>
      <c r="I1093" s="705"/>
      <c r="J1093" s="1113" t="s">
        <v>4866</v>
      </c>
      <c r="K1093" s="703"/>
      <c r="L1093" s="703">
        <v>1</v>
      </c>
      <c r="M1093" s="1195" t="s">
        <v>5141</v>
      </c>
      <c r="N1093" s="166"/>
      <c r="P1093" s="166"/>
    </row>
    <row r="1094" spans="1:16" s="711" customFormat="1" ht="13.2" hidden="1" customHeight="1">
      <c r="A1094" s="2233">
        <v>45390</v>
      </c>
      <c r="B1094" s="717" t="s">
        <v>4882</v>
      </c>
      <c r="C1094" s="1086">
        <v>35125758</v>
      </c>
      <c r="D1094" s="1118" t="s">
        <v>4884</v>
      </c>
      <c r="E1094" s="1136" t="s">
        <v>4947</v>
      </c>
      <c r="F1094" s="724"/>
      <c r="G1094" s="1118" t="s">
        <v>2056</v>
      </c>
      <c r="H1094" s="1119" t="s">
        <v>4883</v>
      </c>
      <c r="I1094" s="1136" t="s">
        <v>4958</v>
      </c>
      <c r="J1094" s="1131" t="s">
        <v>4914</v>
      </c>
      <c r="K1094" s="703"/>
      <c r="L1094" s="703"/>
      <c r="M1094" s="708"/>
      <c r="N1094" s="166"/>
      <c r="P1094" s="166"/>
    </row>
    <row r="1095" spans="1:16" s="711" customFormat="1" ht="13.2" hidden="1" customHeight="1">
      <c r="A1095" s="2233">
        <v>45390</v>
      </c>
      <c r="B1095" s="717" t="s">
        <v>4885</v>
      </c>
      <c r="C1095" s="1086">
        <v>96351720</v>
      </c>
      <c r="D1095" s="1118" t="s">
        <v>4884</v>
      </c>
      <c r="E1095" s="1136" t="s">
        <v>4947</v>
      </c>
      <c r="F1095" s="724"/>
      <c r="G1095" s="1118" t="s">
        <v>736</v>
      </c>
      <c r="H1095" s="1119" t="s">
        <v>4886</v>
      </c>
      <c r="I1095" s="705"/>
      <c r="J1095" s="1113" t="s">
        <v>4766</v>
      </c>
      <c r="K1095" s="703"/>
      <c r="L1095" s="703">
        <v>1</v>
      </c>
      <c r="M1095" s="1150" t="s">
        <v>5019</v>
      </c>
      <c r="N1095" s="166"/>
      <c r="P1095" s="166"/>
    </row>
    <row r="1096" spans="1:16" s="711" customFormat="1" ht="13.2" hidden="1" customHeight="1">
      <c r="A1096" s="2233">
        <v>45390</v>
      </c>
      <c r="B1096" s="717" t="s">
        <v>4887</v>
      </c>
      <c r="C1096" s="1086">
        <v>98683352</v>
      </c>
      <c r="D1096" s="1211" t="s">
        <v>5242</v>
      </c>
      <c r="E1096" s="917"/>
      <c r="F1096" s="724"/>
      <c r="G1096" s="1118" t="s">
        <v>2124</v>
      </c>
      <c r="H1096" s="1119" t="s">
        <v>4888</v>
      </c>
      <c r="I1096" s="705"/>
      <c r="J1096" s="1113" t="s">
        <v>4800</v>
      </c>
      <c r="K1096" s="703"/>
      <c r="L1096" s="703"/>
      <c r="M1096" s="708"/>
      <c r="N1096" s="166"/>
      <c r="P1096" s="166"/>
    </row>
    <row r="1097" spans="1:16" s="711" customFormat="1" ht="13.2" hidden="1" customHeight="1">
      <c r="A1097" s="2233">
        <v>45390</v>
      </c>
      <c r="B1097" s="717" t="s">
        <v>4889</v>
      </c>
      <c r="C1097" s="1086">
        <v>94814945</v>
      </c>
      <c r="D1097" s="1118" t="s">
        <v>4884</v>
      </c>
      <c r="E1097" s="917"/>
      <c r="F1097" s="724"/>
      <c r="G1097" s="1118" t="s">
        <v>763</v>
      </c>
      <c r="H1097" s="1119" t="s">
        <v>4890</v>
      </c>
      <c r="I1097" s="705"/>
      <c r="J1097" s="1113" t="s">
        <v>4766</v>
      </c>
      <c r="K1097" s="703"/>
      <c r="L1097" s="703"/>
      <c r="M1097" s="708"/>
      <c r="N1097" s="166"/>
      <c r="P1097" s="166"/>
    </row>
    <row r="1098" spans="1:16" s="711" customFormat="1" ht="13.2" hidden="1" customHeight="1">
      <c r="A1098" s="2235">
        <v>45390</v>
      </c>
      <c r="B1098" s="1312" t="s">
        <v>4891</v>
      </c>
      <c r="C1098" s="1086">
        <v>68905917</v>
      </c>
      <c r="D1098" s="1118" t="s">
        <v>4884</v>
      </c>
      <c r="E1098" s="917"/>
      <c r="F1098" s="1313"/>
      <c r="G1098" s="1118" t="s">
        <v>2221</v>
      </c>
      <c r="H1098" s="1119" t="s">
        <v>4892</v>
      </c>
      <c r="I1098" s="705"/>
      <c r="J1098" s="1113" t="s">
        <v>4893</v>
      </c>
      <c r="K1098" s="703"/>
      <c r="L1098" s="703"/>
      <c r="M1098" s="708"/>
      <c r="N1098" s="166"/>
      <c r="P1098" s="166"/>
    </row>
    <row r="1099" spans="1:16" s="711" customFormat="1" ht="13.2" customHeight="1">
      <c r="A1099" s="2236">
        <v>45391</v>
      </c>
      <c r="B1099" s="709"/>
      <c r="C1099" s="1082"/>
      <c r="D1099" s="1113"/>
      <c r="E1099" s="915"/>
      <c r="F1099" s="1310"/>
      <c r="G1099" s="1113"/>
      <c r="H1099" s="1114"/>
      <c r="I1099" s="703">
        <v>0</v>
      </c>
      <c r="J1099" s="1131" t="s">
        <v>4930</v>
      </c>
      <c r="K1099" s="703"/>
      <c r="L1099" s="703"/>
      <c r="M1099" s="708"/>
      <c r="N1099" s="166"/>
      <c r="P1099" s="166"/>
    </row>
    <row r="1100" spans="1:16" s="711" customFormat="1" ht="13.2" hidden="1" customHeight="1">
      <c r="A1100" s="2236">
        <v>45392</v>
      </c>
      <c r="B1100" s="717" t="s">
        <v>4956</v>
      </c>
      <c r="C1100" s="1086">
        <v>23480660</v>
      </c>
      <c r="D1100" s="1136"/>
      <c r="E1100" s="917"/>
      <c r="F1100" s="724"/>
      <c r="G1100" s="1136" t="s">
        <v>1996</v>
      </c>
      <c r="H1100" s="1137" t="s">
        <v>4927</v>
      </c>
      <c r="I1100" s="705"/>
      <c r="J1100" s="1122" t="s">
        <v>4766</v>
      </c>
      <c r="K1100" s="703"/>
      <c r="L1100" s="703"/>
      <c r="M1100" s="708"/>
      <c r="N1100" s="166"/>
      <c r="P1100" s="166"/>
    </row>
    <row r="1101" spans="1:16" s="711" customFormat="1" ht="13.2" hidden="1" customHeight="1">
      <c r="A1101" s="2237">
        <v>45392</v>
      </c>
      <c r="B1101" s="1312" t="s">
        <v>5053</v>
      </c>
      <c r="C1101" s="1086">
        <v>49211371</v>
      </c>
      <c r="D1101" s="1201" t="s">
        <v>5155</v>
      </c>
      <c r="E1101" s="917"/>
      <c r="F1101" s="1313"/>
      <c r="G1101" s="1136" t="s">
        <v>1996</v>
      </c>
      <c r="H1101" s="1169" t="s">
        <v>4928</v>
      </c>
      <c r="I1101" s="705"/>
      <c r="J1101" s="1122" t="s">
        <v>4766</v>
      </c>
      <c r="K1101" s="703"/>
      <c r="L1101" s="703"/>
      <c r="M1101" s="708"/>
      <c r="N1101" s="166"/>
      <c r="P1101" s="166"/>
    </row>
    <row r="1102" spans="1:16" s="711" customFormat="1" ht="13.2" hidden="1" customHeight="1">
      <c r="A1102" s="1128"/>
      <c r="B1102" s="709"/>
      <c r="C1102" s="1082"/>
      <c r="D1102" s="1113"/>
      <c r="E1102" s="915"/>
      <c r="F1102" s="710"/>
      <c r="G1102" s="1122"/>
      <c r="H1102" s="1127" t="s">
        <v>4944</v>
      </c>
      <c r="I1102" s="703"/>
      <c r="J1102" s="1122" t="s">
        <v>4945</v>
      </c>
      <c r="K1102" s="703"/>
      <c r="L1102" s="703"/>
      <c r="M1102" s="708"/>
      <c r="N1102" s="166"/>
      <c r="P1102" s="166"/>
    </row>
    <row r="1103" spans="1:16" s="711" customFormat="1" ht="13.2" hidden="1" customHeight="1">
      <c r="A1103" s="1128"/>
      <c r="B1103" s="709"/>
      <c r="C1103" s="1082"/>
      <c r="D1103" s="1113"/>
      <c r="E1103" s="915"/>
      <c r="F1103" s="1310"/>
      <c r="G1103" s="1122"/>
      <c r="H1103" s="1127"/>
      <c r="I1103" s="703"/>
      <c r="J1103" s="1131" t="s">
        <v>4929</v>
      </c>
      <c r="K1103" s="703"/>
      <c r="L1103" s="703"/>
      <c r="M1103" s="708"/>
      <c r="N1103" s="166"/>
      <c r="P1103" s="166"/>
    </row>
    <row r="1104" spans="1:16" s="711" customFormat="1" ht="13.2" hidden="1" customHeight="1">
      <c r="A1104" s="2238">
        <v>45393</v>
      </c>
      <c r="B1104" s="1312" t="s">
        <v>5420</v>
      </c>
      <c r="C1104" s="1099">
        <v>90892383</v>
      </c>
      <c r="D1104" s="1270" t="s">
        <v>5391</v>
      </c>
      <c r="E1104" s="1211" t="s">
        <v>5278</v>
      </c>
      <c r="F1104" s="1313"/>
      <c r="G1104" s="1136" t="s">
        <v>1970</v>
      </c>
      <c r="H1104" s="1137" t="s">
        <v>4911</v>
      </c>
      <c r="I1104" s="705"/>
      <c r="J1104" s="1122" t="s">
        <v>4766</v>
      </c>
      <c r="K1104" s="703"/>
      <c r="L1104" s="703"/>
      <c r="M1104" s="708"/>
      <c r="N1104" s="166"/>
      <c r="P1104" s="166"/>
    </row>
    <row r="1105" spans="1:16" s="711" customFormat="1" ht="13.2" hidden="1" customHeight="1">
      <c r="A1105" s="1116"/>
      <c r="B1105" s="709"/>
      <c r="C1105" s="1082"/>
      <c r="D1105" s="1113"/>
      <c r="E1105" s="915"/>
      <c r="F1105" s="710"/>
      <c r="G1105" s="1122" t="s">
        <v>4942</v>
      </c>
      <c r="H1105" s="1127" t="s">
        <v>4912</v>
      </c>
      <c r="I1105" s="703"/>
      <c r="J1105" s="1122" t="s">
        <v>4913</v>
      </c>
      <c r="K1105" s="703"/>
      <c r="L1105" s="703"/>
      <c r="M1105" s="708"/>
      <c r="N1105" s="166"/>
      <c r="P1105" s="166"/>
    </row>
    <row r="1106" spans="1:16" s="711" customFormat="1" ht="13.2" hidden="1" customHeight="1">
      <c r="A1106" s="1128"/>
      <c r="B1106" s="709"/>
      <c r="C1106" s="1082"/>
      <c r="D1106" s="1113"/>
      <c r="E1106" s="915"/>
      <c r="F1106" s="1310"/>
      <c r="G1106" s="1122" t="s">
        <v>4943</v>
      </c>
      <c r="H1106" s="1127" t="s">
        <v>4912</v>
      </c>
      <c r="I1106" s="703"/>
      <c r="J1106" s="1122" t="s">
        <v>4766</v>
      </c>
      <c r="K1106" s="703"/>
      <c r="L1106" s="703"/>
      <c r="M1106" s="708"/>
      <c r="N1106" s="166"/>
      <c r="P1106" s="166"/>
    </row>
    <row r="1107" spans="1:16" s="711" customFormat="1" ht="13.2" hidden="1" customHeight="1">
      <c r="A1107" s="2236">
        <v>45394</v>
      </c>
      <c r="B1107" s="717" t="s">
        <v>4953</v>
      </c>
      <c r="C1107" s="1086">
        <v>13532022</v>
      </c>
      <c r="D1107" s="1136" t="s">
        <v>4992</v>
      </c>
      <c r="E1107" s="917"/>
      <c r="F1107" s="724"/>
      <c r="G1107" s="1136" t="s">
        <v>1996</v>
      </c>
      <c r="H1107" s="1137" t="s">
        <v>4915</v>
      </c>
      <c r="I1107" s="705"/>
      <c r="J1107" s="1122" t="s">
        <v>4916</v>
      </c>
      <c r="K1107" s="703"/>
      <c r="L1107" s="703"/>
      <c r="M1107" s="708"/>
      <c r="N1107" s="166"/>
      <c r="P1107" s="166"/>
    </row>
    <row r="1108" spans="1:16" s="711" customFormat="1" ht="13.2" hidden="1" customHeight="1">
      <c r="A1108" s="2237">
        <v>45394</v>
      </c>
      <c r="B1108" s="717" t="s">
        <v>4940</v>
      </c>
      <c r="C1108" s="1086">
        <v>48380500</v>
      </c>
      <c r="D1108" s="1136" t="s">
        <v>4941</v>
      </c>
      <c r="E1108" s="917"/>
      <c r="F1108" s="724"/>
      <c r="G1108" s="1136" t="s">
        <v>3312</v>
      </c>
      <c r="H1108" s="1137" t="s">
        <v>4917</v>
      </c>
      <c r="I1108" s="705"/>
      <c r="J1108" s="1122" t="s">
        <v>4916</v>
      </c>
      <c r="K1108" s="703"/>
      <c r="L1108" s="703">
        <v>1</v>
      </c>
      <c r="M1108" s="1185" t="s">
        <v>5071</v>
      </c>
      <c r="N1108" s="166"/>
      <c r="P1108" s="166"/>
    </row>
    <row r="1109" spans="1:16" s="711" customFormat="1" ht="13.2" hidden="1" customHeight="1">
      <c r="A1109" s="2237">
        <v>45394</v>
      </c>
      <c r="B1109" s="717" t="s">
        <v>5043</v>
      </c>
      <c r="C1109" s="1167" t="s">
        <v>1128</v>
      </c>
      <c r="D1109" s="1089"/>
      <c r="E1109" s="917"/>
      <c r="F1109" s="724"/>
      <c r="G1109" s="1136" t="s">
        <v>736</v>
      </c>
      <c r="H1109" s="1169" t="s">
        <v>4918</v>
      </c>
      <c r="I1109" s="705"/>
      <c r="J1109" s="1122" t="s">
        <v>4916</v>
      </c>
      <c r="K1109" s="703"/>
      <c r="L1109" s="703">
        <v>1</v>
      </c>
      <c r="M1109" s="1254" t="s">
        <v>5019</v>
      </c>
      <c r="N1109" s="166"/>
      <c r="P1109" s="166"/>
    </row>
    <row r="1110" spans="1:16" s="711" customFormat="1" ht="13.2" hidden="1" customHeight="1">
      <c r="A1110" s="2236">
        <v>45395</v>
      </c>
      <c r="B1110" s="1312" t="s">
        <v>4939</v>
      </c>
      <c r="C1110" s="1086">
        <v>81845596</v>
      </c>
      <c r="D1110" s="1136"/>
      <c r="E1110" s="917"/>
      <c r="F1110" s="1313"/>
      <c r="G1110" s="1136" t="s">
        <v>2019</v>
      </c>
      <c r="H1110" s="1137" t="s">
        <v>4919</v>
      </c>
      <c r="I1110" s="1136"/>
      <c r="J1110" s="1122" t="s">
        <v>4920</v>
      </c>
      <c r="K1110" s="703"/>
      <c r="L1110" s="703"/>
      <c r="M1110" s="708"/>
      <c r="N1110" s="166"/>
      <c r="P1110" s="166"/>
    </row>
    <row r="1111" spans="1:16" s="711" customFormat="1" ht="13.2" hidden="1" customHeight="1">
      <c r="A1111" s="2236">
        <v>45395</v>
      </c>
      <c r="B1111" s="709"/>
      <c r="C1111" s="1082"/>
      <c r="D1111" s="1068"/>
      <c r="E1111" s="915"/>
      <c r="F1111" s="1310"/>
      <c r="G1111" s="1122"/>
      <c r="H1111" s="1127" t="s">
        <v>4921</v>
      </c>
      <c r="I1111" s="703"/>
      <c r="J1111" s="1122" t="s">
        <v>4922</v>
      </c>
      <c r="K1111" s="703"/>
      <c r="L1111" s="703"/>
      <c r="M1111" s="708"/>
      <c r="N1111" s="166"/>
      <c r="P1111" s="166"/>
    </row>
    <row r="1112" spans="1:16" s="711" customFormat="1" ht="13.2" hidden="1" customHeight="1">
      <c r="A1112" s="2236">
        <v>45395</v>
      </c>
      <c r="B1112" s="1312" t="s">
        <v>4938</v>
      </c>
      <c r="C1112" s="1086">
        <v>75096361</v>
      </c>
      <c r="D1112" s="1089"/>
      <c r="E1112" s="917"/>
      <c r="F1112" s="1313"/>
      <c r="G1112" s="1136" t="s">
        <v>1006</v>
      </c>
      <c r="H1112" s="1137" t="s">
        <v>4923</v>
      </c>
      <c r="I1112" s="1136"/>
      <c r="J1112" s="1122" t="s">
        <v>4924</v>
      </c>
      <c r="K1112" s="703"/>
      <c r="L1112" s="703">
        <v>1</v>
      </c>
      <c r="M1112" s="1226" t="s">
        <v>5298</v>
      </c>
      <c r="N1112" s="166"/>
      <c r="O1112" s="1311"/>
      <c r="P1112" s="166"/>
    </row>
    <row r="1113" spans="1:16" s="711" customFormat="1" ht="13.2" customHeight="1">
      <c r="A1113" s="2236">
        <v>45397</v>
      </c>
      <c r="B1113" s="709" t="s">
        <v>4925</v>
      </c>
      <c r="C1113" s="1082"/>
      <c r="D1113" s="1446" t="s">
        <v>3770</v>
      </c>
      <c r="E1113" s="1544" t="s">
        <v>6443</v>
      </c>
      <c r="F1113" s="1481" t="s">
        <v>6196</v>
      </c>
      <c r="G1113" s="1122" t="s">
        <v>1972</v>
      </c>
      <c r="H1113" s="1127" t="s">
        <v>4926</v>
      </c>
      <c r="I1113" s="703">
        <f>20-5-3*1.27-0.2-5-1.97-0.5-0.5-3.02</f>
        <v>0</v>
      </c>
      <c r="J1113" s="1639" t="s">
        <v>6874</v>
      </c>
      <c r="K1113" s="1631" t="s">
        <v>6851</v>
      </c>
      <c r="L1113" s="703"/>
      <c r="M1113" s="708"/>
      <c r="N1113" s="166"/>
      <c r="O1113" s="1311"/>
      <c r="P1113" s="166"/>
    </row>
    <row r="1114" spans="1:16" s="711" customFormat="1" ht="13.2" customHeight="1">
      <c r="A1114" s="2236">
        <v>45398</v>
      </c>
      <c r="B1114" s="717" t="s">
        <v>4936</v>
      </c>
      <c r="C1114" s="1086">
        <v>63768849</v>
      </c>
      <c r="D1114" s="1089"/>
      <c r="E1114" s="917"/>
      <c r="F1114" s="724"/>
      <c r="G1114" s="1136" t="s">
        <v>1945</v>
      </c>
      <c r="H1114" s="1137" t="s">
        <v>4937</v>
      </c>
      <c r="I1114" s="705">
        <v>0</v>
      </c>
      <c r="J1114" s="1122" t="s">
        <v>4916</v>
      </c>
      <c r="K1114" s="703"/>
      <c r="L1114" s="703"/>
      <c r="M1114" s="708"/>
      <c r="N1114" s="166"/>
      <c r="P1114" s="166"/>
    </row>
    <row r="1115" spans="1:16" s="711" customFormat="1" ht="13.2" customHeight="1">
      <c r="A1115" s="2236">
        <v>45399</v>
      </c>
      <c r="B1115" s="1312" t="s">
        <v>4965</v>
      </c>
      <c r="C1115" s="1086">
        <v>49409913</v>
      </c>
      <c r="D1115" s="1089"/>
      <c r="E1115" s="917"/>
      <c r="F1115" s="1313"/>
      <c r="G1115" s="1136" t="s">
        <v>1970</v>
      </c>
      <c r="H1115" s="1137" t="s">
        <v>4957</v>
      </c>
      <c r="I1115" s="705">
        <v>0</v>
      </c>
      <c r="J1115" s="1122" t="s">
        <v>4916</v>
      </c>
      <c r="K1115" s="703"/>
      <c r="L1115" s="703"/>
      <c r="M1115" s="708"/>
      <c r="N1115" s="166"/>
      <c r="P1115" s="166"/>
    </row>
    <row r="1116" spans="1:16" s="711" customFormat="1" ht="13.2" hidden="1" customHeight="1">
      <c r="A1116" s="2236">
        <v>45399</v>
      </c>
      <c r="B1116" s="709"/>
      <c r="C1116" s="1082"/>
      <c r="D1116" s="1068"/>
      <c r="E1116" s="915"/>
      <c r="F1116" s="1310"/>
      <c r="G1116" s="1122"/>
      <c r="H1116" s="1127" t="s">
        <v>4864</v>
      </c>
      <c r="I1116" s="1122" t="s">
        <v>4958</v>
      </c>
      <c r="J1116" s="1122"/>
      <c r="K1116" s="703"/>
      <c r="L1116" s="703"/>
      <c r="M1116" s="708"/>
      <c r="N1116" s="166"/>
      <c r="P1116" s="166"/>
    </row>
    <row r="1117" spans="1:16" s="711" customFormat="1" ht="13.2" customHeight="1">
      <c r="A1117" s="2236">
        <v>45399</v>
      </c>
      <c r="B1117" s="717" t="s">
        <v>4964</v>
      </c>
      <c r="C1117" s="1086">
        <v>43035215</v>
      </c>
      <c r="D1117" s="1089"/>
      <c r="E1117" s="917"/>
      <c r="F1117" s="724"/>
      <c r="G1117" s="1136" t="s">
        <v>1199</v>
      </c>
      <c r="H1117" s="1137" t="s">
        <v>4959</v>
      </c>
      <c r="I1117" s="705">
        <v>0</v>
      </c>
      <c r="J1117" s="1122" t="s">
        <v>4916</v>
      </c>
      <c r="K1117" s="703"/>
      <c r="L1117" s="703">
        <v>1</v>
      </c>
      <c r="M1117" s="1140" t="s">
        <v>4979</v>
      </c>
      <c r="N1117" s="166"/>
      <c r="P1117" s="166"/>
    </row>
    <row r="1118" spans="1:16" s="711" customFormat="1" hidden="1">
      <c r="A1118" s="2236">
        <v>45399</v>
      </c>
      <c r="B1118" s="1312" t="s">
        <v>4963</v>
      </c>
      <c r="C1118" s="1099">
        <v>15027150</v>
      </c>
      <c r="D1118" s="1211" t="s">
        <v>5234</v>
      </c>
      <c r="E1118" s="917"/>
      <c r="F1118" s="1313"/>
      <c r="G1118" s="1136" t="s">
        <v>1957</v>
      </c>
      <c r="H1118" s="1169" t="s">
        <v>4960</v>
      </c>
      <c r="I1118" s="705"/>
      <c r="J1118" s="1122" t="s">
        <v>4916</v>
      </c>
      <c r="K1118" s="703"/>
      <c r="L1118" s="703"/>
      <c r="M1118" s="708"/>
      <c r="N1118" s="166"/>
      <c r="P1118" s="166"/>
    </row>
    <row r="1119" spans="1:16" s="711" customFormat="1" ht="13.2" hidden="1" customHeight="1">
      <c r="A1119" s="1128"/>
      <c r="B1119" s="709"/>
      <c r="C1119" s="1082"/>
      <c r="D1119" s="1068"/>
      <c r="E1119" s="915"/>
      <c r="F1119" s="710"/>
      <c r="G1119" s="1122"/>
      <c r="H1119" s="1127"/>
      <c r="I1119" s="1122" t="s">
        <v>4961</v>
      </c>
      <c r="J1119" s="1122"/>
      <c r="K1119" s="703"/>
      <c r="L1119" s="703"/>
      <c r="M1119" s="708"/>
      <c r="N1119" s="166"/>
      <c r="P1119" s="166"/>
    </row>
    <row r="1120" spans="1:16" s="711" customFormat="1" ht="13.2" hidden="1" customHeight="1">
      <c r="A1120" s="1128"/>
      <c r="B1120" s="709"/>
      <c r="C1120" s="1082"/>
      <c r="D1120" s="1068"/>
      <c r="E1120" s="915"/>
      <c r="F1120" s="710"/>
      <c r="G1120" s="1122"/>
      <c r="H1120" s="1127" t="s">
        <v>4962</v>
      </c>
      <c r="I1120" s="703"/>
      <c r="J1120" s="1122" t="s">
        <v>4913</v>
      </c>
      <c r="K1120" s="703"/>
      <c r="L1120" s="703"/>
      <c r="M1120" s="708"/>
      <c r="N1120" s="166"/>
      <c r="P1120" s="166"/>
    </row>
    <row r="1121" spans="1:16" s="711" customFormat="1" ht="13.2" hidden="1" customHeight="1">
      <c r="A1121" s="2236">
        <v>45400</v>
      </c>
      <c r="B1121" s="709"/>
      <c r="C1121" s="1082"/>
      <c r="D1121" s="1068"/>
      <c r="E1121" s="915"/>
      <c r="F1121" s="710"/>
      <c r="G1121" s="1122"/>
      <c r="H1121" s="1127" t="s">
        <v>4976</v>
      </c>
      <c r="I1121" s="703"/>
      <c r="J1121" s="1122" t="s">
        <v>4913</v>
      </c>
      <c r="K1121" s="703"/>
      <c r="L1121" s="703"/>
      <c r="M1121" s="708"/>
      <c r="N1121" s="166"/>
      <c r="P1121" s="166"/>
    </row>
    <row r="1122" spans="1:16" s="711" customFormat="1" ht="13.2" hidden="1" customHeight="1">
      <c r="A1122" s="2236">
        <v>45400</v>
      </c>
      <c r="B1122" s="709"/>
      <c r="C1122" s="1082"/>
      <c r="D1122" s="1068"/>
      <c r="E1122" s="915"/>
      <c r="F1122" s="1310"/>
      <c r="G1122" s="1122"/>
      <c r="H1122" s="1127" t="s">
        <v>2215</v>
      </c>
      <c r="I1122" s="703"/>
      <c r="J1122" s="1122" t="s">
        <v>4916</v>
      </c>
      <c r="K1122" s="703"/>
      <c r="L1122" s="703"/>
      <c r="M1122" s="708"/>
      <c r="N1122" s="166"/>
      <c r="P1122" s="166"/>
    </row>
    <row r="1123" spans="1:16" s="711" customFormat="1" ht="13.2" hidden="1" customHeight="1">
      <c r="A1123" s="2236">
        <v>45401</v>
      </c>
      <c r="B1123" s="717" t="s">
        <v>4977</v>
      </c>
      <c r="C1123" s="1086">
        <v>36658439</v>
      </c>
      <c r="D1123" s="1089"/>
      <c r="E1123" s="917"/>
      <c r="F1123" s="724"/>
      <c r="G1123" s="1136" t="s">
        <v>2056</v>
      </c>
      <c r="H1123" s="1566" t="s">
        <v>4978</v>
      </c>
      <c r="I1123" s="705"/>
      <c r="J1123" s="1122" t="s">
        <v>4985</v>
      </c>
      <c r="K1123" s="703">
        <v>1</v>
      </c>
      <c r="L1123" s="1347" t="s">
        <v>5691</v>
      </c>
      <c r="M1123" s="708"/>
      <c r="N1123" s="166"/>
      <c r="P1123" s="166"/>
    </row>
    <row r="1124" spans="1:16" s="711" customFormat="1" ht="13.2" hidden="1" customHeight="1">
      <c r="A1124" s="2237">
        <v>45401</v>
      </c>
      <c r="B1124" s="717" t="s">
        <v>5063</v>
      </c>
      <c r="C1124" s="1168">
        <v>26657299</v>
      </c>
      <c r="D1124" s="1156"/>
      <c r="E1124" s="1145"/>
      <c r="F1124" s="724"/>
      <c r="G1124" s="1145" t="s">
        <v>1970</v>
      </c>
      <c r="H1124" s="1146" t="s">
        <v>5001</v>
      </c>
      <c r="I1124" s="1201" t="s">
        <v>5160</v>
      </c>
      <c r="J1124" s="1122" t="s">
        <v>4986</v>
      </c>
      <c r="K1124" s="703"/>
      <c r="L1124" s="703"/>
      <c r="M1124" s="708"/>
      <c r="N1124" s="166"/>
      <c r="P1124" s="166"/>
    </row>
    <row r="1125" spans="1:16" s="711" customFormat="1" ht="13.2" hidden="1" customHeight="1">
      <c r="A1125" s="2239">
        <v>45401</v>
      </c>
      <c r="B1125" s="717" t="s">
        <v>5013</v>
      </c>
      <c r="C1125" s="1086">
        <v>94022068</v>
      </c>
      <c r="D1125" s="1166"/>
      <c r="E1125" s="917"/>
      <c r="F1125" s="724"/>
      <c r="G1125" s="1136" t="s">
        <v>3312</v>
      </c>
      <c r="H1125" s="1137" t="s">
        <v>4981</v>
      </c>
      <c r="I1125" s="1201" t="s">
        <v>4958</v>
      </c>
      <c r="J1125" s="1158" t="s">
        <v>5064</v>
      </c>
      <c r="K1125" s="703"/>
      <c r="L1125" s="703">
        <v>1</v>
      </c>
      <c r="M1125" s="1164" t="s">
        <v>5062</v>
      </c>
      <c r="N1125" s="166"/>
      <c r="P1125" s="166"/>
    </row>
    <row r="1126" spans="1:16" s="711" customFormat="1" ht="13.2" hidden="1" customHeight="1">
      <c r="A1126" s="2237">
        <v>45401</v>
      </c>
      <c r="B1126" s="717" t="s">
        <v>4990</v>
      </c>
      <c r="C1126" s="1086">
        <v>78693758</v>
      </c>
      <c r="D1126" s="1201" t="s">
        <v>5155</v>
      </c>
      <c r="E1126" s="917"/>
      <c r="F1126" s="724"/>
      <c r="G1126" s="1136" t="s">
        <v>1996</v>
      </c>
      <c r="H1126" s="1173" t="s">
        <v>4982</v>
      </c>
      <c r="I1126" s="705"/>
      <c r="J1126" s="1122" t="s">
        <v>4980</v>
      </c>
      <c r="K1126" s="703"/>
      <c r="L1126" s="703"/>
      <c r="M1126" s="708"/>
      <c r="N1126" s="166"/>
      <c r="P1126" s="166"/>
    </row>
    <row r="1127" spans="1:16" s="711" customFormat="1" ht="13.2" hidden="1" customHeight="1">
      <c r="A1127" s="2237">
        <v>45401</v>
      </c>
      <c r="B1127" s="717" t="s">
        <v>4989</v>
      </c>
      <c r="C1127" s="1086">
        <v>21731331</v>
      </c>
      <c r="D1127" s="1089"/>
      <c r="E1127" s="917"/>
      <c r="F1127" s="724"/>
      <c r="G1127" s="1136" t="s">
        <v>1970</v>
      </c>
      <c r="H1127" s="1137" t="s">
        <v>4983</v>
      </c>
      <c r="I1127" s="705"/>
      <c r="J1127" s="1122" t="s">
        <v>4980</v>
      </c>
      <c r="K1127" s="703"/>
      <c r="L1127" s="703"/>
      <c r="M1127" s="708"/>
      <c r="N1127" s="166"/>
      <c r="P1127" s="166"/>
    </row>
    <row r="1128" spans="1:16" s="711" customFormat="1" ht="13.2" hidden="1" customHeight="1">
      <c r="A1128" s="2236">
        <v>45401</v>
      </c>
      <c r="B1128" s="717" t="s">
        <v>4991</v>
      </c>
      <c r="C1128" s="1086">
        <v>18499121</v>
      </c>
      <c r="D1128" s="1166"/>
      <c r="E1128" s="917"/>
      <c r="F1128" s="724"/>
      <c r="G1128" s="1136" t="s">
        <v>736</v>
      </c>
      <c r="H1128" s="1137" t="s">
        <v>4984</v>
      </c>
      <c r="I1128" s="705"/>
      <c r="J1128" s="1122" t="s">
        <v>4980</v>
      </c>
      <c r="K1128" s="703"/>
      <c r="L1128" s="703">
        <v>1</v>
      </c>
      <c r="M1128" s="1192" t="s">
        <v>5139</v>
      </c>
      <c r="N1128" s="166"/>
      <c r="P1128" s="166"/>
    </row>
    <row r="1129" spans="1:16" s="711" customFormat="1" hidden="1">
      <c r="A1129" s="2238">
        <v>45402</v>
      </c>
      <c r="B1129" s="1312" t="s">
        <v>5220</v>
      </c>
      <c r="C1129" s="1099">
        <v>53320735</v>
      </c>
      <c r="D1129" s="1270" t="s">
        <v>5406</v>
      </c>
      <c r="E1129" s="1211"/>
      <c r="F1129" s="1313"/>
      <c r="G1129" s="1270" t="s">
        <v>736</v>
      </c>
      <c r="H1129" s="1137" t="s">
        <v>4987</v>
      </c>
      <c r="I1129" s="1136"/>
      <c r="J1129" s="1132" t="s">
        <v>4988</v>
      </c>
      <c r="K1129" s="703"/>
      <c r="L1129" s="703">
        <v>1</v>
      </c>
      <c r="M1129" s="1480" t="s">
        <v>5533</v>
      </c>
      <c r="N1129" s="166"/>
      <c r="O1129" s="1311"/>
      <c r="P1129" s="166"/>
    </row>
    <row r="1130" spans="1:16" s="711" customFormat="1" ht="13.2" hidden="1" customHeight="1">
      <c r="A1130" s="2238">
        <v>45404</v>
      </c>
      <c r="B1130" s="1312" t="s">
        <v>6334</v>
      </c>
      <c r="C1130" s="1099">
        <v>95757764</v>
      </c>
      <c r="D1130" s="1520" t="s">
        <v>6399</v>
      </c>
      <c r="E1130" s="1520" t="s">
        <v>6400</v>
      </c>
      <c r="F1130" s="1313" t="s">
        <v>6401</v>
      </c>
      <c r="G1130" s="1136" t="s">
        <v>4699</v>
      </c>
      <c r="H1130" s="1169" t="s">
        <v>5000</v>
      </c>
      <c r="I1130" s="1136"/>
      <c r="J1130" s="1136" t="s">
        <v>4999</v>
      </c>
      <c r="K1130" s="703"/>
      <c r="L1130" s="703"/>
      <c r="M1130" s="708"/>
      <c r="N1130" s="166"/>
      <c r="O1130" s="1311"/>
      <c r="P1130" s="166"/>
    </row>
    <row r="1131" spans="1:16" s="711" customFormat="1" ht="13.2" hidden="1" customHeight="1">
      <c r="A1131" s="2240">
        <v>45405</v>
      </c>
      <c r="B1131" s="1312" t="s">
        <v>5014</v>
      </c>
      <c r="C1131" s="1086">
        <v>35170512</v>
      </c>
      <c r="D1131" s="1166"/>
      <c r="E1131" s="917"/>
      <c r="F1131" s="1313"/>
      <c r="G1131" s="1145" t="s">
        <v>5015</v>
      </c>
      <c r="H1131" s="1146" t="s">
        <v>5016</v>
      </c>
      <c r="I1131" s="1136"/>
      <c r="J1131" s="1136"/>
      <c r="K1131" s="703"/>
      <c r="L1131" s="703">
        <v>1</v>
      </c>
      <c r="M1131" s="1185" t="s">
        <v>5071</v>
      </c>
      <c r="N1131" s="166"/>
      <c r="P1131" s="166"/>
    </row>
    <row r="1132" spans="1:16" s="711" customFormat="1" ht="13.2" hidden="1" customHeight="1">
      <c r="A1132" s="2241">
        <v>45406</v>
      </c>
      <c r="B1132" s="709"/>
      <c r="C1132" s="1082"/>
      <c r="D1132" s="1141"/>
      <c r="E1132" s="915"/>
      <c r="F1132" s="1310"/>
      <c r="G1132" s="1141"/>
      <c r="H1132" s="1152" t="s">
        <v>5037</v>
      </c>
      <c r="I1132" s="1122"/>
      <c r="J1132" s="1122">
        <v>1350</v>
      </c>
      <c r="K1132" s="703"/>
      <c r="L1132" s="703"/>
      <c r="M1132" s="708"/>
      <c r="N1132" s="166"/>
      <c r="P1132" s="166"/>
    </row>
    <row r="1133" spans="1:16" s="711" customFormat="1" ht="13.2" hidden="1" customHeight="1">
      <c r="A1133" s="2241">
        <v>45406</v>
      </c>
      <c r="B1133" s="717" t="s">
        <v>5092</v>
      </c>
      <c r="C1133" s="1099">
        <v>25858537</v>
      </c>
      <c r="D1133" s="1211" t="s">
        <v>5234</v>
      </c>
      <c r="E1133" s="917"/>
      <c r="F1133" s="724"/>
      <c r="G1133" s="1156" t="s">
        <v>2124</v>
      </c>
      <c r="H1133" s="1157" t="s">
        <v>5038</v>
      </c>
      <c r="I1133" s="1136"/>
      <c r="J1133" s="1122">
        <v>1400</v>
      </c>
      <c r="K1133" s="703"/>
      <c r="L1133" s="703"/>
      <c r="M1133" s="708"/>
      <c r="N1133" s="166"/>
      <c r="P1133" s="166"/>
    </row>
    <row r="1134" spans="1:16" s="711" customFormat="1" ht="13.2" hidden="1" customHeight="1">
      <c r="A1134" s="2242">
        <v>45406</v>
      </c>
      <c r="B1134" s="717" t="s">
        <v>5068</v>
      </c>
      <c r="C1134" s="1179">
        <v>16181652</v>
      </c>
      <c r="D1134" s="1211" t="s">
        <v>5280</v>
      </c>
      <c r="E1134" s="917"/>
      <c r="F1134" s="724"/>
      <c r="G1134" s="1156" t="s">
        <v>1970</v>
      </c>
      <c r="H1134" s="1157"/>
      <c r="I1134" s="1211" t="s">
        <v>4958</v>
      </c>
      <c r="J1134" s="1151" t="s">
        <v>5039</v>
      </c>
      <c r="K1134" s="703"/>
      <c r="L1134" s="703"/>
      <c r="M1134" s="708"/>
      <c r="N1134" s="166"/>
      <c r="P1134" s="166"/>
    </row>
    <row r="1135" spans="1:16" s="711" customFormat="1" ht="13.2" hidden="1" customHeight="1">
      <c r="A1135" s="2241">
        <v>45407</v>
      </c>
      <c r="B1135" s="717" t="s">
        <v>5041</v>
      </c>
      <c r="C1135" s="1086">
        <v>73479254</v>
      </c>
      <c r="D1135" s="1145"/>
      <c r="E1135" s="917"/>
      <c r="F1135" s="724"/>
      <c r="G1135" s="1156" t="s">
        <v>3591</v>
      </c>
      <c r="H1135" s="1157" t="s">
        <v>5042</v>
      </c>
      <c r="I1135" s="1136"/>
      <c r="J1135" s="1155">
        <v>22</v>
      </c>
      <c r="K1135" s="703"/>
      <c r="L1135" s="703"/>
      <c r="M1135" s="708"/>
      <c r="N1135" s="166"/>
      <c r="P1135" s="166"/>
    </row>
    <row r="1136" spans="1:16" s="711" customFormat="1" ht="13.2" hidden="1" customHeight="1">
      <c r="A1136" s="2242">
        <v>45407</v>
      </c>
      <c r="B1136" s="717" t="s">
        <v>5065</v>
      </c>
      <c r="C1136" s="1086">
        <v>32339636</v>
      </c>
      <c r="D1136" s="1145"/>
      <c r="E1136" s="917"/>
      <c r="F1136" s="724"/>
      <c r="G1136" s="1156" t="s">
        <v>1006</v>
      </c>
      <c r="H1136" s="1157" t="s">
        <v>5049</v>
      </c>
      <c r="I1136" s="1136"/>
      <c r="J1136" s="1155">
        <v>1350</v>
      </c>
      <c r="K1136" s="703"/>
      <c r="L1136" s="703">
        <v>1</v>
      </c>
      <c r="M1136" s="1226" t="s">
        <v>5298</v>
      </c>
      <c r="N1136" s="166"/>
      <c r="P1136" s="166"/>
    </row>
    <row r="1137" spans="1:16" s="711" customFormat="1" ht="13.2" hidden="1" customHeight="1">
      <c r="A1137" s="2243">
        <v>45408</v>
      </c>
      <c r="B1137" s="717" t="s">
        <v>5093</v>
      </c>
      <c r="C1137" s="1099">
        <v>90013268</v>
      </c>
      <c r="D1137" s="1270" t="s">
        <v>5392</v>
      </c>
      <c r="E1137" s="1211"/>
      <c r="F1137" s="724"/>
      <c r="G1137" s="1159" t="s">
        <v>667</v>
      </c>
      <c r="H1137" s="1173" t="s">
        <v>5056</v>
      </c>
      <c r="I1137" s="1136"/>
      <c r="J1137" s="1155">
        <f>1350+90</f>
        <v>1440</v>
      </c>
      <c r="K1137" s="703">
        <v>1</v>
      </c>
      <c r="L1137" s="1305" t="s">
        <v>5579</v>
      </c>
      <c r="M1137" s="708"/>
      <c r="N1137" s="166"/>
      <c r="P1137" s="166"/>
    </row>
    <row r="1138" spans="1:16" s="711" customFormat="1" ht="13.2" hidden="1" customHeight="1">
      <c r="A1138" s="2244">
        <v>45408</v>
      </c>
      <c r="B1138" s="717" t="s">
        <v>5052</v>
      </c>
      <c r="C1138" s="1099">
        <v>49314198</v>
      </c>
      <c r="D1138" s="1270" t="s">
        <v>5392</v>
      </c>
      <c r="E1138" s="917"/>
      <c r="F1138" s="724"/>
      <c r="G1138" s="1159" t="s">
        <v>736</v>
      </c>
      <c r="H1138" s="1271" t="s">
        <v>5412</v>
      </c>
      <c r="I1138" s="1136"/>
      <c r="J1138" s="1155">
        <v>1350</v>
      </c>
      <c r="K1138" s="703"/>
      <c r="L1138" s="703">
        <v>1</v>
      </c>
      <c r="M1138" s="1297" t="s">
        <v>5533</v>
      </c>
      <c r="N1138" s="166"/>
      <c r="P1138" s="166"/>
    </row>
    <row r="1139" spans="1:16" s="711" customFormat="1" ht="13.2" hidden="1" customHeight="1">
      <c r="A1139" s="2245">
        <v>45408</v>
      </c>
      <c r="B1139" s="717" t="s">
        <v>5124</v>
      </c>
      <c r="C1139" s="1086">
        <v>77132672</v>
      </c>
      <c r="D1139" s="1145"/>
      <c r="E1139" s="917"/>
      <c r="F1139" s="724"/>
      <c r="G1139" s="1159" t="s">
        <v>1032</v>
      </c>
      <c r="H1139" s="1157"/>
      <c r="I1139" s="1136"/>
      <c r="J1139" s="1163" t="s">
        <v>5057</v>
      </c>
      <c r="K1139" s="703"/>
      <c r="L1139" s="703">
        <v>1</v>
      </c>
      <c r="M1139" s="1195" t="s">
        <v>5193</v>
      </c>
      <c r="N1139" s="166"/>
      <c r="P1139" s="166"/>
    </row>
    <row r="1140" spans="1:16" s="711" customFormat="1" ht="13.2" hidden="1" customHeight="1">
      <c r="A1140" s="2245">
        <v>45409</v>
      </c>
      <c r="B1140" s="717" t="s">
        <v>5133</v>
      </c>
      <c r="C1140" s="1080">
        <v>32157478</v>
      </c>
      <c r="D1140" s="1211" t="s">
        <v>2755</v>
      </c>
      <c r="E1140" s="917"/>
      <c r="F1140" s="724"/>
      <c r="G1140" s="1159" t="s">
        <v>1996</v>
      </c>
      <c r="H1140" s="1177" t="s">
        <v>5097</v>
      </c>
      <c r="I1140" s="1136"/>
      <c r="J1140" s="1163">
        <v>1350</v>
      </c>
      <c r="K1140" s="703"/>
      <c r="L1140" s="703"/>
      <c r="M1140" s="708"/>
      <c r="N1140" s="166"/>
      <c r="P1140" s="166"/>
    </row>
    <row r="1141" spans="1:16" s="711" customFormat="1" ht="13.2" hidden="1" customHeight="1">
      <c r="A1141" s="2245">
        <v>45409</v>
      </c>
      <c r="B1141" s="717" t="s">
        <v>5106</v>
      </c>
      <c r="C1141" s="1086">
        <v>19665139</v>
      </c>
      <c r="D1141" s="1145"/>
      <c r="E1141" s="917"/>
      <c r="F1141" s="724"/>
      <c r="G1141" s="1159" t="s">
        <v>1032</v>
      </c>
      <c r="H1141" s="1173" t="s">
        <v>5066</v>
      </c>
      <c r="I1141" s="1136"/>
      <c r="J1141" s="1163" t="s">
        <v>5067</v>
      </c>
      <c r="K1141" s="703"/>
      <c r="L1141" s="1193">
        <v>1</v>
      </c>
      <c r="M1141" s="1193" t="s">
        <v>5141</v>
      </c>
      <c r="N1141" s="166"/>
      <c r="P1141" s="166"/>
    </row>
    <row r="1142" spans="1:16" s="711" customFormat="1" ht="13.2" hidden="1" customHeight="1">
      <c r="A1142" s="2246">
        <v>45411</v>
      </c>
      <c r="B1142" s="717" t="s">
        <v>5094</v>
      </c>
      <c r="C1142" s="1086">
        <v>47500331</v>
      </c>
      <c r="D1142" s="1145"/>
      <c r="E1142" s="917"/>
      <c r="F1142" s="724"/>
      <c r="G1142" s="1176" t="s">
        <v>1970</v>
      </c>
      <c r="H1142" s="1177" t="s">
        <v>5089</v>
      </c>
      <c r="I1142" s="1136"/>
      <c r="J1142" s="1163">
        <v>1350</v>
      </c>
      <c r="K1142" s="703"/>
      <c r="L1142" s="703"/>
      <c r="M1142" s="708"/>
      <c r="N1142" s="166"/>
      <c r="P1142" s="166"/>
    </row>
    <row r="1143" spans="1:16" s="711" customFormat="1" ht="13.2" hidden="1" customHeight="1">
      <c r="A1143" s="2247">
        <v>45411</v>
      </c>
      <c r="B1143" s="717" t="s">
        <v>5095</v>
      </c>
      <c r="C1143" s="1099">
        <v>18195497</v>
      </c>
      <c r="D1143" s="1270" t="s">
        <v>5392</v>
      </c>
      <c r="E1143" s="917"/>
      <c r="F1143" s="724"/>
      <c r="G1143" s="1176" t="s">
        <v>1973</v>
      </c>
      <c r="H1143" s="1177" t="s">
        <v>5090</v>
      </c>
      <c r="I1143" s="1136"/>
      <c r="J1143" s="1163">
        <v>1350</v>
      </c>
      <c r="K1143" s="703"/>
      <c r="L1143" s="703"/>
      <c r="M1143" s="708"/>
      <c r="N1143" s="166"/>
      <c r="P1143" s="166"/>
    </row>
    <row r="1144" spans="1:16" s="711" customFormat="1" ht="13.2" hidden="1" customHeight="1">
      <c r="A1144" s="2248">
        <v>45411</v>
      </c>
      <c r="B1144" s="1312" t="s">
        <v>5096</v>
      </c>
      <c r="C1144" s="1099">
        <v>66937933</v>
      </c>
      <c r="D1144" s="1270" t="s">
        <v>5392</v>
      </c>
      <c r="E1144" s="917"/>
      <c r="F1144" s="1313"/>
      <c r="G1144" s="1176" t="s">
        <v>3991</v>
      </c>
      <c r="H1144" s="1177" t="s">
        <v>5091</v>
      </c>
      <c r="I1144" s="1136"/>
      <c r="J1144" s="1163">
        <v>1350</v>
      </c>
      <c r="K1144" s="703"/>
      <c r="L1144" s="1305">
        <v>1</v>
      </c>
      <c r="M1144" s="1305" t="s">
        <v>5508</v>
      </c>
      <c r="N1144" s="166"/>
      <c r="O1144" s="1311"/>
      <c r="P1144" s="166"/>
    </row>
    <row r="1145" spans="1:16" s="711" customFormat="1" ht="13.2" hidden="1" customHeight="1">
      <c r="A1145" s="2248">
        <v>45412</v>
      </c>
      <c r="B1145" s="1312" t="s">
        <v>5400</v>
      </c>
      <c r="C1145" s="1099">
        <v>26052349</v>
      </c>
      <c r="D1145" s="1145"/>
      <c r="E1145" s="917"/>
      <c r="F1145" s="1313"/>
      <c r="G1145" s="1307" t="s">
        <v>2312</v>
      </c>
      <c r="H1145" s="1177"/>
      <c r="I1145" s="1136"/>
      <c r="J1145" s="1184">
        <v>1350</v>
      </c>
      <c r="K1145" s="703"/>
      <c r="L1145" s="703"/>
      <c r="M1145" s="708"/>
      <c r="N1145" s="166"/>
      <c r="O1145" s="1311"/>
      <c r="P1145" s="166"/>
    </row>
    <row r="1146" spans="1:16" s="711" customFormat="1" ht="13.2" hidden="1" customHeight="1">
      <c r="A1146" s="2248">
        <v>45412</v>
      </c>
      <c r="B1146" s="709" t="s">
        <v>2312</v>
      </c>
      <c r="C1146" s="1082"/>
      <c r="D1146" s="1141"/>
      <c r="E1146" s="1544" t="s">
        <v>6443</v>
      </c>
      <c r="F1146" s="1310" t="s">
        <v>6151</v>
      </c>
      <c r="G1146" s="1305" t="s">
        <v>2312</v>
      </c>
      <c r="H1146" s="1175"/>
      <c r="I1146" s="1122"/>
      <c r="J1146" s="1184" t="s">
        <v>5098</v>
      </c>
      <c r="K1146" s="703"/>
      <c r="L1146" s="703"/>
      <c r="M1146" s="708"/>
      <c r="N1146" s="166"/>
      <c r="O1146" s="1311"/>
      <c r="P1146" s="166"/>
    </row>
    <row r="1147" spans="1:16" s="711" customFormat="1" ht="13.2" hidden="1" customHeight="1">
      <c r="A1147" s="2247">
        <v>45412</v>
      </c>
      <c r="B1147" s="717" t="s">
        <v>5218</v>
      </c>
      <c r="C1147" s="1099">
        <v>91499493</v>
      </c>
      <c r="D1147" s="1270" t="s">
        <v>5392</v>
      </c>
      <c r="E1147" s="917"/>
      <c r="F1147" s="724"/>
      <c r="G1147" s="1176" t="s">
        <v>2284</v>
      </c>
      <c r="H1147" s="1177" t="s">
        <v>5099</v>
      </c>
      <c r="I1147" s="1136"/>
      <c r="J1147" s="1184">
        <v>1350</v>
      </c>
      <c r="K1147" s="703"/>
      <c r="L1147" s="703"/>
      <c r="M1147" s="708"/>
      <c r="N1147" s="166"/>
      <c r="P1147" s="166"/>
    </row>
    <row r="1148" spans="1:16" s="711" customFormat="1" ht="13.2" hidden="1" customHeight="1">
      <c r="A1148" s="2247">
        <v>45414</v>
      </c>
      <c r="B1148" s="717" t="s">
        <v>5114</v>
      </c>
      <c r="C1148" s="1080">
        <v>40586926</v>
      </c>
      <c r="D1148" s="1201" t="s">
        <v>4129</v>
      </c>
      <c r="E1148" s="917"/>
      <c r="F1148" s="724"/>
      <c r="G1148" s="1204" t="s">
        <v>1009</v>
      </c>
      <c r="H1148" s="1205" t="s">
        <v>5115</v>
      </c>
      <c r="I1148" s="1136"/>
      <c r="J1148" s="1184">
        <v>1350</v>
      </c>
      <c r="K1148" s="703"/>
      <c r="L1148" s="703"/>
      <c r="M1148" s="708"/>
      <c r="N1148" s="166"/>
      <c r="P1148" s="166"/>
    </row>
    <row r="1149" spans="1:16" s="711" customFormat="1" ht="13.2" hidden="1" customHeight="1">
      <c r="A1149" s="2249">
        <v>45415</v>
      </c>
      <c r="B1149" s="717" t="s">
        <v>5134</v>
      </c>
      <c r="C1149" s="1080">
        <v>68046015</v>
      </c>
      <c r="D1149" s="1211" t="s">
        <v>5250</v>
      </c>
      <c r="E1149" s="917"/>
      <c r="F1149" s="724"/>
      <c r="G1149" s="1186" t="s">
        <v>3760</v>
      </c>
      <c r="H1149" s="1187" t="s">
        <v>5127</v>
      </c>
      <c r="I1149" s="1136"/>
      <c r="J1149" s="1184">
        <v>1350</v>
      </c>
      <c r="K1149" s="703">
        <v>1</v>
      </c>
      <c r="L1149" s="1383" t="s">
        <v>5896</v>
      </c>
      <c r="M1149" s="708"/>
      <c r="N1149" s="166"/>
      <c r="P1149" s="166"/>
    </row>
    <row r="1150" spans="1:16" s="711" customFormat="1" ht="13.2" hidden="1" customHeight="1">
      <c r="A1150" s="2249">
        <v>45415</v>
      </c>
      <c r="B1150" s="717" t="s">
        <v>5135</v>
      </c>
      <c r="C1150" s="1180">
        <v>61627502</v>
      </c>
      <c r="D1150" s="1145"/>
      <c r="E1150" s="917"/>
      <c r="F1150" s="724"/>
      <c r="G1150" s="1186" t="s">
        <v>3760</v>
      </c>
      <c r="H1150" s="1187" t="s">
        <v>5128</v>
      </c>
      <c r="I1150" s="1136"/>
      <c r="J1150" s="1184">
        <v>1350</v>
      </c>
      <c r="K1150" s="703">
        <v>1</v>
      </c>
      <c r="L1150" s="1383" t="s">
        <v>5896</v>
      </c>
      <c r="M1150" s="708"/>
      <c r="N1150" s="166"/>
      <c r="P1150" s="166"/>
    </row>
    <row r="1151" spans="1:16" s="711" customFormat="1" ht="13.2" hidden="1" customHeight="1">
      <c r="A1151" s="2249">
        <v>45415</v>
      </c>
      <c r="B1151" s="717" t="s">
        <v>5136</v>
      </c>
      <c r="C1151" s="1099">
        <v>36907181</v>
      </c>
      <c r="D1151" s="1145"/>
      <c r="E1151" s="917"/>
      <c r="F1151" s="724"/>
      <c r="G1151" s="1186" t="s">
        <v>1972</v>
      </c>
      <c r="H1151" s="1187" t="s">
        <v>5129</v>
      </c>
      <c r="I1151" s="1136"/>
      <c r="J1151" s="1184">
        <v>1350</v>
      </c>
      <c r="K1151" s="703"/>
      <c r="L1151" s="703"/>
      <c r="M1151" s="708"/>
      <c r="N1151" s="166"/>
      <c r="P1151" s="166"/>
    </row>
    <row r="1152" spans="1:16" s="711" customFormat="1" ht="13.2" hidden="1" customHeight="1">
      <c r="A1152" s="2250">
        <v>45415</v>
      </c>
      <c r="B1152" s="717" t="s">
        <v>5492</v>
      </c>
      <c r="C1152" s="1099">
        <v>26883860</v>
      </c>
      <c r="D1152" s="1270" t="s">
        <v>5392</v>
      </c>
      <c r="E1152" s="917"/>
      <c r="F1152" s="724"/>
      <c r="G1152" s="1270" t="s">
        <v>3312</v>
      </c>
      <c r="H1152" s="1187" t="s">
        <v>5130</v>
      </c>
      <c r="I1152" s="1136"/>
      <c r="J1152" s="1184">
        <v>1350</v>
      </c>
      <c r="K1152" s="703"/>
      <c r="L1152" s="703">
        <v>1</v>
      </c>
      <c r="M1152" s="1297" t="s">
        <v>5508</v>
      </c>
      <c r="N1152" s="166"/>
      <c r="P1152" s="166"/>
    </row>
    <row r="1153" spans="1:16" s="711" customFormat="1" ht="13.2" hidden="1" customHeight="1">
      <c r="A1153" s="2249">
        <v>45415</v>
      </c>
      <c r="B1153" s="717" t="s">
        <v>5137</v>
      </c>
      <c r="C1153" s="1099">
        <v>11927907</v>
      </c>
      <c r="D1153" s="1211" t="s">
        <v>5249</v>
      </c>
      <c r="E1153" s="917"/>
      <c r="F1153" s="724"/>
      <c r="G1153" s="1186" t="s">
        <v>1006</v>
      </c>
      <c r="H1153" s="1187" t="s">
        <v>5138</v>
      </c>
      <c r="I1153" s="1136"/>
      <c r="J1153" s="1184">
        <v>1350</v>
      </c>
      <c r="K1153" s="703"/>
      <c r="L1153" s="703">
        <v>1</v>
      </c>
      <c r="M1153" s="1370" t="s">
        <v>5845</v>
      </c>
      <c r="N1153" s="166"/>
      <c r="P1153" s="166"/>
    </row>
    <row r="1154" spans="1:16" s="711" customFormat="1" ht="13.2" hidden="1" customHeight="1">
      <c r="A1154" s="2251">
        <v>45418</v>
      </c>
      <c r="B1154" s="717" t="s">
        <v>5142</v>
      </c>
      <c r="C1154" s="1086">
        <v>61771032</v>
      </c>
      <c r="D1154" s="1145"/>
      <c r="E1154" s="917"/>
      <c r="F1154" s="724"/>
      <c r="G1154" s="1201" t="s">
        <v>2056</v>
      </c>
      <c r="H1154" s="1198" t="s">
        <v>5143</v>
      </c>
      <c r="I1154" s="1136"/>
      <c r="J1154" s="1184">
        <v>1350</v>
      </c>
      <c r="K1154" s="703">
        <v>1</v>
      </c>
      <c r="L1154" s="1347" t="s">
        <v>5691</v>
      </c>
      <c r="M1154" s="708"/>
      <c r="N1154" s="166"/>
      <c r="P1154" s="166"/>
    </row>
    <row r="1155" spans="1:16" s="711" customFormat="1" ht="13.2" hidden="1" customHeight="1">
      <c r="A1155" s="2251">
        <v>45418</v>
      </c>
      <c r="B1155" s="1312" t="s">
        <v>5147</v>
      </c>
      <c r="C1155" s="1086">
        <v>20293268</v>
      </c>
      <c r="D1155" s="1201" t="s">
        <v>2755</v>
      </c>
      <c r="E1155" s="917"/>
      <c r="F1155" s="1313"/>
      <c r="G1155" s="1201" t="s">
        <v>736</v>
      </c>
      <c r="H1155" s="1198" t="s">
        <v>5148</v>
      </c>
      <c r="I1155" s="1136"/>
      <c r="J1155" s="1184">
        <v>1350</v>
      </c>
      <c r="K1155" s="703"/>
      <c r="L1155" s="703">
        <v>1</v>
      </c>
      <c r="M1155" s="1254" t="s">
        <v>5369</v>
      </c>
      <c r="N1155" s="166"/>
      <c r="O1155" s="1311"/>
      <c r="P1155" s="166"/>
    </row>
    <row r="1156" spans="1:16" s="711" customFormat="1" ht="13.2" customHeight="1">
      <c r="A1156" s="2252">
        <v>45418</v>
      </c>
      <c r="B1156" s="1312" t="s">
        <v>5149</v>
      </c>
      <c r="C1156" s="1099"/>
      <c r="D1156" s="1453" t="s">
        <v>3770</v>
      </c>
      <c r="E1156" s="1546" t="s">
        <v>6443</v>
      </c>
      <c r="F1156" s="1517" t="s">
        <v>6196</v>
      </c>
      <c r="G1156" s="1201" t="s">
        <v>2012</v>
      </c>
      <c r="H1156" s="1198" t="s">
        <v>5150</v>
      </c>
      <c r="I1156" s="1136">
        <v>0</v>
      </c>
      <c r="J1156" s="1184">
        <v>1350</v>
      </c>
      <c r="K1156" s="703"/>
      <c r="L1156" s="1383"/>
      <c r="M1156" s="708"/>
      <c r="N1156" s="166"/>
      <c r="O1156" s="1311"/>
      <c r="P1156" s="166"/>
    </row>
    <row r="1157" spans="1:16" s="711" customFormat="1" ht="13.2" hidden="1" customHeight="1">
      <c r="A1157" s="2251">
        <v>45418</v>
      </c>
      <c r="B1157" s="717" t="s">
        <v>5186</v>
      </c>
      <c r="C1157" s="1099">
        <v>83211756</v>
      </c>
      <c r="D1157" s="1201" t="s">
        <v>2755</v>
      </c>
      <c r="E1157" s="917"/>
      <c r="F1157" s="724"/>
      <c r="G1157" s="1201" t="s">
        <v>2215</v>
      </c>
      <c r="H1157" s="1198" t="s">
        <v>5151</v>
      </c>
      <c r="I1157" s="1136"/>
      <c r="J1157" s="1184">
        <v>1550</v>
      </c>
      <c r="K1157" s="703"/>
      <c r="L1157" s="703"/>
      <c r="M1157" s="708"/>
      <c r="N1157" s="166"/>
      <c r="P1157" s="166"/>
    </row>
    <row r="1158" spans="1:16" s="711" customFormat="1" ht="13.2" hidden="1" customHeight="1">
      <c r="A1158" s="2252">
        <v>45418</v>
      </c>
      <c r="B1158" s="717" t="s">
        <v>5144</v>
      </c>
      <c r="C1158" s="1086">
        <v>40686153</v>
      </c>
      <c r="D1158" s="1201" t="s">
        <v>5201</v>
      </c>
      <c r="E1158" s="917"/>
      <c r="F1158" s="724"/>
      <c r="G1158" s="1201" t="s">
        <v>1970</v>
      </c>
      <c r="H1158" s="1198" t="s">
        <v>5145</v>
      </c>
      <c r="I1158" s="1224" t="s">
        <v>4958</v>
      </c>
      <c r="J1158" s="1197" t="s">
        <v>5146</v>
      </c>
      <c r="K1158" s="703"/>
      <c r="L1158" s="703"/>
      <c r="M1158" s="708"/>
      <c r="N1158" s="166"/>
      <c r="P1158" s="166"/>
    </row>
    <row r="1159" spans="1:16" s="711" customFormat="1" ht="13.2" hidden="1" customHeight="1">
      <c r="A1159" s="2252">
        <v>45419</v>
      </c>
      <c r="B1159" s="717" t="s">
        <v>5162</v>
      </c>
      <c r="C1159" s="1086">
        <v>50872261</v>
      </c>
      <c r="D1159" s="1211" t="s">
        <v>2755</v>
      </c>
      <c r="E1159" s="917"/>
      <c r="F1159" s="724"/>
      <c r="G1159" s="1201" t="s">
        <v>1996</v>
      </c>
      <c r="H1159" s="1198" t="s">
        <v>5163</v>
      </c>
      <c r="I1159" s="1136"/>
      <c r="J1159" s="1197">
        <v>1350</v>
      </c>
      <c r="K1159" s="703"/>
      <c r="L1159" s="703"/>
      <c r="M1159" s="708"/>
      <c r="N1159" s="166"/>
      <c r="P1159" s="166"/>
    </row>
    <row r="1160" spans="1:16" s="711" customFormat="1" ht="13.2" hidden="1" customHeight="1">
      <c r="A1160" s="2252">
        <v>45419</v>
      </c>
      <c r="B1160" s="717" t="s">
        <v>5164</v>
      </c>
      <c r="C1160" s="1086">
        <v>37564945</v>
      </c>
      <c r="D1160" s="1211" t="s">
        <v>2755</v>
      </c>
      <c r="E1160" s="917"/>
      <c r="F1160" s="724"/>
      <c r="G1160" s="1201" t="s">
        <v>1009</v>
      </c>
      <c r="H1160" s="1198" t="s">
        <v>5165</v>
      </c>
      <c r="I1160" s="1211" t="s">
        <v>4958</v>
      </c>
      <c r="J1160" s="1197" t="s">
        <v>5146</v>
      </c>
      <c r="K1160" s="703"/>
      <c r="L1160" s="703"/>
      <c r="M1160" s="708"/>
      <c r="N1160" s="166"/>
      <c r="P1160" s="166"/>
    </row>
    <row r="1161" spans="1:16" s="711" customFormat="1" ht="13.2" hidden="1" customHeight="1">
      <c r="A1161" s="2252">
        <v>45419</v>
      </c>
      <c r="B1161" s="1312" t="s">
        <v>5166</v>
      </c>
      <c r="C1161" s="1086">
        <v>30965630</v>
      </c>
      <c r="D1161" s="1145"/>
      <c r="E1161" s="917"/>
      <c r="F1161" s="724"/>
      <c r="G1161" s="1201" t="s">
        <v>1006</v>
      </c>
      <c r="H1161" s="1198" t="s">
        <v>5167</v>
      </c>
      <c r="I1161" s="1136"/>
      <c r="J1161" s="1197">
        <v>1350</v>
      </c>
      <c r="K1161" s="703"/>
      <c r="L1161" s="703">
        <v>1</v>
      </c>
      <c r="M1161" s="1370" t="s">
        <v>5845</v>
      </c>
      <c r="N1161" s="166"/>
      <c r="P1161" s="166"/>
    </row>
    <row r="1162" spans="1:16" s="711" customFormat="1" ht="13.2" hidden="1" customHeight="1">
      <c r="A1162" s="2252">
        <v>45420</v>
      </c>
      <c r="B1162" s="1208" t="s">
        <v>5223</v>
      </c>
      <c r="C1162" s="1099"/>
      <c r="D1162" s="1211" t="s">
        <v>5248</v>
      </c>
      <c r="E1162" s="917"/>
      <c r="F1162" s="1313"/>
      <c r="G1162" s="1201" t="s">
        <v>1032</v>
      </c>
      <c r="H1162" s="1198" t="s">
        <v>5187</v>
      </c>
      <c r="I1162" s="1136"/>
      <c r="J1162" s="1197">
        <v>1350</v>
      </c>
      <c r="K1162" s="703"/>
      <c r="L1162" s="703">
        <v>1</v>
      </c>
      <c r="M1162" s="1247" t="s">
        <v>5361</v>
      </c>
      <c r="N1162" s="166"/>
      <c r="P1162" s="166"/>
    </row>
    <row r="1163" spans="1:16" s="711" customFormat="1" ht="13.2" hidden="1" customHeight="1">
      <c r="A1163" s="2252">
        <v>45422</v>
      </c>
      <c r="B1163" s="975" t="s">
        <v>5216</v>
      </c>
      <c r="C1163" s="1180">
        <v>51144163</v>
      </c>
      <c r="D1163" s="1213"/>
      <c r="E1163" s="1213"/>
      <c r="F1163" s="976"/>
      <c r="G1163" s="1199" t="s">
        <v>2215</v>
      </c>
      <c r="H1163" s="1200" t="s">
        <v>5190</v>
      </c>
      <c r="I1163" s="1133"/>
      <c r="J1163" s="1197">
        <f>1350+90</f>
        <v>1440</v>
      </c>
      <c r="K1163" s="703"/>
      <c r="L1163" s="703"/>
      <c r="M1163" s="708"/>
      <c r="N1163" s="166"/>
      <c r="P1163" s="166"/>
    </row>
    <row r="1164" spans="1:16" s="711" customFormat="1" ht="13.2" hidden="1" customHeight="1">
      <c r="A1164" s="2251">
        <v>45422</v>
      </c>
      <c r="B1164" s="717" t="s">
        <v>5435</v>
      </c>
      <c r="C1164" s="1099">
        <v>50779608</v>
      </c>
      <c r="D1164" s="1270" t="s">
        <v>5391</v>
      </c>
      <c r="E1164" s="917"/>
      <c r="F1164" s="1313"/>
      <c r="G1164" s="1201" t="s">
        <v>1970</v>
      </c>
      <c r="H1164" s="1198" t="s">
        <v>5191</v>
      </c>
      <c r="I1164" s="1136"/>
      <c r="J1164" s="1184">
        <v>1350</v>
      </c>
      <c r="K1164" s="703"/>
      <c r="L1164" s="703"/>
      <c r="M1164" s="708"/>
      <c r="N1164" s="166"/>
      <c r="P1164" s="166"/>
    </row>
    <row r="1165" spans="1:16" s="711" customFormat="1" ht="13.2" hidden="1" customHeight="1">
      <c r="A1165" s="2252">
        <v>45422</v>
      </c>
      <c r="B1165" s="1312" t="s">
        <v>5217</v>
      </c>
      <c r="C1165" s="1099">
        <v>72553156</v>
      </c>
      <c r="D1165" s="1453"/>
      <c r="E1165" s="1528" t="s">
        <v>6398</v>
      </c>
      <c r="F1165" s="1313" t="s">
        <v>6401</v>
      </c>
      <c r="G1165" s="1201" t="s">
        <v>2124</v>
      </c>
      <c r="H1165" s="1198" t="s">
        <v>5192</v>
      </c>
      <c r="I1165" s="1136"/>
      <c r="J1165" s="1184">
        <v>1350</v>
      </c>
      <c r="K1165" s="703"/>
      <c r="L1165" s="703"/>
      <c r="M1165" s="708"/>
      <c r="N1165" s="166"/>
      <c r="O1165" s="1311"/>
      <c r="P1165" s="166"/>
    </row>
    <row r="1166" spans="1:16" s="711" customFormat="1" ht="13.2" hidden="1" customHeight="1">
      <c r="A1166" s="2252">
        <v>45423</v>
      </c>
      <c r="B1166" s="717" t="s">
        <v>5341</v>
      </c>
      <c r="C1166" s="1099"/>
      <c r="D1166" s="1145"/>
      <c r="E1166" s="917"/>
      <c r="F1166" s="724"/>
      <c r="G1166" s="1201" t="s">
        <v>1032</v>
      </c>
      <c r="H1166" s="1198" t="s">
        <v>5194</v>
      </c>
      <c r="I1166" s="1136"/>
      <c r="J1166" s="1184">
        <v>1350</v>
      </c>
      <c r="K1166" s="703"/>
      <c r="L1166" s="703">
        <v>1</v>
      </c>
      <c r="M1166" s="1247" t="s">
        <v>5359</v>
      </c>
      <c r="N1166" s="166"/>
      <c r="P1166" s="166"/>
    </row>
    <row r="1167" spans="1:16" s="711" customFormat="1" ht="13.2" hidden="1" customHeight="1">
      <c r="A1167" s="2251">
        <v>45425</v>
      </c>
      <c r="B1167" s="717" t="s">
        <v>5219</v>
      </c>
      <c r="C1167" s="1099">
        <v>61109471</v>
      </c>
      <c r="D1167" s="1270" t="s">
        <v>5406</v>
      </c>
      <c r="E1167" s="917"/>
      <c r="F1167" s="724"/>
      <c r="G1167" s="1270" t="s">
        <v>736</v>
      </c>
      <c r="H1167" s="1198" t="s">
        <v>5206</v>
      </c>
      <c r="I1167" s="1136"/>
      <c r="J1167" s="1184">
        <v>1350</v>
      </c>
      <c r="K1167" s="703"/>
      <c r="L1167" s="1268">
        <v>1</v>
      </c>
      <c r="M1167" s="1318" t="s">
        <v>5426</v>
      </c>
      <c r="N1167" s="166"/>
      <c r="P1167" s="166"/>
    </row>
    <row r="1168" spans="1:16" s="711" customFormat="1" ht="13.2" hidden="1" customHeight="1">
      <c r="A1168" s="2252">
        <v>45425</v>
      </c>
      <c r="B1168" s="1312" t="s">
        <v>6144</v>
      </c>
      <c r="C1168" s="1099">
        <v>28865832</v>
      </c>
      <c r="D1168" s="1466" t="s">
        <v>6139</v>
      </c>
      <c r="E1168" s="1395" t="s">
        <v>5946</v>
      </c>
      <c r="F1168" s="1313" t="s">
        <v>6151</v>
      </c>
      <c r="G1168" s="1201" t="s">
        <v>2056</v>
      </c>
      <c r="H1168" s="1198" t="s">
        <v>5207</v>
      </c>
      <c r="I1168" s="1136"/>
      <c r="J1168" s="1184">
        <v>1350</v>
      </c>
      <c r="K1168" s="703"/>
      <c r="L1168" s="703">
        <v>1</v>
      </c>
      <c r="M1168" s="1514" t="s">
        <v>6375</v>
      </c>
      <c r="N1168" s="166"/>
      <c r="P1168" s="166"/>
    </row>
    <row r="1169" spans="1:16" s="711" customFormat="1" ht="13.2" hidden="1" customHeight="1">
      <c r="A1169" s="2251">
        <v>45425</v>
      </c>
      <c r="B1169" s="717" t="s">
        <v>5309</v>
      </c>
      <c r="C1169" s="1099">
        <v>86602134</v>
      </c>
      <c r="D1169" s="1270" t="s">
        <v>5392</v>
      </c>
      <c r="E1169" s="917"/>
      <c r="F1169" s="724"/>
      <c r="G1169" s="1201" t="s">
        <v>2012</v>
      </c>
      <c r="H1169" s="1198" t="s">
        <v>5208</v>
      </c>
      <c r="I1169" s="1136"/>
      <c r="J1169" s="1184">
        <v>1350</v>
      </c>
      <c r="K1169" s="703">
        <v>1</v>
      </c>
      <c r="L1169" s="1383" t="s">
        <v>5896</v>
      </c>
      <c r="M1169" s="708"/>
      <c r="N1169" s="166"/>
      <c r="P1169" s="166"/>
    </row>
    <row r="1170" spans="1:16" s="711" customFormat="1" ht="13.2" hidden="1" customHeight="1">
      <c r="A1170" s="2253">
        <v>45425</v>
      </c>
      <c r="B1170" s="717" t="s">
        <v>5221</v>
      </c>
      <c r="C1170" s="1099">
        <v>83946880</v>
      </c>
      <c r="D1170" s="1201" t="s">
        <v>5222</v>
      </c>
      <c r="E1170" s="917"/>
      <c r="F1170" s="724"/>
      <c r="G1170" s="1201" t="s">
        <v>3213</v>
      </c>
      <c r="H1170" s="1198" t="s">
        <v>5209</v>
      </c>
      <c r="I1170" s="1230" t="s">
        <v>4958</v>
      </c>
      <c r="J1170" s="1217" t="s">
        <v>5211</v>
      </c>
      <c r="K1170" s="703"/>
      <c r="L1170" s="1253" t="s">
        <v>5368</v>
      </c>
      <c r="M1170" s="1254" t="s">
        <v>5369</v>
      </c>
      <c r="N1170" s="166"/>
      <c r="P1170" s="166"/>
    </row>
    <row r="1171" spans="1:16" s="711" customFormat="1" ht="13.2" hidden="1" customHeight="1">
      <c r="A1171" s="2252">
        <v>45425</v>
      </c>
      <c r="B1171" s="717" t="s">
        <v>5224</v>
      </c>
      <c r="C1171" s="1099">
        <v>91041940</v>
      </c>
      <c r="D1171" s="1145"/>
      <c r="E1171" s="917"/>
      <c r="F1171" s="724"/>
      <c r="G1171" s="1201" t="s">
        <v>2266</v>
      </c>
      <c r="H1171" s="1198" t="s">
        <v>5210</v>
      </c>
      <c r="I1171" s="1201"/>
      <c r="J1171" s="1197">
        <v>1500</v>
      </c>
      <c r="K1171" s="703"/>
      <c r="L1171" s="703"/>
      <c r="M1171" s="708"/>
      <c r="N1171" s="166"/>
      <c r="P1171" s="166"/>
    </row>
    <row r="1172" spans="1:16" s="711" customFormat="1" ht="13.2" hidden="1" customHeight="1">
      <c r="A1172" s="2251">
        <v>45426</v>
      </c>
      <c r="B1172" s="717" t="s">
        <v>5231</v>
      </c>
      <c r="C1172" s="1099">
        <v>83862123</v>
      </c>
      <c r="D1172" s="1270" t="s">
        <v>5392</v>
      </c>
      <c r="E1172" s="917"/>
      <c r="F1172" s="724"/>
      <c r="G1172" s="1201" t="s">
        <v>2284</v>
      </c>
      <c r="H1172" s="1198" t="s">
        <v>5225</v>
      </c>
      <c r="I1172" s="1201"/>
      <c r="J1172" s="1197">
        <v>1350</v>
      </c>
      <c r="K1172" s="703"/>
      <c r="L1172" s="703"/>
      <c r="M1172" s="708"/>
      <c r="N1172" s="166"/>
      <c r="P1172" s="166"/>
    </row>
    <row r="1173" spans="1:16" s="711" customFormat="1" hidden="1">
      <c r="A1173" s="2252">
        <v>45426</v>
      </c>
      <c r="B1173" s="717" t="s">
        <v>5232</v>
      </c>
      <c r="C1173" s="1099">
        <v>46221594</v>
      </c>
      <c r="D1173" s="1211" t="s">
        <v>5061</v>
      </c>
      <c r="E1173" s="917"/>
      <c r="F1173" s="724"/>
      <c r="G1173" s="1201" t="s">
        <v>3213</v>
      </c>
      <c r="H1173" s="1198" t="s">
        <v>5226</v>
      </c>
      <c r="I1173" s="1201"/>
      <c r="J1173" s="1217" t="s">
        <v>5257</v>
      </c>
      <c r="K1173" s="703"/>
      <c r="L1173" s="1268" t="s">
        <v>5368</v>
      </c>
      <c r="M1173" s="1278" t="s">
        <v>5436</v>
      </c>
      <c r="N1173" s="166"/>
      <c r="P1173" s="166"/>
    </row>
    <row r="1174" spans="1:16" s="711" customFormat="1" hidden="1">
      <c r="A1174" s="2252">
        <v>45426</v>
      </c>
      <c r="B1174" s="717" t="s">
        <v>5233</v>
      </c>
      <c r="C1174" s="1099">
        <v>20580229</v>
      </c>
      <c r="D1174" s="1145"/>
      <c r="E1174" s="917"/>
      <c r="F1174" s="724"/>
      <c r="G1174" s="1201" t="s">
        <v>3213</v>
      </c>
      <c r="H1174" s="1198" t="s">
        <v>5227</v>
      </c>
      <c r="I1174" s="1201"/>
      <c r="J1174" s="1197" t="s">
        <v>5228</v>
      </c>
      <c r="K1174" s="703"/>
      <c r="L1174" s="703"/>
      <c r="M1174" s="708"/>
      <c r="N1174" s="166"/>
      <c r="P1174" s="166"/>
    </row>
    <row r="1175" spans="1:16" s="711" customFormat="1" ht="13.2" hidden="1" customHeight="1">
      <c r="A1175" s="2254">
        <v>45427</v>
      </c>
      <c r="B1175" s="1312" t="s">
        <v>5251</v>
      </c>
      <c r="C1175" s="1099">
        <v>26984262</v>
      </c>
      <c r="D1175" s="1145"/>
      <c r="E1175" s="917"/>
      <c r="F1175" s="1313"/>
      <c r="G1175" s="1211" t="s">
        <v>617</v>
      </c>
      <c r="H1175" s="1212" t="s">
        <v>5239</v>
      </c>
      <c r="I1175" s="1201"/>
      <c r="J1175" s="1197">
        <v>1350</v>
      </c>
      <c r="K1175" s="703"/>
      <c r="L1175" s="703"/>
      <c r="M1175" s="708"/>
      <c r="N1175" s="166"/>
      <c r="P1175" s="166"/>
    </row>
    <row r="1176" spans="1:16" s="711" customFormat="1" ht="13.2" hidden="1" customHeight="1">
      <c r="A1176" s="2254">
        <v>45427</v>
      </c>
      <c r="B1176" s="717" t="s">
        <v>5252</v>
      </c>
      <c r="C1176" s="1099">
        <v>93462934</v>
      </c>
      <c r="D1176" s="1145"/>
      <c r="E1176" s="917"/>
      <c r="F1176" s="724"/>
      <c r="G1176" s="1211" t="s">
        <v>1996</v>
      </c>
      <c r="H1176" s="1212" t="s">
        <v>5240</v>
      </c>
      <c r="I1176" s="1201"/>
      <c r="J1176" s="1197">
        <v>1350</v>
      </c>
      <c r="K1176" s="703"/>
      <c r="L1176" s="703"/>
      <c r="M1176" s="708"/>
      <c r="N1176" s="166"/>
      <c r="P1176" s="166"/>
    </row>
    <row r="1177" spans="1:16" s="711" customFormat="1" ht="13.2" hidden="1" customHeight="1">
      <c r="A1177" s="2254">
        <v>45427</v>
      </c>
      <c r="B1177" s="717" t="s">
        <v>5463</v>
      </c>
      <c r="C1177" s="1099">
        <v>42534009</v>
      </c>
      <c r="D1177" s="1145"/>
      <c r="E1177" s="917"/>
      <c r="F1177" s="724"/>
      <c r="G1177" s="1211" t="s">
        <v>2019</v>
      </c>
      <c r="H1177" s="1212" t="s">
        <v>5241</v>
      </c>
      <c r="I1177" s="1201"/>
      <c r="J1177" s="1197">
        <v>1350</v>
      </c>
      <c r="K1177" s="703"/>
      <c r="L1177" s="703"/>
      <c r="M1177" s="708"/>
      <c r="N1177" s="166"/>
      <c r="P1177" s="166"/>
    </row>
    <row r="1178" spans="1:16" s="711" customFormat="1" ht="13.2" hidden="1" customHeight="1">
      <c r="A1178" s="2254">
        <v>45428</v>
      </c>
      <c r="B1178" s="717" t="s">
        <v>5253</v>
      </c>
      <c r="C1178" s="1099">
        <v>95913170</v>
      </c>
      <c r="D1178" s="1145"/>
      <c r="E1178" s="917"/>
      <c r="F1178" s="724"/>
      <c r="G1178" s="1211" t="s">
        <v>2019</v>
      </c>
      <c r="H1178" s="1212" t="s">
        <v>5255</v>
      </c>
      <c r="I1178" s="1201"/>
      <c r="J1178" s="1197">
        <v>1350</v>
      </c>
      <c r="K1178" s="703"/>
      <c r="L1178" s="703"/>
      <c r="M1178" s="708"/>
      <c r="N1178" s="166"/>
      <c r="P1178" s="166"/>
    </row>
    <row r="1179" spans="1:16" s="711" customFormat="1" ht="13.2" hidden="1" customHeight="1">
      <c r="A1179" s="2255">
        <v>45428</v>
      </c>
      <c r="B1179" s="1312" t="s">
        <v>5796</v>
      </c>
      <c r="C1179" s="1099">
        <v>99142550</v>
      </c>
      <c r="D1179" s="1453" t="s">
        <v>6079</v>
      </c>
      <c r="E1179" s="917"/>
      <c r="F1179" s="1313"/>
      <c r="G1179" s="1211" t="s">
        <v>1006</v>
      </c>
      <c r="H1179" s="1212" t="s">
        <v>5254</v>
      </c>
      <c r="I1179" s="1201"/>
      <c r="J1179" s="1197">
        <v>1350</v>
      </c>
      <c r="K1179" s="703"/>
      <c r="L1179" s="703">
        <v>1</v>
      </c>
      <c r="M1179" s="1599" t="s">
        <v>6639</v>
      </c>
      <c r="N1179" s="166"/>
      <c r="P1179" s="166"/>
    </row>
    <row r="1180" spans="1:16" s="711" customFormat="1" ht="13.2" hidden="1" customHeight="1">
      <c r="A1180" s="2256">
        <v>45428</v>
      </c>
      <c r="B1180" s="717" t="s">
        <v>5272</v>
      </c>
      <c r="C1180" s="1099">
        <v>20342152</v>
      </c>
      <c r="D1180" s="1270" t="s">
        <v>5392</v>
      </c>
      <c r="E1180" s="917"/>
      <c r="F1180" s="724"/>
      <c r="G1180" s="1211" t="s">
        <v>2056</v>
      </c>
      <c r="H1180" s="1212" t="s">
        <v>5256</v>
      </c>
      <c r="I1180" s="1201"/>
      <c r="J1180" s="1197">
        <v>1550</v>
      </c>
      <c r="K1180" s="703">
        <v>1</v>
      </c>
      <c r="L1180" s="1347" t="s">
        <v>5691</v>
      </c>
      <c r="M1180" s="708"/>
      <c r="N1180" s="166"/>
      <c r="P1180" s="166"/>
    </row>
    <row r="1181" spans="1:16" s="711" customFormat="1" ht="13.2" hidden="1" customHeight="1">
      <c r="A1181" s="2256">
        <v>45429</v>
      </c>
      <c r="B1181" s="717" t="s">
        <v>5318</v>
      </c>
      <c r="C1181" s="1230">
        <v>54343880</v>
      </c>
      <c r="D1181" s="1270" t="s">
        <v>5391</v>
      </c>
      <c r="E1181" s="917"/>
      <c r="F1181" s="724"/>
      <c r="G1181" s="1211" t="s">
        <v>5267</v>
      </c>
      <c r="H1181" s="1212" t="s">
        <v>5268</v>
      </c>
      <c r="I1181" s="1201"/>
      <c r="J1181" s="1197">
        <v>1350</v>
      </c>
      <c r="K1181" s="703"/>
      <c r="L1181" s="703"/>
      <c r="M1181" s="708"/>
      <c r="N1181" s="166"/>
      <c r="P1181" s="166"/>
    </row>
    <row r="1182" spans="1:16" s="711" customFormat="1" ht="13.2" hidden="1" customHeight="1">
      <c r="A1182" s="2256">
        <v>45429</v>
      </c>
      <c r="B1182" s="1312" t="s">
        <v>6125</v>
      </c>
      <c r="C1182" s="1466" t="s">
        <v>6067</v>
      </c>
      <c r="D1182" s="1453" t="s">
        <v>6079</v>
      </c>
      <c r="E1182" s="917"/>
      <c r="F1182" s="1313"/>
      <c r="G1182" s="1211" t="s">
        <v>2056</v>
      </c>
      <c r="H1182" s="1212" t="s">
        <v>5269</v>
      </c>
      <c r="I1182" s="1201"/>
      <c r="J1182" s="1217" t="s">
        <v>4828</v>
      </c>
      <c r="K1182" s="703"/>
      <c r="L1182" s="703">
        <v>1</v>
      </c>
      <c r="M1182" s="1350" t="s">
        <v>5729</v>
      </c>
      <c r="N1182" s="166"/>
      <c r="P1182" s="166"/>
    </row>
    <row r="1183" spans="1:16" s="711" customFormat="1" ht="13.2" hidden="1" customHeight="1">
      <c r="A1183" s="2254">
        <v>45429</v>
      </c>
      <c r="B1183" s="717" t="s">
        <v>5293</v>
      </c>
      <c r="C1183" s="1099">
        <v>25818197</v>
      </c>
      <c r="D1183" s="1145"/>
      <c r="E1183" s="917"/>
      <c r="F1183" s="724"/>
      <c r="G1183" s="1211" t="s">
        <v>2073</v>
      </c>
      <c r="H1183" s="1212" t="s">
        <v>5270</v>
      </c>
      <c r="I1183" s="1201"/>
      <c r="J1183" s="1197">
        <v>1350</v>
      </c>
      <c r="K1183" s="703"/>
      <c r="L1183" s="1228" t="s">
        <v>5314</v>
      </c>
      <c r="M1183" s="708"/>
      <c r="N1183" s="166"/>
      <c r="P1183" s="166"/>
    </row>
    <row r="1184" spans="1:16" s="711" customFormat="1" ht="13.2" hidden="1" customHeight="1">
      <c r="A1184" s="2257">
        <v>45429</v>
      </c>
      <c r="B1184" s="717" t="s">
        <v>5285</v>
      </c>
      <c r="C1184" s="1099">
        <v>98320093</v>
      </c>
      <c r="D1184" s="1145"/>
      <c r="E1184" s="917"/>
      <c r="F1184" s="724"/>
      <c r="G1184" s="1211" t="s">
        <v>2266</v>
      </c>
      <c r="H1184" s="1212" t="s">
        <v>5271</v>
      </c>
      <c r="I1184" s="1201"/>
      <c r="J1184" s="1197">
        <v>1350</v>
      </c>
      <c r="K1184" s="703"/>
      <c r="L1184" s="703"/>
      <c r="M1184" s="708"/>
      <c r="N1184" s="166"/>
      <c r="P1184" s="166"/>
    </row>
    <row r="1185" spans="1:16" s="711" customFormat="1" ht="13.2" customHeight="1">
      <c r="A1185" s="2254">
        <v>45430</v>
      </c>
      <c r="B1185" s="709" t="s">
        <v>5310</v>
      </c>
      <c r="C1185" s="1229" t="s">
        <v>5333</v>
      </c>
      <c r="D1185" s="1446" t="s">
        <v>3770</v>
      </c>
      <c r="E1185" s="1544" t="s">
        <v>6443</v>
      </c>
      <c r="F1185" s="1481" t="s">
        <v>6196</v>
      </c>
      <c r="G1185" s="1209" t="s">
        <v>1970</v>
      </c>
      <c r="H1185" s="1210" t="s">
        <v>5273</v>
      </c>
      <c r="I1185" s="1193">
        <f>23-11.5-3-1.5-1-0.5</f>
        <v>5.5</v>
      </c>
      <c r="J1185" s="1640" t="s">
        <v>6873</v>
      </c>
      <c r="K1185" s="703"/>
      <c r="L1185" s="703"/>
      <c r="M1185" s="708"/>
      <c r="N1185" s="166"/>
      <c r="P1185" s="166"/>
    </row>
    <row r="1186" spans="1:16" s="711" customFormat="1" ht="13.2" hidden="1" customHeight="1">
      <c r="A1186" s="2257">
        <v>45430</v>
      </c>
      <c r="B1186" s="717" t="s">
        <v>5345</v>
      </c>
      <c r="C1186" s="1099">
        <v>98556566</v>
      </c>
      <c r="D1186" s="1145"/>
      <c r="E1186" s="917"/>
      <c r="F1186" s="724"/>
      <c r="G1186" s="1211" t="s">
        <v>2651</v>
      </c>
      <c r="H1186" s="1212" t="s">
        <v>5274</v>
      </c>
      <c r="I1186" s="1230" t="s">
        <v>4640</v>
      </c>
      <c r="J1186" s="1217" t="s">
        <v>5275</v>
      </c>
      <c r="K1186" s="703">
        <v>1</v>
      </c>
      <c r="L1186" s="703"/>
      <c r="M1186" s="1241" t="s">
        <v>5346</v>
      </c>
      <c r="N1186" s="166">
        <v>1</v>
      </c>
      <c r="P1186" s="166"/>
    </row>
    <row r="1187" spans="1:16" s="711" customFormat="1" ht="13.2" hidden="1" customHeight="1">
      <c r="A1187" s="2254">
        <v>45432</v>
      </c>
      <c r="B1187" s="717" t="s">
        <v>5319</v>
      </c>
      <c r="C1187" s="1099">
        <v>87824839</v>
      </c>
      <c r="D1187" s="1145"/>
      <c r="E1187" s="917"/>
      <c r="F1187" s="724"/>
      <c r="G1187" s="1211" t="s">
        <v>2478</v>
      </c>
      <c r="H1187" s="1212" t="s">
        <v>5290</v>
      </c>
      <c r="I1187" s="1201"/>
      <c r="J1187" s="1217">
        <v>1350</v>
      </c>
      <c r="K1187" s="703"/>
      <c r="L1187" s="703"/>
      <c r="M1187" s="708"/>
      <c r="N1187" s="166"/>
      <c r="P1187" s="166"/>
    </row>
    <row r="1188" spans="1:16" s="711" customFormat="1" ht="13.2" hidden="1" customHeight="1">
      <c r="A1188" s="2256">
        <v>45432</v>
      </c>
      <c r="B1188" s="717" t="s">
        <v>5324</v>
      </c>
      <c r="C1188" s="1099">
        <v>46639903</v>
      </c>
      <c r="D1188" s="1270" t="s">
        <v>5391</v>
      </c>
      <c r="E1188" s="917"/>
      <c r="F1188" s="724"/>
      <c r="G1188" s="1211" t="s">
        <v>2012</v>
      </c>
      <c r="H1188" s="1238" t="s">
        <v>5291</v>
      </c>
      <c r="I1188" s="1201"/>
      <c r="J1188" s="1217">
        <v>1350</v>
      </c>
      <c r="K1188" s="703">
        <v>1</v>
      </c>
      <c r="L1188" s="1347" t="s">
        <v>5691</v>
      </c>
      <c r="M1188" s="708"/>
      <c r="N1188" s="166"/>
      <c r="P1188" s="166"/>
    </row>
    <row r="1189" spans="1:16" s="711" customFormat="1" ht="13.2" hidden="1" customHeight="1">
      <c r="A1189" s="2256">
        <v>45432</v>
      </c>
      <c r="B1189" s="717" t="s">
        <v>5327</v>
      </c>
      <c r="C1189" s="1230">
        <v>11227346</v>
      </c>
      <c r="D1189" s="1270" t="s">
        <v>5409</v>
      </c>
      <c r="E1189" s="917"/>
      <c r="F1189" s="724"/>
      <c r="G1189" s="1211" t="s">
        <v>1972</v>
      </c>
      <c r="H1189" s="1212" t="s">
        <v>5292</v>
      </c>
      <c r="I1189" s="1201"/>
      <c r="J1189" s="1197">
        <v>1350</v>
      </c>
      <c r="K1189" s="703"/>
      <c r="L1189" s="703"/>
      <c r="M1189" s="708"/>
      <c r="N1189" s="166"/>
      <c r="P1189" s="166"/>
    </row>
    <row r="1190" spans="1:16" s="711" customFormat="1" ht="13.2" hidden="1" customHeight="1">
      <c r="A1190" s="2257">
        <v>45433</v>
      </c>
      <c r="B1190" s="717" t="s">
        <v>5313</v>
      </c>
      <c r="C1190" s="1099">
        <v>99086088</v>
      </c>
      <c r="D1190" s="1145"/>
      <c r="E1190" s="917"/>
      <c r="F1190" s="724"/>
      <c r="G1190" s="1211" t="s">
        <v>2266</v>
      </c>
      <c r="H1190" s="1212" t="s">
        <v>5300</v>
      </c>
      <c r="I1190" s="1201"/>
      <c r="J1190" s="1197">
        <v>1350</v>
      </c>
      <c r="K1190" s="703"/>
      <c r="L1190" s="703"/>
      <c r="M1190" s="708"/>
      <c r="N1190" s="166"/>
      <c r="P1190" s="166"/>
    </row>
    <row r="1191" spans="1:16" s="711" customFormat="1" ht="13.2" hidden="1" customHeight="1">
      <c r="A1191" s="2256">
        <v>45433</v>
      </c>
      <c r="B1191" s="717" t="s">
        <v>5311</v>
      </c>
      <c r="C1191" s="1099">
        <v>88978535</v>
      </c>
      <c r="D1191" s="1270" t="s">
        <v>5391</v>
      </c>
      <c r="E1191" s="917"/>
      <c r="F1191" s="724"/>
      <c r="G1191" s="1211" t="s">
        <v>1006</v>
      </c>
      <c r="H1191" s="1212" t="s">
        <v>5301</v>
      </c>
      <c r="I1191" s="1201"/>
      <c r="J1191" s="1197">
        <v>1350</v>
      </c>
      <c r="K1191" s="703"/>
      <c r="L1191" s="703">
        <v>1</v>
      </c>
      <c r="M1191" s="1370" t="s">
        <v>5845</v>
      </c>
      <c r="N1191" s="166"/>
      <c r="P1191" s="166"/>
    </row>
    <row r="1192" spans="1:16" s="711" customFormat="1" ht="13.2" hidden="1" customHeight="1">
      <c r="A1192" s="2256">
        <v>45433</v>
      </c>
      <c r="B1192" s="717" t="s">
        <v>5312</v>
      </c>
      <c r="C1192" s="1099">
        <v>37417832</v>
      </c>
      <c r="D1192" s="1270" t="s">
        <v>5391</v>
      </c>
      <c r="E1192" s="917"/>
      <c r="F1192" s="724"/>
      <c r="G1192" s="1211" t="s">
        <v>2335</v>
      </c>
      <c r="H1192" s="1212" t="s">
        <v>5302</v>
      </c>
      <c r="I1192" s="1201"/>
      <c r="J1192" s="1197">
        <v>1350</v>
      </c>
      <c r="K1192" s="703"/>
      <c r="L1192" s="703"/>
      <c r="M1192" s="708"/>
      <c r="N1192" s="166"/>
      <c r="P1192" s="166"/>
    </row>
    <row r="1193" spans="1:16" s="711" customFormat="1" ht="13.2" hidden="1" customHeight="1">
      <c r="A1193" s="2257">
        <v>45433</v>
      </c>
      <c r="B1193" s="717" t="s">
        <v>5308</v>
      </c>
      <c r="C1193" s="1099">
        <v>76232875</v>
      </c>
      <c r="D1193" s="1145"/>
      <c r="E1193" s="917"/>
      <c r="F1193" s="724"/>
      <c r="G1193" s="1211" t="s">
        <v>2019</v>
      </c>
      <c r="H1193" s="1212" t="s">
        <v>5303</v>
      </c>
      <c r="I1193" s="1201"/>
      <c r="J1193" s="1197">
        <v>1350</v>
      </c>
      <c r="K1193" s="703"/>
      <c r="L1193" s="703"/>
      <c r="M1193" s="708"/>
      <c r="N1193" s="166"/>
      <c r="P1193" s="166"/>
    </row>
    <row r="1194" spans="1:16" s="711" customFormat="1" ht="13.2" hidden="1" customHeight="1">
      <c r="A1194" s="2256">
        <v>45433</v>
      </c>
      <c r="B1194" s="717" t="s">
        <v>5307</v>
      </c>
      <c r="C1194" s="1099">
        <v>59623394</v>
      </c>
      <c r="D1194" s="1270" t="s">
        <v>5391</v>
      </c>
      <c r="E1194" s="917"/>
      <c r="F1194" s="724"/>
      <c r="G1194" s="1211" t="s">
        <v>3991</v>
      </c>
      <c r="H1194" s="1212" t="s">
        <v>5304</v>
      </c>
      <c r="I1194" s="1201"/>
      <c r="J1194" s="1217" t="s">
        <v>5305</v>
      </c>
      <c r="K1194" s="703"/>
      <c r="L1194" s="703">
        <v>1</v>
      </c>
      <c r="M1194" s="1350" t="s">
        <v>5710</v>
      </c>
      <c r="N1194" s="166"/>
      <c r="P1194" s="166"/>
    </row>
    <row r="1195" spans="1:16" s="711" customFormat="1" ht="13.2" hidden="1" customHeight="1">
      <c r="A1195" s="2254">
        <v>45433</v>
      </c>
      <c r="B1195" s="717" t="s">
        <v>5331</v>
      </c>
      <c r="C1195" s="1099">
        <v>49384268</v>
      </c>
      <c r="D1195" s="1270" t="s">
        <v>5391</v>
      </c>
      <c r="E1195" s="917"/>
      <c r="F1195" s="724"/>
      <c r="G1195" s="1211" t="s">
        <v>1970</v>
      </c>
      <c r="H1195" s="1212" t="s">
        <v>5306</v>
      </c>
      <c r="I1195" s="1201"/>
      <c r="J1195" s="1235" t="s">
        <v>5332</v>
      </c>
      <c r="K1195" s="703"/>
      <c r="L1195" s="703"/>
      <c r="M1195" s="708"/>
      <c r="N1195" s="166"/>
      <c r="P1195" s="166"/>
    </row>
    <row r="1196" spans="1:16" s="711" customFormat="1" ht="13.2" hidden="1" customHeight="1">
      <c r="A1196" s="2258">
        <v>45434</v>
      </c>
      <c r="B1196" s="1312" t="s">
        <v>5325</v>
      </c>
      <c r="C1196" s="1099">
        <v>75541209</v>
      </c>
      <c r="D1196" s="1504" t="s">
        <v>6343</v>
      </c>
      <c r="E1196" s="1520" t="s">
        <v>6400</v>
      </c>
      <c r="F1196" s="1313" t="s">
        <v>6401</v>
      </c>
      <c r="G1196" s="1289" t="s">
        <v>1971</v>
      </c>
      <c r="H1196" s="1290" t="s">
        <v>5316</v>
      </c>
      <c r="I1196" s="1201"/>
      <c r="J1196" s="1217">
        <v>1350</v>
      </c>
      <c r="K1196" s="703"/>
      <c r="L1196" s="703"/>
      <c r="M1196" s="708"/>
      <c r="N1196" s="166"/>
      <c r="O1196" s="1311"/>
      <c r="P1196" s="166"/>
    </row>
    <row r="1197" spans="1:16" s="711" customFormat="1" ht="13.2" hidden="1" customHeight="1">
      <c r="A1197" s="2259">
        <v>45434</v>
      </c>
      <c r="B1197" s="1312" t="s">
        <v>5326</v>
      </c>
      <c r="C1197" s="1099">
        <v>84948555</v>
      </c>
      <c r="D1197" s="1270" t="s">
        <v>5391</v>
      </c>
      <c r="E1197" s="917"/>
      <c r="F1197" s="1313"/>
      <c r="G1197" s="1289" t="s">
        <v>3760</v>
      </c>
      <c r="H1197" s="1290" t="s">
        <v>5317</v>
      </c>
      <c r="I1197" s="1201"/>
      <c r="J1197" s="1217">
        <v>1350</v>
      </c>
      <c r="K1197" s="703">
        <v>1</v>
      </c>
      <c r="L1197" s="1347" t="s">
        <v>5691</v>
      </c>
      <c r="M1197" s="708"/>
      <c r="N1197" s="166"/>
      <c r="P1197" s="166"/>
    </row>
    <row r="1198" spans="1:16" s="711" customFormat="1" ht="13.2" hidden="1" customHeight="1">
      <c r="A1198" s="2260">
        <v>45435</v>
      </c>
      <c r="B1198" s="961" t="s">
        <v>5322</v>
      </c>
      <c r="C1198" s="1078">
        <v>30012276</v>
      </c>
      <c r="D1198" s="1265"/>
      <c r="E1198" s="968"/>
      <c r="F1198" s="962"/>
      <c r="G1198" s="1266" t="s">
        <v>3022</v>
      </c>
      <c r="H1198" s="1267" t="s">
        <v>5323</v>
      </c>
      <c r="I1198" s="1224"/>
      <c r="J1198" s="1256" t="s">
        <v>5382</v>
      </c>
      <c r="K1198" s="703"/>
      <c r="L1198" s="703"/>
      <c r="M1198" s="708"/>
      <c r="N1198" s="166"/>
      <c r="P1198" s="166"/>
    </row>
    <row r="1199" spans="1:16" s="711" customFormat="1" ht="13.2" hidden="1" customHeight="1">
      <c r="A1199" s="2260">
        <v>45436</v>
      </c>
      <c r="B1199" s="717" t="s">
        <v>5388</v>
      </c>
      <c r="C1199" s="1099"/>
      <c r="D1199" s="1145"/>
      <c r="E1199" s="917"/>
      <c r="F1199" s="724"/>
      <c r="G1199" s="1230" t="s">
        <v>1945</v>
      </c>
      <c r="H1199" s="1238" t="s">
        <v>5330</v>
      </c>
      <c r="I1199" s="1201"/>
      <c r="J1199" s="1197">
        <v>1350</v>
      </c>
      <c r="K1199" s="703"/>
      <c r="L1199" s="703">
        <v>1</v>
      </c>
      <c r="M1199" s="1297" t="s">
        <v>5508</v>
      </c>
      <c r="N1199" s="166"/>
      <c r="P1199" s="166"/>
    </row>
    <row r="1200" spans="1:16" s="711" customFormat="1" ht="13.2" hidden="1" customHeight="1">
      <c r="A1200" s="2261">
        <v>45437</v>
      </c>
      <c r="B1200" s="717" t="s">
        <v>5416</v>
      </c>
      <c r="C1200" s="1099">
        <v>47536317</v>
      </c>
      <c r="D1200" s="1270" t="s">
        <v>5417</v>
      </c>
      <c r="E1200" s="917"/>
      <c r="F1200" s="724"/>
      <c r="G1200" s="1230" t="s">
        <v>2335</v>
      </c>
      <c r="H1200" s="1238" t="s">
        <v>5337</v>
      </c>
      <c r="I1200" s="1201"/>
      <c r="J1200" s="1197">
        <v>1350</v>
      </c>
      <c r="K1200" s="703"/>
      <c r="L1200" s="703"/>
      <c r="M1200" s="708"/>
      <c r="N1200" s="166"/>
      <c r="P1200" s="166"/>
    </row>
    <row r="1201" spans="1:16" s="711" customFormat="1" ht="13.2" hidden="1" customHeight="1">
      <c r="A1201" s="2261">
        <v>45437</v>
      </c>
      <c r="B1201" s="717" t="s">
        <v>5415</v>
      </c>
      <c r="C1201" s="1099">
        <v>45184530</v>
      </c>
      <c r="D1201" s="1270" t="s">
        <v>5417</v>
      </c>
      <c r="E1201" s="917"/>
      <c r="F1201" s="724"/>
      <c r="G1201" s="1230" t="s">
        <v>2335</v>
      </c>
      <c r="H1201" s="1238" t="s">
        <v>5338</v>
      </c>
      <c r="I1201" s="1201"/>
      <c r="J1201" s="1197">
        <v>1350</v>
      </c>
      <c r="K1201" s="703"/>
      <c r="L1201" s="703"/>
      <c r="M1201" s="708"/>
      <c r="N1201" s="166"/>
      <c r="P1201" s="166"/>
    </row>
    <row r="1202" spans="1:16" s="711" customFormat="1" ht="13.2" hidden="1" customHeight="1">
      <c r="A1202" s="2260">
        <v>45441</v>
      </c>
      <c r="B1202" s="1312" t="s">
        <v>5782</v>
      </c>
      <c r="C1202" s="1099">
        <v>123</v>
      </c>
      <c r="D1202" s="1145"/>
      <c r="E1202" s="917"/>
      <c r="F1202" s="1313"/>
      <c r="G1202" s="1230" t="s">
        <v>2312</v>
      </c>
      <c r="H1202" s="1238" t="s">
        <v>5349</v>
      </c>
      <c r="I1202" s="1201"/>
      <c r="J1202" s="1235" t="s">
        <v>5350</v>
      </c>
      <c r="K1202" s="703"/>
      <c r="L1202" s="703"/>
      <c r="M1202" s="708"/>
      <c r="N1202" s="166"/>
      <c r="P1202" s="166"/>
    </row>
    <row r="1203" spans="1:16" s="711" customFormat="1" ht="13.2" hidden="1" customHeight="1">
      <c r="A1203" s="2262">
        <v>45441</v>
      </c>
      <c r="B1203" s="1312" t="s">
        <v>5371</v>
      </c>
      <c r="C1203" s="1099">
        <v>56146560</v>
      </c>
      <c r="D1203" s="1578" t="s">
        <v>6567</v>
      </c>
      <c r="E1203" s="1578" t="s">
        <v>6398</v>
      </c>
      <c r="F1203" s="1573" t="s">
        <v>6401</v>
      </c>
      <c r="G1203" s="1563" t="s">
        <v>1006</v>
      </c>
      <c r="H1203" s="1566" t="s">
        <v>6535</v>
      </c>
      <c r="I1203" s="1201"/>
      <c r="J1203" s="1197">
        <v>1350</v>
      </c>
      <c r="K1203" s="1446" t="s">
        <v>6102</v>
      </c>
      <c r="L1203" s="703">
        <v>1</v>
      </c>
      <c r="M1203" s="1599" t="s">
        <v>6639</v>
      </c>
      <c r="N1203" s="166"/>
      <c r="O1203" s="1311"/>
      <c r="P1203" s="166"/>
    </row>
    <row r="1204" spans="1:16" s="711" customFormat="1" ht="13.2" hidden="1" customHeight="1">
      <c r="A1204" s="2260">
        <v>45441</v>
      </c>
      <c r="B1204" s="717" t="s">
        <v>5401</v>
      </c>
      <c r="C1204" s="1270" t="s">
        <v>2562</v>
      </c>
      <c r="D1204" s="1145"/>
      <c r="E1204" s="917"/>
      <c r="F1204" s="724"/>
      <c r="G1204" s="1230" t="s">
        <v>1945</v>
      </c>
      <c r="H1204" s="1238" t="s">
        <v>5351</v>
      </c>
      <c r="I1204" s="1201"/>
      <c r="J1204" s="1197">
        <v>1350</v>
      </c>
      <c r="K1204" s="703"/>
      <c r="L1204" s="703">
        <v>1</v>
      </c>
      <c r="M1204" s="1297" t="s">
        <v>5508</v>
      </c>
      <c r="N1204" s="166"/>
      <c r="P1204" s="166"/>
    </row>
    <row r="1205" spans="1:16" s="711" customFormat="1" ht="13.2" hidden="1" customHeight="1">
      <c r="A1205" s="2261">
        <v>45441</v>
      </c>
      <c r="B1205" s="717" t="s">
        <v>5372</v>
      </c>
      <c r="C1205" s="1099">
        <v>86177355</v>
      </c>
      <c r="D1205" s="1270" t="s">
        <v>5391</v>
      </c>
      <c r="E1205" s="917"/>
      <c r="F1205" s="724"/>
      <c r="G1205" s="1230" t="s">
        <v>1996</v>
      </c>
      <c r="H1205" s="1271" t="s">
        <v>5373</v>
      </c>
      <c r="I1205" s="1201"/>
      <c r="J1205" s="1197">
        <v>1350</v>
      </c>
      <c r="K1205" s="703"/>
      <c r="L1205" s="703"/>
      <c r="M1205" s="708"/>
      <c r="N1205" s="166"/>
      <c r="P1205" s="166"/>
    </row>
    <row r="1206" spans="1:16" s="711" customFormat="1" ht="13.2" hidden="1" customHeight="1">
      <c r="A1206" s="2263">
        <v>45442</v>
      </c>
      <c r="B1206" s="717" t="s">
        <v>5418</v>
      </c>
      <c r="C1206" s="1099">
        <v>28836428</v>
      </c>
      <c r="D1206" s="1270" t="s">
        <v>5417</v>
      </c>
      <c r="E1206" s="917"/>
      <c r="F1206" s="724"/>
      <c r="G1206" s="1244" t="s">
        <v>3312</v>
      </c>
      <c r="H1206" s="1264" t="s">
        <v>5354</v>
      </c>
      <c r="I1206" s="1201"/>
      <c r="J1206" s="1197">
        <v>1350</v>
      </c>
      <c r="K1206" s="703"/>
      <c r="L1206" s="703">
        <v>1</v>
      </c>
      <c r="M1206" s="1297" t="s">
        <v>5533</v>
      </c>
      <c r="N1206" s="166"/>
      <c r="P1206" s="166"/>
    </row>
    <row r="1207" spans="1:16" s="711" customFormat="1" ht="13.2" hidden="1" customHeight="1">
      <c r="A1207" s="2263">
        <v>45443</v>
      </c>
      <c r="B1207" s="717" t="s">
        <v>5358</v>
      </c>
      <c r="C1207" s="1099"/>
      <c r="D1207" s="1145"/>
      <c r="E1207" s="917"/>
      <c r="F1207" s="724"/>
      <c r="G1207" s="1244" t="s">
        <v>3249</v>
      </c>
      <c r="H1207" s="1264"/>
      <c r="I1207" s="1201"/>
      <c r="J1207" s="1197">
        <v>1350</v>
      </c>
      <c r="K1207" s="703"/>
      <c r="L1207" s="703"/>
      <c r="M1207" s="708"/>
      <c r="N1207" s="166"/>
      <c r="P1207" s="166"/>
    </row>
    <row r="1208" spans="1:16" s="711" customFormat="1" ht="13.2" hidden="1" customHeight="1">
      <c r="A1208" s="2264">
        <v>45443</v>
      </c>
      <c r="B1208" s="717" t="s">
        <v>5375</v>
      </c>
      <c r="C1208" s="1099">
        <v>10224209</v>
      </c>
      <c r="D1208" s="1270" t="s">
        <v>5391</v>
      </c>
      <c r="E1208" s="917"/>
      <c r="F1208" s="724"/>
      <c r="G1208" s="1244" t="s">
        <v>2335</v>
      </c>
      <c r="H1208" s="1264" t="s">
        <v>5363</v>
      </c>
      <c r="I1208" s="1201"/>
      <c r="J1208" s="1197">
        <v>1350</v>
      </c>
      <c r="K1208" s="703"/>
      <c r="L1208" s="703"/>
      <c r="M1208" s="708"/>
      <c r="N1208" s="166"/>
      <c r="P1208" s="166"/>
    </row>
    <row r="1209" spans="1:16" s="711" customFormat="1" ht="13.2" hidden="1" customHeight="1">
      <c r="A1209" s="2264">
        <v>45443</v>
      </c>
      <c r="B1209" s="717" t="s">
        <v>5423</v>
      </c>
      <c r="C1209" s="1099">
        <v>73507912</v>
      </c>
      <c r="D1209" s="1270" t="s">
        <v>5391</v>
      </c>
      <c r="E1209" s="917"/>
      <c r="F1209" s="724"/>
      <c r="G1209" s="1244" t="s">
        <v>1970</v>
      </c>
      <c r="H1209" s="1264" t="s">
        <v>5364</v>
      </c>
      <c r="I1209" s="1201"/>
      <c r="J1209" s="1197">
        <v>1350</v>
      </c>
      <c r="K1209" s="703"/>
      <c r="L1209" s="703"/>
      <c r="M1209" s="708"/>
      <c r="N1209" s="166"/>
      <c r="P1209" s="166"/>
    </row>
    <row r="1210" spans="1:16" s="711" customFormat="1" ht="13.2" hidden="1" customHeight="1">
      <c r="A1210" s="2264">
        <v>45443</v>
      </c>
      <c r="B1210" s="717" t="s">
        <v>5374</v>
      </c>
      <c r="C1210" s="1099">
        <v>91538702</v>
      </c>
      <c r="D1210" s="1145"/>
      <c r="E1210" s="917"/>
      <c r="F1210" s="724"/>
      <c r="G1210" s="1244" t="s">
        <v>2478</v>
      </c>
      <c r="H1210" s="1264" t="s">
        <v>5365</v>
      </c>
      <c r="I1210" s="1201"/>
      <c r="J1210" s="1197">
        <v>1350</v>
      </c>
      <c r="K1210" s="703"/>
      <c r="L1210" s="703"/>
      <c r="M1210" s="708"/>
      <c r="N1210" s="166"/>
      <c r="P1210" s="166"/>
    </row>
    <row r="1211" spans="1:16" s="711" customFormat="1" ht="13.2" hidden="1" customHeight="1">
      <c r="A1211" s="2264">
        <v>45443</v>
      </c>
      <c r="B1211" s="717" t="s">
        <v>5424</v>
      </c>
      <c r="C1211" s="1099">
        <v>80801330</v>
      </c>
      <c r="D1211" s="1270" t="s">
        <v>5391</v>
      </c>
      <c r="E1211" s="917"/>
      <c r="F1211" s="1313"/>
      <c r="G1211" s="1244" t="s">
        <v>1970</v>
      </c>
      <c r="H1211" s="1264" t="s">
        <v>5366</v>
      </c>
      <c r="I1211" s="1201"/>
      <c r="J1211" s="1252" t="s">
        <v>5367</v>
      </c>
      <c r="K1211" s="703"/>
      <c r="L1211" s="703"/>
      <c r="M1211" s="708"/>
      <c r="N1211" s="166"/>
      <c r="P1211" s="166"/>
    </row>
    <row r="1212" spans="1:16" s="711" customFormat="1" ht="13.2" hidden="1" customHeight="1">
      <c r="A1212" s="2265">
        <v>45445</v>
      </c>
      <c r="B1212" s="1312" t="s">
        <v>5855</v>
      </c>
      <c r="C1212" s="1099">
        <v>96403004</v>
      </c>
      <c r="D1212" s="1453" t="s">
        <v>6079</v>
      </c>
      <c r="E1212" s="917"/>
      <c r="F1212" s="1313"/>
      <c r="G1212" s="1262" t="s">
        <v>2056</v>
      </c>
      <c r="H1212" s="1263" t="s">
        <v>5377</v>
      </c>
      <c r="I1212" s="1201"/>
      <c r="J1212" s="1252">
        <v>1350</v>
      </c>
      <c r="K1212" s="703"/>
      <c r="L1212" s="703">
        <v>1</v>
      </c>
      <c r="M1212" s="1480" t="s">
        <v>6194</v>
      </c>
      <c r="N1212" s="166"/>
      <c r="P1212" s="166"/>
    </row>
    <row r="1213" spans="1:16" s="711" customFormat="1" ht="13.2" hidden="1" customHeight="1">
      <c r="A1213" s="2265">
        <v>45445</v>
      </c>
      <c r="B1213" s="717" t="s">
        <v>5394</v>
      </c>
      <c r="C1213" s="1099">
        <v>86457682</v>
      </c>
      <c r="D1213" s="1270" t="s">
        <v>5391</v>
      </c>
      <c r="E1213" s="917"/>
      <c r="F1213" s="724"/>
      <c r="G1213" s="1262" t="s">
        <v>2614</v>
      </c>
      <c r="H1213" s="1271" t="s">
        <v>5393</v>
      </c>
      <c r="I1213" s="1337" t="s">
        <v>4958</v>
      </c>
      <c r="J1213" s="1256" t="s">
        <v>5378</v>
      </c>
      <c r="K1213" s="703"/>
      <c r="L1213" s="703">
        <v>1</v>
      </c>
      <c r="M1213" s="1350" t="s">
        <v>5691</v>
      </c>
      <c r="N1213" s="166"/>
      <c r="P1213" s="166"/>
    </row>
    <row r="1214" spans="1:16" s="711" customFormat="1" ht="13.2" hidden="1" customHeight="1">
      <c r="A1214" s="2265">
        <v>45446</v>
      </c>
      <c r="B1214" s="1312" t="s">
        <v>5428</v>
      </c>
      <c r="C1214" s="1099">
        <v>74595012</v>
      </c>
      <c r="D1214" s="1395" t="s">
        <v>5959</v>
      </c>
      <c r="E1214" s="917"/>
      <c r="F1214" s="1313"/>
      <c r="G1214" s="1262" t="s">
        <v>1970</v>
      </c>
      <c r="H1214" s="1263" t="s">
        <v>5383</v>
      </c>
      <c r="I1214" s="1201"/>
      <c r="J1214" s="1256">
        <v>1350</v>
      </c>
      <c r="K1214" s="703"/>
      <c r="L1214" s="703"/>
      <c r="M1214" s="708"/>
      <c r="N1214" s="166"/>
      <c r="P1214" s="166"/>
    </row>
    <row r="1215" spans="1:16" s="711" customFormat="1" ht="13.2" hidden="1" customHeight="1">
      <c r="A1215" s="2265">
        <v>45446</v>
      </c>
      <c r="B1215" s="1312" t="s">
        <v>5916</v>
      </c>
      <c r="C1215" s="1099">
        <v>73939136</v>
      </c>
      <c r="D1215" s="1395" t="s">
        <v>5959</v>
      </c>
      <c r="E1215" s="917"/>
      <c r="F1215" s="1313"/>
      <c r="G1215" s="1262" t="s">
        <v>1970</v>
      </c>
      <c r="H1215" s="1263" t="s">
        <v>5384</v>
      </c>
      <c r="I1215" s="1201"/>
      <c r="J1215" s="1256" t="s">
        <v>5367</v>
      </c>
      <c r="K1215" s="703"/>
      <c r="L1215" s="703"/>
      <c r="M1215" s="708"/>
      <c r="N1215" s="166"/>
      <c r="P1215" s="166"/>
    </row>
    <row r="1216" spans="1:16" s="711" customFormat="1" ht="13.2" hidden="1" customHeight="1">
      <c r="A1216" s="2266">
        <v>45448</v>
      </c>
      <c r="B1216" s="717" t="s">
        <v>5434</v>
      </c>
      <c r="C1216" s="1099">
        <v>26867639</v>
      </c>
      <c r="D1216" s="1270" t="s">
        <v>5391</v>
      </c>
      <c r="E1216" s="917"/>
      <c r="F1216" s="724"/>
      <c r="G1216" s="1270" t="s">
        <v>1970</v>
      </c>
      <c r="H1216" s="1271" t="s">
        <v>5395</v>
      </c>
      <c r="I1216" s="1201"/>
      <c r="J1216" s="1256">
        <v>1350</v>
      </c>
      <c r="K1216" s="703"/>
      <c r="L1216" s="703"/>
      <c r="M1216" s="708"/>
      <c r="N1216" s="166"/>
      <c r="P1216" s="166"/>
    </row>
    <row r="1217" spans="1:16" s="711" customFormat="1" ht="13.2" hidden="1" customHeight="1">
      <c r="A1217" s="2267">
        <v>45448</v>
      </c>
      <c r="B1217" s="717" t="s">
        <v>5419</v>
      </c>
      <c r="C1217" s="1099">
        <v>88211930</v>
      </c>
      <c r="D1217" s="1270" t="s">
        <v>5391</v>
      </c>
      <c r="E1217" s="917"/>
      <c r="F1217" s="724"/>
      <c r="G1217" s="1270" t="s">
        <v>2012</v>
      </c>
      <c r="H1217" s="1271" t="s">
        <v>5396</v>
      </c>
      <c r="I1217" s="1201"/>
      <c r="J1217" s="1256">
        <v>1350</v>
      </c>
      <c r="K1217" s="703">
        <v>1</v>
      </c>
      <c r="L1217" s="1347" t="s">
        <v>5691</v>
      </c>
      <c r="M1217" s="708"/>
      <c r="N1217" s="166"/>
      <c r="P1217" s="166"/>
    </row>
    <row r="1218" spans="1:16" s="711" customFormat="1" ht="13.2" hidden="1" customHeight="1">
      <c r="A1218" s="2266">
        <v>45448</v>
      </c>
      <c r="B1218" s="1312" t="s">
        <v>5536</v>
      </c>
      <c r="C1218" s="1099">
        <v>38338651</v>
      </c>
      <c r="D1218" s="1145"/>
      <c r="E1218" s="917"/>
      <c r="F1218" s="1313"/>
      <c r="G1218" s="1270" t="s">
        <v>1006</v>
      </c>
      <c r="H1218" s="1271" t="s">
        <v>5398</v>
      </c>
      <c r="I1218" s="1337" t="s">
        <v>4958</v>
      </c>
      <c r="J1218" s="1274" t="s">
        <v>5397</v>
      </c>
      <c r="K1218" s="703"/>
      <c r="L1218" s="703">
        <v>1</v>
      </c>
      <c r="M1218" s="1370" t="s">
        <v>5845</v>
      </c>
      <c r="N1218" s="166"/>
      <c r="P1218" s="166"/>
    </row>
    <row r="1219" spans="1:16" s="711" customFormat="1" ht="24" hidden="1" customHeight="1">
      <c r="A1219" s="2266">
        <v>45449</v>
      </c>
      <c r="B1219" s="1312" t="s">
        <v>6025</v>
      </c>
      <c r="C1219" s="1395">
        <v>89151398</v>
      </c>
      <c r="D1219" s="1395" t="s">
        <v>5935</v>
      </c>
      <c r="E1219" s="1424" t="s">
        <v>6049</v>
      </c>
      <c r="F1219" s="1313"/>
      <c r="G1219" s="1270" t="s">
        <v>736</v>
      </c>
      <c r="H1219" s="1271" t="s">
        <v>5407</v>
      </c>
      <c r="I1219" s="1201"/>
      <c r="J1219" s="1274">
        <v>1350</v>
      </c>
      <c r="K1219" s="703"/>
      <c r="L1219" s="703">
        <v>1</v>
      </c>
      <c r="M1219" s="1393" t="s">
        <v>5905</v>
      </c>
      <c r="N1219" s="166"/>
      <c r="P1219" s="166"/>
    </row>
    <row r="1220" spans="1:16" s="711" customFormat="1" ht="13.2" hidden="1" customHeight="1">
      <c r="A1220" s="2267">
        <v>45449</v>
      </c>
      <c r="B1220" s="717" t="s">
        <v>5411</v>
      </c>
      <c r="C1220" s="1270">
        <v>11085440</v>
      </c>
      <c r="D1220" s="1270"/>
      <c r="E1220" s="1270"/>
      <c r="F1220" s="724"/>
      <c r="G1220" s="1270" t="s">
        <v>2266</v>
      </c>
      <c r="H1220" s="1271" t="s">
        <v>5408</v>
      </c>
      <c r="I1220" s="1270"/>
      <c r="J1220" s="1274">
        <v>1350</v>
      </c>
      <c r="K1220" s="703"/>
      <c r="L1220" s="703">
        <v>1</v>
      </c>
      <c r="M1220" s="1297" t="s">
        <v>5550</v>
      </c>
      <c r="N1220" s="166"/>
      <c r="P1220" s="166"/>
    </row>
    <row r="1221" spans="1:16" s="711" customFormat="1" ht="13.2" hidden="1" customHeight="1">
      <c r="A1221" s="2267">
        <v>45450</v>
      </c>
      <c r="B1221" s="717" t="s">
        <v>5425</v>
      </c>
      <c r="C1221" s="1270">
        <v>93978872</v>
      </c>
      <c r="D1221" s="1270" t="s">
        <v>5391</v>
      </c>
      <c r="E1221" s="1270"/>
      <c r="F1221" s="724"/>
      <c r="G1221" s="1270" t="s">
        <v>1970</v>
      </c>
      <c r="H1221" s="1271" t="s">
        <v>5427</v>
      </c>
      <c r="I1221" s="1270"/>
      <c r="J1221" s="1274">
        <v>1350</v>
      </c>
      <c r="K1221" s="703"/>
      <c r="L1221" s="703"/>
      <c r="M1221" s="708"/>
      <c r="N1221" s="166"/>
      <c r="P1221" s="166"/>
    </row>
    <row r="1222" spans="1:16" s="711" customFormat="1" ht="13.2" hidden="1" customHeight="1">
      <c r="A1222" s="2267">
        <v>45450</v>
      </c>
      <c r="B1222" s="717" t="s">
        <v>5429</v>
      </c>
      <c r="C1222" s="1270">
        <v>95968138</v>
      </c>
      <c r="D1222" s="1337" t="s">
        <v>5652</v>
      </c>
      <c r="E1222" s="1270"/>
      <c r="F1222" s="724"/>
      <c r="G1222" s="1270" t="s">
        <v>736</v>
      </c>
      <c r="H1222" s="1271" t="s">
        <v>5430</v>
      </c>
      <c r="I1222" s="1270"/>
      <c r="J1222" s="1274">
        <v>1350</v>
      </c>
      <c r="K1222" s="703"/>
      <c r="L1222" s="703">
        <v>1</v>
      </c>
      <c r="M1222" s="1318" t="s">
        <v>5586</v>
      </c>
      <c r="N1222" s="166"/>
      <c r="P1222" s="166"/>
    </row>
    <row r="1223" spans="1:16" s="711" customFormat="1" ht="13.2" hidden="1" customHeight="1">
      <c r="A1223" s="2268">
        <v>45450</v>
      </c>
      <c r="B1223" s="717" t="s">
        <v>5431</v>
      </c>
      <c r="C1223" s="1270">
        <v>80194893</v>
      </c>
      <c r="D1223" s="1337" t="s">
        <v>5652</v>
      </c>
      <c r="E1223" s="1270"/>
      <c r="F1223" s="724"/>
      <c r="G1223" s="1270" t="s">
        <v>2124</v>
      </c>
      <c r="H1223" s="1271" t="s">
        <v>5432</v>
      </c>
      <c r="I1223" s="1270"/>
      <c r="J1223" s="1274">
        <v>1350</v>
      </c>
      <c r="K1223" s="703"/>
      <c r="L1223" s="703"/>
      <c r="M1223" s="708"/>
      <c r="N1223" s="166"/>
      <c r="P1223" s="166"/>
    </row>
    <row r="1224" spans="1:16" s="711" customFormat="1" ht="13.2" hidden="1" customHeight="1">
      <c r="A1224" s="2267">
        <v>45451</v>
      </c>
      <c r="B1224" s="717" t="s">
        <v>5482</v>
      </c>
      <c r="C1224" s="1270">
        <v>77893475</v>
      </c>
      <c r="D1224" s="1337" t="s">
        <v>5652</v>
      </c>
      <c r="E1224" s="1270"/>
      <c r="F1224" s="724"/>
      <c r="G1224" s="1270" t="s">
        <v>1009</v>
      </c>
      <c r="H1224" s="1271" t="s">
        <v>5437</v>
      </c>
      <c r="I1224" s="1270"/>
      <c r="J1224" s="1274" t="s">
        <v>5438</v>
      </c>
      <c r="K1224" s="703"/>
      <c r="L1224" s="703"/>
      <c r="M1224" s="708"/>
      <c r="N1224" s="166"/>
      <c r="P1224" s="166"/>
    </row>
    <row r="1225" spans="1:16" s="711" customFormat="1" ht="13.2" hidden="1" customHeight="1">
      <c r="A1225" s="2267">
        <v>45451</v>
      </c>
      <c r="B1225" s="717" t="s">
        <v>5483</v>
      </c>
      <c r="C1225" s="1270">
        <v>40063036</v>
      </c>
      <c r="D1225" s="1270"/>
      <c r="E1225" s="1270"/>
      <c r="F1225" s="724"/>
      <c r="G1225" s="1270" t="s">
        <v>2215</v>
      </c>
      <c r="H1225" s="1271" t="s">
        <v>5439</v>
      </c>
      <c r="I1225" s="1270"/>
      <c r="J1225" s="1274">
        <v>1550</v>
      </c>
      <c r="K1225" s="703"/>
      <c r="L1225" s="703"/>
      <c r="M1225" s="708"/>
      <c r="N1225" s="166"/>
      <c r="P1225" s="166"/>
    </row>
    <row r="1226" spans="1:16" s="711" customFormat="1" hidden="1">
      <c r="A1226" s="2267">
        <v>45451</v>
      </c>
      <c r="B1226" s="1312" t="s">
        <v>5476</v>
      </c>
      <c r="C1226" s="1270">
        <v>96474072</v>
      </c>
      <c r="D1226" s="1453" t="s">
        <v>6079</v>
      </c>
      <c r="E1226" s="1270"/>
      <c r="F1226" s="1313"/>
      <c r="G1226" s="1270" t="s">
        <v>1006</v>
      </c>
      <c r="H1226" s="1271" t="s">
        <v>5440</v>
      </c>
      <c r="I1226" s="1270"/>
      <c r="J1226" s="1274">
        <v>1350</v>
      </c>
      <c r="K1226" s="703"/>
      <c r="L1226" s="703">
        <v>1</v>
      </c>
      <c r="M1226" s="1599" t="s">
        <v>6639</v>
      </c>
      <c r="N1226" s="166"/>
      <c r="P1226" s="166"/>
    </row>
    <row r="1227" spans="1:16" s="711" customFormat="1" ht="13.2" hidden="1" customHeight="1">
      <c r="A1227" s="2267">
        <v>45452</v>
      </c>
      <c r="B1227" s="717" t="s">
        <v>5441</v>
      </c>
      <c r="C1227" s="1270">
        <v>77341032</v>
      </c>
      <c r="D1227" s="1337" t="s">
        <v>5652</v>
      </c>
      <c r="E1227" s="1270"/>
      <c r="F1227" s="724"/>
      <c r="G1227" s="1270" t="s">
        <v>736</v>
      </c>
      <c r="H1227" s="1288" t="s">
        <v>5454</v>
      </c>
      <c r="I1227" s="1270"/>
      <c r="J1227" s="1274">
        <v>1350</v>
      </c>
      <c r="K1227" s="703"/>
      <c r="L1227" s="703">
        <v>1</v>
      </c>
      <c r="M1227" s="1318" t="s">
        <v>5586</v>
      </c>
      <c r="N1227" s="166"/>
      <c r="P1227" s="166"/>
    </row>
    <row r="1228" spans="1:16" s="711" customFormat="1" ht="13.2" hidden="1" customHeight="1">
      <c r="A1228" s="2269">
        <v>45452</v>
      </c>
      <c r="B1228" s="1312" t="s">
        <v>5484</v>
      </c>
      <c r="C1228" s="1270">
        <v>50612585</v>
      </c>
      <c r="D1228" s="1270"/>
      <c r="E1228" s="1270"/>
      <c r="F1228" s="1313"/>
      <c r="G1228" s="1287" t="s">
        <v>1970</v>
      </c>
      <c r="H1228" s="1288" t="s">
        <v>5453</v>
      </c>
      <c r="I1228" s="1270"/>
      <c r="J1228" s="1274">
        <v>1350</v>
      </c>
      <c r="K1228" s="703"/>
      <c r="L1228" s="703"/>
      <c r="M1228" s="708"/>
      <c r="N1228" s="166"/>
      <c r="P1228" s="166"/>
    </row>
    <row r="1229" spans="1:16" s="711" customFormat="1" ht="13.2" customHeight="1">
      <c r="A1229" s="2270">
        <v>45453</v>
      </c>
      <c r="B1229" s="709" t="s">
        <v>5530</v>
      </c>
      <c r="C1229" s="1268">
        <v>43951664</v>
      </c>
      <c r="D1229" s="1631" t="s">
        <v>6810</v>
      </c>
      <c r="E1229" s="1544" t="s">
        <v>6443</v>
      </c>
      <c r="F1229" s="1463" t="s">
        <v>6151</v>
      </c>
      <c r="G1229" s="1283" t="s">
        <v>2312</v>
      </c>
      <c r="H1229" s="1284" t="s">
        <v>5455</v>
      </c>
      <c r="I1229" s="1268">
        <f>22-9</f>
        <v>13</v>
      </c>
      <c r="J1229" s="1274">
        <v>1350</v>
      </c>
      <c r="K1229" s="703"/>
      <c r="L1229" s="703"/>
      <c r="M1229" s="708"/>
      <c r="N1229" s="166"/>
      <c r="P1229" s="166"/>
    </row>
    <row r="1230" spans="1:16" s="711" customFormat="1" ht="13.2" hidden="1" customHeight="1">
      <c r="A1230" s="2271">
        <v>45453</v>
      </c>
      <c r="B1230" s="717" t="s">
        <v>5481</v>
      </c>
      <c r="C1230" s="1270">
        <v>85718221</v>
      </c>
      <c r="D1230" s="1287"/>
      <c r="E1230" s="1270"/>
      <c r="F1230" s="724"/>
      <c r="G1230" s="1287" t="s">
        <v>2237</v>
      </c>
      <c r="H1230" s="1288" t="s">
        <v>5456</v>
      </c>
      <c r="I1230" s="1270"/>
      <c r="J1230" s="1274">
        <v>1350</v>
      </c>
      <c r="K1230" s="703"/>
      <c r="L1230" s="703"/>
      <c r="M1230" s="708"/>
      <c r="N1230" s="166"/>
      <c r="P1230" s="166"/>
    </row>
    <row r="1231" spans="1:16" s="711" customFormat="1" ht="13.2" hidden="1" customHeight="1">
      <c r="A1231" s="2271">
        <v>45453</v>
      </c>
      <c r="B1231" s="717" t="s">
        <v>5485</v>
      </c>
      <c r="C1231" s="1270">
        <v>60617971</v>
      </c>
      <c r="D1231" s="1270"/>
      <c r="E1231" s="1270"/>
      <c r="F1231" s="724"/>
      <c r="G1231" s="1287" t="s">
        <v>1972</v>
      </c>
      <c r="H1231" s="1288" t="s">
        <v>5457</v>
      </c>
      <c r="I1231" s="1270"/>
      <c r="J1231" s="1274">
        <v>1350</v>
      </c>
      <c r="K1231" s="703"/>
      <c r="L1231" s="703"/>
      <c r="M1231" s="708"/>
      <c r="N1231" s="166"/>
      <c r="P1231" s="166"/>
    </row>
    <row r="1232" spans="1:16" s="711" customFormat="1" ht="13.2" hidden="1" customHeight="1">
      <c r="A1232" s="2271">
        <v>45453</v>
      </c>
      <c r="B1232" s="717" t="s">
        <v>5551</v>
      </c>
      <c r="C1232" s="1270"/>
      <c r="D1232" s="1270"/>
      <c r="E1232" s="1270"/>
      <c r="F1232" s="724"/>
      <c r="G1232" s="1287" t="s">
        <v>1009</v>
      </c>
      <c r="H1232" s="1288" t="s">
        <v>5458</v>
      </c>
      <c r="I1232" s="1270"/>
      <c r="J1232" s="1274">
        <v>1350</v>
      </c>
      <c r="K1232" s="703"/>
      <c r="L1232" s="703"/>
      <c r="M1232" s="708"/>
      <c r="N1232" s="166"/>
      <c r="P1232" s="166"/>
    </row>
    <row r="1233" spans="1:16" s="711" customFormat="1" ht="13.2" hidden="1" customHeight="1">
      <c r="A1233" s="2272">
        <v>45453</v>
      </c>
      <c r="B1233" s="717" t="s">
        <v>5486</v>
      </c>
      <c r="C1233" s="1270">
        <v>67148752</v>
      </c>
      <c r="D1233" s="1337" t="s">
        <v>5651</v>
      </c>
      <c r="E1233" s="1270"/>
      <c r="F1233" s="724"/>
      <c r="G1233" s="1287" t="s">
        <v>4664</v>
      </c>
      <c r="H1233" s="1288" t="s">
        <v>5459</v>
      </c>
      <c r="I1233" s="1270"/>
      <c r="J1233" s="1274">
        <v>1350</v>
      </c>
      <c r="K1233" s="703"/>
      <c r="L1233" s="703">
        <v>1</v>
      </c>
      <c r="M1233" s="1318" t="s">
        <v>5593</v>
      </c>
      <c r="N1233" s="166"/>
      <c r="P1233" s="166"/>
    </row>
    <row r="1234" spans="1:16" s="711" customFormat="1" ht="13.2" hidden="1" customHeight="1">
      <c r="A1234" s="2271">
        <v>45453</v>
      </c>
      <c r="B1234" s="1312" t="s">
        <v>5523</v>
      </c>
      <c r="C1234" s="1270">
        <v>85580976</v>
      </c>
      <c r="D1234" s="1337" t="s">
        <v>5650</v>
      </c>
      <c r="E1234" s="1270"/>
      <c r="F1234" s="1313"/>
      <c r="G1234" s="1287" t="s">
        <v>1032</v>
      </c>
      <c r="H1234" s="1288" t="s">
        <v>5460</v>
      </c>
      <c r="I1234" s="1270"/>
      <c r="J1234" s="1274">
        <v>1350</v>
      </c>
      <c r="K1234" s="703"/>
      <c r="L1234" s="703">
        <v>1</v>
      </c>
      <c r="M1234" s="1370" t="s">
        <v>5801</v>
      </c>
      <c r="N1234" s="166"/>
      <c r="P1234" s="166"/>
    </row>
    <row r="1235" spans="1:16" s="711" customFormat="1" ht="13.2" customHeight="1">
      <c r="A1235" s="2270">
        <v>45453</v>
      </c>
      <c r="B1235" s="709" t="s">
        <v>5461</v>
      </c>
      <c r="C1235" s="1268"/>
      <c r="D1235" s="1463" t="s">
        <v>3770</v>
      </c>
      <c r="E1235" s="1555" t="s">
        <v>6443</v>
      </c>
      <c r="F1235" s="1481" t="s">
        <v>6196</v>
      </c>
      <c r="G1235" s="1283" t="s">
        <v>1971</v>
      </c>
      <c r="H1235" s="1284" t="s">
        <v>5462</v>
      </c>
      <c r="I1235" s="1268">
        <f>29-9.86-14-1.6-1-1.5-1.04</f>
        <v>0</v>
      </c>
      <c r="J1235" s="1503" t="s">
        <v>6319</v>
      </c>
      <c r="K1235" s="1639" t="s">
        <v>6839</v>
      </c>
      <c r="L1235" s="703"/>
      <c r="M1235" s="708"/>
      <c r="N1235" s="166"/>
      <c r="O1235" s="1311"/>
      <c r="P1235" s="166"/>
    </row>
    <row r="1236" spans="1:16" s="711" customFormat="1" ht="13.2" hidden="1" customHeight="1">
      <c r="A1236" s="2271">
        <v>45454</v>
      </c>
      <c r="B1236" s="1312" t="s">
        <v>5480</v>
      </c>
      <c r="C1236" s="1270">
        <v>11578379</v>
      </c>
      <c r="D1236" s="1270"/>
      <c r="E1236" s="1270"/>
      <c r="F1236" s="1313"/>
      <c r="G1236" s="1287" t="s">
        <v>2266</v>
      </c>
      <c r="H1236" s="1288" t="s">
        <v>5464</v>
      </c>
      <c r="I1236" s="1270"/>
      <c r="J1236" s="1285">
        <v>1350</v>
      </c>
      <c r="K1236" s="703"/>
      <c r="L1236" s="703">
        <v>1</v>
      </c>
      <c r="M1236" s="1338" t="s">
        <v>5614</v>
      </c>
      <c r="N1236" s="166"/>
      <c r="P1236" s="166"/>
    </row>
    <row r="1237" spans="1:16" s="711" customFormat="1" ht="13.2" hidden="1" customHeight="1">
      <c r="A1237" s="2271">
        <v>45454</v>
      </c>
      <c r="B1237" s="1312" t="s">
        <v>5479</v>
      </c>
      <c r="C1237" s="1270">
        <v>25197068</v>
      </c>
      <c r="D1237" s="1453" t="s">
        <v>6079</v>
      </c>
      <c r="E1237" s="1520" t="s">
        <v>6400</v>
      </c>
      <c r="F1237" s="1313" t="s">
        <v>6401</v>
      </c>
      <c r="G1237" s="1287" t="s">
        <v>2056</v>
      </c>
      <c r="H1237" s="1288" t="s">
        <v>5465</v>
      </c>
      <c r="I1237" s="1270"/>
      <c r="J1237" s="1285">
        <v>1350</v>
      </c>
      <c r="K1237" s="703"/>
      <c r="L1237" s="703">
        <v>1</v>
      </c>
      <c r="M1237" s="1543" t="s">
        <v>6462</v>
      </c>
      <c r="N1237" s="166"/>
      <c r="P1237" s="166"/>
    </row>
    <row r="1238" spans="1:16" s="711" customFormat="1" ht="13.2" hidden="1" customHeight="1">
      <c r="A1238" s="2270">
        <v>45454</v>
      </c>
      <c r="B1238" s="1312" t="s">
        <v>5783</v>
      </c>
      <c r="C1238" s="1270">
        <v>123</v>
      </c>
      <c r="D1238" s="1395" t="s">
        <v>5917</v>
      </c>
      <c r="E1238" s="1270"/>
      <c r="F1238" s="1313"/>
      <c r="G1238" s="1287" t="s">
        <v>2312</v>
      </c>
      <c r="H1238" s="1288" t="s">
        <v>5466</v>
      </c>
      <c r="I1238" s="1270"/>
      <c r="J1238" s="1285" t="s">
        <v>5467</v>
      </c>
      <c r="K1238" s="703"/>
      <c r="L1238" s="703"/>
      <c r="M1238" s="708"/>
      <c r="N1238" s="166"/>
      <c r="P1238" s="166"/>
    </row>
    <row r="1239" spans="1:16" s="711" customFormat="1" ht="13.2" hidden="1" customHeight="1">
      <c r="A1239" s="2270">
        <v>45454</v>
      </c>
      <c r="B1239" s="1312" t="s">
        <v>5488</v>
      </c>
      <c r="C1239" s="1270">
        <v>91327795</v>
      </c>
      <c r="D1239" s="1287"/>
      <c r="E1239" s="1270"/>
      <c r="F1239" s="1313"/>
      <c r="G1239" s="1287" t="s">
        <v>1006</v>
      </c>
      <c r="H1239" s="1288" t="s">
        <v>5468</v>
      </c>
      <c r="I1239" s="1270"/>
      <c r="J1239" s="1274">
        <v>1400</v>
      </c>
      <c r="K1239" s="703"/>
      <c r="L1239" s="703">
        <v>1</v>
      </c>
      <c r="M1239" s="1370" t="s">
        <v>5845</v>
      </c>
      <c r="N1239" s="166"/>
      <c r="P1239" s="166"/>
    </row>
    <row r="1240" spans="1:16" s="711" customFormat="1" ht="13.2" hidden="1" customHeight="1">
      <c r="A1240" s="2270">
        <v>45454</v>
      </c>
      <c r="B1240" s="1312" t="s">
        <v>5487</v>
      </c>
      <c r="C1240" s="1270">
        <v>67941158</v>
      </c>
      <c r="D1240" s="1453" t="s">
        <v>6079</v>
      </c>
      <c r="E1240" s="1270"/>
      <c r="F1240" s="1313"/>
      <c r="G1240" s="1442" t="s">
        <v>2012</v>
      </c>
      <c r="H1240" s="1288" t="s">
        <v>5469</v>
      </c>
      <c r="I1240" s="1270"/>
      <c r="J1240" s="1274">
        <v>1350</v>
      </c>
      <c r="K1240" s="703">
        <v>1</v>
      </c>
      <c r="L1240" s="1493" t="s">
        <v>6262</v>
      </c>
      <c r="M1240" s="708"/>
      <c r="N1240" s="166"/>
      <c r="P1240" s="166"/>
    </row>
    <row r="1241" spans="1:16" s="711" customFormat="1" ht="13.2" hidden="1" customHeight="1">
      <c r="A1241" s="2269">
        <v>45455</v>
      </c>
      <c r="B1241" s="1312" t="s">
        <v>5478</v>
      </c>
      <c r="C1241" s="1270">
        <v>94670224</v>
      </c>
      <c r="D1241" s="1270"/>
      <c r="E1241" s="1270"/>
      <c r="F1241" s="1313"/>
      <c r="G1241" s="1287" t="s">
        <v>1970</v>
      </c>
      <c r="H1241" s="1288" t="s">
        <v>5470</v>
      </c>
      <c r="I1241" s="1270"/>
      <c r="J1241" s="1274">
        <v>1350</v>
      </c>
      <c r="K1241" s="703"/>
      <c r="L1241" s="703"/>
      <c r="M1241" s="708"/>
      <c r="N1241" s="166"/>
      <c r="P1241" s="166"/>
    </row>
    <row r="1242" spans="1:16" s="711" customFormat="1" ht="13.2" hidden="1" customHeight="1">
      <c r="A1242" s="2270">
        <v>45455</v>
      </c>
      <c r="B1242" s="709" t="s">
        <v>5471</v>
      </c>
      <c r="C1242" s="1268"/>
      <c r="D1242" s="1268"/>
      <c r="E1242" s="1544" t="s">
        <v>6443</v>
      </c>
      <c r="F1242" s="1310" t="s">
        <v>6151</v>
      </c>
      <c r="G1242" s="1283" t="s">
        <v>2312</v>
      </c>
      <c r="H1242" s="1284" t="s">
        <v>5472</v>
      </c>
      <c r="I1242" s="1268"/>
      <c r="J1242" s="1274">
        <v>1350</v>
      </c>
      <c r="K1242" s="703"/>
      <c r="L1242" s="703"/>
      <c r="M1242" s="708"/>
      <c r="N1242" s="166"/>
      <c r="P1242" s="166"/>
    </row>
    <row r="1243" spans="1:16" s="711" customFormat="1" ht="13.2" hidden="1" customHeight="1">
      <c r="A1243" s="2270">
        <v>45455</v>
      </c>
      <c r="B1243" s="1312" t="s">
        <v>5477</v>
      </c>
      <c r="C1243" s="1270">
        <v>80832623</v>
      </c>
      <c r="D1243" s="1270"/>
      <c r="E1243" s="1270"/>
      <c r="F1243" s="1313"/>
      <c r="G1243" s="1287" t="s">
        <v>2221</v>
      </c>
      <c r="H1243" s="1288" t="s">
        <v>5473</v>
      </c>
      <c r="I1243" s="1270"/>
      <c r="J1243" s="1274">
        <v>1350</v>
      </c>
      <c r="K1243" s="703"/>
      <c r="L1243" s="703"/>
      <c r="M1243" s="708"/>
      <c r="N1243" s="166"/>
      <c r="P1243" s="166"/>
    </row>
    <row r="1244" spans="1:16" s="711" customFormat="1" ht="13.2" hidden="1" customHeight="1">
      <c r="A1244" s="2269">
        <v>45455</v>
      </c>
      <c r="B1244" s="1312" t="s">
        <v>5779</v>
      </c>
      <c r="C1244" s="1270">
        <v>13438289</v>
      </c>
      <c r="D1244" s="1466" t="s">
        <v>6139</v>
      </c>
      <c r="E1244" s="1270"/>
      <c r="F1244" s="1313"/>
      <c r="G1244" s="1287" t="s">
        <v>1973</v>
      </c>
      <c r="H1244" s="1288" t="s">
        <v>5474</v>
      </c>
      <c r="I1244" s="1270"/>
      <c r="J1244" s="1274">
        <v>1350</v>
      </c>
      <c r="K1244" s="703"/>
      <c r="L1244" s="703"/>
      <c r="M1244" s="708"/>
      <c r="N1244" s="166"/>
      <c r="P1244" s="166"/>
    </row>
    <row r="1245" spans="1:16" s="711" customFormat="1" ht="13.2" hidden="1" customHeight="1">
      <c r="A1245" s="2271">
        <v>45456</v>
      </c>
      <c r="B1245" s="1312" t="s">
        <v>5489</v>
      </c>
      <c r="C1245" s="1270">
        <v>74905357</v>
      </c>
      <c r="D1245" s="1270"/>
      <c r="E1245" s="1270"/>
      <c r="F1245" s="1313"/>
      <c r="G1245" s="1287" t="s">
        <v>2251</v>
      </c>
      <c r="H1245" s="1288" t="s">
        <v>5496</v>
      </c>
      <c r="I1245" s="1270"/>
      <c r="J1245" s="1274">
        <v>1350</v>
      </c>
      <c r="K1245" s="703"/>
      <c r="L1245" s="703">
        <v>1</v>
      </c>
      <c r="M1245" s="1350" t="s">
        <v>5729</v>
      </c>
      <c r="N1245" s="166"/>
      <c r="P1245" s="166"/>
    </row>
    <row r="1246" spans="1:16" s="711" customFormat="1" ht="13.2" hidden="1" customHeight="1">
      <c r="A1246" s="2270">
        <v>45456</v>
      </c>
      <c r="B1246" s="1312" t="s">
        <v>5490</v>
      </c>
      <c r="C1246" s="1270">
        <v>80897041</v>
      </c>
      <c r="D1246" s="1270"/>
      <c r="E1246" s="1270"/>
      <c r="F1246" s="1313"/>
      <c r="G1246" s="1287" t="s">
        <v>5491</v>
      </c>
      <c r="H1246" s="1288" t="s">
        <v>5499</v>
      </c>
      <c r="I1246" s="1270"/>
      <c r="J1246" s="1274">
        <v>1350</v>
      </c>
      <c r="K1246" s="703"/>
      <c r="L1246" s="703"/>
      <c r="M1246" s="708"/>
      <c r="N1246" s="166"/>
      <c r="P1246" s="166"/>
    </row>
    <row r="1247" spans="1:16" s="711" customFormat="1" ht="13.2" hidden="1" customHeight="1">
      <c r="A1247" s="2271">
        <v>45456</v>
      </c>
      <c r="B1247" s="1312" t="s">
        <v>5527</v>
      </c>
      <c r="C1247" s="1270">
        <v>24855572</v>
      </c>
      <c r="D1247" s="1453" t="s">
        <v>6079</v>
      </c>
      <c r="E1247" s="1270"/>
      <c r="F1247" s="1313"/>
      <c r="G1247" s="1287" t="s">
        <v>2056</v>
      </c>
      <c r="H1247" s="1288" t="s">
        <v>5495</v>
      </c>
      <c r="I1247" s="1270"/>
      <c r="J1247" s="1274">
        <v>1350</v>
      </c>
      <c r="K1247" s="703"/>
      <c r="L1247" s="703">
        <v>1</v>
      </c>
      <c r="M1247" s="1480" t="s">
        <v>6195</v>
      </c>
      <c r="N1247" s="166"/>
      <c r="P1247" s="166"/>
    </row>
    <row r="1248" spans="1:16" s="711" customFormat="1" ht="13.2" hidden="1" customHeight="1">
      <c r="A1248" s="2269">
        <v>45456</v>
      </c>
      <c r="B1248" s="1312" t="s">
        <v>5524</v>
      </c>
      <c r="C1248" s="1270">
        <v>40511087</v>
      </c>
      <c r="D1248" s="1270"/>
      <c r="E1248" s="1270"/>
      <c r="F1248" s="1313"/>
      <c r="G1248" s="1287" t="s">
        <v>3312</v>
      </c>
      <c r="H1248" s="1288" t="s">
        <v>5497</v>
      </c>
      <c r="I1248" s="1270"/>
      <c r="J1248" s="1274">
        <v>1350</v>
      </c>
      <c r="K1248" s="703"/>
      <c r="L1248" s="703">
        <v>1</v>
      </c>
      <c r="M1248" s="1297" t="s">
        <v>5533</v>
      </c>
      <c r="N1248" s="166"/>
      <c r="P1248" s="166"/>
    </row>
    <row r="1249" spans="1:16" s="711" customFormat="1" ht="13.2" hidden="1" customHeight="1">
      <c r="A1249" s="2271">
        <v>45456</v>
      </c>
      <c r="B1249" s="1312" t="s">
        <v>5500</v>
      </c>
      <c r="C1249" s="1270">
        <v>50304852</v>
      </c>
      <c r="D1249" s="1270"/>
      <c r="E1249" s="1270"/>
      <c r="F1249" s="1313"/>
      <c r="G1249" s="1287" t="s">
        <v>2478</v>
      </c>
      <c r="H1249" s="1288" t="s">
        <v>5498</v>
      </c>
      <c r="I1249" s="1270"/>
      <c r="J1249" s="1274">
        <v>1350</v>
      </c>
      <c r="K1249" s="703"/>
      <c r="L1249" s="703"/>
      <c r="M1249" s="708"/>
      <c r="N1249" s="166"/>
      <c r="P1249" s="166"/>
    </row>
    <row r="1250" spans="1:16" s="711" customFormat="1" ht="13.2" hidden="1" customHeight="1">
      <c r="A1250" s="2273">
        <v>45457</v>
      </c>
      <c r="B1250" s="1312" t="s">
        <v>5781</v>
      </c>
      <c r="C1250" s="1270">
        <v>123</v>
      </c>
      <c r="D1250" s="1270"/>
      <c r="E1250" s="1270"/>
      <c r="F1250" s="1313"/>
      <c r="G1250" s="1307" t="s">
        <v>2312</v>
      </c>
      <c r="H1250" s="1309" t="s">
        <v>5501</v>
      </c>
      <c r="I1250" s="1270"/>
      <c r="J1250" s="1274">
        <v>1350</v>
      </c>
      <c r="K1250" s="703"/>
      <c r="L1250" s="703"/>
      <c r="M1250" s="708"/>
      <c r="N1250" s="166"/>
      <c r="P1250" s="166"/>
    </row>
    <row r="1251" spans="1:16" s="711" customFormat="1" ht="13.2" hidden="1" customHeight="1">
      <c r="A1251" s="2274">
        <v>45457</v>
      </c>
      <c r="B1251" s="1312" t="s">
        <v>5535</v>
      </c>
      <c r="C1251" s="1270">
        <v>91625008</v>
      </c>
      <c r="D1251" s="1270"/>
      <c r="E1251" s="1270"/>
      <c r="F1251" s="1313"/>
      <c r="G1251" s="1307" t="s">
        <v>1009</v>
      </c>
      <c r="H1251" s="1309" t="s">
        <v>5502</v>
      </c>
      <c r="I1251" s="1270"/>
      <c r="J1251" s="1274">
        <v>1350</v>
      </c>
      <c r="K1251" s="703"/>
      <c r="L1251" s="703"/>
      <c r="M1251" s="708"/>
      <c r="N1251" s="166"/>
      <c r="P1251" s="166"/>
    </row>
    <row r="1252" spans="1:16" s="711" customFormat="1" ht="13.2" hidden="1" customHeight="1">
      <c r="A1252" s="2275">
        <v>45457</v>
      </c>
      <c r="B1252" s="1312" t="s">
        <v>5615</v>
      </c>
      <c r="C1252" s="1270">
        <v>59076876</v>
      </c>
      <c r="D1252" s="1270"/>
      <c r="E1252" s="1270"/>
      <c r="F1252" s="1313"/>
      <c r="G1252" s="1307" t="s">
        <v>2266</v>
      </c>
      <c r="H1252" s="1309" t="s">
        <v>5503</v>
      </c>
      <c r="I1252" s="1270"/>
      <c r="J1252" s="1274">
        <v>1350</v>
      </c>
      <c r="K1252" s="703"/>
      <c r="L1252" s="703">
        <v>1</v>
      </c>
      <c r="M1252" s="708"/>
      <c r="N1252" s="166"/>
      <c r="P1252" s="166"/>
    </row>
    <row r="1253" spans="1:16" s="711" customFormat="1" ht="13.2" hidden="1" customHeight="1">
      <c r="A1253" s="2274">
        <v>45457</v>
      </c>
      <c r="B1253" s="1312" t="s">
        <v>5529</v>
      </c>
      <c r="C1253" s="1270">
        <v>25928393</v>
      </c>
      <c r="D1253" s="1496" t="s">
        <v>6297</v>
      </c>
      <c r="E1253" s="1270"/>
      <c r="F1253" s="1313" t="s">
        <v>6151</v>
      </c>
      <c r="G1253" s="1307" t="s">
        <v>1009</v>
      </c>
      <c r="H1253" s="1309" t="s">
        <v>5504</v>
      </c>
      <c r="I1253" s="1270"/>
      <c r="J1253" s="1274">
        <v>1350</v>
      </c>
      <c r="K1253" s="703"/>
      <c r="L1253" s="703"/>
      <c r="M1253" s="708"/>
      <c r="N1253" s="166"/>
      <c r="P1253" s="166"/>
    </row>
    <row r="1254" spans="1:16" s="711" customFormat="1" ht="13.2" hidden="1" customHeight="1">
      <c r="A1254" s="2273">
        <v>45457</v>
      </c>
      <c r="B1254" s="1312" t="s">
        <v>5568</v>
      </c>
      <c r="C1254" s="1270">
        <v>98390910</v>
      </c>
      <c r="D1254" s="1270"/>
      <c r="E1254" s="1270"/>
      <c r="F1254" s="1313"/>
      <c r="G1254" s="1307" t="s">
        <v>1996</v>
      </c>
      <c r="H1254" s="1309" t="s">
        <v>5505</v>
      </c>
      <c r="I1254" s="1270"/>
      <c r="J1254" s="1274">
        <v>1350</v>
      </c>
      <c r="K1254" s="703"/>
      <c r="L1254" s="703"/>
      <c r="M1254" s="708"/>
      <c r="N1254" s="166"/>
      <c r="P1254" s="166"/>
    </row>
    <row r="1255" spans="1:16" s="711" customFormat="1" ht="13.2" hidden="1" customHeight="1">
      <c r="A1255" s="2274">
        <v>45457</v>
      </c>
      <c r="B1255" s="1312" t="s">
        <v>5531</v>
      </c>
      <c r="C1255" s="1270">
        <v>33250010</v>
      </c>
      <c r="D1255" s="1520" t="s">
        <v>6396</v>
      </c>
      <c r="E1255" s="1520" t="s">
        <v>6400</v>
      </c>
      <c r="F1255" s="1313" t="s">
        <v>6401</v>
      </c>
      <c r="G1255" s="1307" t="s">
        <v>1009</v>
      </c>
      <c r="H1255" s="1502" t="s">
        <v>6307</v>
      </c>
      <c r="I1255" s="1270"/>
      <c r="J1255" s="1274"/>
      <c r="K1255" s="703"/>
      <c r="L1255" s="703"/>
      <c r="M1255" s="708"/>
      <c r="N1255" s="166"/>
      <c r="P1255" s="166"/>
    </row>
    <row r="1256" spans="1:16" s="711" customFormat="1" ht="13.2" hidden="1" customHeight="1">
      <c r="A1256" s="2273">
        <v>45457</v>
      </c>
      <c r="B1256" s="1312" t="s">
        <v>5577</v>
      </c>
      <c r="C1256" s="1270">
        <v>17574117</v>
      </c>
      <c r="D1256" s="1270"/>
      <c r="E1256" s="1270"/>
      <c r="F1256" s="1313"/>
      <c r="G1256" s="1307" t="s">
        <v>1996</v>
      </c>
      <c r="H1256" s="1309" t="s">
        <v>5506</v>
      </c>
      <c r="I1256" s="1270"/>
      <c r="J1256" s="1274">
        <v>1350</v>
      </c>
      <c r="K1256" s="703"/>
      <c r="L1256" s="703"/>
      <c r="M1256" s="708"/>
      <c r="N1256" s="166"/>
      <c r="P1256" s="166"/>
    </row>
    <row r="1257" spans="1:16" s="711" customFormat="1" ht="13.2" hidden="1" customHeight="1">
      <c r="A1257" s="2273">
        <v>45458</v>
      </c>
      <c r="B1257" s="1312" t="s">
        <v>5507</v>
      </c>
      <c r="C1257" s="1270"/>
      <c r="D1257" s="1270"/>
      <c r="E1257" s="1270"/>
      <c r="F1257" s="1313"/>
      <c r="G1257" s="1307" t="s">
        <v>2749</v>
      </c>
      <c r="H1257" s="1288"/>
      <c r="I1257" s="1270"/>
      <c r="J1257" s="1315" t="s">
        <v>5509</v>
      </c>
      <c r="K1257" s="703"/>
      <c r="L1257" s="703"/>
      <c r="M1257" s="708"/>
      <c r="N1257" s="166"/>
      <c r="P1257" s="166"/>
    </row>
    <row r="1258" spans="1:16" s="711" customFormat="1" ht="13.2" customHeight="1">
      <c r="A1258" s="2273">
        <v>45458</v>
      </c>
      <c r="B1258" s="1312" t="s">
        <v>5528</v>
      </c>
      <c r="C1258" s="1270">
        <v>36090531</v>
      </c>
      <c r="D1258" s="1631" t="s">
        <v>6810</v>
      </c>
      <c r="E1258" s="1578" t="s">
        <v>6443</v>
      </c>
      <c r="F1258" s="1520"/>
      <c r="G1258" s="1307" t="s">
        <v>2312</v>
      </c>
      <c r="H1258" s="1309" t="s">
        <v>5510</v>
      </c>
      <c r="I1258" s="1270">
        <v>1</v>
      </c>
      <c r="J1258" s="1315">
        <v>1350</v>
      </c>
      <c r="K1258" s="703"/>
      <c r="L1258" s="703"/>
      <c r="M1258" s="708"/>
      <c r="N1258" s="166"/>
      <c r="P1258" s="166"/>
    </row>
    <row r="1259" spans="1:16" s="711" customFormat="1" ht="13.2" hidden="1" customHeight="1">
      <c r="A1259" s="2273">
        <v>45458</v>
      </c>
      <c r="B1259" s="1001" t="s">
        <v>5610</v>
      </c>
      <c r="C1259" s="1331"/>
      <c r="D1259" s="1331"/>
      <c r="E1259" s="1331"/>
      <c r="F1259" s="980"/>
      <c r="G1259" s="1332" t="s">
        <v>2012</v>
      </c>
      <c r="H1259" s="1333" t="s">
        <v>5511</v>
      </c>
      <c r="I1259" s="1331"/>
      <c r="J1259" s="1315">
        <v>1350</v>
      </c>
      <c r="K1259" s="703">
        <v>1</v>
      </c>
      <c r="L1259" s="1383" t="s">
        <v>5896</v>
      </c>
      <c r="M1259" s="708"/>
      <c r="N1259" s="166"/>
      <c r="P1259" s="166"/>
    </row>
    <row r="1260" spans="1:16" s="711" customFormat="1" ht="13.2" hidden="1" customHeight="1">
      <c r="A1260" s="2274">
        <v>45458</v>
      </c>
      <c r="B1260" s="1312" t="s">
        <v>5526</v>
      </c>
      <c r="C1260" s="1270">
        <v>67015247</v>
      </c>
      <c r="D1260" s="1270"/>
      <c r="E1260" s="1270"/>
      <c r="F1260" s="1313"/>
      <c r="G1260" s="1307" t="s">
        <v>1032</v>
      </c>
      <c r="H1260" s="1309" t="s">
        <v>5512</v>
      </c>
      <c r="I1260" s="1270"/>
      <c r="J1260" s="1274">
        <v>1350</v>
      </c>
      <c r="K1260" s="703"/>
      <c r="L1260" s="703">
        <v>1</v>
      </c>
      <c r="M1260" s="1370" t="s">
        <v>5801</v>
      </c>
      <c r="N1260" s="166"/>
      <c r="P1260" s="166"/>
    </row>
    <row r="1261" spans="1:16" s="711" customFormat="1" ht="13.2" hidden="1" customHeight="1">
      <c r="A1261" s="2273">
        <v>45459</v>
      </c>
      <c r="B1261" s="1312" t="s">
        <v>5938</v>
      </c>
      <c r="C1261" s="1270">
        <v>29464092</v>
      </c>
      <c r="D1261" s="1453" t="s">
        <v>6079</v>
      </c>
      <c r="E1261" s="1270"/>
      <c r="F1261" s="1313"/>
      <c r="G1261" s="1307" t="s">
        <v>1996</v>
      </c>
      <c r="H1261" s="1406" t="s">
        <v>5915</v>
      </c>
      <c r="I1261" s="1270"/>
      <c r="J1261" s="1315" t="s">
        <v>5513</v>
      </c>
      <c r="K1261" s="703">
        <v>1</v>
      </c>
      <c r="L1261" s="703"/>
      <c r="M1261" s="708"/>
      <c r="N1261" s="166"/>
      <c r="P1261" s="166"/>
    </row>
    <row r="1262" spans="1:16" s="711" customFormat="1" ht="13.2" hidden="1" customHeight="1">
      <c r="A1262" s="2273">
        <v>45460</v>
      </c>
      <c r="B1262" s="1312" t="s">
        <v>6244</v>
      </c>
      <c r="C1262" s="1270"/>
      <c r="D1262" s="1270"/>
      <c r="E1262" s="1270"/>
      <c r="F1262" s="1313"/>
      <c r="G1262" s="1307" t="s">
        <v>2312</v>
      </c>
      <c r="H1262" s="1309" t="s">
        <v>5514</v>
      </c>
      <c r="I1262" s="1270"/>
      <c r="J1262" s="1274">
        <v>1350</v>
      </c>
      <c r="K1262" s="703"/>
      <c r="L1262" s="703"/>
      <c r="M1262" s="708"/>
      <c r="N1262" s="166"/>
      <c r="P1262" s="166"/>
    </row>
    <row r="1263" spans="1:16" s="711" customFormat="1" ht="13.2" hidden="1" customHeight="1">
      <c r="A1263" s="2274">
        <v>45460</v>
      </c>
      <c r="B1263" s="1312" t="s">
        <v>5760</v>
      </c>
      <c r="C1263" s="1270">
        <v>22101417</v>
      </c>
      <c r="D1263" s="1496" t="s">
        <v>6297</v>
      </c>
      <c r="E1263" s="1270"/>
      <c r="F1263" s="1313" t="s">
        <v>6151</v>
      </c>
      <c r="G1263" s="1307" t="s">
        <v>1009</v>
      </c>
      <c r="H1263" s="1309" t="s">
        <v>5515</v>
      </c>
      <c r="I1263" s="1270"/>
      <c r="J1263" s="1274">
        <v>1350</v>
      </c>
      <c r="K1263" s="703"/>
      <c r="L1263" s="703"/>
      <c r="M1263" s="708"/>
      <c r="N1263" s="166"/>
      <c r="P1263" s="166"/>
    </row>
    <row r="1264" spans="1:16" s="711" customFormat="1" ht="13.2" hidden="1" customHeight="1">
      <c r="A1264" s="2273">
        <v>45460</v>
      </c>
      <c r="B1264" s="1312" t="s">
        <v>5747</v>
      </c>
      <c r="C1264" s="1270">
        <v>42709480</v>
      </c>
      <c r="D1264" s="1368" t="s">
        <v>5745</v>
      </c>
      <c r="E1264" s="1270"/>
      <c r="F1264" s="1313"/>
      <c r="G1264" s="1307" t="s">
        <v>1009</v>
      </c>
      <c r="H1264" s="1309" t="s">
        <v>5516</v>
      </c>
      <c r="I1264" s="1270"/>
      <c r="J1264" s="1274">
        <v>1350</v>
      </c>
      <c r="K1264" s="703"/>
      <c r="L1264" s="703"/>
      <c r="M1264" s="708"/>
      <c r="N1264" s="166"/>
      <c r="P1264" s="166"/>
    </row>
    <row r="1265" spans="1:24" s="711" customFormat="1" ht="13.2" hidden="1" customHeight="1">
      <c r="A1265" s="2274">
        <v>45460</v>
      </c>
      <c r="B1265" s="1312" t="s">
        <v>5780</v>
      </c>
      <c r="C1265" s="1270">
        <v>17576140</v>
      </c>
      <c r="D1265" s="1496" t="s">
        <v>6297</v>
      </c>
      <c r="E1265" s="1270"/>
      <c r="F1265" s="1313" t="s">
        <v>6151</v>
      </c>
      <c r="G1265" s="1307" t="s">
        <v>1009</v>
      </c>
      <c r="H1265" s="1367" t="s">
        <v>5761</v>
      </c>
      <c r="I1265" s="1270"/>
      <c r="J1265" s="1274">
        <v>1350</v>
      </c>
      <c r="K1265" s="703"/>
      <c r="L1265" s="703"/>
      <c r="M1265" s="708"/>
      <c r="N1265" s="166"/>
      <c r="P1265" s="166"/>
    </row>
    <row r="1266" spans="1:24" s="711" customFormat="1" ht="13.2" hidden="1" customHeight="1">
      <c r="A1266" s="2275">
        <v>45461</v>
      </c>
      <c r="B1266" s="1312" t="s">
        <v>5759</v>
      </c>
      <c r="C1266" s="1270">
        <v>54739634</v>
      </c>
      <c r="D1266" s="1395" t="s">
        <v>5937</v>
      </c>
      <c r="E1266" s="1270"/>
      <c r="F1266" s="1313"/>
      <c r="G1266" s="1307" t="s">
        <v>1009</v>
      </c>
      <c r="H1266" s="1309" t="s">
        <v>5519</v>
      </c>
      <c r="I1266" s="1270"/>
      <c r="J1266" s="1274">
        <v>1350</v>
      </c>
      <c r="K1266" s="703"/>
      <c r="L1266" s="703"/>
      <c r="M1266" s="708"/>
      <c r="N1266" s="166"/>
      <c r="P1266" s="166"/>
    </row>
    <row r="1267" spans="1:24" s="711" customFormat="1" ht="13.2" hidden="1" customHeight="1">
      <c r="A1267" s="2275">
        <v>45461</v>
      </c>
      <c r="B1267" s="1312" t="s">
        <v>5525</v>
      </c>
      <c r="C1267" s="1270">
        <v>29297645</v>
      </c>
      <c r="D1267" s="1270"/>
      <c r="E1267" s="1270"/>
      <c r="F1267" s="1313"/>
      <c r="G1267" s="1307" t="s">
        <v>2254</v>
      </c>
      <c r="H1267" s="1309" t="s">
        <v>5520</v>
      </c>
      <c r="I1267" s="1270"/>
      <c r="J1267" s="1274">
        <v>1350</v>
      </c>
      <c r="K1267" s="703"/>
      <c r="L1267" s="703"/>
      <c r="M1267" s="708"/>
      <c r="N1267" s="166"/>
      <c r="P1267" s="166"/>
    </row>
    <row r="1268" spans="1:24" s="711" customFormat="1" ht="13.8" hidden="1" customHeight="1">
      <c r="A1268" s="2273">
        <v>45462</v>
      </c>
      <c r="B1268" s="1312" t="s">
        <v>5532</v>
      </c>
      <c r="C1268" s="1270">
        <v>98641654</v>
      </c>
      <c r="D1268" s="1270"/>
      <c r="E1268" s="1270"/>
      <c r="F1268" s="1313"/>
      <c r="G1268" s="1307" t="s">
        <v>3312</v>
      </c>
      <c r="H1268" s="1309" t="s">
        <v>5534</v>
      </c>
      <c r="I1268" s="1270"/>
      <c r="J1268" s="1274">
        <v>1350</v>
      </c>
      <c r="K1268" s="703"/>
      <c r="L1268" s="703">
        <v>1</v>
      </c>
      <c r="M1268" s="1297" t="s">
        <v>5533</v>
      </c>
      <c r="N1268" s="166"/>
      <c r="P1268" s="166"/>
    </row>
    <row r="1269" spans="1:24" s="711" customFormat="1" ht="13.8" hidden="1" customHeight="1">
      <c r="A1269" s="2276">
        <v>45542</v>
      </c>
      <c r="B1269" s="1323" t="s">
        <v>6303</v>
      </c>
      <c r="C1269" s="1307">
        <v>85314152</v>
      </c>
      <c r="D1269" s="1496" t="s">
        <v>6304</v>
      </c>
      <c r="E1269" s="1307"/>
      <c r="F1269" s="1504" t="s">
        <v>6346</v>
      </c>
      <c r="G1269" s="1496" t="s">
        <v>2478</v>
      </c>
      <c r="H1269" s="1502" t="s">
        <v>6259</v>
      </c>
      <c r="I1269" s="1326"/>
      <c r="J1269" s="1496" t="s">
        <v>6260</v>
      </c>
      <c r="K1269" s="1400"/>
      <c r="L1269" s="703"/>
      <c r="M1269" s="708"/>
      <c r="N1269" s="166"/>
      <c r="P1269" s="166"/>
    </row>
    <row r="1270" spans="1:24" s="711" customFormat="1" ht="13.8" hidden="1" customHeight="1">
      <c r="A1270" s="2274">
        <v>45462</v>
      </c>
      <c r="B1270" s="1312" t="s">
        <v>5570</v>
      </c>
      <c r="C1270" s="1270">
        <v>25745041</v>
      </c>
      <c r="D1270" s="1496" t="s">
        <v>6297</v>
      </c>
      <c r="E1270" s="1270"/>
      <c r="F1270" s="1313" t="s">
        <v>6151</v>
      </c>
      <c r="G1270" s="1307" t="s">
        <v>1009</v>
      </c>
      <c r="H1270" s="1309" t="s">
        <v>5545</v>
      </c>
      <c r="I1270" s="1270"/>
      <c r="J1270" s="1274">
        <v>1350</v>
      </c>
      <c r="K1270" s="703"/>
      <c r="L1270" s="703"/>
      <c r="M1270" s="708"/>
      <c r="N1270" s="166"/>
      <c r="P1270" s="166"/>
    </row>
    <row r="1271" spans="1:24" s="711" customFormat="1" ht="13.8" hidden="1" customHeight="1">
      <c r="A1271" s="2274">
        <v>45462</v>
      </c>
      <c r="B1271" s="1312" t="s">
        <v>5571</v>
      </c>
      <c r="C1271" s="1307">
        <v>55052255</v>
      </c>
      <c r="D1271" s="1520" t="s">
        <v>6396</v>
      </c>
      <c r="E1271" s="1520" t="s">
        <v>6400</v>
      </c>
      <c r="F1271" s="1313" t="s">
        <v>6401</v>
      </c>
      <c r="G1271" s="1307" t="s">
        <v>1009</v>
      </c>
      <c r="H1271" s="1309" t="s">
        <v>5546</v>
      </c>
      <c r="I1271" s="1270"/>
      <c r="J1271" s="1274">
        <v>1350</v>
      </c>
      <c r="K1271" s="703"/>
      <c r="L1271" s="703"/>
      <c r="M1271" s="708"/>
      <c r="N1271" s="166"/>
      <c r="P1271" s="166"/>
    </row>
    <row r="1272" spans="1:24" s="711" customFormat="1" ht="13.8" hidden="1" customHeight="1">
      <c r="A1272" s="2273">
        <v>45462</v>
      </c>
      <c r="B1272" s="975" t="s">
        <v>5569</v>
      </c>
      <c r="C1272" s="1272">
        <v>37164159</v>
      </c>
      <c r="D1272" s="1400" t="s">
        <v>5934</v>
      </c>
      <c r="E1272" s="1579" t="s">
        <v>6443</v>
      </c>
      <c r="F1272" s="976" t="s">
        <v>6151</v>
      </c>
      <c r="G1272" s="1299" t="s">
        <v>2312</v>
      </c>
      <c r="H1272" s="1300" t="s">
        <v>5547</v>
      </c>
      <c r="I1272" s="1626" t="s">
        <v>6788</v>
      </c>
      <c r="J1272" s="1274">
        <v>1350</v>
      </c>
      <c r="K1272" s="703"/>
      <c r="L1272" s="703"/>
      <c r="M1272" s="708"/>
      <c r="N1272" s="166"/>
      <c r="P1272" s="166"/>
    </row>
    <row r="1273" spans="1:24" s="711" customFormat="1" ht="13.8" hidden="1" customHeight="1">
      <c r="A1273" s="2273">
        <v>45463</v>
      </c>
      <c r="B1273" s="1323" t="s">
        <v>5575</v>
      </c>
      <c r="C1273" s="1307">
        <v>82365446</v>
      </c>
      <c r="D1273" s="1307"/>
      <c r="E1273" s="1307"/>
      <c r="F1273" s="1313"/>
      <c r="G1273" s="1307" t="s">
        <v>5552</v>
      </c>
      <c r="H1273" s="1309" t="s">
        <v>5553</v>
      </c>
      <c r="I1273" s="1270"/>
      <c r="J1273" s="1274">
        <v>1350</v>
      </c>
      <c r="K1273" s="703">
        <v>1</v>
      </c>
      <c r="L1273" s="1383" t="s">
        <v>5896</v>
      </c>
      <c r="M1273" s="708"/>
      <c r="N1273" s="166"/>
      <c r="P1273" s="166"/>
    </row>
    <row r="1274" spans="1:24" s="711" customFormat="1" ht="13.8" hidden="1" customHeight="1">
      <c r="A1274" s="2273">
        <v>45463</v>
      </c>
      <c r="B1274" s="1323" t="s">
        <v>5868</v>
      </c>
      <c r="C1274" s="1307">
        <v>42663727</v>
      </c>
      <c r="D1274" s="1453" t="s">
        <v>6079</v>
      </c>
      <c r="E1274" s="1307"/>
      <c r="F1274" s="1313"/>
      <c r="G1274" s="1307" t="s">
        <v>5554</v>
      </c>
      <c r="H1274" s="1309" t="s">
        <v>5555</v>
      </c>
      <c r="I1274" s="1270"/>
      <c r="J1274" s="1274">
        <v>1350</v>
      </c>
      <c r="K1274" s="703"/>
      <c r="L1274" s="703"/>
      <c r="M1274" s="708"/>
      <c r="N1274" s="166"/>
      <c r="P1274" s="166"/>
    </row>
    <row r="1275" spans="1:24" s="711" customFormat="1" ht="13.8" hidden="1" customHeight="1">
      <c r="A1275" s="2274">
        <v>45463</v>
      </c>
      <c r="B1275" s="1323" t="s">
        <v>5573</v>
      </c>
      <c r="C1275" s="1307">
        <v>60735975</v>
      </c>
      <c r="D1275" s="1504" t="s">
        <v>6306</v>
      </c>
      <c r="E1275" s="1307"/>
      <c r="F1275" s="1313" t="s">
        <v>6151</v>
      </c>
      <c r="G1275" s="1466" t="s">
        <v>2056</v>
      </c>
      <c r="H1275" s="1309" t="s">
        <v>5556</v>
      </c>
      <c r="I1275" s="1327"/>
      <c r="J1275" s="1274">
        <v>1350</v>
      </c>
      <c r="K1275" s="703"/>
      <c r="L1275" s="703">
        <v>1</v>
      </c>
      <c r="M1275" s="1514" t="s">
        <v>6375</v>
      </c>
      <c r="N1275" s="166"/>
      <c r="P1275" s="166"/>
    </row>
    <row r="1276" spans="1:24" s="711" customFormat="1" ht="13.8" hidden="1" customHeight="1">
      <c r="A1276" s="2273">
        <v>45463</v>
      </c>
      <c r="B1276" s="1323" t="s">
        <v>5574</v>
      </c>
      <c r="C1276" s="1307">
        <v>33146687</v>
      </c>
      <c r="D1276" s="1307"/>
      <c r="E1276" s="1307"/>
      <c r="F1276" s="1313"/>
      <c r="G1276" s="1307" t="s">
        <v>1942</v>
      </c>
      <c r="H1276" s="1309" t="s">
        <v>5557</v>
      </c>
      <c r="I1276" s="1327"/>
      <c r="J1276" s="1274">
        <v>1350</v>
      </c>
      <c r="K1276" s="703">
        <v>1</v>
      </c>
      <c r="L1276" s="1379" t="s">
        <v>5869</v>
      </c>
      <c r="M1276" s="708"/>
      <c r="N1276" s="166"/>
      <c r="P1276" s="166"/>
    </row>
    <row r="1277" spans="1:24" s="711" customFormat="1" ht="13.8" hidden="1" customHeight="1">
      <c r="A1277" s="2275">
        <v>45463</v>
      </c>
      <c r="B1277" s="1323" t="s">
        <v>5576</v>
      </c>
      <c r="C1277" s="1307">
        <v>90156335</v>
      </c>
      <c r="D1277" s="1395" t="s">
        <v>5937</v>
      </c>
      <c r="E1277" s="1307"/>
      <c r="F1277" s="1313"/>
      <c r="G1277" s="1307" t="s">
        <v>1965</v>
      </c>
      <c r="H1277" s="1309" t="s">
        <v>5558</v>
      </c>
      <c r="I1277" s="1327"/>
      <c r="J1277" s="1274">
        <v>1350</v>
      </c>
      <c r="K1277" s="703"/>
      <c r="L1277" s="703"/>
      <c r="M1277" s="708"/>
      <c r="N1277" s="166"/>
      <c r="P1277" s="166"/>
    </row>
    <row r="1278" spans="1:24" s="711" customFormat="1" ht="13.8" hidden="1" customHeight="1">
      <c r="A1278" s="2273">
        <v>45463</v>
      </c>
      <c r="B1278" s="1316" t="s">
        <v>5933</v>
      </c>
      <c r="C1278" s="1305">
        <v>25256324</v>
      </c>
      <c r="D1278" s="1446" t="s">
        <v>3770</v>
      </c>
      <c r="E1278" s="1544" t="s">
        <v>6443</v>
      </c>
      <c r="F1278" s="1481" t="s">
        <v>6196</v>
      </c>
      <c r="G1278" s="1305" t="s">
        <v>1937</v>
      </c>
      <c r="H1278" s="1314" t="s">
        <v>5559</v>
      </c>
      <c r="I1278" s="1303">
        <v>0</v>
      </c>
      <c r="J1278" s="1274">
        <v>1350</v>
      </c>
      <c r="K1278" s="703"/>
      <c r="L1278" s="703"/>
      <c r="M1278" s="708"/>
      <c r="N1278" s="166"/>
      <c r="P1278" s="166"/>
    </row>
    <row r="1279" spans="1:24" s="1311" customFormat="1" ht="13.8" hidden="1" customHeight="1">
      <c r="A1279" s="2273">
        <v>45463</v>
      </c>
      <c r="B1279" s="1323" t="s">
        <v>5653</v>
      </c>
      <c r="C1279" s="1307">
        <v>24362186</v>
      </c>
      <c r="D1279" s="1337" t="s">
        <v>5654</v>
      </c>
      <c r="E1279" s="1307"/>
      <c r="F1279" s="1313"/>
      <c r="G1279" s="1307" t="s">
        <v>5560</v>
      </c>
      <c r="H1279" s="1309" t="s">
        <v>5561</v>
      </c>
      <c r="I1279" s="1327"/>
      <c r="J1279" s="1305" t="s">
        <v>5566</v>
      </c>
      <c r="K1279" s="703"/>
      <c r="L1279" s="703"/>
      <c r="M1279" s="708"/>
      <c r="N1279" s="166"/>
      <c r="P1279" s="166"/>
      <c r="Q1279" s="711"/>
      <c r="R1279" s="711"/>
      <c r="S1279" s="711"/>
      <c r="T1279" s="711"/>
      <c r="U1279" s="711"/>
      <c r="V1279" s="711"/>
      <c r="W1279" s="711"/>
      <c r="X1279" s="711"/>
    </row>
    <row r="1280" spans="1:24" s="711" customFormat="1" ht="13.2" hidden="1" customHeight="1">
      <c r="A1280" s="2273">
        <v>45463</v>
      </c>
      <c r="B1280" s="1323" t="s">
        <v>5655</v>
      </c>
      <c r="C1280" s="1307">
        <v>24947814</v>
      </c>
      <c r="D1280" s="1453" t="s">
        <v>6079</v>
      </c>
      <c r="E1280" s="1307"/>
      <c r="F1280" s="1313"/>
      <c r="G1280" s="1307" t="s">
        <v>5562</v>
      </c>
      <c r="H1280" s="1309" t="s">
        <v>5563</v>
      </c>
      <c r="I1280" s="1327"/>
      <c r="J1280" s="1274">
        <v>1350</v>
      </c>
      <c r="K1280" s="703"/>
      <c r="L1280" s="703">
        <v>1</v>
      </c>
      <c r="M1280" s="1445" t="s">
        <v>6068</v>
      </c>
      <c r="N1280" s="166"/>
      <c r="P1280" s="166"/>
    </row>
    <row r="1281" spans="1:16" s="711" customFormat="1" ht="13.2" hidden="1" customHeight="1">
      <c r="A1281" s="2273">
        <v>45463</v>
      </c>
      <c r="B1281" s="1323" t="s">
        <v>5578</v>
      </c>
      <c r="C1281" s="1307">
        <v>91795255</v>
      </c>
      <c r="D1281" s="1307"/>
      <c r="E1281" s="1307"/>
      <c r="F1281" s="1313"/>
      <c r="G1281" s="1307" t="s">
        <v>1954</v>
      </c>
      <c r="H1281" s="1309" t="s">
        <v>5564</v>
      </c>
      <c r="I1281" s="1327"/>
      <c r="J1281" s="1274">
        <v>1350</v>
      </c>
      <c r="K1281" s="703"/>
      <c r="L1281" s="703">
        <v>1.1000000000000001</v>
      </c>
      <c r="M1281" s="1318" t="s">
        <v>5533</v>
      </c>
      <c r="N1281" s="166"/>
      <c r="P1281" s="166"/>
    </row>
    <row r="1282" spans="1:16" s="711" customFormat="1" ht="13.2" hidden="1" customHeight="1">
      <c r="A1282" s="2274">
        <v>45463</v>
      </c>
      <c r="B1282" s="1323" t="s">
        <v>5885</v>
      </c>
      <c r="C1282" s="1510">
        <v>54069427</v>
      </c>
      <c r="D1282" s="1510" t="s">
        <v>6173</v>
      </c>
      <c r="E1282" s="1510" t="s">
        <v>651</v>
      </c>
      <c r="F1282" s="1313" t="s">
        <v>6151</v>
      </c>
      <c r="G1282" s="1510" t="s">
        <v>1924</v>
      </c>
      <c r="H1282" s="1515" t="s">
        <v>5565</v>
      </c>
      <c r="I1282" s="1516"/>
      <c r="J1282" s="1274">
        <v>1350</v>
      </c>
      <c r="K1282" s="703"/>
      <c r="L1282" s="703"/>
      <c r="M1282" s="708"/>
      <c r="N1282" s="166"/>
      <c r="O1282" s="1311"/>
      <c r="P1282" s="166"/>
    </row>
    <row r="1283" spans="1:16" s="1311" customFormat="1" ht="13.2" hidden="1" customHeight="1">
      <c r="A1283" s="2273">
        <v>45463</v>
      </c>
      <c r="B1283" s="1323" t="s">
        <v>5694</v>
      </c>
      <c r="C1283" s="1337">
        <v>57485034</v>
      </c>
      <c r="D1283" s="1307"/>
      <c r="E1283" s="1307"/>
      <c r="F1283" s="1313"/>
      <c r="G1283" s="1307" t="s">
        <v>1996</v>
      </c>
      <c r="H1283" s="1309" t="s">
        <v>5567</v>
      </c>
      <c r="I1283" s="1327"/>
      <c r="J1283" s="1274">
        <v>1350</v>
      </c>
      <c r="K1283" s="703"/>
      <c r="L1283" s="703"/>
      <c r="M1283" s="708"/>
      <c r="N1283" s="166"/>
      <c r="P1283" s="166"/>
    </row>
    <row r="1284" spans="1:16" s="1311" customFormat="1" ht="13.2" hidden="1" customHeight="1">
      <c r="A1284" s="2274">
        <v>45464</v>
      </c>
      <c r="B1284" s="1323" t="s">
        <v>5658</v>
      </c>
      <c r="C1284" s="1307">
        <v>30272652</v>
      </c>
      <c r="D1284" s="1453" t="s">
        <v>6079</v>
      </c>
      <c r="E1284" s="1307"/>
      <c r="F1284" s="1313"/>
      <c r="G1284" s="1368" t="s">
        <v>2719</v>
      </c>
      <c r="H1284" s="1309" t="s">
        <v>5580</v>
      </c>
      <c r="I1284" s="1327"/>
      <c r="J1284" s="1268">
        <v>1350</v>
      </c>
      <c r="K1284" s="703"/>
      <c r="L1284" s="703">
        <v>1</v>
      </c>
      <c r="M1284" s="1492" t="s">
        <v>6252</v>
      </c>
      <c r="N1284" s="166"/>
      <c r="P1284" s="166"/>
    </row>
    <row r="1285" spans="1:16" s="1311" customFormat="1" ht="13.2" hidden="1" customHeight="1">
      <c r="A1285" s="2273">
        <v>45464</v>
      </c>
      <c r="B1285" s="1323" t="s">
        <v>5697</v>
      </c>
      <c r="C1285" s="1307">
        <v>21814199</v>
      </c>
      <c r="D1285" s="1307"/>
      <c r="E1285" s="1307"/>
      <c r="F1285" s="1313"/>
      <c r="G1285" s="1307" t="s">
        <v>2221</v>
      </c>
      <c r="H1285" s="1309" t="s">
        <v>5581</v>
      </c>
      <c r="I1285" s="1326"/>
      <c r="J1285" s="1315" t="s">
        <v>5582</v>
      </c>
      <c r="K1285" s="703">
        <v>1</v>
      </c>
      <c r="L1285" s="703"/>
      <c r="M1285" s="708"/>
      <c r="N1285" s="166"/>
      <c r="P1285" s="166"/>
    </row>
    <row r="1286" spans="1:16" s="1311" customFormat="1" ht="13.2" hidden="1" customHeight="1">
      <c r="A1286" s="2274">
        <v>45464</v>
      </c>
      <c r="B1286" s="1323" t="s">
        <v>5674</v>
      </c>
      <c r="C1286" s="1307">
        <v>59570824</v>
      </c>
      <c r="D1286" s="1453" t="s">
        <v>6079</v>
      </c>
      <c r="E1286" s="1307"/>
      <c r="F1286" s="1313"/>
      <c r="G1286" s="1307" t="s">
        <v>4664</v>
      </c>
      <c r="H1286" s="1309" t="s">
        <v>5583</v>
      </c>
      <c r="I1286" s="1327"/>
      <c r="J1286" s="1274">
        <v>1350</v>
      </c>
      <c r="K1286" s="703"/>
      <c r="L1286" s="703">
        <v>1</v>
      </c>
      <c r="M1286" s="1492" t="s">
        <v>6252</v>
      </c>
      <c r="N1286" s="166"/>
      <c r="P1286" s="166"/>
    </row>
    <row r="1287" spans="1:16" s="1311" customFormat="1" ht="13.2" hidden="1" customHeight="1">
      <c r="A1287" s="2274">
        <v>45464</v>
      </c>
      <c r="B1287" s="1323" t="s">
        <v>5957</v>
      </c>
      <c r="C1287" s="1307">
        <v>51525892</v>
      </c>
      <c r="D1287" s="1453" t="s">
        <v>6079</v>
      </c>
      <c r="E1287" s="1307"/>
      <c r="F1287" s="1313"/>
      <c r="G1287" s="1307" t="s">
        <v>713</v>
      </c>
      <c r="H1287" s="1309" t="s">
        <v>5584</v>
      </c>
      <c r="I1287" s="1326"/>
      <c r="J1287" s="1315" t="s">
        <v>5585</v>
      </c>
      <c r="K1287" s="703"/>
      <c r="L1287" s="703"/>
      <c r="M1287" s="708"/>
      <c r="N1287" s="166"/>
      <c r="P1287" s="166"/>
    </row>
    <row r="1288" spans="1:16" s="1311" customFormat="1" ht="13.2" hidden="1" customHeight="1">
      <c r="A1288" s="2277">
        <v>45465</v>
      </c>
      <c r="B1288" s="1323" t="s">
        <v>5659</v>
      </c>
      <c r="C1288" s="1307">
        <v>27572007</v>
      </c>
      <c r="D1288" s="1453" t="s">
        <v>6079</v>
      </c>
      <c r="E1288" s="1307"/>
      <c r="F1288" s="1313"/>
      <c r="G1288" s="1324" t="s">
        <v>2056</v>
      </c>
      <c r="H1288" s="1325" t="s">
        <v>5587</v>
      </c>
      <c r="I1288" s="1326"/>
      <c r="J1288" s="1315">
        <v>1350</v>
      </c>
      <c r="K1288" s="703"/>
      <c r="L1288" s="703">
        <v>1</v>
      </c>
      <c r="M1288" s="1480" t="s">
        <v>6195</v>
      </c>
      <c r="N1288" s="166"/>
      <c r="P1288" s="166"/>
    </row>
    <row r="1289" spans="1:16" s="1311" customFormat="1" ht="13.2" hidden="1" customHeight="1">
      <c r="A1289" s="2277">
        <v>45465</v>
      </c>
      <c r="B1289" s="1323" t="s">
        <v>5660</v>
      </c>
      <c r="C1289" s="1307">
        <v>40206339</v>
      </c>
      <c r="D1289" s="1453" t="s">
        <v>6079</v>
      </c>
      <c r="E1289" s="1307"/>
      <c r="F1289" s="1313"/>
      <c r="G1289" s="1324" t="s">
        <v>713</v>
      </c>
      <c r="H1289" s="1325" t="s">
        <v>5588</v>
      </c>
      <c r="I1289" s="1326"/>
      <c r="J1289" s="1315">
        <v>1400</v>
      </c>
      <c r="K1289" s="703"/>
      <c r="L1289" s="703"/>
      <c r="M1289" s="708"/>
      <c r="N1289" s="166"/>
      <c r="P1289" s="166"/>
    </row>
    <row r="1290" spans="1:16" s="1311" customFormat="1" ht="13.2" hidden="1" customHeight="1">
      <c r="A1290" s="2278">
        <v>45465</v>
      </c>
      <c r="B1290" s="1323" t="s">
        <v>5590</v>
      </c>
      <c r="C1290" s="1307"/>
      <c r="D1290" s="1307"/>
      <c r="E1290" s="1307"/>
      <c r="F1290" s="1313"/>
      <c r="G1290" s="1324" t="s">
        <v>3403</v>
      </c>
      <c r="H1290" s="1325" t="s">
        <v>5589</v>
      </c>
      <c r="I1290" s="1326"/>
      <c r="J1290" s="1315">
        <v>1350</v>
      </c>
      <c r="K1290" s="703"/>
      <c r="L1290" s="703"/>
      <c r="M1290" s="708"/>
      <c r="N1290" s="166"/>
      <c r="P1290" s="166"/>
    </row>
    <row r="1291" spans="1:16" s="1311" customFormat="1" ht="13.2" hidden="1" customHeight="1">
      <c r="A1291" s="2278">
        <v>45466</v>
      </c>
      <c r="B1291" s="1323" t="s">
        <v>5591</v>
      </c>
      <c r="C1291" s="1307">
        <v>123</v>
      </c>
      <c r="D1291" s="1307"/>
      <c r="E1291" s="1307"/>
      <c r="F1291" s="1313"/>
      <c r="G1291" s="1337" t="s">
        <v>3403</v>
      </c>
      <c r="H1291" s="1325" t="s">
        <v>5589</v>
      </c>
      <c r="I1291" s="1326"/>
      <c r="J1291" s="1315">
        <v>1350</v>
      </c>
      <c r="K1291" s="703"/>
      <c r="L1291" s="703"/>
      <c r="M1291" s="708"/>
      <c r="N1291" s="166"/>
      <c r="P1291" s="166"/>
    </row>
    <row r="1292" spans="1:16" s="1311" customFormat="1" ht="13.2" hidden="1" customHeight="1">
      <c r="A1292" s="2278">
        <v>45466</v>
      </c>
      <c r="B1292" s="1343" t="s">
        <v>6918</v>
      </c>
      <c r="C1292" s="1299">
        <v>12345678</v>
      </c>
      <c r="D1292" s="1299"/>
      <c r="E1292" s="1299"/>
      <c r="F1292" s="976" t="s">
        <v>6151</v>
      </c>
      <c r="G1292" s="1665" t="s">
        <v>3403</v>
      </c>
      <c r="H1292" s="1666" t="s">
        <v>5589</v>
      </c>
      <c r="I1292" s="1345">
        <f>20-20</f>
        <v>0</v>
      </c>
      <c r="J1292" s="1315">
        <v>1350</v>
      </c>
      <c r="K1292" s="703"/>
      <c r="L1292" s="703"/>
      <c r="M1292" s="708"/>
      <c r="N1292" s="166"/>
      <c r="P1292" s="166"/>
    </row>
    <row r="1293" spans="1:16" s="1311" customFormat="1" ht="13.2" hidden="1" customHeight="1">
      <c r="A1293" s="2278">
        <v>45466</v>
      </c>
      <c r="B1293" s="1316" t="s">
        <v>5592</v>
      </c>
      <c r="C1293" s="1305"/>
      <c r="D1293" s="1305"/>
      <c r="E1293" s="1305"/>
      <c r="F1293" s="976" t="s">
        <v>6151</v>
      </c>
      <c r="G1293" s="1340" t="s">
        <v>3403</v>
      </c>
      <c r="H1293" s="1321" t="s">
        <v>5589</v>
      </c>
      <c r="I1293" s="1317">
        <f>20-20</f>
        <v>0</v>
      </c>
      <c r="J1293" s="1315">
        <v>1350</v>
      </c>
      <c r="K1293" s="703"/>
      <c r="L1293" s="703"/>
      <c r="M1293" s="708"/>
      <c r="N1293" s="166"/>
      <c r="P1293" s="166"/>
    </row>
    <row r="1294" spans="1:16" s="1311" customFormat="1" ht="13.2" hidden="1" customHeight="1">
      <c r="A1294" s="2278">
        <v>45467</v>
      </c>
      <c r="B1294" s="1323" t="s">
        <v>5634</v>
      </c>
      <c r="C1294" s="1307">
        <v>123</v>
      </c>
      <c r="D1294" s="1307"/>
      <c r="E1294" s="1307"/>
      <c r="F1294" s="1313"/>
      <c r="G1294" s="1337" t="s">
        <v>3403</v>
      </c>
      <c r="H1294" s="1325" t="s">
        <v>5589</v>
      </c>
      <c r="I1294" s="1326"/>
      <c r="J1294" s="1315"/>
      <c r="K1294" s="703"/>
      <c r="L1294" s="703"/>
      <c r="M1294" s="708"/>
      <c r="N1294" s="166"/>
      <c r="P1294" s="166"/>
    </row>
    <row r="1295" spans="1:16" s="1311" customFormat="1" ht="13.2" hidden="1" customHeight="1">
      <c r="A1295" s="2278">
        <v>45467</v>
      </c>
      <c r="B1295" s="1323" t="s">
        <v>5635</v>
      </c>
      <c r="C1295" s="1307">
        <v>123</v>
      </c>
      <c r="D1295" s="1307"/>
      <c r="E1295" s="1307"/>
      <c r="F1295" s="1313"/>
      <c r="G1295" s="1337" t="s">
        <v>3403</v>
      </c>
      <c r="H1295" s="1325" t="s">
        <v>5589</v>
      </c>
      <c r="I1295" s="1326"/>
      <c r="J1295" s="1315"/>
      <c r="K1295" s="703"/>
      <c r="L1295" s="703"/>
      <c r="M1295" s="708"/>
      <c r="N1295" s="166"/>
      <c r="P1295" s="166"/>
    </row>
    <row r="1296" spans="1:16" s="1311" customFormat="1" ht="13.2" hidden="1" customHeight="1">
      <c r="A1296" s="2278">
        <v>45467</v>
      </c>
      <c r="B1296" s="1323" t="s">
        <v>5707</v>
      </c>
      <c r="C1296" s="1307">
        <v>92922414</v>
      </c>
      <c r="D1296" s="1307"/>
      <c r="E1296" s="1307"/>
      <c r="F1296" s="1313"/>
      <c r="G1296" s="1324" t="s">
        <v>1970</v>
      </c>
      <c r="H1296" s="1325" t="s">
        <v>5595</v>
      </c>
      <c r="I1296" s="1326"/>
      <c r="J1296" s="1305">
        <v>1350</v>
      </c>
      <c r="K1296" s="703"/>
      <c r="L1296" s="703"/>
      <c r="M1296" s="708"/>
      <c r="N1296" s="166"/>
      <c r="P1296" s="166"/>
    </row>
    <row r="1297" spans="1:16" s="1311" customFormat="1" ht="13.2" hidden="1" customHeight="1">
      <c r="A1297" s="2276">
        <v>45544</v>
      </c>
      <c r="B1297" s="1323" t="s">
        <v>6363</v>
      </c>
      <c r="C1297" s="1307">
        <v>13063658</v>
      </c>
      <c r="D1297" s="1307"/>
      <c r="E1297" s="1307"/>
      <c r="F1297" s="1504" t="s">
        <v>6347</v>
      </c>
      <c r="G1297" s="1496" t="s">
        <v>2478</v>
      </c>
      <c r="H1297" s="1502" t="s">
        <v>6286</v>
      </c>
      <c r="I1297" s="1326"/>
      <c r="J1297" s="1496" t="s">
        <v>6260</v>
      </c>
      <c r="K1297" s="1400"/>
      <c r="L1297" s="703"/>
      <c r="M1297" s="708"/>
      <c r="N1297" s="166"/>
      <c r="P1297" s="166"/>
    </row>
    <row r="1298" spans="1:16" s="1311" customFormat="1" ht="13.2" hidden="1" customHeight="1">
      <c r="A1298" s="2277">
        <v>45467</v>
      </c>
      <c r="B1298" s="1323" t="s">
        <v>5661</v>
      </c>
      <c r="C1298" s="1307">
        <v>20371986</v>
      </c>
      <c r="D1298" s="1337" t="s">
        <v>5663</v>
      </c>
      <c r="E1298" s="1307"/>
      <c r="F1298" s="1313"/>
      <c r="G1298" s="1324" t="s">
        <v>2237</v>
      </c>
      <c r="H1298" s="1325" t="s">
        <v>5596</v>
      </c>
      <c r="I1298" s="1327"/>
      <c r="J1298" s="1274">
        <v>1350</v>
      </c>
      <c r="K1298" s="703"/>
      <c r="L1298" s="703"/>
      <c r="M1298" s="708"/>
      <c r="N1298" s="166"/>
      <c r="P1298" s="166"/>
    </row>
    <row r="1299" spans="1:16" s="1311" customFormat="1" ht="13.2" hidden="1" customHeight="1">
      <c r="A1299" s="2277">
        <v>45467</v>
      </c>
      <c r="B1299" s="1323" t="s">
        <v>5662</v>
      </c>
      <c r="C1299" s="1307">
        <v>31329418</v>
      </c>
      <c r="D1299" s="1442" t="s">
        <v>6068</v>
      </c>
      <c r="E1299" s="1307"/>
      <c r="F1299" s="1313"/>
      <c r="G1299" s="1324" t="s">
        <v>1996</v>
      </c>
      <c r="H1299" s="1325" t="s">
        <v>5597</v>
      </c>
      <c r="I1299" s="1327"/>
      <c r="J1299" s="1274">
        <v>1350</v>
      </c>
      <c r="K1299" s="703"/>
      <c r="L1299" s="703"/>
      <c r="M1299" s="708"/>
      <c r="N1299" s="166"/>
      <c r="P1299" s="166"/>
    </row>
    <row r="1300" spans="1:16" s="1311" customFormat="1" ht="13.2" hidden="1" customHeight="1">
      <c r="A1300" s="2278">
        <v>45467</v>
      </c>
      <c r="B1300" s="1323" t="s">
        <v>5664</v>
      </c>
      <c r="C1300" s="1307">
        <v>89632578</v>
      </c>
      <c r="D1300" s="1307"/>
      <c r="E1300" s="1307"/>
      <c r="F1300" s="1313"/>
      <c r="G1300" s="1324" t="s">
        <v>5598</v>
      </c>
      <c r="H1300" s="1325" t="s">
        <v>5599</v>
      </c>
      <c r="I1300" s="1327"/>
      <c r="J1300" s="1274">
        <v>1350</v>
      </c>
      <c r="K1300" s="703"/>
      <c r="L1300" s="703">
        <v>1</v>
      </c>
      <c r="M1300" s="1350" t="s">
        <v>5729</v>
      </c>
      <c r="N1300" s="166"/>
      <c r="P1300" s="166"/>
    </row>
    <row r="1301" spans="1:16" s="1311" customFormat="1" ht="13.2" hidden="1" customHeight="1">
      <c r="A1301" s="2278">
        <v>45467</v>
      </c>
      <c r="B1301" s="1323" t="s">
        <v>5773</v>
      </c>
      <c r="C1301" s="1307">
        <v>19971997</v>
      </c>
      <c r="D1301" s="1307"/>
      <c r="E1301" s="1307"/>
      <c r="F1301" s="1313"/>
      <c r="G1301" s="1324" t="s">
        <v>3022</v>
      </c>
      <c r="H1301" s="1325" t="s">
        <v>5600</v>
      </c>
      <c r="I1301" s="1327"/>
      <c r="J1301" s="1274">
        <v>1550</v>
      </c>
      <c r="K1301" s="1320" t="s">
        <v>5601</v>
      </c>
      <c r="L1301" s="703">
        <v>1</v>
      </c>
      <c r="M1301" s="1419" t="s">
        <v>6038</v>
      </c>
      <c r="N1301" s="166"/>
      <c r="P1301" s="166"/>
    </row>
    <row r="1302" spans="1:16" s="1311" customFormat="1" ht="21.6" hidden="1" customHeight="1">
      <c r="A1302" s="2279">
        <v>45497</v>
      </c>
      <c r="B1302" s="1323" t="s">
        <v>6083</v>
      </c>
      <c r="C1302" s="1307">
        <v>67072035</v>
      </c>
      <c r="D1302" s="1504" t="s">
        <v>6348</v>
      </c>
      <c r="E1302" s="1510" t="s">
        <v>651</v>
      </c>
      <c r="F1302" s="1313" t="s">
        <v>6346</v>
      </c>
      <c r="G1302" s="1391" t="s">
        <v>713</v>
      </c>
      <c r="H1302" s="1392" t="s">
        <v>5909</v>
      </c>
      <c r="I1302" s="1326"/>
      <c r="J1302" s="1380">
        <v>1500</v>
      </c>
      <c r="K1302" s="1383"/>
      <c r="L1302" s="703"/>
      <c r="M1302" s="708"/>
      <c r="N1302" s="166"/>
      <c r="P1302" s="166"/>
    </row>
    <row r="1303" spans="1:16" s="1311" customFormat="1" ht="13.2" hidden="1" customHeight="1">
      <c r="A1303" s="2278">
        <v>45468</v>
      </c>
      <c r="B1303" s="1323" t="s">
        <v>5762</v>
      </c>
      <c r="C1303" s="1307">
        <v>78749731</v>
      </c>
      <c r="D1303" s="1496" t="s">
        <v>6297</v>
      </c>
      <c r="E1303" s="1307"/>
      <c r="F1303" s="1313" t="s">
        <v>6357</v>
      </c>
      <c r="G1303" s="1324" t="s">
        <v>1965</v>
      </c>
      <c r="H1303" s="1325" t="s">
        <v>5607</v>
      </c>
      <c r="I1303" s="1327"/>
      <c r="J1303" s="1274">
        <v>1350</v>
      </c>
      <c r="K1303" s="703"/>
      <c r="L1303" s="703"/>
      <c r="M1303" s="708"/>
      <c r="N1303" s="166"/>
      <c r="P1303" s="166"/>
    </row>
    <row r="1304" spans="1:16" s="1311" customFormat="1" ht="13.2" hidden="1" customHeight="1">
      <c r="A1304" s="2278">
        <v>45468</v>
      </c>
      <c r="B1304" s="1323" t="s">
        <v>5636</v>
      </c>
      <c r="C1304" s="1307">
        <v>123</v>
      </c>
      <c r="D1304" s="1307"/>
      <c r="E1304" s="1307"/>
      <c r="F1304" s="1313"/>
      <c r="G1304" s="1324" t="s">
        <v>3403</v>
      </c>
      <c r="H1304" s="1325" t="s">
        <v>5589</v>
      </c>
      <c r="I1304" s="1327"/>
      <c r="J1304" s="1274">
        <v>1350</v>
      </c>
      <c r="K1304" s="703"/>
      <c r="L1304" s="703"/>
      <c r="M1304" s="708"/>
      <c r="N1304" s="166"/>
      <c r="P1304" s="166"/>
    </row>
    <row r="1305" spans="1:16" s="1311" customFormat="1" ht="13.2" hidden="1" customHeight="1">
      <c r="A1305" s="2278">
        <v>45468</v>
      </c>
      <c r="B1305" s="1323" t="s">
        <v>5646</v>
      </c>
      <c r="C1305" s="1307"/>
      <c r="D1305" s="1307"/>
      <c r="E1305" s="1307"/>
      <c r="F1305" s="1313"/>
      <c r="G1305" s="1324" t="s">
        <v>3403</v>
      </c>
      <c r="H1305" s="1325" t="s">
        <v>5589</v>
      </c>
      <c r="I1305" s="1327"/>
      <c r="J1305" s="1274">
        <v>1350</v>
      </c>
      <c r="K1305" s="703"/>
      <c r="L1305" s="703"/>
      <c r="M1305" s="708"/>
      <c r="N1305" s="166"/>
      <c r="P1305" s="166"/>
    </row>
    <row r="1306" spans="1:16" s="1311" customFormat="1" ht="13.2" hidden="1" customHeight="1">
      <c r="A1306" s="2278">
        <v>45468</v>
      </c>
      <c r="B1306" s="1323" t="s">
        <v>5647</v>
      </c>
      <c r="C1306" s="1307">
        <v>12345678</v>
      </c>
      <c r="D1306" s="1307"/>
      <c r="E1306" s="1307"/>
      <c r="F1306" s="1313"/>
      <c r="G1306" s="1324" t="s">
        <v>3403</v>
      </c>
      <c r="H1306" s="1325" t="s">
        <v>5589</v>
      </c>
      <c r="I1306" s="1327"/>
      <c r="J1306" s="1274">
        <v>1350</v>
      </c>
      <c r="K1306" s="703"/>
      <c r="L1306" s="703"/>
      <c r="M1306" s="708"/>
      <c r="N1306" s="166"/>
      <c r="P1306" s="166"/>
    </row>
    <row r="1307" spans="1:16" s="1311" customFormat="1" ht="13.2" hidden="1" customHeight="1">
      <c r="A1307" s="2280">
        <v>45468</v>
      </c>
      <c r="B1307" s="1323" t="s">
        <v>5799</v>
      </c>
      <c r="C1307" s="1466">
        <v>39840010</v>
      </c>
      <c r="D1307" s="1466" t="s">
        <v>6079</v>
      </c>
      <c r="E1307" s="1466"/>
      <c r="F1307" s="1313"/>
      <c r="G1307" s="1466" t="s">
        <v>1972</v>
      </c>
      <c r="H1307" s="1469" t="s">
        <v>5616</v>
      </c>
      <c r="I1307" s="1470"/>
      <c r="J1307" s="1274">
        <v>1350</v>
      </c>
      <c r="K1307" s="703"/>
      <c r="L1307" s="703"/>
      <c r="M1307" s="708"/>
      <c r="N1307" s="166"/>
      <c r="P1307" s="166"/>
    </row>
    <row r="1308" spans="1:16" s="1311" customFormat="1" ht="13.2" hidden="1" customHeight="1">
      <c r="A1308" s="2280">
        <v>45469</v>
      </c>
      <c r="B1308" s="1323" t="s">
        <v>5665</v>
      </c>
      <c r="C1308" s="1307">
        <v>10022168</v>
      </c>
      <c r="D1308" s="1307"/>
      <c r="E1308" s="1307"/>
      <c r="F1308" s="1313"/>
      <c r="G1308" s="1337" t="s">
        <v>3312</v>
      </c>
      <c r="H1308" s="1335" t="s">
        <v>5617</v>
      </c>
      <c r="I1308" s="1327"/>
      <c r="J1308" s="1274">
        <v>1350</v>
      </c>
      <c r="K1308" s="703"/>
      <c r="L1308" s="703">
        <v>1</v>
      </c>
      <c r="M1308" s="1378" t="s">
        <v>5849</v>
      </c>
      <c r="N1308" s="166"/>
      <c r="P1308" s="166"/>
    </row>
    <row r="1309" spans="1:16" s="1311" customFormat="1" ht="13.2" hidden="1" customHeight="1">
      <c r="A1309" s="2281">
        <v>45469</v>
      </c>
      <c r="B1309" s="1323" t="s">
        <v>5837</v>
      </c>
      <c r="C1309" s="1307">
        <v>86032869</v>
      </c>
      <c r="D1309" s="1307"/>
      <c r="E1309" s="1307"/>
      <c r="F1309" s="1313"/>
      <c r="G1309" s="1337" t="s">
        <v>2237</v>
      </c>
      <c r="H1309" s="1335" t="s">
        <v>5618</v>
      </c>
      <c r="I1309" s="1327"/>
      <c r="J1309" s="1274">
        <v>1350</v>
      </c>
      <c r="K1309" s="703"/>
      <c r="L1309" s="703"/>
      <c r="M1309" s="708"/>
      <c r="N1309" s="166"/>
      <c r="P1309" s="166"/>
    </row>
    <row r="1310" spans="1:16" s="1311" customFormat="1" ht="13.2" hidden="1" customHeight="1">
      <c r="A1310" s="2278">
        <v>45467</v>
      </c>
      <c r="B1310" s="1458" t="s">
        <v>5838</v>
      </c>
      <c r="C1310" s="1521">
        <v>34417457</v>
      </c>
      <c r="D1310" s="1522" t="s">
        <v>6376</v>
      </c>
      <c r="E1310" s="1459"/>
      <c r="F1310" s="962"/>
      <c r="G1310" s="1523" t="s">
        <v>2056</v>
      </c>
      <c r="H1310" s="1524" t="s">
        <v>6353</v>
      </c>
      <c r="I1310" s="1525"/>
      <c r="J1310" s="1274">
        <v>1350</v>
      </c>
      <c r="K1310" s="703"/>
      <c r="L1310" s="1544" t="s">
        <v>6461</v>
      </c>
      <c r="M1310" s="708"/>
      <c r="N1310" s="166"/>
      <c r="P1310" s="166"/>
    </row>
    <row r="1311" spans="1:16" s="1311" customFormat="1" ht="13.2" hidden="1" customHeight="1">
      <c r="A1311" s="2282">
        <v>45469</v>
      </c>
      <c r="B1311" s="1323" t="s">
        <v>5667</v>
      </c>
      <c r="C1311" s="1307">
        <v>80673738</v>
      </c>
      <c r="D1311" s="1496" t="s">
        <v>6297</v>
      </c>
      <c r="E1311" s="1307"/>
      <c r="F1311" s="1313" t="s">
        <v>6151</v>
      </c>
      <c r="G1311" s="1337" t="s">
        <v>1009</v>
      </c>
      <c r="H1311" s="1335" t="s">
        <v>5620</v>
      </c>
      <c r="I1311" s="1327"/>
      <c r="J1311" s="1274">
        <v>1350</v>
      </c>
      <c r="K1311" s="703"/>
      <c r="L1311" s="703"/>
      <c r="M1311" s="708"/>
      <c r="N1311" s="166"/>
      <c r="P1311" s="166"/>
    </row>
    <row r="1312" spans="1:16" s="1311" customFormat="1" ht="13.2" hidden="1" customHeight="1">
      <c r="A1312" s="2280">
        <v>45469</v>
      </c>
      <c r="B1312" s="1323" t="s">
        <v>5648</v>
      </c>
      <c r="C1312" s="1307">
        <v>123</v>
      </c>
      <c r="D1312" s="1307"/>
      <c r="E1312" s="1307"/>
      <c r="F1312" s="1313"/>
      <c r="G1312" s="1337" t="s">
        <v>3403</v>
      </c>
      <c r="H1312" s="1325"/>
      <c r="I1312" s="1336"/>
      <c r="J1312" s="1274">
        <v>1350</v>
      </c>
      <c r="K1312" s="703"/>
      <c r="L1312" s="703"/>
      <c r="M1312" s="708"/>
      <c r="N1312" s="166"/>
      <c r="P1312" s="166"/>
    </row>
    <row r="1313" spans="1:24" s="1311" customFormat="1" ht="13.2" hidden="1" customHeight="1">
      <c r="A1313" s="2280">
        <v>45469</v>
      </c>
      <c r="B1313" s="1323" t="s">
        <v>5649</v>
      </c>
      <c r="C1313" s="1307">
        <v>123</v>
      </c>
      <c r="D1313" s="1307"/>
      <c r="E1313" s="1307"/>
      <c r="F1313" s="1313"/>
      <c r="G1313" s="1337" t="s">
        <v>3403</v>
      </c>
      <c r="H1313" s="1325"/>
      <c r="I1313" s="1336"/>
      <c r="J1313" s="1274">
        <v>1350</v>
      </c>
      <c r="K1313" s="703"/>
      <c r="L1313" s="703"/>
      <c r="M1313" s="708"/>
      <c r="N1313" s="166"/>
      <c r="P1313" s="166"/>
    </row>
    <row r="1314" spans="1:24" s="1311" customFormat="1" ht="13.2" hidden="1" customHeight="1">
      <c r="A1314" s="2280">
        <v>45469</v>
      </c>
      <c r="B1314" s="1323" t="s">
        <v>5668</v>
      </c>
      <c r="C1314" s="1307">
        <v>14267722</v>
      </c>
      <c r="D1314" s="1307"/>
      <c r="E1314" s="1307"/>
      <c r="F1314" s="1313"/>
      <c r="G1314" s="1337" t="s">
        <v>2073</v>
      </c>
      <c r="H1314" s="1335" t="s">
        <v>5621</v>
      </c>
      <c r="I1314" s="1326"/>
      <c r="J1314" s="1341" t="s">
        <v>5305</v>
      </c>
      <c r="K1314" s="703">
        <v>1</v>
      </c>
      <c r="L1314" s="703"/>
      <c r="M1314" s="708"/>
      <c r="N1314" s="166"/>
      <c r="P1314" s="166"/>
    </row>
    <row r="1315" spans="1:24" s="1311" customFormat="1" ht="13.2" hidden="1" customHeight="1">
      <c r="A1315" s="2280">
        <v>45470</v>
      </c>
      <c r="B1315" s="1323" t="s">
        <v>5669</v>
      </c>
      <c r="C1315" s="1307">
        <v>36929588</v>
      </c>
      <c r="D1315" s="1307"/>
      <c r="E1315" s="1307"/>
      <c r="F1315" s="1313"/>
      <c r="G1315" s="1337" t="s">
        <v>2012</v>
      </c>
      <c r="H1315" s="1335" t="s">
        <v>5624</v>
      </c>
      <c r="I1315" s="1326"/>
      <c r="J1315" s="1341">
        <v>1350</v>
      </c>
      <c r="K1315" s="703">
        <v>1</v>
      </c>
      <c r="L1315" s="1383" t="s">
        <v>5896</v>
      </c>
      <c r="M1315" s="708"/>
      <c r="N1315" s="166"/>
      <c r="P1315" s="166"/>
    </row>
    <row r="1316" spans="1:24" s="1311" customFormat="1" ht="13.2" hidden="1" customHeight="1">
      <c r="A1316" s="2280">
        <v>45470</v>
      </c>
      <c r="B1316" s="1323" t="s">
        <v>5675</v>
      </c>
      <c r="C1316" s="1307"/>
      <c r="D1316" s="1307"/>
      <c r="E1316" s="1307"/>
      <c r="F1316" s="1313"/>
      <c r="G1316" s="1337" t="s">
        <v>5598</v>
      </c>
      <c r="H1316" s="1335" t="s">
        <v>5625</v>
      </c>
      <c r="I1316" s="1326"/>
      <c r="J1316" s="1341">
        <v>1350</v>
      </c>
      <c r="K1316" s="703"/>
      <c r="L1316" s="703"/>
      <c r="M1316" s="708"/>
      <c r="N1316" s="166"/>
      <c r="P1316" s="166"/>
    </row>
    <row r="1317" spans="1:24" s="1311" customFormat="1" ht="13.2" hidden="1" customHeight="1">
      <c r="A1317" s="2280">
        <v>45471</v>
      </c>
      <c r="B1317" s="1323" t="s">
        <v>6129</v>
      </c>
      <c r="C1317" s="1307">
        <v>52479461</v>
      </c>
      <c r="D1317" s="1307"/>
      <c r="E1317" s="1307"/>
      <c r="F1317" s="1313"/>
      <c r="G1317" s="1337" t="s">
        <v>1971</v>
      </c>
      <c r="H1317" s="1335" t="s">
        <v>5637</v>
      </c>
      <c r="I1317" s="1326"/>
      <c r="J1317" s="1341">
        <v>1350</v>
      </c>
      <c r="K1317" s="703">
        <v>1</v>
      </c>
      <c r="L1317" s="1463" t="s">
        <v>6139</v>
      </c>
      <c r="M1317" s="708"/>
      <c r="N1317" s="166"/>
      <c r="P1317" s="166"/>
    </row>
    <row r="1318" spans="1:24" s="1311" customFormat="1" ht="13.2" hidden="1" customHeight="1">
      <c r="A1318" s="2281">
        <v>45471</v>
      </c>
      <c r="B1318" s="1323" t="s">
        <v>5673</v>
      </c>
      <c r="C1318" s="1307">
        <v>29512561</v>
      </c>
      <c r="D1318" s="1337" t="s">
        <v>5670</v>
      </c>
      <c r="E1318" s="1307"/>
      <c r="F1318" s="1313"/>
      <c r="G1318" s="1337" t="s">
        <v>2251</v>
      </c>
      <c r="H1318" s="1335" t="s">
        <v>5638</v>
      </c>
      <c r="I1318" s="1326"/>
      <c r="J1318" s="1341">
        <v>1350</v>
      </c>
      <c r="K1318" s="703"/>
      <c r="L1318" s="703">
        <v>1</v>
      </c>
      <c r="M1318" s="1393" t="s">
        <v>5905</v>
      </c>
      <c r="N1318" s="166"/>
      <c r="P1318" s="166"/>
    </row>
    <row r="1319" spans="1:24" s="1311" customFormat="1" ht="13.2" hidden="1" customHeight="1">
      <c r="A1319" s="2283">
        <v>45471</v>
      </c>
      <c r="B1319" s="1323" t="s">
        <v>5671</v>
      </c>
      <c r="C1319" s="1307">
        <v>79823943</v>
      </c>
      <c r="D1319" s="1528" t="s">
        <v>6402</v>
      </c>
      <c r="E1319" s="1559" t="s">
        <v>6400</v>
      </c>
      <c r="F1319" s="1313" t="s">
        <v>6401</v>
      </c>
      <c r="G1319" s="1368" t="s">
        <v>2719</v>
      </c>
      <c r="H1319" s="1335" t="s">
        <v>5639</v>
      </c>
      <c r="I1319" s="1326"/>
      <c r="J1319" s="1341" t="s">
        <v>5640</v>
      </c>
      <c r="K1319" s="703"/>
      <c r="L1319" s="703">
        <v>1</v>
      </c>
      <c r="M1319" s="1543" t="s">
        <v>6437</v>
      </c>
      <c r="N1319" s="166"/>
      <c r="P1319" s="166"/>
    </row>
    <row r="1320" spans="1:24" s="1311" customFormat="1" ht="13.2" hidden="1" customHeight="1">
      <c r="A1320" s="2280">
        <v>45471</v>
      </c>
      <c r="B1320" s="1323" t="s">
        <v>5606</v>
      </c>
      <c r="C1320" s="1307">
        <v>88432794</v>
      </c>
      <c r="D1320" s="1368" t="s">
        <v>5745</v>
      </c>
      <c r="E1320" s="1307"/>
      <c r="F1320" s="1313"/>
      <c r="G1320" s="1337" t="s">
        <v>1009</v>
      </c>
      <c r="H1320" s="1335" t="s">
        <v>5641</v>
      </c>
      <c r="I1320" s="1326"/>
      <c r="J1320" s="1341" t="s">
        <v>5642</v>
      </c>
      <c r="K1320" s="703"/>
      <c r="L1320" s="703"/>
      <c r="M1320" s="708"/>
      <c r="N1320" s="166"/>
      <c r="P1320" s="166"/>
    </row>
    <row r="1321" spans="1:24" s="1311" customFormat="1" ht="13.2" hidden="1" customHeight="1">
      <c r="A1321" s="2280">
        <v>45471</v>
      </c>
      <c r="B1321" s="1323" t="s">
        <v>5672</v>
      </c>
      <c r="C1321" s="1307">
        <v>95084331</v>
      </c>
      <c r="D1321" s="1307"/>
      <c r="E1321" s="1307"/>
      <c r="F1321" s="1313"/>
      <c r="G1321" s="1337" t="s">
        <v>3213</v>
      </c>
      <c r="H1321" s="1335" t="s">
        <v>5643</v>
      </c>
      <c r="I1321" s="1326"/>
      <c r="J1321" s="1341" t="s">
        <v>5644</v>
      </c>
      <c r="K1321" s="703"/>
      <c r="L1321" s="1362" t="s">
        <v>5368</v>
      </c>
      <c r="M1321" s="1370" t="s">
        <v>5784</v>
      </c>
      <c r="N1321" s="166"/>
      <c r="P1321" s="166"/>
    </row>
    <row r="1322" spans="1:24" s="1311" customFormat="1" ht="13.2" hidden="1" customHeight="1">
      <c r="A1322" s="2280">
        <v>45471</v>
      </c>
      <c r="B1322" s="1323" t="s">
        <v>5777</v>
      </c>
      <c r="C1322" s="1307">
        <v>123</v>
      </c>
      <c r="D1322" s="1395" t="s">
        <v>1743</v>
      </c>
      <c r="E1322" s="1307"/>
      <c r="F1322" s="1313"/>
      <c r="G1322" s="1337" t="s">
        <v>3403</v>
      </c>
      <c r="H1322" s="1325" t="s">
        <v>5589</v>
      </c>
      <c r="I1322" s="1326"/>
      <c r="J1322" s="1341"/>
      <c r="K1322" s="703"/>
      <c r="L1322" s="703"/>
      <c r="M1322" s="708"/>
      <c r="N1322" s="166"/>
      <c r="P1322" s="166"/>
    </row>
    <row r="1323" spans="1:24" s="1311" customFormat="1" ht="13.2" hidden="1" customHeight="1">
      <c r="A1323" s="2280">
        <v>45471</v>
      </c>
      <c r="B1323" s="1323" t="s">
        <v>5778</v>
      </c>
      <c r="C1323" s="1307">
        <v>123</v>
      </c>
      <c r="D1323" s="1307"/>
      <c r="E1323" s="1307"/>
      <c r="F1323" s="1313"/>
      <c r="G1323" s="1337" t="s">
        <v>3403</v>
      </c>
      <c r="H1323" s="1325" t="s">
        <v>5589</v>
      </c>
      <c r="I1323" s="1326"/>
      <c r="J1323" s="1341"/>
      <c r="K1323" s="703"/>
      <c r="L1323" s="703"/>
      <c r="M1323" s="708"/>
      <c r="N1323" s="166"/>
      <c r="P1323" s="166"/>
    </row>
    <row r="1324" spans="1:24" s="1344" customFormat="1" ht="13.2" hidden="1" customHeight="1">
      <c r="A1324" s="2280">
        <v>45472</v>
      </c>
      <c r="B1324" s="1323" t="s">
        <v>5737</v>
      </c>
      <c r="C1324" s="1307">
        <v>64146711</v>
      </c>
      <c r="D1324" s="1337" t="s">
        <v>5657</v>
      </c>
      <c r="E1324" s="1307"/>
      <c r="F1324" s="1313"/>
      <c r="G1324" s="1307" t="s">
        <v>1032</v>
      </c>
      <c r="H1324" s="1335" t="s">
        <v>5656</v>
      </c>
      <c r="I1324" s="1326"/>
      <c r="J1324" s="1337" t="s">
        <v>5685</v>
      </c>
      <c r="K1324" s="705"/>
      <c r="L1324" s="705">
        <v>1</v>
      </c>
      <c r="M1324" s="1374" t="s">
        <v>5801</v>
      </c>
      <c r="N1324" s="67"/>
      <c r="P1324" s="67"/>
      <c r="Q1324" s="1311"/>
      <c r="R1324" s="1311"/>
      <c r="S1324" s="1311"/>
      <c r="T1324" s="1311"/>
      <c r="U1324" s="1311"/>
      <c r="V1324" s="1311"/>
      <c r="W1324" s="1311"/>
      <c r="X1324" s="1311"/>
    </row>
    <row r="1325" spans="1:24" s="1311" customFormat="1" ht="13.2" customHeight="1">
      <c r="A1325" s="2280">
        <v>45472</v>
      </c>
      <c r="B1325" s="1316" t="s">
        <v>5676</v>
      </c>
      <c r="C1325" s="1305"/>
      <c r="D1325" s="1446" t="s">
        <v>3770</v>
      </c>
      <c r="E1325" s="1544" t="s">
        <v>6224</v>
      </c>
      <c r="F1325" s="1481" t="s">
        <v>6196</v>
      </c>
      <c r="G1325" s="1340" t="s">
        <v>2237</v>
      </c>
      <c r="H1325" s="1973" t="s">
        <v>7782</v>
      </c>
      <c r="I1325" s="1317">
        <f>21-1-1-6-3-5</f>
        <v>5</v>
      </c>
      <c r="J1325" s="1341">
        <v>1350</v>
      </c>
      <c r="K1325" s="1446" t="s">
        <v>6088</v>
      </c>
      <c r="L1325" s="703"/>
      <c r="M1325" s="708"/>
      <c r="N1325" s="166"/>
      <c r="P1325" s="166"/>
    </row>
    <row r="1326" spans="1:24" s="1311" customFormat="1" ht="13.2" hidden="1" customHeight="1">
      <c r="A1326" s="2280">
        <v>45472</v>
      </c>
      <c r="B1326" s="1323" t="s">
        <v>5764</v>
      </c>
      <c r="C1326" s="1307">
        <v>91990858</v>
      </c>
      <c r="D1326" s="1307"/>
      <c r="E1326" s="1307"/>
      <c r="F1326" s="1313"/>
      <c r="G1326" s="1337" t="s">
        <v>1970</v>
      </c>
      <c r="H1326" s="1335" t="s">
        <v>5677</v>
      </c>
      <c r="I1326" s="1326"/>
      <c r="J1326" s="1341" t="s">
        <v>5678</v>
      </c>
      <c r="K1326" s="703"/>
      <c r="L1326" s="703"/>
      <c r="M1326" s="708"/>
      <c r="N1326" s="166"/>
      <c r="P1326" s="166"/>
    </row>
    <row r="1327" spans="1:24" s="1311" customFormat="1" ht="13.2" hidden="1" customHeight="1">
      <c r="A1327" s="2280">
        <v>45472</v>
      </c>
      <c r="B1327" s="1323" t="s">
        <v>5765</v>
      </c>
      <c r="C1327" s="1307">
        <v>96793641</v>
      </c>
      <c r="D1327" s="1307"/>
      <c r="E1327" s="1307"/>
      <c r="F1327" s="1313"/>
      <c r="G1327" s="1337" t="s">
        <v>1970</v>
      </c>
      <c r="H1327" s="1335" t="s">
        <v>5679</v>
      </c>
      <c r="I1327" s="1326"/>
      <c r="J1327" s="1341" t="s">
        <v>5678</v>
      </c>
      <c r="K1327" s="703"/>
      <c r="L1327" s="703"/>
      <c r="M1327" s="708"/>
      <c r="N1327" s="166"/>
      <c r="P1327" s="166"/>
    </row>
    <row r="1328" spans="1:24" s="1311" customFormat="1" hidden="1">
      <c r="A1328" s="2280">
        <v>45472</v>
      </c>
      <c r="B1328" s="1323" t="s">
        <v>5768</v>
      </c>
      <c r="C1328" s="1307">
        <v>43198077</v>
      </c>
      <c r="D1328" s="1307"/>
      <c r="E1328" s="1307"/>
      <c r="F1328" s="1313"/>
      <c r="G1328" s="1337" t="s">
        <v>1970</v>
      </c>
      <c r="H1328" s="1367" t="s">
        <v>5680</v>
      </c>
      <c r="I1328" s="1326"/>
      <c r="J1328" s="1341" t="s">
        <v>5681</v>
      </c>
      <c r="K1328" s="703"/>
      <c r="L1328" s="703"/>
      <c r="M1328" s="708"/>
      <c r="N1328" s="166"/>
      <c r="P1328" s="166"/>
    </row>
    <row r="1329" spans="1:16" s="1311" customFormat="1" hidden="1">
      <c r="A1329" s="2281">
        <v>45472</v>
      </c>
      <c r="B1329" s="1323" t="s">
        <v>5925</v>
      </c>
      <c r="C1329" s="1307"/>
      <c r="D1329" s="1307"/>
      <c r="E1329" s="1307"/>
      <c r="F1329" s="1313"/>
      <c r="G1329" s="1337" t="s">
        <v>3213</v>
      </c>
      <c r="H1329" s="1335" t="s">
        <v>5682</v>
      </c>
      <c r="I1329" s="1326"/>
      <c r="J1329" s="1341" t="s">
        <v>5683</v>
      </c>
      <c r="K1329" s="703"/>
      <c r="L1329" s="703">
        <v>1</v>
      </c>
      <c r="M1329" s="1402" t="s">
        <v>6002</v>
      </c>
      <c r="N1329" s="166"/>
      <c r="P1329" s="166"/>
    </row>
    <row r="1330" spans="1:16" s="1311" customFormat="1" ht="13.2" hidden="1" customHeight="1">
      <c r="A1330" s="2281">
        <v>45472</v>
      </c>
      <c r="B1330" s="1323" t="s">
        <v>5832</v>
      </c>
      <c r="C1330" s="1307">
        <v>40169141</v>
      </c>
      <c r="D1330" s="1307"/>
      <c r="E1330" s="1307"/>
      <c r="F1330" s="1313"/>
      <c r="G1330" s="1337" t="s">
        <v>1970</v>
      </c>
      <c r="H1330" s="1335" t="s">
        <v>5684</v>
      </c>
      <c r="I1330" s="1326"/>
      <c r="J1330" s="1341" t="s">
        <v>5678</v>
      </c>
      <c r="K1330" s="703"/>
      <c r="L1330" s="703"/>
      <c r="M1330" s="708"/>
      <c r="N1330" s="166"/>
      <c r="P1330" s="166"/>
    </row>
    <row r="1331" spans="1:16" s="1311" customFormat="1" ht="13.2" hidden="1" customHeight="1">
      <c r="A1331" s="2284">
        <v>45473</v>
      </c>
      <c r="B1331" s="1323" t="s">
        <v>5811</v>
      </c>
      <c r="C1331" s="1307">
        <v>123</v>
      </c>
      <c r="D1331" s="1307"/>
      <c r="E1331" s="1307"/>
      <c r="F1331" s="1313"/>
      <c r="G1331" s="1337" t="s">
        <v>3403</v>
      </c>
      <c r="H1331" s="1325" t="s">
        <v>5589</v>
      </c>
      <c r="I1331" s="1326"/>
      <c r="J1331" s="1341">
        <v>1350</v>
      </c>
      <c r="K1331" s="703"/>
      <c r="L1331" s="703"/>
      <c r="M1331" s="708"/>
      <c r="N1331" s="166"/>
      <c r="P1331" s="166"/>
    </row>
    <row r="1332" spans="1:16" s="1311" customFormat="1" ht="13.2" hidden="1" customHeight="1">
      <c r="A1332" s="2284">
        <v>45473</v>
      </c>
      <c r="B1332" s="1323" t="s">
        <v>5892</v>
      </c>
      <c r="C1332" s="1307">
        <v>56928017</v>
      </c>
      <c r="D1332" s="1453"/>
      <c r="E1332" s="1307"/>
      <c r="F1332" s="1313"/>
      <c r="G1332" s="1351" t="s">
        <v>2612</v>
      </c>
      <c r="H1332" s="1359" t="s">
        <v>5686</v>
      </c>
      <c r="I1332" s="1326"/>
      <c r="J1332" s="1341">
        <v>1350</v>
      </c>
      <c r="K1332" s="703"/>
      <c r="L1332" s="703">
        <v>1</v>
      </c>
      <c r="M1332" s="1464" t="s">
        <v>6156</v>
      </c>
      <c r="N1332" s="166"/>
      <c r="P1332" s="166"/>
    </row>
    <row r="1333" spans="1:16" s="1311" customFormat="1" ht="13.2" hidden="1" customHeight="1">
      <c r="A1333" s="2284">
        <v>45473</v>
      </c>
      <c r="B1333" s="1323" t="s">
        <v>5767</v>
      </c>
      <c r="C1333" s="1307">
        <v>47168950</v>
      </c>
      <c r="D1333" s="1368" t="s">
        <v>5410</v>
      </c>
      <c r="E1333" s="1307"/>
      <c r="F1333" s="1313"/>
      <c r="G1333" s="1351" t="s">
        <v>1970</v>
      </c>
      <c r="H1333" s="1359" t="s">
        <v>5687</v>
      </c>
      <c r="I1333" s="1326"/>
      <c r="J1333" s="1349" t="s">
        <v>5688</v>
      </c>
      <c r="K1333" s="703"/>
      <c r="L1333" s="703"/>
      <c r="M1333" s="708"/>
      <c r="N1333" s="166"/>
      <c r="P1333" s="166"/>
    </row>
    <row r="1334" spans="1:16" s="1311" customFormat="1" ht="13.2" hidden="1" customHeight="1">
      <c r="A1334" s="2282">
        <v>45469</v>
      </c>
      <c r="B1334" s="1323" t="s">
        <v>5666</v>
      </c>
      <c r="C1334" s="1307">
        <v>76231092</v>
      </c>
      <c r="D1334" s="1528" t="s">
        <v>6402</v>
      </c>
      <c r="E1334" s="1528" t="s">
        <v>6400</v>
      </c>
      <c r="F1334" s="1313" t="s">
        <v>6401</v>
      </c>
      <c r="G1334" s="1337" t="s">
        <v>2056</v>
      </c>
      <c r="H1334" s="1335" t="s">
        <v>5619</v>
      </c>
      <c r="I1334" s="1326"/>
      <c r="J1334" s="1341" t="s">
        <v>5622</v>
      </c>
      <c r="K1334" s="703">
        <v>1</v>
      </c>
      <c r="L1334" s="1347" t="s">
        <v>5691</v>
      </c>
      <c r="M1334" s="708"/>
      <c r="N1334" s="166"/>
      <c r="P1334" s="166"/>
    </row>
    <row r="1335" spans="1:16" s="1311" customFormat="1" ht="13.2" hidden="1" customHeight="1">
      <c r="A1335" s="2284">
        <v>45474</v>
      </c>
      <c r="B1335" s="1323" t="s">
        <v>5798</v>
      </c>
      <c r="C1335" s="1307">
        <v>83018283</v>
      </c>
      <c r="D1335" s="1453" t="s">
        <v>6079</v>
      </c>
      <c r="E1335" s="1307"/>
      <c r="F1335" s="1313"/>
      <c r="G1335" s="1351" t="s">
        <v>2012</v>
      </c>
      <c r="H1335" s="1359" t="s">
        <v>5698</v>
      </c>
      <c r="I1335" s="1326"/>
      <c r="J1335" s="1349">
        <v>1350</v>
      </c>
      <c r="K1335" s="703">
        <v>1</v>
      </c>
      <c r="L1335" s="1493" t="s">
        <v>6262</v>
      </c>
      <c r="M1335" s="708"/>
      <c r="N1335" s="166"/>
      <c r="P1335" s="166"/>
    </row>
    <row r="1336" spans="1:16" s="1311" customFormat="1" ht="13.2" hidden="1" customHeight="1">
      <c r="A1336" s="2284">
        <v>45474</v>
      </c>
      <c r="B1336" s="1323" t="s">
        <v>5955</v>
      </c>
      <c r="C1336" s="1307">
        <v>1</v>
      </c>
      <c r="D1336" s="1307"/>
      <c r="E1336" s="1307"/>
      <c r="F1336" s="1313"/>
      <c r="G1336" s="1351" t="s">
        <v>2000</v>
      </c>
      <c r="H1336" s="1359" t="s">
        <v>5699</v>
      </c>
      <c r="I1336" s="1326"/>
      <c r="J1336" s="1349">
        <v>1350</v>
      </c>
      <c r="K1336" s="703"/>
      <c r="L1336" s="703"/>
      <c r="M1336" s="708"/>
      <c r="N1336" s="166"/>
      <c r="P1336" s="166"/>
    </row>
    <row r="1337" spans="1:16" s="1311" customFormat="1" ht="13.2" hidden="1" customHeight="1">
      <c r="A1337" s="2284">
        <v>45474</v>
      </c>
      <c r="B1337" s="1316" t="s">
        <v>5700</v>
      </c>
      <c r="C1337" s="1305"/>
      <c r="D1337" s="1305"/>
      <c r="E1337" s="1305"/>
      <c r="F1337" s="1310"/>
      <c r="G1337" s="1347" t="s">
        <v>713</v>
      </c>
      <c r="H1337" s="1348" t="s">
        <v>5701</v>
      </c>
      <c r="I1337" s="1317"/>
      <c r="J1337" s="1349">
        <v>330</v>
      </c>
      <c r="K1337" s="703"/>
      <c r="L1337" s="703"/>
      <c r="M1337" s="708"/>
      <c r="N1337" s="166"/>
      <c r="P1337" s="166"/>
    </row>
    <row r="1338" spans="1:16" s="1311" customFormat="1" ht="13.2" hidden="1" customHeight="1">
      <c r="A1338" s="2284">
        <v>45474</v>
      </c>
      <c r="B1338" s="1323" t="s">
        <v>5812</v>
      </c>
      <c r="C1338" s="1307">
        <v>123</v>
      </c>
      <c r="D1338" s="1307"/>
      <c r="E1338" s="1307"/>
      <c r="F1338" s="1313"/>
      <c r="G1338" s="1337" t="s">
        <v>3403</v>
      </c>
      <c r="H1338" s="1325" t="s">
        <v>5589</v>
      </c>
      <c r="I1338" s="1326"/>
      <c r="J1338" s="1341">
        <v>1350</v>
      </c>
      <c r="K1338" s="703"/>
      <c r="L1338" s="703"/>
      <c r="M1338" s="708"/>
      <c r="N1338" s="166"/>
      <c r="P1338" s="166"/>
    </row>
    <row r="1339" spans="1:16" s="1311" customFormat="1" ht="13.2" hidden="1" customHeight="1">
      <c r="A1339" s="2284">
        <v>45474</v>
      </c>
      <c r="B1339" s="1323" t="s">
        <v>5878</v>
      </c>
      <c r="C1339" s="1307"/>
      <c r="D1339" s="1395" t="s">
        <v>1743</v>
      </c>
      <c r="E1339" s="1307"/>
      <c r="F1339" s="1313"/>
      <c r="G1339" s="1337" t="s">
        <v>3403</v>
      </c>
      <c r="H1339" s="1325" t="s">
        <v>5589</v>
      </c>
      <c r="I1339" s="1326"/>
      <c r="J1339" s="1341">
        <v>1350</v>
      </c>
      <c r="K1339" s="703"/>
      <c r="L1339" s="703"/>
      <c r="M1339" s="708"/>
      <c r="N1339" s="166"/>
      <c r="P1339" s="166"/>
    </row>
    <row r="1340" spans="1:16" s="1311" customFormat="1" ht="13.2" hidden="1" customHeight="1">
      <c r="A1340" s="2284">
        <v>45474</v>
      </c>
      <c r="B1340" s="1323" t="s">
        <v>5879</v>
      </c>
      <c r="C1340" s="1307"/>
      <c r="D1340" s="1307"/>
      <c r="E1340" s="1307"/>
      <c r="F1340" s="1313"/>
      <c r="G1340" s="1337" t="s">
        <v>3403</v>
      </c>
      <c r="H1340" s="1325" t="s">
        <v>5589</v>
      </c>
      <c r="I1340" s="1326"/>
      <c r="J1340" s="1341">
        <v>1350</v>
      </c>
      <c r="K1340" s="703"/>
      <c r="L1340" s="703"/>
      <c r="M1340" s="708"/>
      <c r="N1340" s="166"/>
      <c r="P1340" s="166"/>
    </row>
    <row r="1341" spans="1:16" s="1311" customFormat="1" ht="13.2" hidden="1" customHeight="1">
      <c r="A1341" s="2285">
        <v>45474</v>
      </c>
      <c r="B1341" s="1323" t="s">
        <v>5766</v>
      </c>
      <c r="C1341" s="1307">
        <v>77769472</v>
      </c>
      <c r="D1341" s="1307"/>
      <c r="E1341" s="1307"/>
      <c r="F1341" s="1313"/>
      <c r="G1341" s="1351" t="s">
        <v>1970</v>
      </c>
      <c r="H1341" s="1359" t="s">
        <v>5702</v>
      </c>
      <c r="I1341" s="1326"/>
      <c r="J1341" s="1349" t="s">
        <v>5703</v>
      </c>
      <c r="K1341" s="703"/>
      <c r="L1341" s="703"/>
      <c r="M1341" s="708"/>
      <c r="N1341" s="166"/>
      <c r="P1341" s="166"/>
    </row>
    <row r="1342" spans="1:16" s="1311" customFormat="1" ht="13.2" hidden="1" customHeight="1">
      <c r="A1342" s="2285">
        <v>45474</v>
      </c>
      <c r="B1342" s="1323" t="s">
        <v>5775</v>
      </c>
      <c r="C1342" s="1307">
        <v>43088853</v>
      </c>
      <c r="D1342" s="1368" t="s">
        <v>5769</v>
      </c>
      <c r="E1342" s="1307"/>
      <c r="F1342" s="1313"/>
      <c r="G1342" s="1351" t="s">
        <v>1970</v>
      </c>
      <c r="H1342" s="1359" t="s">
        <v>5704</v>
      </c>
      <c r="I1342" s="1326"/>
      <c r="J1342" s="1349" t="s">
        <v>5703</v>
      </c>
      <c r="K1342" s="703"/>
      <c r="L1342" s="703"/>
      <c r="M1342" s="708"/>
      <c r="N1342" s="166"/>
      <c r="P1342" s="166"/>
    </row>
    <row r="1343" spans="1:16" s="1311" customFormat="1" ht="13.2" hidden="1" customHeight="1">
      <c r="A1343" s="2284">
        <v>45475</v>
      </c>
      <c r="B1343" s="1323" t="s">
        <v>5727</v>
      </c>
      <c r="C1343" s="1307">
        <v>79864520</v>
      </c>
      <c r="D1343" s="1307"/>
      <c r="E1343" s="1307"/>
      <c r="F1343" s="1313"/>
      <c r="G1343" s="1351" t="s">
        <v>2612</v>
      </c>
      <c r="H1343" s="1359" t="s">
        <v>5711</v>
      </c>
      <c r="I1343" s="1326"/>
      <c r="J1343" s="1349">
        <v>1350</v>
      </c>
      <c r="K1343" s="703"/>
      <c r="L1343" s="703">
        <v>1</v>
      </c>
      <c r="M1343" s="1370" t="s">
        <v>5758</v>
      </c>
      <c r="N1343" s="166"/>
      <c r="P1343" s="166"/>
    </row>
    <row r="1344" spans="1:16" s="1311" customFormat="1" ht="13.2" hidden="1" customHeight="1">
      <c r="A1344" s="2286">
        <v>45475</v>
      </c>
      <c r="B1344" s="1323" t="s">
        <v>5836</v>
      </c>
      <c r="C1344" s="1307">
        <v>85444190</v>
      </c>
      <c r="D1344" s="1496" t="s">
        <v>6297</v>
      </c>
      <c r="E1344" s="1307"/>
      <c r="F1344" s="1313" t="s">
        <v>6151</v>
      </c>
      <c r="G1344" s="1351" t="s">
        <v>1009</v>
      </c>
      <c r="H1344" s="1359" t="s">
        <v>5712</v>
      </c>
      <c r="I1344" s="1326"/>
      <c r="J1344" s="1349">
        <v>1350</v>
      </c>
      <c r="K1344" s="703"/>
      <c r="L1344" s="703"/>
      <c r="M1344" s="708"/>
      <c r="N1344" s="166"/>
      <c r="P1344" s="166"/>
    </row>
    <row r="1345" spans="1:16" s="1311" customFormat="1" ht="13.2" hidden="1" customHeight="1">
      <c r="A1345" s="2284">
        <v>45475</v>
      </c>
      <c r="B1345" s="1323" t="s">
        <v>6285</v>
      </c>
      <c r="C1345" s="1307">
        <v>59547146</v>
      </c>
      <c r="D1345" s="1453"/>
      <c r="E1345" s="1307"/>
      <c r="F1345" s="1466"/>
      <c r="G1345" s="1368" t="s">
        <v>3991</v>
      </c>
      <c r="H1345" s="1359" t="s">
        <v>5713</v>
      </c>
      <c r="I1345" s="1326"/>
      <c r="J1345" s="1349" t="s">
        <v>5703</v>
      </c>
      <c r="K1345" s="703"/>
      <c r="L1345" s="703">
        <v>1</v>
      </c>
      <c r="M1345" s="1464" t="s">
        <v>6156</v>
      </c>
      <c r="N1345" s="166"/>
      <c r="P1345" s="166"/>
    </row>
    <row r="1346" spans="1:16" s="1311" customFormat="1" ht="13.2" hidden="1" customHeight="1">
      <c r="A1346" s="2286">
        <v>45476</v>
      </c>
      <c r="B1346" s="1323" t="s">
        <v>5968</v>
      </c>
      <c r="C1346" s="1307">
        <v>67055658</v>
      </c>
      <c r="D1346" s="1368"/>
      <c r="E1346" s="1307"/>
      <c r="F1346" s="1313"/>
      <c r="G1346" s="1351" t="s">
        <v>1970</v>
      </c>
      <c r="H1346" s="1359" t="s">
        <v>5719</v>
      </c>
      <c r="I1346" s="1326"/>
      <c r="J1346" s="1349">
        <v>1350</v>
      </c>
      <c r="K1346" s="703"/>
      <c r="L1346" s="703"/>
      <c r="M1346" s="708"/>
      <c r="N1346" s="166"/>
      <c r="P1346" s="166"/>
    </row>
    <row r="1347" spans="1:16" s="1311" customFormat="1" ht="13.2" hidden="1" customHeight="1">
      <c r="A1347" s="2285">
        <v>45476</v>
      </c>
      <c r="B1347" s="1373" t="s">
        <v>5774</v>
      </c>
      <c r="C1347" s="1307">
        <v>21797720</v>
      </c>
      <c r="D1347" s="1307"/>
      <c r="E1347" s="1307"/>
      <c r="F1347" s="1313"/>
      <c r="G1347" s="1351" t="s">
        <v>2478</v>
      </c>
      <c r="H1347" s="1359" t="s">
        <v>5720</v>
      </c>
      <c r="I1347" s="1326"/>
      <c r="J1347" s="1349">
        <v>1400</v>
      </c>
      <c r="K1347" s="703"/>
      <c r="L1347" s="703"/>
      <c r="M1347" s="708"/>
      <c r="N1347" s="166"/>
      <c r="P1347" s="166"/>
    </row>
    <row r="1348" spans="1:16" s="1311" customFormat="1" ht="13.2" hidden="1" customHeight="1">
      <c r="A1348" s="2284">
        <v>45476</v>
      </c>
      <c r="B1348" s="1323" t="s">
        <v>5834</v>
      </c>
      <c r="C1348" s="1307">
        <v>62676860</v>
      </c>
      <c r="D1348" s="1307"/>
      <c r="E1348" s="1307"/>
      <c r="F1348" s="1313"/>
      <c r="G1348" s="1351" t="s">
        <v>1971</v>
      </c>
      <c r="H1348" s="1359" t="s">
        <v>5721</v>
      </c>
      <c r="I1348" s="1326"/>
      <c r="J1348" s="1349">
        <v>1500</v>
      </c>
      <c r="K1348" s="703">
        <v>1</v>
      </c>
      <c r="L1348" s="1463" t="s">
        <v>6139</v>
      </c>
      <c r="M1348" s="708"/>
      <c r="N1348" s="166"/>
      <c r="P1348" s="166"/>
    </row>
    <row r="1349" spans="1:16" s="1311" customFormat="1" ht="13.2" hidden="1" customHeight="1">
      <c r="A1349" s="2286">
        <v>45476</v>
      </c>
      <c r="B1349" s="1323" t="s">
        <v>5810</v>
      </c>
      <c r="C1349" s="1307">
        <v>62136554</v>
      </c>
      <c r="D1349" s="1496" t="s">
        <v>6297</v>
      </c>
      <c r="E1349" s="1307"/>
      <c r="F1349" s="1313" t="s">
        <v>6151</v>
      </c>
      <c r="G1349" s="1351" t="s">
        <v>1009</v>
      </c>
      <c r="H1349" s="1359" t="s">
        <v>5722</v>
      </c>
      <c r="I1349" s="1326"/>
      <c r="J1349" s="1341">
        <v>1350</v>
      </c>
      <c r="K1349" s="703"/>
      <c r="L1349" s="703"/>
      <c r="M1349" s="708"/>
      <c r="N1349" s="166"/>
      <c r="P1349" s="166"/>
    </row>
    <row r="1350" spans="1:16" s="1311" customFormat="1" ht="13.2" hidden="1" customHeight="1">
      <c r="A1350" s="2284">
        <v>45476</v>
      </c>
      <c r="B1350" s="1323" t="s">
        <v>5771</v>
      </c>
      <c r="C1350" s="1307">
        <v>54567236</v>
      </c>
      <c r="D1350" s="1307">
        <v>1</v>
      </c>
      <c r="E1350" s="1307"/>
      <c r="F1350" s="1313"/>
      <c r="G1350" s="1351" t="s">
        <v>1970</v>
      </c>
      <c r="H1350" s="1359" t="s">
        <v>5723</v>
      </c>
      <c r="I1350" s="1326"/>
      <c r="J1350" s="1349" t="s">
        <v>5690</v>
      </c>
      <c r="K1350" s="703"/>
      <c r="L1350" s="703"/>
      <c r="M1350" s="708"/>
      <c r="N1350" s="166"/>
      <c r="P1350" s="166"/>
    </row>
    <row r="1351" spans="1:16" s="1311" customFormat="1" ht="13.2" hidden="1" customHeight="1">
      <c r="A1351" s="2284">
        <v>45477</v>
      </c>
      <c r="B1351" s="1323" t="s">
        <v>5772</v>
      </c>
      <c r="C1351" s="1307">
        <v>11327109</v>
      </c>
      <c r="D1351" s="1307"/>
      <c r="E1351" s="1307"/>
      <c r="F1351" s="1313"/>
      <c r="G1351" s="1351" t="s">
        <v>3022</v>
      </c>
      <c r="H1351" s="1359"/>
      <c r="I1351" s="1326"/>
      <c r="J1351" s="1349"/>
      <c r="K1351" s="703"/>
      <c r="L1351" s="703">
        <v>1</v>
      </c>
      <c r="M1351" s="1419" t="s">
        <v>6038</v>
      </c>
      <c r="N1351" s="166"/>
      <c r="P1351" s="166"/>
    </row>
    <row r="1352" spans="1:16" s="1311" customFormat="1" ht="13.2" hidden="1" customHeight="1">
      <c r="A1352" s="2284">
        <v>45478</v>
      </c>
      <c r="B1352" s="1323" t="s">
        <v>5800</v>
      </c>
      <c r="C1352" s="1307">
        <v>94795319</v>
      </c>
      <c r="D1352" s="1453" t="s">
        <v>5958</v>
      </c>
      <c r="E1352" s="1307"/>
      <c r="F1352" s="1313"/>
      <c r="G1352" s="1351" t="s">
        <v>1973</v>
      </c>
      <c r="H1352" s="1359" t="s">
        <v>5733</v>
      </c>
      <c r="I1352" s="1326"/>
      <c r="J1352" s="1349">
        <v>1350</v>
      </c>
      <c r="K1352" s="703"/>
      <c r="L1352" s="703"/>
      <c r="M1352" s="708"/>
      <c r="N1352" s="166"/>
      <c r="P1352" s="166"/>
    </row>
    <row r="1353" spans="1:16" s="1311" customFormat="1" ht="13.2" hidden="1" customHeight="1">
      <c r="A1353" s="2286">
        <v>45478</v>
      </c>
      <c r="B1353" s="1323" t="s">
        <v>5806</v>
      </c>
      <c r="C1353" s="1307">
        <v>18446152</v>
      </c>
      <c r="D1353" s="1453"/>
      <c r="E1353" s="1307"/>
      <c r="F1353" s="1466"/>
      <c r="G1353" s="1466" t="s">
        <v>2719</v>
      </c>
      <c r="H1353" s="1359" t="s">
        <v>5734</v>
      </c>
      <c r="I1353" s="1326"/>
      <c r="J1353" s="1349" t="s">
        <v>5690</v>
      </c>
      <c r="K1353" s="703"/>
      <c r="L1353" s="703">
        <v>1</v>
      </c>
      <c r="M1353" s="1538" t="s">
        <v>6408</v>
      </c>
      <c r="N1353" s="166"/>
      <c r="P1353" s="166"/>
    </row>
    <row r="1354" spans="1:16" s="1311" customFormat="1" ht="13.2" hidden="1" customHeight="1">
      <c r="A1354" s="2287">
        <v>45516</v>
      </c>
      <c r="B1354" s="1323" t="s">
        <v>6377</v>
      </c>
      <c r="C1354" s="1307">
        <v>36405778</v>
      </c>
      <c r="D1354" s="1453" t="s">
        <v>6069</v>
      </c>
      <c r="E1354" s="1510" t="s">
        <v>651</v>
      </c>
      <c r="F1354" s="1510"/>
      <c r="G1354" s="1466" t="s">
        <v>2056</v>
      </c>
      <c r="H1354" s="1456" t="s">
        <v>6033</v>
      </c>
      <c r="I1354" s="1326"/>
      <c r="J1354" s="1417" t="s">
        <v>6034</v>
      </c>
      <c r="K1354" s="1400"/>
      <c r="L1354" s="703">
        <v>1</v>
      </c>
      <c r="M1354" s="1543" t="s">
        <v>6437</v>
      </c>
      <c r="N1354" s="166"/>
      <c r="P1354" s="166"/>
    </row>
    <row r="1355" spans="1:16" s="1311" customFormat="1" ht="13.2" hidden="1" customHeight="1">
      <c r="A1355" s="2284">
        <v>45479</v>
      </c>
      <c r="B1355" s="1323" t="s">
        <v>5797</v>
      </c>
      <c r="C1355" s="1307"/>
      <c r="D1355" s="1307"/>
      <c r="E1355" s="1307"/>
      <c r="F1355" s="1313"/>
      <c r="G1355" s="1368" t="s">
        <v>2266</v>
      </c>
      <c r="H1355" s="1359" t="s">
        <v>5738</v>
      </c>
      <c r="I1355" s="1326"/>
      <c r="J1355" s="1349">
        <v>1350</v>
      </c>
      <c r="K1355" s="703"/>
      <c r="L1355" s="703">
        <v>1</v>
      </c>
      <c r="M1355" s="1378" t="s">
        <v>5869</v>
      </c>
      <c r="N1355" s="166"/>
      <c r="P1355" s="166"/>
    </row>
    <row r="1356" spans="1:16" s="1311" customFormat="1" ht="13.2" hidden="1" customHeight="1">
      <c r="A1356" s="2285">
        <v>45479</v>
      </c>
      <c r="B1356" s="1323" t="s">
        <v>5819</v>
      </c>
      <c r="C1356" s="1307">
        <v>88197550</v>
      </c>
      <c r="D1356" s="1307"/>
      <c r="E1356" s="1307"/>
      <c r="F1356" s="1313"/>
      <c r="G1356" s="1351" t="s">
        <v>1970</v>
      </c>
      <c r="H1356" s="1359" t="s">
        <v>5739</v>
      </c>
      <c r="I1356" s="1326"/>
      <c r="J1356" s="1349">
        <v>1350</v>
      </c>
      <c r="K1356" s="703"/>
      <c r="L1356" s="703"/>
      <c r="M1356" s="708"/>
      <c r="N1356" s="166"/>
      <c r="P1356" s="166"/>
    </row>
    <row r="1357" spans="1:16" s="1311" customFormat="1" ht="13.2" hidden="1" customHeight="1">
      <c r="A1357" s="2284">
        <v>45479</v>
      </c>
      <c r="B1357" s="1323" t="s">
        <v>5880</v>
      </c>
      <c r="C1357" s="1307"/>
      <c r="D1357" s="1395" t="s">
        <v>1743</v>
      </c>
      <c r="E1357" s="1307"/>
      <c r="F1357" s="1313"/>
      <c r="G1357" s="1351" t="s">
        <v>3403</v>
      </c>
      <c r="H1357" s="1325" t="s">
        <v>5589</v>
      </c>
      <c r="I1357" s="1326"/>
      <c r="J1357" s="1349">
        <v>1350</v>
      </c>
      <c r="K1357" s="703"/>
      <c r="L1357" s="703"/>
      <c r="M1357" s="708"/>
      <c r="N1357" s="166"/>
      <c r="P1357" s="166"/>
    </row>
    <row r="1358" spans="1:16" s="1311" customFormat="1" hidden="1">
      <c r="A1358" s="2286">
        <v>45479</v>
      </c>
      <c r="B1358" s="1323" t="s">
        <v>5856</v>
      </c>
      <c r="C1358" s="1307">
        <v>85803976</v>
      </c>
      <c r="D1358" s="1496" t="s">
        <v>6274</v>
      </c>
      <c r="E1358" s="1307"/>
      <c r="F1358" s="1313"/>
      <c r="G1358" s="1351" t="s">
        <v>1972</v>
      </c>
      <c r="H1358" s="1359" t="s">
        <v>5740</v>
      </c>
      <c r="I1358" s="1326"/>
      <c r="J1358" s="1349">
        <v>1350</v>
      </c>
      <c r="K1358" s="703"/>
      <c r="L1358" s="703"/>
      <c r="M1358" s="708"/>
      <c r="N1358" s="166"/>
      <c r="P1358" s="166"/>
    </row>
    <row r="1359" spans="1:16" s="1311" customFormat="1" ht="12.6" hidden="1" customHeight="1">
      <c r="A1359" s="2286">
        <v>45479</v>
      </c>
      <c r="B1359" s="1323" t="s">
        <v>5833</v>
      </c>
      <c r="C1359" s="1307">
        <v>18246014</v>
      </c>
      <c r="D1359" s="1453" t="s">
        <v>6079</v>
      </c>
      <c r="E1359" s="1307"/>
      <c r="F1359" s="1313"/>
      <c r="G1359" s="1351" t="s">
        <v>1006</v>
      </c>
      <c r="H1359" s="1359" t="s">
        <v>5741</v>
      </c>
      <c r="I1359" s="1326"/>
      <c r="J1359" s="1349">
        <v>1400</v>
      </c>
      <c r="K1359" s="703"/>
      <c r="L1359" s="703">
        <v>1</v>
      </c>
      <c r="M1359" s="1599" t="s">
        <v>6639</v>
      </c>
      <c r="N1359" s="166"/>
      <c r="P1359" s="166"/>
    </row>
    <row r="1360" spans="1:16" s="1311" customFormat="1" ht="13.2" hidden="1" customHeight="1">
      <c r="A1360" s="2285">
        <v>45479</v>
      </c>
      <c r="B1360" s="1323" t="s">
        <v>5807</v>
      </c>
      <c r="C1360" s="1307">
        <v>66207694</v>
      </c>
      <c r="D1360" s="1453" t="s">
        <v>6079</v>
      </c>
      <c r="E1360" s="1307"/>
      <c r="F1360" s="1313"/>
      <c r="G1360" s="1351" t="s">
        <v>713</v>
      </c>
      <c r="H1360" s="1359" t="s">
        <v>5742</v>
      </c>
      <c r="I1360" s="1326"/>
      <c r="J1360" s="1349">
        <v>1350</v>
      </c>
      <c r="K1360" s="703"/>
      <c r="L1360" s="703"/>
      <c r="M1360" s="708"/>
      <c r="N1360" s="166"/>
      <c r="P1360" s="166"/>
    </row>
    <row r="1361" spans="1:16" s="1311" customFormat="1" ht="13.2" hidden="1" customHeight="1">
      <c r="A1361" s="2288">
        <v>45481</v>
      </c>
      <c r="B1361" s="1323" t="s">
        <v>5936</v>
      </c>
      <c r="C1361" s="1307">
        <v>24533921</v>
      </c>
      <c r="D1361" s="1504" t="s">
        <v>6306</v>
      </c>
      <c r="E1361" s="1307"/>
      <c r="F1361" s="1466" t="s">
        <v>6151</v>
      </c>
      <c r="G1361" s="1368" t="s">
        <v>2056</v>
      </c>
      <c r="H1361" s="1367" t="s">
        <v>5750</v>
      </c>
      <c r="I1361" s="1326"/>
      <c r="J1361" s="1365" t="s">
        <v>5751</v>
      </c>
      <c r="K1361" s="703"/>
      <c r="L1361" s="703">
        <v>1</v>
      </c>
      <c r="M1361" s="1514" t="s">
        <v>6375</v>
      </c>
      <c r="N1361" s="166"/>
      <c r="P1361" s="166"/>
    </row>
    <row r="1362" spans="1:16" s="1311" customFormat="1" ht="13.2" hidden="1" customHeight="1">
      <c r="A1362" s="2289">
        <v>45525</v>
      </c>
      <c r="B1362" s="1323" t="s">
        <v>6397</v>
      </c>
      <c r="C1362" s="1307">
        <v>88889646</v>
      </c>
      <c r="D1362" s="1520" t="s">
        <v>6399</v>
      </c>
      <c r="E1362" s="1307" t="s">
        <v>6400</v>
      </c>
      <c r="F1362" s="1520" t="s">
        <v>6401</v>
      </c>
      <c r="G1362" s="1442" t="s">
        <v>736</v>
      </c>
      <c r="H1362" s="1452" t="s">
        <v>6076</v>
      </c>
      <c r="I1362" s="1326"/>
      <c r="J1362" s="1442" t="s">
        <v>6024</v>
      </c>
      <c r="K1362" s="1400"/>
      <c r="L1362" s="703">
        <v>1</v>
      </c>
      <c r="M1362" s="1538" t="s">
        <v>6402</v>
      </c>
      <c r="N1362" s="166"/>
      <c r="P1362" s="166"/>
    </row>
    <row r="1363" spans="1:16" s="1311" customFormat="1" ht="13.2" hidden="1" customHeight="1">
      <c r="A1363" s="2290">
        <v>45481</v>
      </c>
      <c r="B1363" s="1323" t="s">
        <v>6351</v>
      </c>
      <c r="C1363" s="1307">
        <v>53887088</v>
      </c>
      <c r="D1363" s="1520" t="s">
        <v>6399</v>
      </c>
      <c r="E1363" s="1520" t="s">
        <v>6400</v>
      </c>
      <c r="F1363" s="1520" t="s">
        <v>6401</v>
      </c>
      <c r="G1363" s="1395" t="s">
        <v>2056</v>
      </c>
      <c r="H1363" s="1515" t="s">
        <v>6352</v>
      </c>
      <c r="I1363" s="1326"/>
      <c r="J1363" s="1365">
        <v>1350</v>
      </c>
      <c r="K1363" s="703"/>
      <c r="L1363" s="703">
        <f>0.3+0.7</f>
        <v>1</v>
      </c>
      <c r="M1363" s="1543" t="s">
        <v>6437</v>
      </c>
      <c r="N1363" s="166"/>
      <c r="P1363" s="166"/>
    </row>
    <row r="1364" spans="1:16" s="1311" customFormat="1" ht="13.2" hidden="1" customHeight="1">
      <c r="A1364" s="2288">
        <v>45481</v>
      </c>
      <c r="B1364" s="1323" t="s">
        <v>5883</v>
      </c>
      <c r="C1364" s="1307"/>
      <c r="D1364" s="1307"/>
      <c r="E1364" s="1307"/>
      <c r="F1364" s="1313"/>
      <c r="G1364" s="1368" t="s">
        <v>3403</v>
      </c>
      <c r="H1364" s="1325" t="s">
        <v>5589</v>
      </c>
      <c r="I1364" s="1326"/>
      <c r="J1364" s="1349">
        <v>1350</v>
      </c>
      <c r="K1364" s="703"/>
      <c r="L1364" s="703"/>
      <c r="M1364" s="708"/>
      <c r="N1364" s="166"/>
      <c r="P1364" s="166"/>
    </row>
    <row r="1365" spans="1:16" s="1311" customFormat="1" ht="13.2" hidden="1" customHeight="1">
      <c r="A1365" s="2290">
        <v>45481</v>
      </c>
      <c r="B1365" s="1323" t="s">
        <v>6094</v>
      </c>
      <c r="C1365" s="1307">
        <v>30080035</v>
      </c>
      <c r="D1365" s="1496" t="s">
        <v>6276</v>
      </c>
      <c r="E1365" s="1307"/>
      <c r="F1365" s="1313"/>
      <c r="G1365" s="1368" t="s">
        <v>2719</v>
      </c>
      <c r="H1365" s="1367" t="s">
        <v>5752</v>
      </c>
      <c r="I1365" s="1326"/>
      <c r="J1365" s="1365" t="s">
        <v>5753</v>
      </c>
      <c r="K1365" s="703"/>
      <c r="L1365" s="703">
        <v>1</v>
      </c>
      <c r="M1365" s="1538" t="s">
        <v>6408</v>
      </c>
      <c r="N1365" s="166"/>
      <c r="P1365" s="166"/>
    </row>
    <row r="1366" spans="1:16" s="1311" customFormat="1" ht="13.2" hidden="1" customHeight="1">
      <c r="A1366" s="2288">
        <v>45481</v>
      </c>
      <c r="B1366" s="1323" t="s">
        <v>1436</v>
      </c>
      <c r="C1366" s="1307">
        <v>42444807</v>
      </c>
      <c r="D1366" s="1307"/>
      <c r="E1366" s="1307"/>
      <c r="F1366" s="1313" t="s">
        <v>5805</v>
      </c>
      <c r="G1366" s="1368" t="s">
        <v>1032</v>
      </c>
      <c r="H1366" s="1367" t="s">
        <v>5754</v>
      </c>
      <c r="I1366" s="1326"/>
      <c r="J1366" s="1365" t="s">
        <v>5755</v>
      </c>
      <c r="K1366" s="703"/>
      <c r="L1366" s="703">
        <v>1</v>
      </c>
      <c r="M1366" s="1370" t="s">
        <v>5801</v>
      </c>
      <c r="N1366" s="166"/>
      <c r="P1366" s="166"/>
    </row>
    <row r="1367" spans="1:16" s="1311" customFormat="1" ht="13.2" hidden="1" customHeight="1">
      <c r="A1367" s="2290">
        <v>45482</v>
      </c>
      <c r="B1367" s="1323" t="s">
        <v>5804</v>
      </c>
      <c r="C1367" s="1307">
        <v>68342981</v>
      </c>
      <c r="D1367" s="1461" t="s">
        <v>6124</v>
      </c>
      <c r="E1367" s="1307"/>
      <c r="F1367" s="1313"/>
      <c r="G1367" s="1368" t="s">
        <v>2719</v>
      </c>
      <c r="H1367" s="1367" t="s">
        <v>5757</v>
      </c>
      <c r="I1367" s="1326"/>
      <c r="J1367" s="1365" t="s">
        <v>5753</v>
      </c>
      <c r="K1367" s="703"/>
      <c r="L1367" s="703">
        <v>1</v>
      </c>
      <c r="M1367" s="1492" t="s">
        <v>6252</v>
      </c>
      <c r="N1367" s="166"/>
      <c r="P1367" s="166"/>
    </row>
    <row r="1368" spans="1:16" s="1311" customFormat="1" ht="13.2" hidden="1" customHeight="1">
      <c r="A1368" s="2290">
        <v>45483</v>
      </c>
      <c r="B1368" s="1323" t="s">
        <v>6487</v>
      </c>
      <c r="C1368" s="1307">
        <v>49784950</v>
      </c>
      <c r="D1368" s="1578" t="s">
        <v>6567</v>
      </c>
      <c r="E1368" s="1598" t="s">
        <v>2755</v>
      </c>
      <c r="F1368" s="1559" t="s">
        <v>6401</v>
      </c>
      <c r="G1368" s="1559" t="s">
        <v>2614</v>
      </c>
      <c r="H1368" s="1568" t="s">
        <v>6488</v>
      </c>
      <c r="I1368" s="1326"/>
      <c r="J1368" s="1349">
        <v>1350</v>
      </c>
      <c r="K1368" s="703"/>
      <c r="L1368" s="703">
        <v>1</v>
      </c>
      <c r="M1368" s="1567" t="s">
        <v>6515</v>
      </c>
      <c r="N1368" s="166"/>
      <c r="P1368" s="166"/>
    </row>
    <row r="1369" spans="1:16" s="1311" customFormat="1" ht="13.2" hidden="1" customHeight="1">
      <c r="A1369" s="2288">
        <v>45484</v>
      </c>
      <c r="B1369" s="1323" t="s">
        <v>6041</v>
      </c>
      <c r="C1369" s="1307">
        <v>51201396</v>
      </c>
      <c r="D1369" s="1307"/>
      <c r="E1369" s="1307"/>
      <c r="F1369" s="1313"/>
      <c r="G1369" s="1368" t="s">
        <v>736</v>
      </c>
      <c r="H1369" s="1367" t="s">
        <v>5776</v>
      </c>
      <c r="I1369" s="1326"/>
      <c r="J1369" s="1365" t="s">
        <v>5795</v>
      </c>
      <c r="K1369" s="703"/>
      <c r="L1369" s="703">
        <v>1</v>
      </c>
      <c r="M1369" s="1441" t="s">
        <v>6060</v>
      </c>
      <c r="N1369" s="166"/>
      <c r="P1369" s="166"/>
    </row>
    <row r="1370" spans="1:16" s="1311" customFormat="1" ht="13.2" hidden="1" customHeight="1">
      <c r="A1370" s="2288">
        <v>45485</v>
      </c>
      <c r="B1370" s="1323" t="s">
        <v>5785</v>
      </c>
      <c r="C1370" s="1307">
        <v>40407167</v>
      </c>
      <c r="D1370" s="1307"/>
      <c r="E1370" s="1307"/>
      <c r="F1370" s="1313"/>
      <c r="G1370" s="1368" t="s">
        <v>2288</v>
      </c>
      <c r="H1370" s="1367" t="s">
        <v>5787</v>
      </c>
      <c r="I1370" s="1326"/>
      <c r="J1370" s="1349">
        <v>1350</v>
      </c>
      <c r="K1370" s="703"/>
      <c r="L1370" s="703"/>
      <c r="M1370" s="708"/>
      <c r="N1370" s="166"/>
      <c r="P1370" s="166"/>
    </row>
    <row r="1371" spans="1:16" s="1311" customFormat="1" ht="13.2" hidden="1" customHeight="1">
      <c r="A1371" s="2290">
        <v>45485</v>
      </c>
      <c r="B1371" s="1323" t="s">
        <v>5786</v>
      </c>
      <c r="C1371" s="1307">
        <v>84998360</v>
      </c>
      <c r="D1371" s="1504" t="s">
        <v>6343</v>
      </c>
      <c r="E1371" s="1504" t="s">
        <v>6320</v>
      </c>
      <c r="F1371" s="1313" t="s">
        <v>6151</v>
      </c>
      <c r="G1371" s="1368" t="s">
        <v>1972</v>
      </c>
      <c r="H1371" s="1367" t="s">
        <v>5788</v>
      </c>
      <c r="I1371" s="1326"/>
      <c r="J1371" s="1349">
        <v>1350</v>
      </c>
      <c r="K1371" s="703"/>
      <c r="L1371" s="703"/>
      <c r="M1371" s="708"/>
      <c r="N1371" s="166"/>
      <c r="P1371" s="166"/>
    </row>
    <row r="1372" spans="1:16" s="1311" customFormat="1" ht="13.2" hidden="1" customHeight="1">
      <c r="A1372" s="2290">
        <v>45485</v>
      </c>
      <c r="B1372" s="1323" t="s">
        <v>5808</v>
      </c>
      <c r="C1372" s="1307">
        <v>94618151</v>
      </c>
      <c r="D1372" s="1496" t="s">
        <v>6297</v>
      </c>
      <c r="E1372" s="1307"/>
      <c r="F1372" s="1313" t="s">
        <v>6151</v>
      </c>
      <c r="G1372" s="1368" t="s">
        <v>1009</v>
      </c>
      <c r="H1372" s="1367" t="s">
        <v>5789</v>
      </c>
      <c r="I1372" s="1326"/>
      <c r="J1372" s="1349">
        <v>1350</v>
      </c>
      <c r="K1372" s="703"/>
      <c r="L1372" s="703"/>
      <c r="M1372" s="708"/>
      <c r="N1372" s="166"/>
      <c r="P1372" s="166"/>
    </row>
    <row r="1373" spans="1:16" s="1311" customFormat="1" ht="13.2" hidden="1" customHeight="1">
      <c r="A1373" s="2290">
        <v>45485</v>
      </c>
      <c r="B1373" s="1323" t="s">
        <v>5803</v>
      </c>
      <c r="C1373" s="1307">
        <v>58855451</v>
      </c>
      <c r="D1373" s="1496" t="s">
        <v>6297</v>
      </c>
      <c r="E1373" s="1307"/>
      <c r="F1373" s="1313" t="s">
        <v>6151</v>
      </c>
      <c r="G1373" s="1368" t="s">
        <v>1009</v>
      </c>
      <c r="H1373" s="1367" t="s">
        <v>5790</v>
      </c>
      <c r="I1373" s="1326"/>
      <c r="J1373" s="1349">
        <v>1350</v>
      </c>
      <c r="K1373" s="703"/>
      <c r="L1373" s="703"/>
      <c r="M1373" s="708"/>
      <c r="N1373" s="166"/>
      <c r="P1373" s="166"/>
    </row>
    <row r="1374" spans="1:16" s="1311" customFormat="1" ht="13.2" hidden="1" customHeight="1">
      <c r="A1374" s="2290">
        <v>45485</v>
      </c>
      <c r="B1374" s="1323" t="s">
        <v>5831</v>
      </c>
      <c r="C1374" s="1307">
        <v>17798115</v>
      </c>
      <c r="D1374" s="1453" t="s">
        <v>5958</v>
      </c>
      <c r="E1374" s="1307"/>
      <c r="F1374" s="1466"/>
      <c r="G1374" s="1368" t="s">
        <v>1996</v>
      </c>
      <c r="H1374" s="1367" t="s">
        <v>5791</v>
      </c>
      <c r="I1374" s="1326"/>
      <c r="J1374" s="1349">
        <v>1350</v>
      </c>
      <c r="K1374" s="703"/>
      <c r="L1374" s="703"/>
      <c r="M1374" s="708"/>
      <c r="N1374" s="166"/>
      <c r="P1374" s="166"/>
    </row>
    <row r="1375" spans="1:16" s="1311" customFormat="1" ht="13.2" hidden="1" customHeight="1">
      <c r="A1375" s="2290">
        <v>45485</v>
      </c>
      <c r="B1375" s="1323" t="s">
        <v>5809</v>
      </c>
      <c r="C1375" s="1307">
        <v>52457509</v>
      </c>
      <c r="D1375" s="1307"/>
      <c r="E1375" s="1571" t="s">
        <v>6443</v>
      </c>
      <c r="F1375" s="1313" t="s">
        <v>4912</v>
      </c>
      <c r="G1375" s="1368" t="s">
        <v>3022</v>
      </c>
      <c r="H1375" s="1367" t="s">
        <v>5792</v>
      </c>
      <c r="I1375" s="1326">
        <f>20-15-5</f>
        <v>0</v>
      </c>
      <c r="J1375" s="1349">
        <v>1350</v>
      </c>
      <c r="K1375" s="1639" t="s">
        <v>6873</v>
      </c>
      <c r="L1375" s="703"/>
      <c r="M1375" s="708"/>
      <c r="N1375" s="166"/>
      <c r="P1375" s="166"/>
    </row>
    <row r="1376" spans="1:16" s="1311" customFormat="1" ht="13.2" hidden="1" customHeight="1">
      <c r="A1376" s="2288">
        <v>45485</v>
      </c>
      <c r="B1376" s="1323" t="s">
        <v>5835</v>
      </c>
      <c r="C1376" s="1307">
        <v>49051648</v>
      </c>
      <c r="D1376" s="1307"/>
      <c r="E1376" s="1307"/>
      <c r="F1376" s="1313"/>
      <c r="G1376" s="1368" t="s">
        <v>1970</v>
      </c>
      <c r="H1376" s="1367" t="s">
        <v>5793</v>
      </c>
      <c r="I1376" s="1326"/>
      <c r="J1376" s="1365" t="s">
        <v>5794</v>
      </c>
      <c r="K1376" s="703"/>
      <c r="L1376" s="703"/>
      <c r="M1376" s="708"/>
      <c r="N1376" s="166"/>
      <c r="P1376" s="166"/>
    </row>
    <row r="1377" spans="1:16" s="1311" customFormat="1" ht="13.2" hidden="1" customHeight="1">
      <c r="A1377" s="2288">
        <v>45485</v>
      </c>
      <c r="B1377" s="1323" t="s">
        <v>6090</v>
      </c>
      <c r="C1377" s="1307">
        <v>12345678</v>
      </c>
      <c r="D1377" s="1307"/>
      <c r="E1377" s="1307"/>
      <c r="F1377" s="1313"/>
      <c r="G1377" s="1368" t="s">
        <v>3403</v>
      </c>
      <c r="H1377" s="1325" t="s">
        <v>5589</v>
      </c>
      <c r="I1377" s="1326"/>
      <c r="J1377" s="1349">
        <v>1350</v>
      </c>
      <c r="K1377" s="703"/>
      <c r="L1377" s="703"/>
      <c r="M1377" s="708"/>
      <c r="N1377" s="166"/>
      <c r="P1377" s="166"/>
    </row>
    <row r="1378" spans="1:16" s="1311" customFormat="1" ht="13.2" hidden="1" customHeight="1">
      <c r="A1378" s="2288">
        <v>45485</v>
      </c>
      <c r="B1378" s="1323" t="s">
        <v>6091</v>
      </c>
      <c r="C1378" s="1307">
        <v>12345678</v>
      </c>
      <c r="D1378" s="1307"/>
      <c r="E1378" s="1307"/>
      <c r="F1378" s="1313"/>
      <c r="G1378" s="1368" t="s">
        <v>3403</v>
      </c>
      <c r="H1378" s="1325" t="s">
        <v>5589</v>
      </c>
      <c r="I1378" s="1326"/>
      <c r="J1378" s="1349">
        <v>1500</v>
      </c>
      <c r="K1378" s="703"/>
      <c r="L1378" s="703"/>
      <c r="M1378" s="708"/>
      <c r="N1378" s="166"/>
      <c r="P1378" s="166"/>
    </row>
    <row r="1379" spans="1:16" s="1311" customFormat="1" ht="13.2" hidden="1" customHeight="1">
      <c r="A1379" s="2288">
        <v>45486</v>
      </c>
      <c r="B1379" s="1343" t="s">
        <v>5859</v>
      </c>
      <c r="C1379" s="1299">
        <v>15028490</v>
      </c>
      <c r="D1379" s="1447" t="s">
        <v>3770</v>
      </c>
      <c r="E1379" s="1549" t="s">
        <v>6443</v>
      </c>
      <c r="F1379" s="1481" t="s">
        <v>6196</v>
      </c>
      <c r="G1379" s="1361" t="s">
        <v>2012</v>
      </c>
      <c r="H1379" s="1582" t="s">
        <v>6583</v>
      </c>
      <c r="I1379" s="1345">
        <v>0</v>
      </c>
      <c r="J1379" s="1349">
        <v>1500</v>
      </c>
      <c r="K1379" s="703">
        <v>1</v>
      </c>
      <c r="L1379" s="1639" t="s">
        <v>6875</v>
      </c>
      <c r="M1379" s="1547" t="s">
        <v>6464</v>
      </c>
      <c r="N1379" s="166"/>
      <c r="P1379" s="166"/>
    </row>
    <row r="1380" spans="1:16" s="1311" customFormat="1" ht="13.2" hidden="1" customHeight="1">
      <c r="A1380" s="2288">
        <v>45487</v>
      </c>
      <c r="B1380" s="1323" t="s">
        <v>5853</v>
      </c>
      <c r="C1380" s="1307">
        <v>57007667</v>
      </c>
      <c r="D1380" s="1307"/>
      <c r="E1380" s="1307"/>
      <c r="F1380" s="1313"/>
      <c r="G1380" s="1368" t="s">
        <v>617</v>
      </c>
      <c r="H1380" s="1367" t="s">
        <v>5814</v>
      </c>
      <c r="I1380" s="1326"/>
      <c r="J1380" s="1349">
        <v>1550</v>
      </c>
      <c r="K1380" s="1362" t="s">
        <v>5815</v>
      </c>
      <c r="L1380" s="703"/>
      <c r="M1380" s="708"/>
      <c r="N1380" s="166"/>
      <c r="P1380" s="166"/>
    </row>
    <row r="1381" spans="1:16" s="1311" customFormat="1" ht="13.2" hidden="1" customHeight="1">
      <c r="A1381" s="2290">
        <v>45488</v>
      </c>
      <c r="B1381" s="1323" t="s">
        <v>5890</v>
      </c>
      <c r="C1381" s="1307">
        <v>59819884</v>
      </c>
      <c r="D1381" s="1395" t="s">
        <v>5959</v>
      </c>
      <c r="E1381" s="1307"/>
      <c r="F1381" s="1313"/>
      <c r="G1381" s="1368" t="s">
        <v>1970</v>
      </c>
      <c r="H1381" s="1367" t="s">
        <v>5820</v>
      </c>
      <c r="I1381" s="1326"/>
      <c r="J1381" s="1349">
        <v>1400</v>
      </c>
      <c r="K1381" s="1362" t="s">
        <v>5821</v>
      </c>
      <c r="L1381" s="703"/>
      <c r="M1381" s="708"/>
      <c r="N1381" s="166"/>
      <c r="P1381" s="166"/>
    </row>
    <row r="1382" spans="1:16" s="1311" customFormat="1" ht="13.2" hidden="1" customHeight="1">
      <c r="A1382" s="2288">
        <v>45488</v>
      </c>
      <c r="B1382" s="1323" t="s">
        <v>5860</v>
      </c>
      <c r="C1382" s="1307">
        <v>29953279</v>
      </c>
      <c r="D1382" s="1453" t="s">
        <v>6079</v>
      </c>
      <c r="E1382" s="1307"/>
      <c r="F1382" s="1313"/>
      <c r="G1382" s="1368" t="s">
        <v>1996</v>
      </c>
      <c r="H1382" s="1367" t="s">
        <v>5822</v>
      </c>
      <c r="I1382" s="1326"/>
      <c r="J1382" s="1349">
        <v>1350</v>
      </c>
      <c r="K1382" s="703"/>
      <c r="L1382" s="703"/>
      <c r="M1382" s="708"/>
      <c r="N1382" s="166"/>
      <c r="P1382" s="166"/>
    </row>
    <row r="1383" spans="1:16" s="1311" customFormat="1" ht="13.2" hidden="1" customHeight="1">
      <c r="A1383" s="2291">
        <v>45489</v>
      </c>
      <c r="B1383" s="1323" t="s">
        <v>5861</v>
      </c>
      <c r="C1383" s="1307">
        <v>42048750</v>
      </c>
      <c r="D1383" s="1307"/>
      <c r="E1383" s="1307"/>
      <c r="F1383" s="1313"/>
      <c r="G1383" s="1368" t="s">
        <v>5839</v>
      </c>
      <c r="H1383" s="1367" t="s">
        <v>5840</v>
      </c>
      <c r="I1383" s="1326"/>
      <c r="J1383" s="1349">
        <v>1500</v>
      </c>
      <c r="K1383" s="703"/>
      <c r="L1383" s="703">
        <v>1</v>
      </c>
      <c r="M1383" s="1402" t="s">
        <v>5931</v>
      </c>
      <c r="N1383" s="166"/>
      <c r="P1383" s="166"/>
    </row>
    <row r="1384" spans="1:16" s="1311" customFormat="1" ht="13.2" hidden="1" customHeight="1">
      <c r="A1384" s="2288">
        <v>45489</v>
      </c>
      <c r="B1384" s="1323" t="s">
        <v>5962</v>
      </c>
      <c r="C1384" s="1307">
        <v>54531894</v>
      </c>
      <c r="D1384" s="1395" t="s">
        <v>5959</v>
      </c>
      <c r="E1384" s="1307"/>
      <c r="F1384" s="1313"/>
      <c r="G1384" s="1368" t="s">
        <v>1970</v>
      </c>
      <c r="H1384" s="1367" t="s">
        <v>5841</v>
      </c>
      <c r="I1384" s="1326"/>
      <c r="J1384" s="1349">
        <v>1350</v>
      </c>
      <c r="K1384" s="703"/>
      <c r="L1384" s="703"/>
      <c r="M1384" s="708"/>
      <c r="N1384" s="166"/>
      <c r="P1384" s="166"/>
    </row>
    <row r="1385" spans="1:16" s="1311" customFormat="1" ht="13.2" hidden="1" customHeight="1">
      <c r="A1385" s="2291">
        <v>45489</v>
      </c>
      <c r="B1385" s="1323" t="s">
        <v>5867</v>
      </c>
      <c r="C1385" s="1307">
        <v>17009378</v>
      </c>
      <c r="D1385" s="1395" t="s">
        <v>5959</v>
      </c>
      <c r="E1385" s="1307"/>
      <c r="F1385" s="1313"/>
      <c r="G1385" s="1368" t="s">
        <v>1970</v>
      </c>
      <c r="H1385" s="1367" t="s">
        <v>5842</v>
      </c>
      <c r="I1385" s="1326"/>
      <c r="J1385" s="1365" t="s">
        <v>5039</v>
      </c>
      <c r="K1385" s="703"/>
      <c r="L1385" s="703"/>
      <c r="M1385" s="708"/>
      <c r="N1385" s="166"/>
      <c r="P1385" s="166"/>
    </row>
    <row r="1386" spans="1:16" s="1311" customFormat="1" ht="13.2" hidden="1" customHeight="1">
      <c r="A1386" s="2290">
        <v>45490</v>
      </c>
      <c r="B1386" s="1323" t="s">
        <v>5862</v>
      </c>
      <c r="C1386" s="1307">
        <v>96487927</v>
      </c>
      <c r="D1386" s="1453" t="s">
        <v>6079</v>
      </c>
      <c r="E1386" s="1307"/>
      <c r="F1386" s="1313"/>
      <c r="G1386" s="1368" t="s">
        <v>763</v>
      </c>
      <c r="H1386" s="1376" t="s">
        <v>5863</v>
      </c>
      <c r="I1386" s="1326"/>
      <c r="J1386" s="1365">
        <v>1500</v>
      </c>
      <c r="K1386" s="703"/>
      <c r="L1386" s="703"/>
      <c r="M1386" s="708"/>
      <c r="N1386" s="166"/>
      <c r="P1386" s="166"/>
    </row>
    <row r="1387" spans="1:16" s="1311" customFormat="1" ht="13.2" hidden="1" customHeight="1">
      <c r="A1387" s="2290">
        <v>45490</v>
      </c>
      <c r="B1387" s="1475" t="s">
        <v>5886</v>
      </c>
      <c r="C1387" s="1476">
        <v>72417663</v>
      </c>
      <c r="D1387" s="1476" t="s">
        <v>6079</v>
      </c>
      <c r="E1387" s="1476"/>
      <c r="F1387" s="1477"/>
      <c r="G1387" s="1476" t="s">
        <v>4664</v>
      </c>
      <c r="H1387" s="1478" t="s">
        <v>5846</v>
      </c>
      <c r="I1387" s="1479"/>
      <c r="J1387" s="1365">
        <v>1400</v>
      </c>
      <c r="K1387" s="1362" t="s">
        <v>5821</v>
      </c>
      <c r="L1387" s="703">
        <v>1</v>
      </c>
      <c r="M1387" s="1492" t="s">
        <v>6252</v>
      </c>
      <c r="N1387" s="166"/>
      <c r="P1387" s="166"/>
    </row>
    <row r="1388" spans="1:16" s="1311" customFormat="1" ht="13.2" hidden="1" customHeight="1">
      <c r="A1388" s="2290">
        <v>45490</v>
      </c>
      <c r="B1388" s="1323" t="s">
        <v>5864</v>
      </c>
      <c r="C1388" s="1307">
        <v>45467624</v>
      </c>
      <c r="D1388" s="1520" t="s">
        <v>6396</v>
      </c>
      <c r="E1388" s="1520" t="s">
        <v>6400</v>
      </c>
      <c r="F1388" s="1313" t="s">
        <v>6401</v>
      </c>
      <c r="G1388" s="1368" t="s">
        <v>1009</v>
      </c>
      <c r="H1388" s="1367" t="s">
        <v>5847</v>
      </c>
      <c r="I1388" s="1326"/>
      <c r="J1388" s="1365">
        <v>1400</v>
      </c>
      <c r="K1388" s="703"/>
      <c r="L1388" s="703"/>
      <c r="M1388" s="708"/>
      <c r="N1388" s="166"/>
      <c r="P1388" s="166"/>
    </row>
    <row r="1389" spans="1:16" s="1311" customFormat="1" ht="13.2" hidden="1" customHeight="1">
      <c r="A1389" s="2288">
        <v>45490</v>
      </c>
      <c r="B1389" s="1316" t="s">
        <v>3403</v>
      </c>
      <c r="C1389" s="1305"/>
      <c r="D1389" s="1305"/>
      <c r="E1389" s="1305"/>
      <c r="F1389" s="1310" t="s">
        <v>6151</v>
      </c>
      <c r="G1389" s="1362" t="s">
        <v>3403</v>
      </c>
      <c r="H1389" s="1364"/>
      <c r="I1389" s="1317">
        <f>20-20</f>
        <v>0</v>
      </c>
      <c r="J1389" s="1365">
        <v>1350</v>
      </c>
      <c r="K1389" s="703"/>
      <c r="L1389" s="703"/>
      <c r="M1389" s="708"/>
      <c r="N1389" s="166"/>
      <c r="P1389" s="166"/>
    </row>
    <row r="1390" spans="1:16" s="1311" customFormat="1" ht="13.2" hidden="1" customHeight="1">
      <c r="A1390" s="2292">
        <v>45491</v>
      </c>
      <c r="B1390" s="1323" t="s">
        <v>5866</v>
      </c>
      <c r="C1390" s="1307">
        <v>17248614</v>
      </c>
      <c r="D1390" s="1520" t="s">
        <v>6396</v>
      </c>
      <c r="E1390" s="1520" t="s">
        <v>6400</v>
      </c>
      <c r="F1390" s="1313" t="s">
        <v>6401</v>
      </c>
      <c r="G1390" s="1375" t="s">
        <v>1009</v>
      </c>
      <c r="H1390" s="1376" t="s">
        <v>5850</v>
      </c>
      <c r="I1390" s="1326"/>
      <c r="J1390" s="1365">
        <v>1500</v>
      </c>
      <c r="K1390" s="703"/>
      <c r="L1390" s="703"/>
      <c r="M1390" s="708"/>
      <c r="N1390" s="166"/>
      <c r="P1390" s="166"/>
    </row>
    <row r="1391" spans="1:16" s="1311" customFormat="1" ht="13.2" hidden="1" customHeight="1">
      <c r="A1391" s="2292">
        <v>45491</v>
      </c>
      <c r="B1391" s="1323" t="s">
        <v>5865</v>
      </c>
      <c r="C1391" s="1307">
        <v>96954917</v>
      </c>
      <c r="D1391" s="1504" t="s">
        <v>6297</v>
      </c>
      <c r="E1391" s="1307"/>
      <c r="F1391" s="1466" t="s">
        <v>6151</v>
      </c>
      <c r="G1391" s="1375" t="s">
        <v>2056</v>
      </c>
      <c r="H1391" s="1376" t="s">
        <v>5851</v>
      </c>
      <c r="I1391" s="1326"/>
      <c r="J1391" s="1380" t="s">
        <v>5852</v>
      </c>
      <c r="K1391" s="703"/>
      <c r="L1391" s="703">
        <v>1</v>
      </c>
      <c r="M1391" s="1514" t="s">
        <v>6375</v>
      </c>
      <c r="N1391" s="166"/>
      <c r="P1391" s="166"/>
    </row>
    <row r="1392" spans="1:16" s="1311" customFormat="1" ht="13.2" hidden="1" customHeight="1">
      <c r="A1392" s="2292">
        <v>45492</v>
      </c>
      <c r="B1392" s="1323" t="s">
        <v>5888</v>
      </c>
      <c r="C1392" s="1307">
        <v>14230370</v>
      </c>
      <c r="D1392" s="1496" t="s">
        <v>6253</v>
      </c>
      <c r="E1392" s="1307"/>
      <c r="F1392" s="1313" t="s">
        <v>6151</v>
      </c>
      <c r="G1392" s="1375" t="s">
        <v>2124</v>
      </c>
      <c r="H1392" s="1376" t="s">
        <v>5870</v>
      </c>
      <c r="I1392" s="1326"/>
      <c r="J1392" s="1380">
        <v>1350</v>
      </c>
      <c r="K1392" s="703"/>
      <c r="L1392" s="703"/>
      <c r="M1392" s="708"/>
      <c r="N1392" s="166"/>
      <c r="P1392" s="166"/>
    </row>
    <row r="1393" spans="1:16" s="1311" customFormat="1" ht="13.2" hidden="1" customHeight="1">
      <c r="A1393" s="2293">
        <v>45492</v>
      </c>
      <c r="B1393" s="1323" t="s">
        <v>5999</v>
      </c>
      <c r="C1393" s="1307">
        <v>74326940</v>
      </c>
      <c r="D1393" s="1307"/>
      <c r="E1393" s="1307"/>
      <c r="F1393" s="1313"/>
      <c r="G1393" s="1375" t="s">
        <v>736</v>
      </c>
      <c r="H1393" s="1376" t="s">
        <v>5871</v>
      </c>
      <c r="I1393" s="1326"/>
      <c r="J1393" s="1380">
        <v>1500</v>
      </c>
      <c r="K1393" s="703"/>
      <c r="L1393" s="703">
        <v>1</v>
      </c>
      <c r="M1393" s="1419" t="s">
        <v>6027</v>
      </c>
      <c r="N1393" s="166"/>
      <c r="P1393" s="166"/>
    </row>
    <row r="1394" spans="1:16" s="1311" customFormat="1" ht="13.2" hidden="1" customHeight="1">
      <c r="A1394" s="2292">
        <v>45493</v>
      </c>
      <c r="B1394" s="1323" t="s">
        <v>6176</v>
      </c>
      <c r="C1394" s="1307">
        <v>15675295</v>
      </c>
      <c r="D1394" s="1466" t="s">
        <v>6173</v>
      </c>
      <c r="E1394" s="1520" t="s">
        <v>6400</v>
      </c>
      <c r="F1394" s="1520" t="s">
        <v>6401</v>
      </c>
      <c r="G1394" s="1375" t="s">
        <v>2124</v>
      </c>
      <c r="H1394" s="1376" t="s">
        <v>5872</v>
      </c>
      <c r="I1394" s="1326"/>
      <c r="J1394" s="1380">
        <v>1500</v>
      </c>
      <c r="K1394" s="703"/>
      <c r="L1394" s="703"/>
      <c r="M1394" s="708"/>
      <c r="N1394" s="166"/>
      <c r="P1394" s="166"/>
    </row>
    <row r="1395" spans="1:16" s="1311" customFormat="1" ht="13.2" hidden="1" customHeight="1">
      <c r="A1395" s="2292">
        <v>45493</v>
      </c>
      <c r="B1395" s="1323" t="s">
        <v>5889</v>
      </c>
      <c r="C1395" s="1307">
        <v>94650848</v>
      </c>
      <c r="D1395" s="1395" t="s">
        <v>5959</v>
      </c>
      <c r="E1395" s="1307"/>
      <c r="F1395" s="1313"/>
      <c r="G1395" s="1375" t="s">
        <v>1970</v>
      </c>
      <c r="H1395" s="1376" t="s">
        <v>5873</v>
      </c>
      <c r="I1395" s="1326"/>
      <c r="J1395" s="1380">
        <v>1500</v>
      </c>
      <c r="K1395" s="703"/>
      <c r="L1395" s="703"/>
      <c r="M1395" s="708"/>
      <c r="N1395" s="166"/>
      <c r="P1395" s="166"/>
    </row>
    <row r="1396" spans="1:16" s="1311" customFormat="1" ht="13.2" hidden="1" customHeight="1">
      <c r="A1396" s="2294">
        <v>45494</v>
      </c>
      <c r="B1396" s="1323" t="s">
        <v>5891</v>
      </c>
      <c r="C1396" s="1307">
        <v>51633850</v>
      </c>
      <c r="D1396" s="1395" t="s">
        <v>5959</v>
      </c>
      <c r="E1396" s="1307"/>
      <c r="F1396" s="1313"/>
      <c r="G1396" s="1403" t="s">
        <v>1970</v>
      </c>
      <c r="H1396" s="1386" t="s">
        <v>5874</v>
      </c>
      <c r="I1396" s="1326"/>
      <c r="J1396" s="1384" t="s">
        <v>5753</v>
      </c>
      <c r="K1396" s="703"/>
      <c r="L1396" s="703"/>
      <c r="M1396" s="708"/>
      <c r="N1396" s="166"/>
      <c r="P1396" s="166"/>
    </row>
    <row r="1397" spans="1:16" s="1311" customFormat="1" ht="13.2" hidden="1" customHeight="1">
      <c r="A1397" s="2295">
        <v>45494</v>
      </c>
      <c r="B1397" s="1323" t="s">
        <v>5887</v>
      </c>
      <c r="C1397" s="1307">
        <v>12211539</v>
      </c>
      <c r="D1397" s="1307"/>
      <c r="E1397" s="1307"/>
      <c r="F1397" s="1313"/>
      <c r="G1397" s="1403" t="s">
        <v>2478</v>
      </c>
      <c r="H1397" s="1386" t="s">
        <v>5875</v>
      </c>
      <c r="I1397" s="1326"/>
      <c r="J1397" s="1380">
        <v>1400</v>
      </c>
      <c r="K1397" s="1383" t="s">
        <v>5821</v>
      </c>
      <c r="L1397" s="703"/>
      <c r="M1397" s="708"/>
      <c r="N1397" s="166"/>
      <c r="P1397" s="166"/>
    </row>
    <row r="1398" spans="1:16" s="1311" customFormat="1" ht="13.2" hidden="1" customHeight="1">
      <c r="A1398" s="2296">
        <v>45494</v>
      </c>
      <c r="B1398" s="1343" t="s">
        <v>6919</v>
      </c>
      <c r="C1398" s="1299">
        <v>12345678</v>
      </c>
      <c r="D1398" s="1299"/>
      <c r="E1398" s="1299"/>
      <c r="F1398" s="976" t="s">
        <v>6151</v>
      </c>
      <c r="G1398" s="1667" t="s">
        <v>3403</v>
      </c>
      <c r="H1398" s="1668"/>
      <c r="I1398" s="1345">
        <f>22-22</f>
        <v>0</v>
      </c>
      <c r="J1398" s="1380">
        <v>1500</v>
      </c>
      <c r="K1398" s="1383" t="s">
        <v>5876</v>
      </c>
      <c r="L1398" s="703"/>
      <c r="M1398" s="708"/>
      <c r="N1398" s="166"/>
      <c r="P1398" s="166"/>
    </row>
    <row r="1399" spans="1:16" s="1311" customFormat="1" ht="13.2" hidden="1" customHeight="1">
      <c r="A1399" s="2297">
        <v>45495</v>
      </c>
      <c r="B1399" s="1323" t="s">
        <v>6283</v>
      </c>
      <c r="C1399" s="1307">
        <v>26120293</v>
      </c>
      <c r="D1399" s="1453" t="s">
        <v>6095</v>
      </c>
      <c r="E1399" s="1496" t="s">
        <v>6263</v>
      </c>
      <c r="F1399" s="1313" t="s">
        <v>6367</v>
      </c>
      <c r="G1399" s="1403" t="s">
        <v>1006</v>
      </c>
      <c r="H1399" s="1386" t="s">
        <v>5893</v>
      </c>
      <c r="I1399" s="1326"/>
      <c r="J1399" s="1380">
        <v>1500</v>
      </c>
      <c r="K1399" s="1383" t="s">
        <v>5876</v>
      </c>
      <c r="L1399" s="703">
        <v>1</v>
      </c>
      <c r="M1399" s="1599" t="s">
        <v>6639</v>
      </c>
      <c r="N1399" s="166"/>
      <c r="P1399" s="166"/>
    </row>
    <row r="1400" spans="1:16" s="1311" customFormat="1" ht="13.2" hidden="1" customHeight="1">
      <c r="A1400" s="2295">
        <v>45495</v>
      </c>
      <c r="B1400" s="1323" t="s">
        <v>6082</v>
      </c>
      <c r="C1400" s="1307">
        <v>35391864</v>
      </c>
      <c r="D1400" s="1466" t="s">
        <v>6173</v>
      </c>
      <c r="E1400" s="1307"/>
      <c r="F1400" s="1313"/>
      <c r="G1400" s="1403" t="s">
        <v>713</v>
      </c>
      <c r="H1400" s="1386" t="s">
        <v>5894</v>
      </c>
      <c r="I1400" s="1326"/>
      <c r="J1400" s="1380">
        <v>1400</v>
      </c>
      <c r="K1400" s="1383" t="s">
        <v>5895</v>
      </c>
      <c r="L1400" s="703"/>
      <c r="M1400" s="708"/>
      <c r="N1400" s="166"/>
      <c r="P1400" s="166"/>
    </row>
    <row r="1401" spans="1:16" s="1311" customFormat="1" ht="13.2" hidden="1" customHeight="1">
      <c r="A1401" s="2298">
        <v>45496</v>
      </c>
      <c r="B1401" s="1323" t="s">
        <v>6444</v>
      </c>
      <c r="C1401" s="1307">
        <v>87410573</v>
      </c>
      <c r="D1401" s="1453" t="s">
        <v>6085</v>
      </c>
      <c r="E1401" s="1556" t="s">
        <v>6400</v>
      </c>
      <c r="F1401" s="1556" t="s">
        <v>6401</v>
      </c>
      <c r="G1401" s="1307" t="s">
        <v>5554</v>
      </c>
      <c r="H1401" s="1392" t="s">
        <v>5897</v>
      </c>
      <c r="I1401" s="1326"/>
      <c r="J1401" s="1380">
        <v>1500</v>
      </c>
      <c r="K1401" s="1383"/>
      <c r="L1401" s="703"/>
      <c r="M1401" s="708"/>
      <c r="N1401" s="166"/>
      <c r="P1401" s="166"/>
    </row>
    <row r="1402" spans="1:16" s="1311" customFormat="1" ht="13.2" hidden="1" customHeight="1">
      <c r="A1402" s="1387"/>
      <c r="B1402" s="1316" t="s">
        <v>5906</v>
      </c>
      <c r="C1402" s="1305"/>
      <c r="D1402" s="1305"/>
      <c r="E1402" s="1305"/>
      <c r="F1402" s="1310"/>
      <c r="G1402" s="1388" t="s">
        <v>1009</v>
      </c>
      <c r="H1402" s="1389" t="s">
        <v>5907</v>
      </c>
      <c r="I1402" s="1411" t="s">
        <v>2924</v>
      </c>
      <c r="J1402" s="1380">
        <v>1400</v>
      </c>
      <c r="K1402" s="1388" t="s">
        <v>5908</v>
      </c>
      <c r="L1402" s="703"/>
      <c r="M1402" s="708"/>
      <c r="N1402" s="166"/>
      <c r="P1402" s="166"/>
    </row>
    <row r="1403" spans="1:16" s="1311" customFormat="1" ht="13.2" hidden="1" customHeight="1">
      <c r="A1403" s="2299">
        <v>45539</v>
      </c>
      <c r="B1403" s="1323" t="s">
        <v>6313</v>
      </c>
      <c r="C1403" s="1307">
        <v>81978569</v>
      </c>
      <c r="D1403" s="1496" t="s">
        <v>6314</v>
      </c>
      <c r="E1403" s="1307"/>
      <c r="F1403" s="1510" t="s">
        <v>6368</v>
      </c>
      <c r="G1403" s="1486" t="s">
        <v>736</v>
      </c>
      <c r="H1403" s="1491" t="s">
        <v>6231</v>
      </c>
      <c r="I1403" s="1326"/>
      <c r="J1403" s="1486" t="s">
        <v>4916</v>
      </c>
      <c r="K1403" s="1400"/>
      <c r="L1403" s="703">
        <v>1</v>
      </c>
      <c r="M1403" s="1538" t="s">
        <v>6402</v>
      </c>
      <c r="N1403" s="166"/>
      <c r="P1403" s="166"/>
    </row>
    <row r="1404" spans="1:16" s="1311" customFormat="1" ht="13.2" hidden="1" customHeight="1">
      <c r="A1404" s="2300">
        <v>45497</v>
      </c>
      <c r="B1404" s="1343" t="s">
        <v>6920</v>
      </c>
      <c r="C1404" s="1299">
        <v>12345678</v>
      </c>
      <c r="D1404" s="1299"/>
      <c r="E1404" s="1299"/>
      <c r="F1404" s="976" t="s">
        <v>6151</v>
      </c>
      <c r="G1404" s="1669" t="s">
        <v>3403</v>
      </c>
      <c r="H1404" s="1670" t="s">
        <v>5910</v>
      </c>
      <c r="I1404" s="1345">
        <f>18-18</f>
        <v>0</v>
      </c>
      <c r="J1404" s="1380">
        <v>1400</v>
      </c>
      <c r="K1404" s="1388" t="s">
        <v>5821</v>
      </c>
      <c r="L1404" s="703"/>
      <c r="M1404" s="708"/>
      <c r="N1404" s="166"/>
      <c r="P1404" s="166"/>
    </row>
    <row r="1405" spans="1:16" s="1311" customFormat="1" ht="13.2" hidden="1" customHeight="1">
      <c r="A1405" s="2279">
        <v>45497</v>
      </c>
      <c r="B1405" s="1323" t="s">
        <v>6018</v>
      </c>
      <c r="C1405" s="1307">
        <v>81929857</v>
      </c>
      <c r="D1405" s="1453" t="s">
        <v>6079</v>
      </c>
      <c r="E1405" s="1307"/>
      <c r="F1405" s="1313"/>
      <c r="G1405" s="1391" t="s">
        <v>2221</v>
      </c>
      <c r="H1405" s="1392" t="s">
        <v>5911</v>
      </c>
      <c r="I1405" s="1326"/>
      <c r="J1405" s="1380">
        <v>1400</v>
      </c>
      <c r="K1405" s="1388" t="s">
        <v>5895</v>
      </c>
      <c r="L1405" s="703"/>
      <c r="M1405" s="708"/>
      <c r="N1405" s="166"/>
      <c r="P1405" s="166"/>
    </row>
    <row r="1406" spans="1:16" s="1311" customFormat="1" ht="13.2" hidden="1" customHeight="1">
      <c r="A1406" s="2279">
        <v>45497</v>
      </c>
      <c r="B1406" s="1323" t="s">
        <v>6159</v>
      </c>
      <c r="C1406" s="1307"/>
      <c r="D1406" s="1466" t="s">
        <v>6156</v>
      </c>
      <c r="E1406" s="1307"/>
      <c r="F1406" s="1466"/>
      <c r="G1406" s="1391" t="s">
        <v>2221</v>
      </c>
      <c r="H1406" s="1392" t="s">
        <v>5912</v>
      </c>
      <c r="I1406" s="1326"/>
      <c r="J1406" s="1380">
        <v>1500</v>
      </c>
      <c r="K1406" s="1383"/>
      <c r="L1406" s="703"/>
      <c r="M1406" s="708"/>
      <c r="N1406" s="166"/>
      <c r="P1406" s="166"/>
    </row>
    <row r="1407" spans="1:16" s="1311" customFormat="1" ht="13.2" hidden="1" customHeight="1">
      <c r="A1407" s="2300">
        <v>45497</v>
      </c>
      <c r="B1407" s="1316" t="s">
        <v>5913</v>
      </c>
      <c r="C1407" s="1305"/>
      <c r="D1407" s="1305"/>
      <c r="E1407" s="1305"/>
      <c r="F1407" s="1310"/>
      <c r="G1407" s="1388" t="s">
        <v>2554</v>
      </c>
      <c r="H1407" s="1389" t="s">
        <v>5914</v>
      </c>
      <c r="I1407" s="1317"/>
      <c r="J1407" s="1380">
        <v>1500</v>
      </c>
      <c r="K1407" s="1383"/>
      <c r="L1407" s="703"/>
      <c r="M1407" s="708"/>
      <c r="N1407" s="166"/>
      <c r="P1407" s="166"/>
    </row>
    <row r="1408" spans="1:16" s="1311" customFormat="1" ht="13.2" hidden="1" customHeight="1">
      <c r="A1408" s="2301">
        <v>45499</v>
      </c>
      <c r="B1408" s="1323" t="s">
        <v>5956</v>
      </c>
      <c r="C1408" s="1307"/>
      <c r="D1408" s="1307"/>
      <c r="E1408" s="1307"/>
      <c r="F1408" s="1313"/>
      <c r="G1408" s="1395" t="s">
        <v>2254</v>
      </c>
      <c r="H1408" s="1406" t="s">
        <v>5926</v>
      </c>
      <c r="I1408" s="1326"/>
      <c r="J1408" s="1380">
        <v>1400</v>
      </c>
      <c r="K1408" s="1383"/>
      <c r="L1408" s="703"/>
      <c r="M1408" s="708"/>
      <c r="N1408" s="166"/>
      <c r="P1408" s="166"/>
    </row>
    <row r="1409" spans="1:16" s="1311" customFormat="1" ht="13.2" hidden="1" customHeight="1">
      <c r="A1409" s="2302">
        <v>45500</v>
      </c>
      <c r="B1409" s="1323" t="s">
        <v>6020</v>
      </c>
      <c r="C1409" s="1307">
        <v>57793764</v>
      </c>
      <c r="D1409" s="1453" t="s">
        <v>6079</v>
      </c>
      <c r="E1409" s="1307"/>
      <c r="F1409" s="1313"/>
      <c r="G1409" s="1395" t="s">
        <v>1006</v>
      </c>
      <c r="H1409" s="1406" t="s">
        <v>5927</v>
      </c>
      <c r="I1409" s="1326"/>
      <c r="J1409" s="1401" t="s">
        <v>5928</v>
      </c>
      <c r="K1409" s="1383"/>
      <c r="L1409" s="703">
        <v>1</v>
      </c>
      <c r="M1409" s="1624" t="s">
        <v>6751</v>
      </c>
      <c r="N1409" s="166"/>
      <c r="P1409" s="166"/>
    </row>
    <row r="1410" spans="1:16" s="1311" customFormat="1" ht="13.2" hidden="1" customHeight="1">
      <c r="A1410" s="2303">
        <v>45501</v>
      </c>
      <c r="B1410" s="1323" t="s">
        <v>5930</v>
      </c>
      <c r="C1410" s="1307">
        <v>44205155</v>
      </c>
      <c r="D1410" s="1466" t="s">
        <v>6173</v>
      </c>
      <c r="E1410" s="1307"/>
      <c r="F1410" s="1313"/>
      <c r="G1410" s="1395" t="s">
        <v>713</v>
      </c>
      <c r="H1410" s="1474" t="s">
        <v>6086</v>
      </c>
      <c r="I1410" s="1326"/>
      <c r="J1410" s="1401">
        <v>1400</v>
      </c>
      <c r="K1410" s="1383"/>
      <c r="L1410" s="703"/>
      <c r="M1410" s="708"/>
      <c r="N1410" s="166"/>
      <c r="P1410" s="166"/>
    </row>
    <row r="1411" spans="1:16" s="1311" customFormat="1" ht="13.2" hidden="1" customHeight="1">
      <c r="A1411" s="2303">
        <v>45501</v>
      </c>
      <c r="B1411" s="1323" t="s">
        <v>6022</v>
      </c>
      <c r="C1411" s="1307">
        <v>42318647</v>
      </c>
      <c r="D1411" s="1453" t="s">
        <v>6079</v>
      </c>
      <c r="E1411" s="1307"/>
      <c r="F1411" s="1313"/>
      <c r="G1411" s="1307" t="s">
        <v>5554</v>
      </c>
      <c r="H1411" s="1406" t="s">
        <v>5929</v>
      </c>
      <c r="I1411" s="1326"/>
      <c r="J1411" s="1401">
        <v>1400</v>
      </c>
      <c r="K1411" s="1383"/>
      <c r="L1411" s="703"/>
      <c r="M1411" s="708"/>
      <c r="N1411" s="166"/>
      <c r="P1411" s="166"/>
    </row>
    <row r="1412" spans="1:16" s="1311" customFormat="1" ht="13.2" hidden="1" customHeight="1">
      <c r="A1412" s="2303">
        <v>45502</v>
      </c>
      <c r="B1412" s="1316" t="s">
        <v>6019</v>
      </c>
      <c r="C1412" s="1305">
        <v>71701534</v>
      </c>
      <c r="D1412" s="1305"/>
      <c r="E1412" s="1305"/>
      <c r="F1412" s="1310"/>
      <c r="G1412" s="1400" t="s">
        <v>2019</v>
      </c>
      <c r="H1412" s="1394" t="s">
        <v>5939</v>
      </c>
      <c r="I1412" s="1422" t="s">
        <v>6040</v>
      </c>
      <c r="J1412" s="1401">
        <v>1400</v>
      </c>
      <c r="K1412" s="1383"/>
      <c r="L1412" s="703"/>
      <c r="M1412" s="708"/>
      <c r="N1412" s="166"/>
      <c r="P1412" s="166"/>
    </row>
    <row r="1413" spans="1:16" s="1311" customFormat="1" ht="13.2" hidden="1" customHeight="1">
      <c r="A1413" s="2303">
        <v>45503</v>
      </c>
      <c r="B1413" s="1323" t="s">
        <v>6021</v>
      </c>
      <c r="C1413" s="1307">
        <v>69504986</v>
      </c>
      <c r="D1413" s="1307"/>
      <c r="E1413" s="1307"/>
      <c r="F1413" s="1313"/>
      <c r="G1413" s="1395" t="s">
        <v>736</v>
      </c>
      <c r="H1413" s="1406" t="s">
        <v>5950</v>
      </c>
      <c r="I1413" s="1326"/>
      <c r="J1413" s="1401">
        <v>1350</v>
      </c>
      <c r="K1413" s="1383"/>
      <c r="L1413" s="703">
        <v>1</v>
      </c>
      <c r="M1413" s="1441" t="s">
        <v>6060</v>
      </c>
      <c r="N1413" s="166"/>
      <c r="P1413" s="166"/>
    </row>
    <row r="1414" spans="1:16" s="1311" customFormat="1" ht="13.2" hidden="1" customHeight="1">
      <c r="A1414" s="2302">
        <v>45503</v>
      </c>
      <c r="B1414" s="1323" t="s">
        <v>6109</v>
      </c>
      <c r="C1414" s="1307">
        <v>27187912</v>
      </c>
      <c r="D1414" s="1496" t="s">
        <v>6274</v>
      </c>
      <c r="E1414" s="1510" t="s">
        <v>651</v>
      </c>
      <c r="F1414" s="1313"/>
      <c r="G1414" s="1395" t="s">
        <v>1972</v>
      </c>
      <c r="H1414" s="1406" t="s">
        <v>5951</v>
      </c>
      <c r="I1414" s="1326"/>
      <c r="J1414" s="1401">
        <v>1400</v>
      </c>
      <c r="K1414" s="1383"/>
      <c r="L1414" s="703"/>
      <c r="M1414" s="708"/>
      <c r="N1414" s="166"/>
      <c r="P1414" s="166"/>
    </row>
    <row r="1415" spans="1:16" s="1311" customFormat="1" ht="13.2" hidden="1" customHeight="1">
      <c r="A1415" s="2303">
        <v>45503</v>
      </c>
      <c r="B1415" s="1316" t="s">
        <v>5952</v>
      </c>
      <c r="C1415" s="1305"/>
      <c r="D1415" s="1446" t="s">
        <v>3770</v>
      </c>
      <c r="E1415" s="1555" t="s">
        <v>6443</v>
      </c>
      <c r="F1415" s="1481" t="s">
        <v>6196</v>
      </c>
      <c r="G1415" s="1400" t="s">
        <v>2237</v>
      </c>
      <c r="H1415" s="1394" t="s">
        <v>5953</v>
      </c>
      <c r="I1415" s="1317">
        <f>23-15-3.3-4.7</f>
        <v>0</v>
      </c>
      <c r="J1415" s="1401">
        <v>1500</v>
      </c>
      <c r="K1415" s="1400" t="s">
        <v>5954</v>
      </c>
      <c r="L1415" s="1639" t="s">
        <v>6873</v>
      </c>
      <c r="M1415" s="708"/>
      <c r="N1415" s="166"/>
      <c r="P1415" s="166"/>
    </row>
    <row r="1416" spans="1:16" s="1311" customFormat="1" ht="13.2" hidden="1" customHeight="1">
      <c r="A1416" s="2303">
        <v>45504</v>
      </c>
      <c r="B1416" s="1323" t="s">
        <v>6264</v>
      </c>
      <c r="C1416" s="1307">
        <v>85054095</v>
      </c>
      <c r="D1416" s="1453" t="s">
        <v>6079</v>
      </c>
      <c r="E1416" s="1307"/>
      <c r="F1416" s="1466" t="s">
        <v>6151</v>
      </c>
      <c r="G1416" s="1395" t="s">
        <v>1006</v>
      </c>
      <c r="H1416" s="1406" t="s">
        <v>5960</v>
      </c>
      <c r="I1416" s="1326"/>
      <c r="J1416" s="1401">
        <v>1550</v>
      </c>
      <c r="K1416" s="1400"/>
      <c r="L1416" s="703">
        <v>1</v>
      </c>
      <c r="M1416" s="1624" t="s">
        <v>6751</v>
      </c>
      <c r="N1416" s="166"/>
      <c r="P1416" s="166"/>
    </row>
    <row r="1417" spans="1:16" s="1311" customFormat="1" ht="13.2" hidden="1" customHeight="1">
      <c r="A1417" s="2303">
        <v>45504</v>
      </c>
      <c r="B1417" s="1323" t="s">
        <v>6017</v>
      </c>
      <c r="C1417" s="1307">
        <v>29503599</v>
      </c>
      <c r="D1417" s="1453" t="s">
        <v>6079</v>
      </c>
      <c r="E1417" s="1307"/>
      <c r="F1417" s="1313"/>
      <c r="G1417" s="1395" t="s">
        <v>2012</v>
      </c>
      <c r="H1417" s="1406" t="s">
        <v>5961</v>
      </c>
      <c r="I1417" s="1326"/>
      <c r="J1417" s="1401">
        <v>1400</v>
      </c>
      <c r="K1417" s="1400">
        <v>1</v>
      </c>
      <c r="L1417" s="1625" t="s">
        <v>6262</v>
      </c>
      <c r="M1417" s="708"/>
      <c r="N1417" s="166"/>
      <c r="P1417" s="166"/>
    </row>
    <row r="1418" spans="1:16" s="1311" customFormat="1" ht="13.2" hidden="1" customHeight="1">
      <c r="A1418" s="2302">
        <v>45505</v>
      </c>
      <c r="B1418" s="1323" t="s">
        <v>5966</v>
      </c>
      <c r="C1418" s="1307">
        <v>13967874</v>
      </c>
      <c r="D1418" s="1453"/>
      <c r="E1418" s="1307"/>
      <c r="F1418" s="1313"/>
      <c r="G1418" s="1395" t="s">
        <v>2612</v>
      </c>
      <c r="H1418" s="1406" t="s">
        <v>5964</v>
      </c>
      <c r="I1418" s="1326"/>
      <c r="J1418" s="1401">
        <v>1500</v>
      </c>
      <c r="K1418" s="1400"/>
      <c r="L1418" s="703">
        <v>1</v>
      </c>
      <c r="M1418" s="1464" t="s">
        <v>6156</v>
      </c>
      <c r="N1418" s="166"/>
      <c r="P1418" s="166"/>
    </row>
    <row r="1419" spans="1:16" s="1311" customFormat="1" ht="13.2" hidden="1" customHeight="1">
      <c r="A1419" s="2302">
        <v>45505</v>
      </c>
      <c r="B1419" s="1323" t="s">
        <v>5967</v>
      </c>
      <c r="C1419" s="1307">
        <v>25649260</v>
      </c>
      <c r="D1419" s="1307"/>
      <c r="E1419" s="1556" t="s">
        <v>6400</v>
      </c>
      <c r="F1419" s="1313" t="s">
        <v>6401</v>
      </c>
      <c r="G1419" s="1395" t="s">
        <v>2076</v>
      </c>
      <c r="H1419" s="1566" t="s">
        <v>6506</v>
      </c>
      <c r="I1419" s="1326"/>
      <c r="J1419" s="1401">
        <v>1500</v>
      </c>
      <c r="K1419" s="1400"/>
      <c r="L1419" s="703"/>
      <c r="M1419" s="708"/>
      <c r="N1419" s="166"/>
      <c r="P1419" s="166"/>
    </row>
    <row r="1420" spans="1:16" s="1311" customFormat="1" ht="13.2" hidden="1" customHeight="1">
      <c r="A1420" s="2299">
        <v>45539</v>
      </c>
      <c r="B1420" s="1323" t="s">
        <v>6266</v>
      </c>
      <c r="C1420" s="1307">
        <v>23573932</v>
      </c>
      <c r="D1420" s="1520" t="s">
        <v>6399</v>
      </c>
      <c r="E1420" s="1546" t="s">
        <v>6446</v>
      </c>
      <c r="F1420" s="1520" t="s">
        <v>6401</v>
      </c>
      <c r="G1420" s="1486" t="s">
        <v>3312</v>
      </c>
      <c r="H1420" s="1491" t="s">
        <v>6232</v>
      </c>
      <c r="I1420" s="1326"/>
      <c r="J1420" s="1486" t="s">
        <v>6233</v>
      </c>
      <c r="K1420" s="1400"/>
      <c r="L1420" s="703">
        <v>1</v>
      </c>
      <c r="M1420" s="1526" t="s">
        <v>6391</v>
      </c>
      <c r="N1420" s="166"/>
      <c r="P1420" s="166"/>
    </row>
    <row r="1421" spans="1:16" s="1311" customFormat="1" ht="13.2" hidden="1" customHeight="1">
      <c r="A1421" s="2302">
        <v>45506</v>
      </c>
      <c r="B1421" s="1323" t="s">
        <v>6014</v>
      </c>
      <c r="C1421" s="1307">
        <v>76080947</v>
      </c>
      <c r="D1421" s="1453" t="s">
        <v>6079</v>
      </c>
      <c r="E1421" s="1307"/>
      <c r="F1421" s="1313"/>
      <c r="G1421" s="1395" t="s">
        <v>763</v>
      </c>
      <c r="H1421" s="1406" t="s">
        <v>5972</v>
      </c>
      <c r="I1421" s="1326"/>
      <c r="J1421" s="1401">
        <v>1500</v>
      </c>
      <c r="K1421" s="1400"/>
      <c r="L1421" s="703"/>
      <c r="M1421" s="708"/>
      <c r="N1421" s="166"/>
      <c r="P1421" s="166"/>
    </row>
    <row r="1422" spans="1:16" s="1311" customFormat="1" ht="13.2" hidden="1" customHeight="1">
      <c r="A1422" s="2302">
        <v>45506</v>
      </c>
      <c r="B1422" s="1323" t="s">
        <v>6015</v>
      </c>
      <c r="C1422" s="1307">
        <v>87966812</v>
      </c>
      <c r="D1422" s="1504" t="s">
        <v>6297</v>
      </c>
      <c r="E1422" s="1307"/>
      <c r="F1422" s="1466" t="s">
        <v>6151</v>
      </c>
      <c r="G1422" s="1395" t="s">
        <v>2056</v>
      </c>
      <c r="H1422" s="1406" t="s">
        <v>5973</v>
      </c>
      <c r="I1422" s="1326"/>
      <c r="J1422" s="1401" t="s">
        <v>5974</v>
      </c>
      <c r="K1422" s="1400"/>
      <c r="L1422" s="703">
        <v>1</v>
      </c>
      <c r="M1422" s="1514" t="s">
        <v>6375</v>
      </c>
      <c r="N1422" s="166"/>
      <c r="P1422" s="166"/>
    </row>
    <row r="1423" spans="1:16" s="1311" customFormat="1" ht="13.2" hidden="1" customHeight="1">
      <c r="A1423" s="2303">
        <v>45507</v>
      </c>
      <c r="B1423" s="1323" t="s">
        <v>6013</v>
      </c>
      <c r="C1423" s="1307">
        <v>23230555</v>
      </c>
      <c r="D1423" s="1442" t="s">
        <v>6068</v>
      </c>
      <c r="E1423" s="1307"/>
      <c r="F1423" s="1313"/>
      <c r="G1423" s="1395" t="s">
        <v>3312</v>
      </c>
      <c r="H1423" s="1406" t="s">
        <v>5977</v>
      </c>
      <c r="I1423" s="1326"/>
      <c r="J1423" s="1401" t="s">
        <v>5978</v>
      </c>
      <c r="K1423" s="1400"/>
      <c r="L1423" s="703">
        <v>1</v>
      </c>
      <c r="M1423" s="1457" t="s">
        <v>6111</v>
      </c>
      <c r="N1423" s="166"/>
      <c r="P1423" s="166"/>
    </row>
    <row r="1424" spans="1:16" s="1311" customFormat="1" ht="13.2" hidden="1" customHeight="1">
      <c r="A1424" s="2304">
        <v>45507</v>
      </c>
      <c r="B1424" s="1323" t="s">
        <v>6103</v>
      </c>
      <c r="C1424" s="1307">
        <v>30374995</v>
      </c>
      <c r="D1424" s="1496" t="s">
        <v>6253</v>
      </c>
      <c r="E1424" s="1307"/>
      <c r="F1424" s="1510" t="s">
        <v>6367</v>
      </c>
      <c r="G1424" s="1395" t="s">
        <v>1006</v>
      </c>
      <c r="H1424" s="1623" t="s">
        <v>5979</v>
      </c>
      <c r="I1424" s="1326"/>
      <c r="J1424" s="1401" t="s">
        <v>5978</v>
      </c>
      <c r="K1424" s="1400"/>
      <c r="L1424" s="703">
        <v>1</v>
      </c>
      <c r="M1424" s="1624" t="s">
        <v>6751</v>
      </c>
      <c r="N1424" s="166"/>
      <c r="P1424" s="166"/>
    </row>
    <row r="1425" spans="1:16" s="1311" customFormat="1" ht="13.2" hidden="1" customHeight="1">
      <c r="A1425" s="2305">
        <v>45468</v>
      </c>
      <c r="B1425" s="1323" t="s">
        <v>6463</v>
      </c>
      <c r="C1425" s="1307">
        <v>15259357</v>
      </c>
      <c r="D1425" s="1496" t="s">
        <v>6281</v>
      </c>
      <c r="E1425" s="1559" t="s">
        <v>6398</v>
      </c>
      <c r="F1425" s="1556" t="s">
        <v>6401</v>
      </c>
      <c r="G1425" s="1453" t="s">
        <v>2221</v>
      </c>
      <c r="H1425" s="1502" t="s">
        <v>6280</v>
      </c>
      <c r="I1425" s="1327"/>
      <c r="J1425" s="1274">
        <v>1350</v>
      </c>
      <c r="K1425" s="703"/>
      <c r="L1425" s="703"/>
      <c r="M1425" s="708"/>
      <c r="N1425" s="166"/>
      <c r="P1425" s="166"/>
    </row>
    <row r="1426" spans="1:16" s="1311" customFormat="1" ht="13.2" hidden="1" customHeight="1">
      <c r="A1426" s="2306">
        <v>45544</v>
      </c>
      <c r="B1426" s="1323" t="s">
        <v>6301</v>
      </c>
      <c r="C1426" s="1307">
        <v>68342398</v>
      </c>
      <c r="D1426" s="1528" t="s">
        <v>6425</v>
      </c>
      <c r="E1426" s="1520" t="s">
        <v>6400</v>
      </c>
      <c r="F1426" s="1546" t="s">
        <v>6401</v>
      </c>
      <c r="G1426" s="1496" t="s">
        <v>2221</v>
      </c>
      <c r="H1426" s="1502" t="s">
        <v>6288</v>
      </c>
      <c r="I1426" s="1326"/>
      <c r="J1426" s="1496" t="s">
        <v>6289</v>
      </c>
      <c r="K1426" s="1400">
        <v>1</v>
      </c>
      <c r="L1426" s="1561" t="s">
        <v>6501</v>
      </c>
      <c r="M1426" s="708"/>
      <c r="N1426" s="166"/>
      <c r="P1426" s="166"/>
    </row>
    <row r="1427" spans="1:16" s="1311" customFormat="1" ht="13.2" hidden="1" customHeight="1">
      <c r="A1427" s="2303">
        <v>45509</v>
      </c>
      <c r="B1427" s="1323" t="s">
        <v>6012</v>
      </c>
      <c r="C1427" s="1307">
        <v>65644360</v>
      </c>
      <c r="D1427" s="1442" t="s">
        <v>6068</v>
      </c>
      <c r="E1427" s="1307"/>
      <c r="F1427" s="1313"/>
      <c r="G1427" s="1395" t="s">
        <v>3312</v>
      </c>
      <c r="H1427" s="1406" t="s">
        <v>5987</v>
      </c>
      <c r="I1427" s="1326"/>
      <c r="J1427" s="1401" t="s">
        <v>5985</v>
      </c>
      <c r="K1427" s="1400"/>
      <c r="L1427" s="703">
        <v>1</v>
      </c>
      <c r="M1427" s="1457" t="s">
        <v>6111</v>
      </c>
      <c r="N1427" s="166"/>
      <c r="P1427" s="166"/>
    </row>
    <row r="1428" spans="1:16" s="1311" customFormat="1" ht="13.2" hidden="1" customHeight="1">
      <c r="A1428" s="2302">
        <v>45509</v>
      </c>
      <c r="B1428" s="1323" t="s">
        <v>6011</v>
      </c>
      <c r="C1428" s="1307">
        <v>85882726</v>
      </c>
      <c r="D1428" s="1520" t="s">
        <v>6399</v>
      </c>
      <c r="E1428" s="1520" t="s">
        <v>6400</v>
      </c>
      <c r="F1428" s="1520" t="s">
        <v>6401</v>
      </c>
      <c r="G1428" s="1395" t="s">
        <v>617</v>
      </c>
      <c r="H1428" s="1406" t="s">
        <v>5988</v>
      </c>
      <c r="I1428" s="1326"/>
      <c r="J1428" s="1401" t="s">
        <v>5978</v>
      </c>
      <c r="K1428" s="1400"/>
      <c r="L1428" s="703"/>
      <c r="M1428" s="708"/>
      <c r="N1428" s="166"/>
      <c r="P1428" s="166"/>
    </row>
    <row r="1429" spans="1:16" s="1311" customFormat="1" ht="13.2" hidden="1" customHeight="1">
      <c r="A1429" s="2302">
        <v>45509</v>
      </c>
      <c r="B1429" s="1323" t="s">
        <v>6037</v>
      </c>
      <c r="C1429" s="1307"/>
      <c r="D1429" s="1395" t="s">
        <v>6005</v>
      </c>
      <c r="E1429" s="1307"/>
      <c r="F1429" s="1313"/>
      <c r="G1429" s="1395" t="s">
        <v>2266</v>
      </c>
      <c r="H1429" s="1406" t="s">
        <v>5989</v>
      </c>
      <c r="I1429" s="1326"/>
      <c r="J1429" s="1401" t="s">
        <v>5990</v>
      </c>
      <c r="K1429" s="1400"/>
      <c r="L1429" s="703"/>
      <c r="M1429" s="708"/>
      <c r="N1429" s="166"/>
      <c r="P1429" s="166"/>
    </row>
    <row r="1430" spans="1:16" s="1311" customFormat="1" ht="13.2" hidden="1" customHeight="1">
      <c r="A1430" s="2303">
        <v>45509</v>
      </c>
      <c r="B1430" s="1323" t="s">
        <v>6010</v>
      </c>
      <c r="C1430" s="1307">
        <v>31691382</v>
      </c>
      <c r="D1430" s="1307"/>
      <c r="E1430" s="1307"/>
      <c r="F1430" s="1313"/>
      <c r="G1430" s="1395" t="s">
        <v>2612</v>
      </c>
      <c r="H1430" s="1406" t="s">
        <v>5991</v>
      </c>
      <c r="I1430" s="1326"/>
      <c r="J1430" s="1401" t="s">
        <v>5978</v>
      </c>
      <c r="K1430" s="1400"/>
      <c r="L1430" s="703">
        <v>1</v>
      </c>
      <c r="M1430" s="1419" t="s">
        <v>6038</v>
      </c>
      <c r="N1430" s="166"/>
      <c r="P1430" s="166"/>
    </row>
    <row r="1431" spans="1:16" s="1311" customFormat="1" ht="13.2" hidden="1" customHeight="1">
      <c r="A1431" s="2301">
        <v>45509</v>
      </c>
      <c r="B1431" s="1323" t="s">
        <v>6008</v>
      </c>
      <c r="C1431" s="1307">
        <v>28191208</v>
      </c>
      <c r="D1431" s="1496" t="s">
        <v>6275</v>
      </c>
      <c r="E1431" s="1307"/>
      <c r="F1431" s="1466"/>
      <c r="G1431" s="1395" t="s">
        <v>617</v>
      </c>
      <c r="H1431" s="1406" t="s">
        <v>5992</v>
      </c>
      <c r="I1431" s="1326"/>
      <c r="J1431" s="1401" t="s">
        <v>5993</v>
      </c>
      <c r="K1431" s="1400"/>
      <c r="L1431" s="703"/>
      <c r="M1431" s="708"/>
      <c r="N1431" s="166"/>
      <c r="P1431" s="166"/>
    </row>
    <row r="1432" spans="1:16" s="1311" customFormat="1" ht="13.2" hidden="1" customHeight="1">
      <c r="A1432" s="2302">
        <v>45509</v>
      </c>
      <c r="B1432" s="1323" t="s">
        <v>6105</v>
      </c>
      <c r="C1432" s="1307">
        <v>53262974</v>
      </c>
      <c r="D1432" s="1453" t="s">
        <v>6079</v>
      </c>
      <c r="E1432" s="1307"/>
      <c r="F1432" s="1313"/>
      <c r="G1432" s="1395" t="s">
        <v>1996</v>
      </c>
      <c r="H1432" s="1406" t="s">
        <v>5994</v>
      </c>
      <c r="I1432" s="1326"/>
      <c r="J1432" s="1401" t="s">
        <v>5985</v>
      </c>
      <c r="K1432" s="1400"/>
      <c r="L1432" s="703"/>
      <c r="M1432" s="708"/>
      <c r="N1432" s="166"/>
      <c r="P1432" s="166"/>
    </row>
    <row r="1433" spans="1:16" s="1311" customFormat="1" ht="13.2" hidden="1" customHeight="1">
      <c r="A1433" s="2303">
        <v>45509</v>
      </c>
      <c r="B1433" s="1316" t="s">
        <v>5995</v>
      </c>
      <c r="C1433" s="1305"/>
      <c r="D1433" s="1446" t="s">
        <v>3770</v>
      </c>
      <c r="E1433" s="1555" t="s">
        <v>6443</v>
      </c>
      <c r="F1433" s="1493" t="s">
        <v>3770</v>
      </c>
      <c r="G1433" s="1400" t="s">
        <v>2221</v>
      </c>
      <c r="H1433" s="1394" t="s">
        <v>5996</v>
      </c>
      <c r="I1433" s="1411">
        <v>0</v>
      </c>
      <c r="J1433" s="1401" t="s">
        <v>5997</v>
      </c>
      <c r="K1433" s="1400"/>
      <c r="L1433" s="703"/>
      <c r="M1433" s="708"/>
      <c r="N1433" s="166"/>
      <c r="P1433" s="166"/>
    </row>
    <row r="1434" spans="1:16" s="1311" customFormat="1" ht="13.2" hidden="1" customHeight="1">
      <c r="A1434" s="2303">
        <v>45510</v>
      </c>
      <c r="B1434" s="1323" t="s">
        <v>6009</v>
      </c>
      <c r="C1434" s="1307">
        <v>20929809</v>
      </c>
      <c r="D1434" s="1453" t="s">
        <v>6068</v>
      </c>
      <c r="E1434" s="1307"/>
      <c r="F1434" s="1313"/>
      <c r="G1434" s="1395" t="s">
        <v>1996</v>
      </c>
      <c r="H1434" s="1406" t="s">
        <v>5998</v>
      </c>
      <c r="I1434" s="1418"/>
      <c r="J1434" s="1401" t="s">
        <v>5993</v>
      </c>
      <c r="K1434" s="1400"/>
      <c r="L1434" s="703"/>
      <c r="M1434" s="708"/>
      <c r="N1434" s="166"/>
      <c r="P1434" s="166"/>
    </row>
    <row r="1435" spans="1:16" s="1311" customFormat="1" ht="13.2" hidden="1" customHeight="1">
      <c r="A1435" s="2303">
        <v>45511</v>
      </c>
      <c r="B1435" s="1323" t="s">
        <v>6026</v>
      </c>
      <c r="C1435" s="1307">
        <v>17621451</v>
      </c>
      <c r="D1435" s="1307"/>
      <c r="E1435" s="1307"/>
      <c r="F1435" s="1313"/>
      <c r="G1435" s="1395" t="s">
        <v>1922</v>
      </c>
      <c r="H1435" s="1406" t="s">
        <v>6006</v>
      </c>
      <c r="I1435" s="1418"/>
      <c r="J1435" s="1401" t="s">
        <v>6007</v>
      </c>
      <c r="K1435" s="1400"/>
      <c r="L1435" s="703">
        <v>1</v>
      </c>
      <c r="M1435" s="1480" t="s">
        <v>6245</v>
      </c>
      <c r="N1435" s="166"/>
      <c r="P1435" s="166"/>
    </row>
    <row r="1436" spans="1:16" s="1311" customFormat="1" ht="13.2" hidden="1" customHeight="1">
      <c r="A1436" s="2287">
        <v>45512</v>
      </c>
      <c r="B1436" s="1323" t="s">
        <v>6106</v>
      </c>
      <c r="C1436" s="1307">
        <v>76887144</v>
      </c>
      <c r="D1436" s="1453" t="s">
        <v>6079</v>
      </c>
      <c r="E1436" s="1307"/>
      <c r="F1436" s="1313"/>
      <c r="G1436" s="1455" t="s">
        <v>2019</v>
      </c>
      <c r="H1436" s="1456" t="s">
        <v>6023</v>
      </c>
      <c r="I1436" s="1418"/>
      <c r="J1436" s="1417" t="s">
        <v>6024</v>
      </c>
      <c r="K1436" s="1400"/>
      <c r="L1436" s="703"/>
      <c r="M1436" s="708"/>
      <c r="N1436" s="166"/>
      <c r="P1436" s="166"/>
    </row>
    <row r="1437" spans="1:16" s="1311" customFormat="1" ht="13.2" hidden="1" customHeight="1">
      <c r="A1437" s="2287">
        <v>45514</v>
      </c>
      <c r="B1437" s="1323" t="s">
        <v>6185</v>
      </c>
      <c r="C1437" s="1307">
        <v>41203140</v>
      </c>
      <c r="D1437" s="1453" t="s">
        <v>6080</v>
      </c>
      <c r="E1437" s="1307"/>
      <c r="F1437" s="1466"/>
      <c r="G1437" s="1466" t="s">
        <v>2612</v>
      </c>
      <c r="H1437" s="1406"/>
      <c r="I1437" s="1418"/>
      <c r="J1437" s="1417" t="s">
        <v>5978</v>
      </c>
      <c r="K1437" s="1400"/>
      <c r="L1437" s="703"/>
      <c r="M1437" s="708"/>
      <c r="N1437" s="166"/>
      <c r="P1437" s="166"/>
    </row>
    <row r="1438" spans="1:16" s="1311" customFormat="1" ht="13.2" hidden="1" customHeight="1">
      <c r="A1438" s="2287">
        <v>45515</v>
      </c>
      <c r="B1438" s="1316" t="s">
        <v>6028</v>
      </c>
      <c r="C1438" s="1305"/>
      <c r="D1438" s="1446" t="s">
        <v>6089</v>
      </c>
      <c r="E1438" s="1544" t="s">
        <v>6443</v>
      </c>
      <c r="F1438" s="1493" t="s">
        <v>3770</v>
      </c>
      <c r="G1438" s="1415" t="s">
        <v>763</v>
      </c>
      <c r="H1438" s="1416" t="s">
        <v>6029</v>
      </c>
      <c r="I1438" s="1317">
        <f>23.5-5-8-5*1.29-4.05</f>
        <v>0</v>
      </c>
      <c r="J1438" s="1417" t="s">
        <v>5978</v>
      </c>
      <c r="K1438" s="1400"/>
      <c r="L1438" s="703"/>
      <c r="M1438" s="708"/>
      <c r="N1438" s="166"/>
      <c r="P1438" s="166"/>
    </row>
    <row r="1439" spans="1:16" s="1311" customFormat="1" ht="13.2" hidden="1" customHeight="1">
      <c r="A1439" s="2287">
        <v>45516</v>
      </c>
      <c r="B1439" s="1323" t="s">
        <v>6126</v>
      </c>
      <c r="C1439" s="1307"/>
      <c r="D1439" s="1453" t="s">
        <v>6081</v>
      </c>
      <c r="E1439" s="1307"/>
      <c r="F1439" s="1313"/>
      <c r="G1439" s="1455" t="s">
        <v>2612</v>
      </c>
      <c r="H1439" s="1456" t="s">
        <v>6030</v>
      </c>
      <c r="I1439" s="1326"/>
      <c r="J1439" s="1417" t="s">
        <v>6031</v>
      </c>
      <c r="K1439" s="1415" t="s">
        <v>6032</v>
      </c>
      <c r="L1439" s="703">
        <v>1</v>
      </c>
      <c r="M1439" s="1464" t="s">
        <v>6124</v>
      </c>
      <c r="N1439" s="166"/>
      <c r="P1439" s="166"/>
    </row>
    <row r="1440" spans="1:16" s="1311" customFormat="1" ht="13.2" hidden="1" customHeight="1">
      <c r="A1440" s="2307">
        <v>45532</v>
      </c>
      <c r="B1440" s="1323" t="s">
        <v>6154</v>
      </c>
      <c r="C1440" s="1307">
        <v>81334138</v>
      </c>
      <c r="D1440" s="1520" t="s">
        <v>6396</v>
      </c>
      <c r="E1440" s="1520" t="s">
        <v>6400</v>
      </c>
      <c r="F1440" s="1520" t="s">
        <v>6401</v>
      </c>
      <c r="G1440" s="1466" t="s">
        <v>1972</v>
      </c>
      <c r="H1440" s="1469" t="s">
        <v>6171</v>
      </c>
      <c r="I1440" s="1326"/>
      <c r="J1440" s="1466" t="s">
        <v>6034</v>
      </c>
      <c r="K1440" s="1400"/>
      <c r="L1440" s="703"/>
      <c r="M1440" s="708"/>
      <c r="N1440" s="166"/>
      <c r="P1440" s="166"/>
    </row>
    <row r="1441" spans="1:16" s="1311" customFormat="1" ht="13.2" hidden="1" customHeight="1">
      <c r="A1441" s="2287">
        <v>45516</v>
      </c>
      <c r="B1441" s="1323" t="s">
        <v>6073</v>
      </c>
      <c r="C1441" s="1307">
        <v>93724108</v>
      </c>
      <c r="D1441" s="1442" t="s">
        <v>6068</v>
      </c>
      <c r="E1441" s="1307"/>
      <c r="F1441" s="1313"/>
      <c r="G1441" s="1455" t="s">
        <v>3312</v>
      </c>
      <c r="H1441" s="1456" t="s">
        <v>6035</v>
      </c>
      <c r="I1441" s="1326"/>
      <c r="J1441" s="1417" t="s">
        <v>5978</v>
      </c>
      <c r="K1441" s="1400"/>
      <c r="L1441" s="703">
        <v>1</v>
      </c>
      <c r="M1441" s="1457" t="s">
        <v>6111</v>
      </c>
      <c r="N1441" s="166"/>
      <c r="P1441" s="166"/>
    </row>
    <row r="1442" spans="1:16" s="1311" customFormat="1" ht="13.2" hidden="1" customHeight="1">
      <c r="A1442" s="2308">
        <v>45517</v>
      </c>
      <c r="B1442" s="1323" t="s">
        <v>6327</v>
      </c>
      <c r="C1442" s="1307">
        <v>40017042</v>
      </c>
      <c r="D1442" s="1453" t="s">
        <v>6069</v>
      </c>
      <c r="E1442" s="1307"/>
      <c r="F1442" s="1466" t="s">
        <v>6151</v>
      </c>
      <c r="G1442" s="1455" t="s">
        <v>736</v>
      </c>
      <c r="H1442" s="1456" t="s">
        <v>6039</v>
      </c>
      <c r="I1442" s="1326"/>
      <c r="J1442" s="1417" t="s">
        <v>5978</v>
      </c>
      <c r="K1442" s="1400"/>
      <c r="L1442" s="703">
        <v>1</v>
      </c>
      <c r="M1442" s="1538" t="s">
        <v>6402</v>
      </c>
      <c r="N1442" s="166"/>
      <c r="P1442" s="166"/>
    </row>
    <row r="1443" spans="1:16" s="1311" customFormat="1" ht="13.2" hidden="1" customHeight="1">
      <c r="A1443" s="2287">
        <v>45518</v>
      </c>
      <c r="B1443" s="1408" t="s">
        <v>6044</v>
      </c>
      <c r="C1443" s="1409"/>
      <c r="D1443" s="1449" t="s">
        <v>6087</v>
      </c>
      <c r="E1443" s="1409"/>
      <c r="F1443" s="788"/>
      <c r="G1443" s="1450" t="s">
        <v>2124</v>
      </c>
      <c r="H1443" s="1451" t="s">
        <v>6043</v>
      </c>
      <c r="I1443" s="1410"/>
      <c r="J1443" s="1417" t="s">
        <v>5978</v>
      </c>
      <c r="K1443" s="1443" t="s">
        <v>6071</v>
      </c>
      <c r="L1443" s="703"/>
      <c r="M1443" s="708"/>
      <c r="N1443" s="166"/>
      <c r="P1443" s="166"/>
    </row>
    <row r="1444" spans="1:16" s="1311" customFormat="1" ht="13.2" hidden="1" customHeight="1">
      <c r="A1444" s="2309">
        <v>45518</v>
      </c>
      <c r="B1444" s="1323" t="s">
        <v>6084</v>
      </c>
      <c r="C1444" s="1307">
        <v>11304145</v>
      </c>
      <c r="D1444" s="1453" t="s">
        <v>6079</v>
      </c>
      <c r="E1444" s="1307"/>
      <c r="F1444" s="1313"/>
      <c r="G1444" s="1466" t="s">
        <v>713</v>
      </c>
      <c r="H1444" s="1474" t="s">
        <v>6110</v>
      </c>
      <c r="I1444" s="1326"/>
      <c r="J1444" s="1417" t="s">
        <v>4916</v>
      </c>
      <c r="K1444" s="1400"/>
      <c r="L1444" s="703"/>
      <c r="M1444" s="708"/>
      <c r="N1444" s="166"/>
      <c r="P1444" s="166"/>
    </row>
    <row r="1445" spans="1:16" s="1311" customFormat="1" ht="13.2" hidden="1" customHeight="1">
      <c r="A1445" s="2308">
        <v>45518</v>
      </c>
      <c r="B1445" s="1323" t="s">
        <v>6072</v>
      </c>
      <c r="C1445" s="1307">
        <v>53263970</v>
      </c>
      <c r="D1445" s="1442" t="s">
        <v>6068</v>
      </c>
      <c r="E1445" s="1307"/>
      <c r="F1445" s="1313"/>
      <c r="G1445" s="1455" t="s">
        <v>2554</v>
      </c>
      <c r="H1445" s="1456" t="s">
        <v>6048</v>
      </c>
      <c r="I1445" s="1326"/>
      <c r="J1445" s="1417" t="s">
        <v>5978</v>
      </c>
      <c r="K1445" s="1400"/>
      <c r="L1445" s="703"/>
      <c r="M1445" s="708"/>
      <c r="N1445" s="166"/>
      <c r="P1445" s="166"/>
    </row>
    <row r="1446" spans="1:16" s="1311" customFormat="1" ht="13.2" hidden="1" customHeight="1">
      <c r="A1446" s="2310">
        <v>45519</v>
      </c>
      <c r="B1446" s="1323" t="s">
        <v>6269</v>
      </c>
      <c r="C1446" s="1307">
        <v>66429714</v>
      </c>
      <c r="D1446" s="1504" t="s">
        <v>6297</v>
      </c>
      <c r="E1446" s="1307"/>
      <c r="F1446" s="1466" t="s">
        <v>6151</v>
      </c>
      <c r="G1446" s="1424" t="s">
        <v>2056</v>
      </c>
      <c r="H1446" s="1438" t="s">
        <v>6050</v>
      </c>
      <c r="I1446" s="1326"/>
      <c r="J1446" s="1436" t="s">
        <v>6024</v>
      </c>
      <c r="K1446" s="1400"/>
      <c r="L1446" s="703">
        <v>1</v>
      </c>
      <c r="M1446" s="1514" t="s">
        <v>6375</v>
      </c>
      <c r="N1446" s="166"/>
      <c r="P1446" s="166"/>
    </row>
    <row r="1447" spans="1:16" s="1311" customFormat="1" ht="13.2" hidden="1" customHeight="1">
      <c r="A1447" s="2311">
        <v>45519</v>
      </c>
      <c r="B1447" s="1316" t="s">
        <v>6051</v>
      </c>
      <c r="C1447" s="1305"/>
      <c r="D1447" s="1446" t="s">
        <v>3770</v>
      </c>
      <c r="E1447" s="1305"/>
      <c r="F1447" s="1501" t="s">
        <v>6151</v>
      </c>
      <c r="G1447" s="1434" t="s">
        <v>2124</v>
      </c>
      <c r="H1447" s="1505" t="s">
        <v>6052</v>
      </c>
      <c r="I1447" s="1317"/>
      <c r="J1447" s="1436"/>
      <c r="K1447" s="1400"/>
      <c r="L1447" s="703"/>
      <c r="M1447" s="708"/>
      <c r="N1447" s="166"/>
      <c r="P1447" s="166"/>
    </row>
    <row r="1448" spans="1:16" s="1311" customFormat="1" ht="13.2" hidden="1" customHeight="1">
      <c r="A1448" s="2311">
        <v>45521</v>
      </c>
      <c r="B1448" s="1316" t="s">
        <v>6054</v>
      </c>
      <c r="C1448" s="1305"/>
      <c r="D1448" s="1446" t="s">
        <v>6089</v>
      </c>
      <c r="E1448" s="1544" t="s">
        <v>6443</v>
      </c>
      <c r="F1448" s="1493" t="s">
        <v>3770</v>
      </c>
      <c r="G1448" s="1434" t="s">
        <v>763</v>
      </c>
      <c r="H1448" s="1435" t="s">
        <v>6055</v>
      </c>
      <c r="I1448" s="1317">
        <v>0</v>
      </c>
      <c r="J1448" s="1436" t="s">
        <v>6053</v>
      </c>
      <c r="K1448" s="1400"/>
      <c r="L1448" s="703"/>
      <c r="M1448" s="708"/>
      <c r="N1448" s="166"/>
      <c r="P1448" s="166"/>
    </row>
    <row r="1449" spans="1:16" s="1311" customFormat="1" ht="13.2" hidden="1" customHeight="1">
      <c r="A1449" s="2312">
        <v>45521</v>
      </c>
      <c r="B1449" s="1323" t="s">
        <v>6056</v>
      </c>
      <c r="C1449" s="1307"/>
      <c r="D1449" s="1307"/>
      <c r="E1449" s="1307"/>
      <c r="F1449" s="1313"/>
      <c r="G1449" s="1424" t="s">
        <v>1006</v>
      </c>
      <c r="H1449" s="1438" t="s">
        <v>6057</v>
      </c>
      <c r="I1449" s="1326"/>
      <c r="J1449" s="1424" t="s">
        <v>6058</v>
      </c>
      <c r="K1449" s="1400"/>
      <c r="L1449" s="703">
        <v>1</v>
      </c>
      <c r="M1449" s="1624" t="s">
        <v>6751</v>
      </c>
      <c r="N1449" s="166"/>
      <c r="P1449" s="166"/>
    </row>
    <row r="1450" spans="1:16" s="1311" customFormat="1" ht="13.2" hidden="1" customHeight="1">
      <c r="A1450" s="2311">
        <v>45523</v>
      </c>
      <c r="B1450" s="1323" t="s">
        <v>6107</v>
      </c>
      <c r="C1450" s="1307">
        <v>43856525</v>
      </c>
      <c r="D1450" s="1453"/>
      <c r="E1450" s="1307"/>
      <c r="F1450" s="1313"/>
      <c r="G1450" s="1424" t="s">
        <v>2005</v>
      </c>
      <c r="H1450" s="1438" t="s">
        <v>6061</v>
      </c>
      <c r="I1450" s="1326"/>
      <c r="J1450" s="1424" t="s">
        <v>6062</v>
      </c>
      <c r="K1450" s="1400"/>
      <c r="L1450" s="703"/>
      <c r="M1450" s="708"/>
      <c r="N1450" s="166"/>
      <c r="P1450" s="166"/>
    </row>
    <row r="1451" spans="1:16" s="1311" customFormat="1" ht="13.2" hidden="1" customHeight="1">
      <c r="A1451" s="2311">
        <v>45524</v>
      </c>
      <c r="B1451" s="1316"/>
      <c r="C1451" s="1305"/>
      <c r="D1451" s="1305"/>
      <c r="E1451" s="1305"/>
      <c r="F1451" s="1310"/>
      <c r="G1451" s="1434"/>
      <c r="H1451" s="1435"/>
      <c r="I1451" s="1317"/>
      <c r="J1451" s="1424"/>
      <c r="K1451" s="1400"/>
      <c r="L1451" s="703"/>
      <c r="M1451" s="708"/>
      <c r="N1451" s="166"/>
      <c r="P1451" s="166"/>
    </row>
    <row r="1452" spans="1:16" s="1311" customFormat="1" ht="13.2" hidden="1" customHeight="1">
      <c r="A1452" s="2310">
        <v>45524</v>
      </c>
      <c r="B1452" s="1323" t="s">
        <v>6108</v>
      </c>
      <c r="C1452" s="1307">
        <v>44023314</v>
      </c>
      <c r="D1452" s="1453" t="s">
        <v>6079</v>
      </c>
      <c r="E1452" s="1307"/>
      <c r="F1452" s="1313"/>
      <c r="G1452" s="1424" t="s">
        <v>4664</v>
      </c>
      <c r="H1452" s="1438" t="s">
        <v>6065</v>
      </c>
      <c r="I1452" s="1326"/>
      <c r="J1452" s="1424" t="s">
        <v>5985</v>
      </c>
      <c r="K1452" s="1400"/>
      <c r="L1452" s="703">
        <v>1</v>
      </c>
      <c r="M1452" s="1492" t="s">
        <v>6252</v>
      </c>
      <c r="N1452" s="166"/>
      <c r="P1452" s="166"/>
    </row>
    <row r="1453" spans="1:16" s="1311" customFormat="1" ht="13.2" hidden="1" customHeight="1">
      <c r="A1453" s="2313">
        <v>45525</v>
      </c>
      <c r="B1453" s="1323" t="s">
        <v>6138</v>
      </c>
      <c r="C1453" s="1307"/>
      <c r="D1453" s="1466" t="s">
        <v>6139</v>
      </c>
      <c r="E1453" s="1307"/>
      <c r="F1453" s="1313"/>
      <c r="G1453" s="1442" t="s">
        <v>1954</v>
      </c>
      <c r="H1453" s="1452" t="s">
        <v>6074</v>
      </c>
      <c r="I1453" s="1326"/>
      <c r="J1453" s="1442" t="s">
        <v>6075</v>
      </c>
      <c r="K1453" s="1400"/>
      <c r="L1453" s="703">
        <v>1</v>
      </c>
      <c r="M1453" s="1464" t="s">
        <v>6173</v>
      </c>
      <c r="N1453" s="166"/>
      <c r="P1453" s="166"/>
    </row>
    <row r="1454" spans="1:16" s="1311" customFormat="1" ht="13.2" hidden="1" customHeight="1">
      <c r="A1454" s="2314">
        <v>45473</v>
      </c>
      <c r="B1454" s="1323" t="s">
        <v>5813</v>
      </c>
      <c r="C1454" s="1307">
        <v>15046828</v>
      </c>
      <c r="D1454" s="1520" t="s">
        <v>6396</v>
      </c>
      <c r="E1454" s="1520" t="s">
        <v>6400</v>
      </c>
      <c r="F1454" s="1520" t="s">
        <v>6401</v>
      </c>
      <c r="G1454" s="1368" t="s">
        <v>2719</v>
      </c>
      <c r="H1454" s="1359" t="s">
        <v>5689</v>
      </c>
      <c r="I1454" s="1326"/>
      <c r="J1454" s="1349" t="s">
        <v>5690</v>
      </c>
      <c r="K1454" s="703"/>
      <c r="L1454" s="703">
        <v>1</v>
      </c>
      <c r="M1454" s="1543" t="s">
        <v>6437</v>
      </c>
      <c r="N1454" s="166"/>
      <c r="P1454" s="166"/>
    </row>
    <row r="1455" spans="1:16" s="1311" customFormat="1" ht="13.2" hidden="1" customHeight="1">
      <c r="A1455" s="2313">
        <v>45525</v>
      </c>
      <c r="B1455" s="1323" t="s">
        <v>6093</v>
      </c>
      <c r="C1455" s="1307"/>
      <c r="D1455" s="1307"/>
      <c r="E1455" s="1307"/>
      <c r="F1455" s="1313"/>
      <c r="G1455" s="1442" t="s">
        <v>1032</v>
      </c>
      <c r="H1455" s="1452" t="s">
        <v>6077</v>
      </c>
      <c r="I1455" s="1326"/>
      <c r="J1455" s="1442" t="s">
        <v>6078</v>
      </c>
      <c r="K1455" s="1400"/>
      <c r="L1455" s="703"/>
      <c r="M1455" s="708"/>
      <c r="N1455" s="166"/>
      <c r="P1455" s="166"/>
    </row>
    <row r="1456" spans="1:16" s="1311" customFormat="1" ht="13.2" hidden="1" customHeight="1">
      <c r="A1456" s="2315">
        <v>45526</v>
      </c>
      <c r="B1456" s="1323" t="s">
        <v>6119</v>
      </c>
      <c r="C1456" s="1307">
        <v>83784658</v>
      </c>
      <c r="D1456" s="1520" t="s">
        <v>6399</v>
      </c>
      <c r="E1456" s="1520" t="s">
        <v>6400</v>
      </c>
      <c r="F1456" s="1520" t="s">
        <v>6401</v>
      </c>
      <c r="G1456" s="1453" t="s">
        <v>2284</v>
      </c>
      <c r="H1456" s="1474" t="s">
        <v>6096</v>
      </c>
      <c r="I1456" s="1326"/>
      <c r="J1456" s="1453" t="s">
        <v>6078</v>
      </c>
      <c r="K1456" s="1400"/>
      <c r="L1456" s="703"/>
      <c r="M1456" s="708"/>
      <c r="N1456" s="166"/>
      <c r="P1456" s="166"/>
    </row>
    <row r="1457" spans="1:16" s="1311" customFormat="1" ht="13.2" hidden="1" customHeight="1">
      <c r="A1457" s="2316">
        <v>45526</v>
      </c>
      <c r="B1457" s="1323" t="s">
        <v>6318</v>
      </c>
      <c r="C1457" s="1307">
        <v>21911864</v>
      </c>
      <c r="D1457" s="1496" t="s">
        <v>6297</v>
      </c>
      <c r="E1457" s="1307"/>
      <c r="F1457" s="1510" t="s">
        <v>6358</v>
      </c>
      <c r="G1457" s="1453" t="s">
        <v>2056</v>
      </c>
      <c r="H1457" s="1474" t="s">
        <v>6097</v>
      </c>
      <c r="I1457" s="1326"/>
      <c r="J1457" s="1453" t="s">
        <v>6098</v>
      </c>
      <c r="K1457" s="1400"/>
      <c r="L1457" s="703">
        <v>1</v>
      </c>
      <c r="M1457" s="1514" t="s">
        <v>6375</v>
      </c>
      <c r="N1457" s="166"/>
      <c r="P1457" s="166"/>
    </row>
    <row r="1458" spans="1:16" s="1311" customFormat="1" ht="13.2" hidden="1" customHeight="1">
      <c r="A1458" s="2315">
        <v>45526</v>
      </c>
      <c r="B1458" s="1323" t="s">
        <v>6104</v>
      </c>
      <c r="C1458" s="1307">
        <v>53257689</v>
      </c>
      <c r="D1458" s="1496" t="s">
        <v>6272</v>
      </c>
      <c r="E1458" s="1307"/>
      <c r="F1458" s="1313"/>
      <c r="G1458" s="1453" t="s">
        <v>2478</v>
      </c>
      <c r="H1458" s="1474" t="s">
        <v>6099</v>
      </c>
      <c r="I1458" s="1326"/>
      <c r="J1458" s="1461" t="s">
        <v>5978</v>
      </c>
      <c r="K1458" s="1400"/>
      <c r="L1458" s="703"/>
      <c r="M1458" s="708"/>
      <c r="N1458" s="166"/>
      <c r="P1458" s="166"/>
    </row>
    <row r="1459" spans="1:16" s="1311" customFormat="1" ht="13.2" hidden="1" customHeight="1">
      <c r="A1459" s="2317">
        <v>45526</v>
      </c>
      <c r="B1459" s="1323" t="s">
        <v>6188</v>
      </c>
      <c r="C1459" s="1307">
        <v>68735518</v>
      </c>
      <c r="D1459" s="1461" t="s">
        <v>6081</v>
      </c>
      <c r="E1459" s="1307"/>
      <c r="F1459" s="1466"/>
      <c r="G1459" s="1453" t="s">
        <v>1972</v>
      </c>
      <c r="H1459" s="1474" t="s">
        <v>6100</v>
      </c>
      <c r="I1459" s="1326"/>
      <c r="J1459" s="1453" t="s">
        <v>6101</v>
      </c>
      <c r="K1459" s="1400"/>
      <c r="L1459" s="703"/>
      <c r="M1459" s="708"/>
      <c r="N1459" s="166"/>
      <c r="P1459" s="166"/>
    </row>
    <row r="1460" spans="1:16" s="1311" customFormat="1" ht="13.2" hidden="1" customHeight="1">
      <c r="A1460" s="2316">
        <v>45527</v>
      </c>
      <c r="B1460" s="1323" t="s">
        <v>6175</v>
      </c>
      <c r="C1460" s="1307">
        <v>39924891</v>
      </c>
      <c r="D1460" s="1307"/>
      <c r="E1460" s="1307"/>
      <c r="F1460" s="1466"/>
      <c r="G1460" s="1453" t="s">
        <v>3213</v>
      </c>
      <c r="H1460" s="1474" t="s">
        <v>6112</v>
      </c>
      <c r="I1460" s="1326"/>
      <c r="J1460" s="1453" t="s">
        <v>6113</v>
      </c>
      <c r="K1460" s="1400"/>
      <c r="L1460" s="703"/>
      <c r="M1460" s="708"/>
      <c r="N1460" s="166"/>
      <c r="P1460" s="166"/>
    </row>
    <row r="1461" spans="1:16" s="1311" customFormat="1" ht="13.2" hidden="1" customHeight="1">
      <c r="A1461" s="2315">
        <v>45527</v>
      </c>
      <c r="B1461" s="1323" t="s">
        <v>6254</v>
      </c>
      <c r="C1461" s="1307"/>
      <c r="D1461" s="1453" t="s">
        <v>6080</v>
      </c>
      <c r="E1461" s="1307"/>
      <c r="F1461" s="1466"/>
      <c r="G1461" s="1453" t="s">
        <v>2719</v>
      </c>
      <c r="H1461" s="1474" t="s">
        <v>6114</v>
      </c>
      <c r="I1461" s="1326"/>
      <c r="J1461" s="1453" t="s">
        <v>6115</v>
      </c>
      <c r="K1461" s="1400"/>
      <c r="L1461" s="703">
        <v>1</v>
      </c>
      <c r="M1461" s="1538" t="s">
        <v>6408</v>
      </c>
      <c r="N1461" s="166"/>
      <c r="P1461" s="166"/>
    </row>
    <row r="1462" spans="1:16" s="1311" customFormat="1" ht="13.2" hidden="1" customHeight="1">
      <c r="A1462" s="2316">
        <v>45527</v>
      </c>
      <c r="B1462" s="1323" t="s">
        <v>6261</v>
      </c>
      <c r="C1462" s="1307">
        <v>83507874</v>
      </c>
      <c r="D1462" s="1307"/>
      <c r="E1462" s="1307"/>
      <c r="F1462" s="1466"/>
      <c r="G1462" s="1453" t="s">
        <v>1996</v>
      </c>
      <c r="H1462" s="1474" t="s">
        <v>6116</v>
      </c>
      <c r="I1462" s="1326"/>
      <c r="J1462" s="1453" t="s">
        <v>5985</v>
      </c>
      <c r="K1462" s="1400"/>
      <c r="L1462" s="703"/>
      <c r="M1462" s="708"/>
      <c r="N1462" s="166"/>
      <c r="P1462" s="166"/>
    </row>
    <row r="1463" spans="1:16" s="1311" customFormat="1" ht="13.2" hidden="1" customHeight="1">
      <c r="A1463" s="2316">
        <v>45527</v>
      </c>
      <c r="B1463" s="1316" t="s">
        <v>6317</v>
      </c>
      <c r="C1463" s="1305"/>
      <c r="D1463" s="1305"/>
      <c r="E1463" s="1305"/>
      <c r="F1463" s="1463" t="s">
        <v>6151</v>
      </c>
      <c r="G1463" s="1446" t="s">
        <v>713</v>
      </c>
      <c r="H1463" s="1448" t="s">
        <v>6117</v>
      </c>
      <c r="I1463" s="1317"/>
      <c r="J1463" s="1453" t="s">
        <v>6118</v>
      </c>
      <c r="K1463" s="1400"/>
      <c r="L1463" s="703"/>
      <c r="M1463" s="708"/>
      <c r="N1463" s="166"/>
      <c r="P1463" s="166"/>
    </row>
    <row r="1464" spans="1:16" s="1311" customFormat="1" ht="13.2" hidden="1" customHeight="1">
      <c r="A1464" s="2318">
        <v>45528</v>
      </c>
      <c r="B1464" s="1323" t="s">
        <v>6277</v>
      </c>
      <c r="C1464" s="1307">
        <v>70219181</v>
      </c>
      <c r="D1464" s="1496" t="s">
        <v>6306</v>
      </c>
      <c r="E1464" s="1307"/>
      <c r="F1464" s="1510" t="s">
        <v>6357</v>
      </c>
      <c r="G1464" s="1461" t="s">
        <v>736</v>
      </c>
      <c r="H1464" s="1509" t="s">
        <v>6121</v>
      </c>
      <c r="I1464" s="1326"/>
      <c r="J1464" s="1461" t="s">
        <v>6122</v>
      </c>
      <c r="K1464" s="1400"/>
      <c r="L1464" s="703">
        <v>1</v>
      </c>
      <c r="M1464" s="1538" t="s">
        <v>6402</v>
      </c>
      <c r="N1464" s="166"/>
      <c r="P1464" s="166"/>
    </row>
    <row r="1465" spans="1:16" s="1311" customFormat="1" ht="13.2" hidden="1" customHeight="1">
      <c r="A1465" s="2318">
        <v>45529</v>
      </c>
      <c r="B1465" s="1323" t="s">
        <v>6183</v>
      </c>
      <c r="C1465" s="1307"/>
      <c r="D1465" s="1496" t="s">
        <v>6273</v>
      </c>
      <c r="E1465" s="1307"/>
      <c r="F1465" s="1466"/>
      <c r="G1465" s="1461" t="s">
        <v>2478</v>
      </c>
      <c r="H1465" s="1491" t="s">
        <v>6228</v>
      </c>
      <c r="I1465" s="1326"/>
      <c r="J1465" s="1461" t="s">
        <v>6123</v>
      </c>
      <c r="K1465" s="1400"/>
      <c r="L1465" s="703"/>
      <c r="M1465" s="708"/>
      <c r="N1465" s="166"/>
      <c r="P1465" s="166"/>
    </row>
    <row r="1466" spans="1:16" s="1311" customFormat="1" ht="13.2" hidden="1" customHeight="1">
      <c r="A1466" s="2319">
        <v>45530</v>
      </c>
      <c r="B1466" s="1323" t="s">
        <v>6131</v>
      </c>
      <c r="C1466" s="1307">
        <v>56809807</v>
      </c>
      <c r="D1466" s="1307"/>
      <c r="E1466" s="1307"/>
      <c r="F1466" s="1313"/>
      <c r="G1466" s="1466" t="s">
        <v>3249</v>
      </c>
      <c r="H1466" s="1469" t="s">
        <v>6132</v>
      </c>
      <c r="I1466" s="1326"/>
      <c r="J1466" s="1466" t="s">
        <v>6034</v>
      </c>
      <c r="K1466" s="1400"/>
      <c r="L1466" s="703"/>
      <c r="M1466" s="708"/>
      <c r="N1466" s="166"/>
      <c r="P1466" s="166"/>
    </row>
    <row r="1467" spans="1:16" s="1311" customFormat="1" ht="13.2" hidden="1" customHeight="1">
      <c r="A1467" s="2319">
        <v>45530</v>
      </c>
      <c r="B1467" s="1323" t="s">
        <v>6155</v>
      </c>
      <c r="C1467" s="1307">
        <v>81437157</v>
      </c>
      <c r="D1467" s="1307"/>
      <c r="E1467" s="1307"/>
      <c r="F1467" s="1466"/>
      <c r="G1467" s="1466" t="s">
        <v>1972</v>
      </c>
      <c r="H1467" s="1469" t="s">
        <v>6133</v>
      </c>
      <c r="I1467" s="1326"/>
      <c r="J1467" s="1466" t="s">
        <v>6034</v>
      </c>
      <c r="K1467" s="1400"/>
      <c r="L1467" s="703"/>
      <c r="M1467" s="708"/>
      <c r="N1467" s="166"/>
      <c r="P1467" s="166"/>
    </row>
    <row r="1468" spans="1:16" s="1311" customFormat="1" ht="13.2" hidden="1" customHeight="1">
      <c r="A1468" s="2319">
        <v>45530</v>
      </c>
      <c r="B1468" s="1323" t="s">
        <v>6279</v>
      </c>
      <c r="C1468" s="1307">
        <v>25028560</v>
      </c>
      <c r="D1468" s="1307"/>
      <c r="E1468" s="1307"/>
      <c r="F1468" s="1466" t="s">
        <v>6151</v>
      </c>
      <c r="G1468" s="1466" t="s">
        <v>3213</v>
      </c>
      <c r="H1468" s="1469" t="s">
        <v>6134</v>
      </c>
      <c r="I1468" s="1326"/>
      <c r="J1468" s="1466" t="s">
        <v>6135</v>
      </c>
      <c r="K1468" s="1400"/>
      <c r="L1468" s="703"/>
      <c r="M1468" s="708"/>
      <c r="N1468" s="166"/>
      <c r="P1468" s="166"/>
    </row>
    <row r="1469" spans="1:16" s="1311" customFormat="1" ht="13.2" hidden="1" customHeight="1">
      <c r="A1469" s="2307">
        <v>45530</v>
      </c>
      <c r="B1469" s="1323" t="s">
        <v>6271</v>
      </c>
      <c r="C1469" s="1307">
        <v>60880848</v>
      </c>
      <c r="D1469" s="1504" t="s">
        <v>6343</v>
      </c>
      <c r="E1469" s="1504" t="s">
        <v>6321</v>
      </c>
      <c r="F1469" s="1466" t="s">
        <v>6151</v>
      </c>
      <c r="G1469" s="1466" t="s">
        <v>1972</v>
      </c>
      <c r="H1469" s="1469" t="s">
        <v>6136</v>
      </c>
      <c r="I1469" s="1326"/>
      <c r="J1469" s="1466" t="s">
        <v>6034</v>
      </c>
      <c r="K1469" s="1400"/>
      <c r="L1469" s="703"/>
      <c r="M1469" s="708"/>
      <c r="N1469" s="166"/>
      <c r="P1469" s="166"/>
    </row>
    <row r="1470" spans="1:16" s="1311" customFormat="1" ht="13.2" hidden="1" customHeight="1">
      <c r="A1470" s="2307">
        <v>45530</v>
      </c>
      <c r="B1470" s="1323" t="s">
        <v>6145</v>
      </c>
      <c r="C1470" s="1307">
        <v>93468412</v>
      </c>
      <c r="D1470" s="1496" t="s">
        <v>6267</v>
      </c>
      <c r="E1470" s="1578" t="s">
        <v>2755</v>
      </c>
      <c r="F1470" s="1313" t="s">
        <v>6401</v>
      </c>
      <c r="G1470" s="1466" t="s">
        <v>2306</v>
      </c>
      <c r="H1470" s="1565" t="s">
        <v>6514</v>
      </c>
      <c r="I1470" s="1326"/>
      <c r="J1470" s="1466" t="s">
        <v>6137</v>
      </c>
      <c r="K1470" s="1400"/>
      <c r="L1470" s="703"/>
      <c r="M1470" s="708"/>
      <c r="N1470" s="166"/>
      <c r="P1470" s="166"/>
    </row>
    <row r="1471" spans="1:16" s="1311" customFormat="1" ht="13.2" hidden="1" customHeight="1">
      <c r="A1471" s="2319">
        <v>45531</v>
      </c>
      <c r="B1471" s="1323" t="s">
        <v>6268</v>
      </c>
      <c r="C1471" s="1307">
        <v>79149703</v>
      </c>
      <c r="D1471" s="1307"/>
      <c r="E1471" s="1307"/>
      <c r="F1471" s="1466" t="s">
        <v>6151</v>
      </c>
      <c r="G1471" s="1466" t="s">
        <v>2651</v>
      </c>
      <c r="H1471" s="1469" t="s">
        <v>6150</v>
      </c>
      <c r="I1471" s="1326"/>
      <c r="J1471" s="1466" t="s">
        <v>6113</v>
      </c>
      <c r="K1471" s="1400"/>
      <c r="L1471" s="703"/>
      <c r="M1471" s="708"/>
      <c r="N1471" s="166"/>
      <c r="P1471" s="166"/>
    </row>
    <row r="1472" spans="1:16" s="1311" customFormat="1" ht="13.2" hidden="1" customHeight="1">
      <c r="A1472" s="2319">
        <v>45532</v>
      </c>
      <c r="B1472" s="1323" t="s">
        <v>6193</v>
      </c>
      <c r="C1472" s="1307"/>
      <c r="D1472" s="1307"/>
      <c r="E1472" s="1307"/>
      <c r="F1472" s="1466"/>
      <c r="G1472" s="1466" t="s">
        <v>6168</v>
      </c>
      <c r="H1472" s="1469" t="s">
        <v>6169</v>
      </c>
      <c r="I1472" s="1326"/>
      <c r="J1472" s="1466" t="s">
        <v>6170</v>
      </c>
      <c r="K1472" s="1400"/>
      <c r="L1472" s="703">
        <v>1</v>
      </c>
      <c r="M1472" s="1492" t="s">
        <v>6262</v>
      </c>
      <c r="N1472" s="166"/>
      <c r="P1472" s="166"/>
    </row>
    <row r="1473" spans="1:16" s="1311" customFormat="1" ht="13.2" hidden="1" customHeight="1">
      <c r="A1473" s="2320">
        <v>45481</v>
      </c>
      <c r="B1473" s="1323" t="s">
        <v>5857</v>
      </c>
      <c r="C1473" s="1307">
        <v>17061313</v>
      </c>
      <c r="D1473" s="1510" t="s">
        <v>6376</v>
      </c>
      <c r="E1473" s="1520" t="s">
        <v>6400</v>
      </c>
      <c r="F1473" s="1546" t="s">
        <v>6401</v>
      </c>
      <c r="G1473" s="1368" t="s">
        <v>2719</v>
      </c>
      <c r="H1473" s="1376" t="s">
        <v>5858</v>
      </c>
      <c r="I1473" s="1326"/>
      <c r="J1473" s="1365">
        <v>1350</v>
      </c>
      <c r="K1473" s="703"/>
      <c r="L1473" s="703">
        <v>1</v>
      </c>
      <c r="M1473" s="1543" t="s">
        <v>6437</v>
      </c>
      <c r="N1473" s="166"/>
      <c r="P1473" s="166"/>
    </row>
    <row r="1474" spans="1:16" s="1311" customFormat="1" ht="13.2" hidden="1" customHeight="1">
      <c r="A1474" s="2319">
        <v>45532</v>
      </c>
      <c r="B1474" s="1323" t="s">
        <v>6270</v>
      </c>
      <c r="C1474" s="1307">
        <v>90084200</v>
      </c>
      <c r="D1474" s="1496" t="s">
        <v>6253</v>
      </c>
      <c r="E1474" s="1307"/>
      <c r="F1474" s="1466" t="s">
        <v>6151</v>
      </c>
      <c r="G1474" s="1453" t="s">
        <v>2284</v>
      </c>
      <c r="H1474" s="1469" t="s">
        <v>6172</v>
      </c>
      <c r="I1474" s="1326"/>
      <c r="J1474" s="1466" t="s">
        <v>6034</v>
      </c>
      <c r="K1474" s="1400"/>
      <c r="L1474" s="703"/>
      <c r="M1474" s="708"/>
      <c r="N1474" s="166"/>
      <c r="P1474" s="166"/>
    </row>
    <row r="1475" spans="1:16" s="1311" customFormat="1" ht="13.2" hidden="1" customHeight="1">
      <c r="A1475" s="2307">
        <v>45533</v>
      </c>
      <c r="B1475" s="1323" t="s">
        <v>6179</v>
      </c>
      <c r="C1475" s="1307">
        <v>19741974</v>
      </c>
      <c r="D1475" s="1520" t="s">
        <v>6396</v>
      </c>
      <c r="E1475" s="1520" t="s">
        <v>6400</v>
      </c>
      <c r="F1475" s="1520" t="s">
        <v>6401</v>
      </c>
      <c r="G1475" s="1466" t="s">
        <v>3022</v>
      </c>
      <c r="H1475" s="1469" t="s">
        <v>4910</v>
      </c>
      <c r="I1475" s="1326"/>
      <c r="J1475" s="1466" t="s">
        <v>6034</v>
      </c>
      <c r="K1475" s="1400"/>
      <c r="L1475" s="703">
        <v>1</v>
      </c>
      <c r="M1475" s="1543" t="s">
        <v>6437</v>
      </c>
      <c r="N1475" s="166"/>
      <c r="P1475" s="166"/>
    </row>
    <row r="1476" spans="1:16" s="1311" customFormat="1" ht="13.2" hidden="1" customHeight="1">
      <c r="A1476" s="2319">
        <v>45533</v>
      </c>
      <c r="B1476" s="1323" t="s">
        <v>6189</v>
      </c>
      <c r="C1476" s="1307"/>
      <c r="D1476" s="1307"/>
      <c r="E1476" s="1307"/>
      <c r="F1476" s="1466"/>
      <c r="G1476" s="1466" t="s">
        <v>1989</v>
      </c>
      <c r="H1476" s="1469" t="s">
        <v>6190</v>
      </c>
      <c r="I1476" s="1326"/>
      <c r="J1476" s="1466" t="s">
        <v>6191</v>
      </c>
      <c r="K1476" s="1400"/>
      <c r="L1476" s="703"/>
      <c r="M1476" s="708"/>
      <c r="N1476" s="166"/>
      <c r="P1476" s="166"/>
    </row>
    <row r="1477" spans="1:16" s="1311" customFormat="1" ht="13.2" hidden="1" customHeight="1">
      <c r="A1477" s="2319">
        <v>45533</v>
      </c>
      <c r="B1477" s="1323" t="s">
        <v>6177</v>
      </c>
      <c r="C1477" s="1307">
        <v>20044614</v>
      </c>
      <c r="D1477" s="1307"/>
      <c r="E1477" s="1307"/>
      <c r="F1477" s="1466"/>
      <c r="G1477" s="1466" t="s">
        <v>1996</v>
      </c>
      <c r="H1477" s="1469" t="s">
        <v>6192</v>
      </c>
      <c r="I1477" s="1326"/>
      <c r="J1477" s="1466" t="s">
        <v>6191</v>
      </c>
      <c r="K1477" s="1400"/>
      <c r="L1477" s="703"/>
      <c r="M1477" s="708"/>
      <c r="N1477" s="166"/>
      <c r="P1477" s="166"/>
    </row>
    <row r="1478" spans="1:16" s="1311" customFormat="1" ht="13.2" hidden="1" customHeight="1">
      <c r="A1478" s="2321">
        <v>45536</v>
      </c>
      <c r="B1478" s="1316" t="s">
        <v>6199</v>
      </c>
      <c r="C1478" s="1305"/>
      <c r="D1478" s="1305"/>
      <c r="E1478" s="1305"/>
      <c r="F1478" s="1493" t="s">
        <v>6151</v>
      </c>
      <c r="G1478" s="1484" t="s">
        <v>3213</v>
      </c>
      <c r="H1478" s="1485" t="s">
        <v>6200</v>
      </c>
      <c r="I1478" s="1317"/>
      <c r="J1478" s="1486" t="s">
        <v>6201</v>
      </c>
      <c r="K1478" s="1400"/>
      <c r="L1478" s="703"/>
      <c r="M1478" s="708"/>
      <c r="N1478" s="166"/>
      <c r="P1478" s="166"/>
    </row>
    <row r="1479" spans="1:16" s="1311" customFormat="1" ht="13.2" hidden="1" customHeight="1">
      <c r="A1479" s="2321">
        <v>45538</v>
      </c>
      <c r="B1479" s="1316"/>
      <c r="C1479" s="1305"/>
      <c r="D1479" s="1305"/>
      <c r="E1479" s="1305"/>
      <c r="F1479" s="1493" t="s">
        <v>6151</v>
      </c>
      <c r="G1479" s="1484" t="s">
        <v>3403</v>
      </c>
      <c r="H1479" s="1468"/>
      <c r="I1479" s="1317">
        <f>20-20</f>
        <v>0</v>
      </c>
      <c r="J1479" s="1486" t="s">
        <v>6034</v>
      </c>
      <c r="K1479" s="1400"/>
      <c r="L1479" s="703"/>
      <c r="M1479" s="708"/>
      <c r="N1479" s="166"/>
      <c r="P1479" s="166"/>
    </row>
    <row r="1480" spans="1:16" s="1311" customFormat="1" ht="13.2" hidden="1" customHeight="1">
      <c r="A1480" s="2276">
        <v>45542</v>
      </c>
      <c r="B1480" s="1323" t="s">
        <v>6688</v>
      </c>
      <c r="C1480" s="1307">
        <v>22683507</v>
      </c>
      <c r="D1480" s="1563"/>
      <c r="E1480" s="1546" t="s">
        <v>6443</v>
      </c>
      <c r="F1480" s="1510" t="s">
        <v>6374</v>
      </c>
      <c r="G1480" s="1496" t="s">
        <v>1973</v>
      </c>
      <c r="H1480" s="1502" t="s">
        <v>6258</v>
      </c>
      <c r="I1480" s="1326"/>
      <c r="J1480" s="1496" t="s">
        <v>6034</v>
      </c>
      <c r="K1480" s="1400"/>
      <c r="L1480" s="703"/>
      <c r="M1480" s="708"/>
      <c r="N1480" s="166"/>
      <c r="P1480" s="166"/>
    </row>
    <row r="1481" spans="1:16" s="1311" customFormat="1" ht="13.2" hidden="1" customHeight="1">
      <c r="A1481" s="2321">
        <v>45539</v>
      </c>
      <c r="B1481" s="1323" t="s">
        <v>6356</v>
      </c>
      <c r="C1481" s="1307">
        <v>56284867</v>
      </c>
      <c r="D1481" s="1307"/>
      <c r="E1481" s="1307"/>
      <c r="F1481" s="1504" t="s">
        <v>6347</v>
      </c>
      <c r="G1481" s="1486" t="s">
        <v>2612</v>
      </c>
      <c r="H1481" s="1502" t="s">
        <v>6299</v>
      </c>
      <c r="I1481" s="1326"/>
      <c r="J1481" s="1486" t="s">
        <v>6034</v>
      </c>
      <c r="K1481" s="1400"/>
      <c r="L1481" s="703">
        <v>1</v>
      </c>
      <c r="M1481" s="1514" t="s">
        <v>6375</v>
      </c>
      <c r="N1481" s="166"/>
      <c r="P1481" s="166"/>
    </row>
    <row r="1482" spans="1:16" s="1311" customFormat="1" ht="13.2" hidden="1" customHeight="1">
      <c r="A1482" s="2299">
        <v>45539</v>
      </c>
      <c r="B1482" s="1323" t="s">
        <v>6265</v>
      </c>
      <c r="C1482" s="1307">
        <v>84312040</v>
      </c>
      <c r="D1482" s="1496" t="s">
        <v>6306</v>
      </c>
      <c r="E1482" s="1307"/>
      <c r="F1482" s="1496" t="s">
        <v>6151</v>
      </c>
      <c r="G1482" s="1486" t="s">
        <v>736</v>
      </c>
      <c r="H1482" s="1491" t="s">
        <v>6234</v>
      </c>
      <c r="I1482" s="1326"/>
      <c r="J1482" s="1486" t="s">
        <v>6024</v>
      </c>
      <c r="K1482" s="1400"/>
      <c r="L1482" s="703">
        <v>1</v>
      </c>
      <c r="M1482" s="1538" t="s">
        <v>6402</v>
      </c>
      <c r="N1482" s="166"/>
      <c r="P1482" s="166"/>
    </row>
    <row r="1483" spans="1:16" s="1311" customFormat="1" ht="13.2" hidden="1" customHeight="1">
      <c r="A1483" s="2321">
        <v>45539</v>
      </c>
      <c r="B1483" s="1323" t="s">
        <v>6243</v>
      </c>
      <c r="C1483" s="1307">
        <v>36980643</v>
      </c>
      <c r="D1483" s="1307"/>
      <c r="E1483" s="1307"/>
      <c r="F1483" s="1466"/>
      <c r="G1483" s="1486" t="s">
        <v>3213</v>
      </c>
      <c r="H1483" s="1491" t="s">
        <v>6235</v>
      </c>
      <c r="I1483" s="1326"/>
      <c r="J1483" s="1486" t="s">
        <v>6113</v>
      </c>
      <c r="K1483" s="1400"/>
      <c r="L1483" s="703"/>
      <c r="M1483" s="708"/>
      <c r="N1483" s="166"/>
      <c r="P1483" s="166"/>
    </row>
    <row r="1484" spans="1:16" s="1311" customFormat="1" ht="13.2" hidden="1" customHeight="1">
      <c r="A1484" s="2274">
        <v>45462</v>
      </c>
      <c r="B1484" s="1323" t="s">
        <v>6580</v>
      </c>
      <c r="C1484" s="1270">
        <v>74602240</v>
      </c>
      <c r="D1484" s="1598" t="s">
        <v>6637</v>
      </c>
      <c r="E1484" s="1578" t="s">
        <v>2755</v>
      </c>
      <c r="F1484" s="1583" t="s">
        <v>6401</v>
      </c>
      <c r="G1484" s="1391" t="s">
        <v>1970</v>
      </c>
      <c r="H1484" s="1566" t="s">
        <v>6516</v>
      </c>
      <c r="I1484" s="1270"/>
      <c r="J1484" s="1274">
        <v>1350</v>
      </c>
      <c r="K1484" s="703"/>
      <c r="L1484" s="703"/>
      <c r="M1484" s="708"/>
      <c r="N1484" s="166"/>
      <c r="P1484" s="166"/>
    </row>
    <row r="1485" spans="1:16" s="1311" customFormat="1" ht="13.2" hidden="1" customHeight="1">
      <c r="A1485" s="2299">
        <v>45539</v>
      </c>
      <c r="B1485" s="1323" t="s">
        <v>6302</v>
      </c>
      <c r="C1485" s="1307">
        <v>58876553</v>
      </c>
      <c r="D1485" s="1496" t="s">
        <v>6297</v>
      </c>
      <c r="E1485" s="1307"/>
      <c r="F1485" s="1496" t="s">
        <v>6151</v>
      </c>
      <c r="G1485" s="1486" t="s">
        <v>2056</v>
      </c>
      <c r="H1485" s="1491" t="s">
        <v>6236</v>
      </c>
      <c r="I1485" s="1326"/>
      <c r="J1485" s="1486" t="s">
        <v>6034</v>
      </c>
      <c r="K1485" s="1400"/>
      <c r="L1485" s="703">
        <v>1</v>
      </c>
      <c r="M1485" s="1514" t="s">
        <v>6375</v>
      </c>
      <c r="N1485" s="166"/>
      <c r="P1485" s="166"/>
    </row>
    <row r="1486" spans="1:16" s="1311" customFormat="1" ht="13.2" hidden="1" customHeight="1">
      <c r="A1486" s="2299">
        <v>45540</v>
      </c>
      <c r="B1486" s="1323" t="s">
        <v>6305</v>
      </c>
      <c r="C1486" s="1307">
        <v>96488672</v>
      </c>
      <c r="D1486" s="1496" t="s">
        <v>6297</v>
      </c>
      <c r="E1486" s="1307"/>
      <c r="F1486" s="1496" t="s">
        <v>6151</v>
      </c>
      <c r="G1486" s="1486" t="s">
        <v>736</v>
      </c>
      <c r="H1486" s="1491" t="s">
        <v>6246</v>
      </c>
      <c r="I1486" s="1326"/>
      <c r="J1486" s="1486" t="s">
        <v>6247</v>
      </c>
      <c r="K1486" s="1400"/>
      <c r="L1486" s="703">
        <v>1</v>
      </c>
      <c r="M1486" s="1538" t="s">
        <v>6402</v>
      </c>
      <c r="N1486" s="166"/>
      <c r="P1486" s="166"/>
    </row>
    <row r="1487" spans="1:16" s="1311" customFormat="1" ht="13.2" hidden="1" customHeight="1">
      <c r="A1487" s="2321">
        <v>45540</v>
      </c>
      <c r="B1487" s="1323" t="s">
        <v>6255</v>
      </c>
      <c r="C1487" s="1307">
        <v>18614411</v>
      </c>
      <c r="D1487" s="1307"/>
      <c r="E1487" s="1307"/>
      <c r="F1487" s="1496" t="s">
        <v>6151</v>
      </c>
      <c r="G1487" s="1486" t="s">
        <v>2284</v>
      </c>
      <c r="H1487" s="1491" t="s">
        <v>6248</v>
      </c>
      <c r="I1487" s="1326"/>
      <c r="J1487" s="1486" t="s">
        <v>6034</v>
      </c>
      <c r="K1487" s="1400"/>
      <c r="L1487" s="703"/>
      <c r="M1487" s="708"/>
      <c r="N1487" s="166"/>
      <c r="P1487" s="166"/>
    </row>
    <row r="1488" spans="1:16" s="1311" customFormat="1" ht="13.2" hidden="1" customHeight="1">
      <c r="A1488" s="2286">
        <v>45478</v>
      </c>
      <c r="B1488" s="1323" t="s">
        <v>5770</v>
      </c>
      <c r="C1488" s="1307">
        <v>18268432</v>
      </c>
      <c r="D1488" s="1510" t="s">
        <v>6376</v>
      </c>
      <c r="E1488" s="1520" t="s">
        <v>6400</v>
      </c>
      <c r="F1488" s="1313" t="s">
        <v>6401</v>
      </c>
      <c r="G1488" s="1351" t="s">
        <v>1970</v>
      </c>
      <c r="H1488" s="1359" t="s">
        <v>5735</v>
      </c>
      <c r="I1488" s="1326"/>
      <c r="J1488" s="1349" t="s">
        <v>5736</v>
      </c>
      <c r="K1488" s="703"/>
      <c r="L1488" s="703"/>
      <c r="M1488" s="708"/>
      <c r="N1488" s="166"/>
      <c r="P1488" s="166"/>
    </row>
    <row r="1489" spans="1:16" s="1311" customFormat="1" ht="13.2" hidden="1" customHeight="1">
      <c r="A1489" s="2302">
        <v>45506</v>
      </c>
      <c r="B1489" s="1323" t="s">
        <v>6016</v>
      </c>
      <c r="C1489" s="1307">
        <v>69717034</v>
      </c>
      <c r="D1489" s="1510" t="s">
        <v>6376</v>
      </c>
      <c r="E1489" s="1520" t="s">
        <v>6400</v>
      </c>
      <c r="F1489" s="1520" t="s">
        <v>6401</v>
      </c>
      <c r="G1489" s="1395" t="s">
        <v>1970</v>
      </c>
      <c r="H1489" s="1406" t="s">
        <v>5971</v>
      </c>
      <c r="I1489" s="1326"/>
      <c r="J1489" s="1401">
        <v>1500</v>
      </c>
      <c r="K1489" s="1400"/>
      <c r="L1489" s="703"/>
      <c r="M1489" s="708"/>
      <c r="N1489" s="166"/>
      <c r="P1489" s="166"/>
    </row>
    <row r="1490" spans="1:16" s="1311" customFormat="1" ht="13.2" hidden="1" customHeight="1">
      <c r="A1490" s="2302">
        <v>45508</v>
      </c>
      <c r="B1490" s="1323" t="s">
        <v>6278</v>
      </c>
      <c r="C1490" s="1307">
        <v>40909312</v>
      </c>
      <c r="D1490" s="1510" t="s">
        <v>6376</v>
      </c>
      <c r="E1490" s="1528" t="s">
        <v>6400</v>
      </c>
      <c r="F1490" s="1520" t="s">
        <v>6401</v>
      </c>
      <c r="G1490" s="1395" t="s">
        <v>1970</v>
      </c>
      <c r="H1490" s="1406" t="s">
        <v>5983</v>
      </c>
      <c r="I1490" s="1326"/>
      <c r="J1490" s="1401" t="s">
        <v>5736</v>
      </c>
      <c r="K1490" s="1400"/>
      <c r="L1490" s="703"/>
      <c r="M1490" s="708"/>
      <c r="N1490" s="166"/>
      <c r="P1490" s="166"/>
    </row>
    <row r="1491" spans="1:16" s="1311" customFormat="1" ht="13.2" hidden="1" customHeight="1">
      <c r="A1491" s="2322">
        <v>45544</v>
      </c>
      <c r="B1491" s="1323" t="s">
        <v>6294</v>
      </c>
      <c r="C1491" s="1307">
        <v>25587841</v>
      </c>
      <c r="D1491" s="1307"/>
      <c r="E1491" s="1307"/>
      <c r="F1491" s="1510" t="s">
        <v>6367</v>
      </c>
      <c r="G1491" s="1496" t="s">
        <v>2237</v>
      </c>
      <c r="H1491" s="1502" t="s">
        <v>6287</v>
      </c>
      <c r="I1491" s="1326"/>
      <c r="J1491" s="1496" t="s">
        <v>6291</v>
      </c>
      <c r="K1491" s="1400"/>
      <c r="L1491" s="703"/>
      <c r="M1491" s="708"/>
      <c r="N1491" s="166"/>
      <c r="P1491" s="166"/>
    </row>
    <row r="1492" spans="1:16" s="1311" customFormat="1" ht="13.2" hidden="1" customHeight="1">
      <c r="A1492" s="2302">
        <v>45508</v>
      </c>
      <c r="B1492" s="1323" t="s">
        <v>6379</v>
      </c>
      <c r="C1492" s="1307">
        <v>83841769</v>
      </c>
      <c r="D1492" s="1510" t="s">
        <v>6120</v>
      </c>
      <c r="E1492" s="1528" t="s">
        <v>6398</v>
      </c>
      <c r="F1492" s="1556" t="s">
        <v>6401</v>
      </c>
      <c r="G1492" s="1395" t="s">
        <v>763</v>
      </c>
      <c r="H1492" s="1406" t="s">
        <v>5984</v>
      </c>
      <c r="I1492" s="1326"/>
      <c r="J1492" s="1401" t="s">
        <v>5985</v>
      </c>
      <c r="K1492" s="1400"/>
      <c r="L1492" s="703"/>
      <c r="M1492" s="708"/>
      <c r="N1492" s="166"/>
      <c r="P1492" s="166"/>
    </row>
    <row r="1493" spans="1:16" s="1311" customFormat="1" ht="13.2" hidden="1" customHeight="1">
      <c r="A1493" s="2276">
        <v>45544</v>
      </c>
      <c r="B1493" s="1316"/>
      <c r="C1493" s="1305"/>
      <c r="D1493" s="1305"/>
      <c r="E1493" s="1305"/>
      <c r="F1493" s="1463"/>
      <c r="G1493" s="1493" t="s">
        <v>3403</v>
      </c>
      <c r="H1493" s="1495" t="s">
        <v>6290</v>
      </c>
      <c r="I1493" s="1317">
        <f>20-20</f>
        <v>0</v>
      </c>
      <c r="J1493" s="1496" t="s">
        <v>6034</v>
      </c>
      <c r="K1493" s="1400"/>
      <c r="L1493" s="703"/>
      <c r="M1493" s="708"/>
      <c r="N1493" s="166"/>
      <c r="P1493" s="166"/>
    </row>
    <row r="1494" spans="1:16" s="1311" customFormat="1" ht="13.2" hidden="1" customHeight="1">
      <c r="A1494" s="2276">
        <v>45545</v>
      </c>
      <c r="B1494" s="1323" t="s">
        <v>6428</v>
      </c>
      <c r="C1494" s="1528">
        <v>36907433</v>
      </c>
      <c r="D1494" s="1528"/>
      <c r="E1494" s="1528"/>
      <c r="F1494" s="1528"/>
      <c r="G1494" s="1528" t="s">
        <v>3022</v>
      </c>
      <c r="H1494" s="1539" t="s">
        <v>6298</v>
      </c>
      <c r="I1494" s="1541"/>
      <c r="J1494" s="1496" t="s">
        <v>6260</v>
      </c>
      <c r="K1494" s="1400"/>
      <c r="L1494" s="703"/>
      <c r="M1494" s="708"/>
      <c r="N1494" s="166"/>
      <c r="P1494" s="166"/>
    </row>
    <row r="1495" spans="1:16" s="1311" customFormat="1" ht="13.2" hidden="1" customHeight="1">
      <c r="A1495" s="2276">
        <v>45545</v>
      </c>
      <c r="B1495" s="1316"/>
      <c r="C1495" s="1305"/>
      <c r="D1495" s="1305"/>
      <c r="E1495" s="1305"/>
      <c r="F1495" s="1463"/>
      <c r="G1495" s="1493" t="s">
        <v>3403</v>
      </c>
      <c r="H1495" s="1495" t="s">
        <v>5910</v>
      </c>
      <c r="I1495" s="1317">
        <f>20-20</f>
        <v>0</v>
      </c>
      <c r="J1495" s="1496" t="s">
        <v>6034</v>
      </c>
      <c r="K1495" s="1400"/>
      <c r="L1495" s="703"/>
      <c r="M1495" s="708"/>
      <c r="N1495" s="166"/>
      <c r="P1495" s="166"/>
    </row>
    <row r="1496" spans="1:16" s="1311" customFormat="1" ht="13.2" hidden="1" customHeight="1">
      <c r="A1496" s="2323">
        <v>45545</v>
      </c>
      <c r="B1496" s="1323" t="s">
        <v>6330</v>
      </c>
      <c r="C1496" s="1307">
        <v>54551264</v>
      </c>
      <c r="D1496" s="1520" t="s">
        <v>6396</v>
      </c>
      <c r="E1496" s="1528" t="s">
        <v>6400</v>
      </c>
      <c r="F1496" s="1520" t="s">
        <v>6401</v>
      </c>
      <c r="G1496" s="1504" t="s">
        <v>2019</v>
      </c>
      <c r="H1496" s="1512" t="s">
        <v>6331</v>
      </c>
      <c r="I1496" s="1326"/>
      <c r="J1496" s="1504" t="s">
        <v>4916</v>
      </c>
      <c r="K1496" s="1400"/>
      <c r="L1496" s="703"/>
      <c r="M1496" s="708"/>
      <c r="N1496" s="166"/>
      <c r="P1496" s="166"/>
    </row>
    <row r="1497" spans="1:16" s="1311" customFormat="1" ht="13.2" hidden="1" customHeight="1">
      <c r="A1497" s="2324">
        <v>45550</v>
      </c>
      <c r="B1497" s="1323" t="s">
        <v>6378</v>
      </c>
      <c r="C1497" s="1307">
        <v>52367304</v>
      </c>
      <c r="D1497" s="1510" t="s">
        <v>6376</v>
      </c>
      <c r="E1497" s="1510" t="s">
        <v>6400</v>
      </c>
      <c r="F1497" s="1520" t="s">
        <v>6401</v>
      </c>
      <c r="G1497" s="1510" t="s">
        <v>1970</v>
      </c>
      <c r="H1497" s="1515" t="s">
        <v>6349</v>
      </c>
      <c r="I1497" s="1326"/>
      <c r="J1497" s="1510" t="s">
        <v>6350</v>
      </c>
      <c r="K1497" s="1400"/>
      <c r="L1497" s="703"/>
      <c r="M1497" s="708"/>
      <c r="N1497" s="166"/>
      <c r="P1497" s="166"/>
    </row>
    <row r="1498" spans="1:16" s="1311" customFormat="1" ht="13.2" hidden="1" customHeight="1">
      <c r="A1498" s="2324">
        <v>45551</v>
      </c>
      <c r="B1498" s="1323" t="s">
        <v>6382</v>
      </c>
      <c r="C1498" s="1307">
        <v>71004807</v>
      </c>
      <c r="D1498" s="1510" t="s">
        <v>6376</v>
      </c>
      <c r="E1498" s="1528" t="s">
        <v>6400</v>
      </c>
      <c r="F1498" s="1520" t="s">
        <v>6401</v>
      </c>
      <c r="G1498" s="1510" t="s">
        <v>2124</v>
      </c>
      <c r="H1498" s="1515" t="s">
        <v>6362</v>
      </c>
      <c r="I1498" s="1326"/>
      <c r="J1498" s="1510" t="s">
        <v>6034</v>
      </c>
      <c r="K1498" s="1400"/>
      <c r="L1498" s="703"/>
      <c r="M1498" s="708"/>
      <c r="N1498" s="166"/>
      <c r="P1498" s="166"/>
    </row>
    <row r="1499" spans="1:16" s="1311" customFormat="1" ht="13.2" hidden="1" customHeight="1">
      <c r="A1499" s="2325">
        <v>45555</v>
      </c>
      <c r="B1499" s="1323" t="s">
        <v>6403</v>
      </c>
      <c r="C1499" s="1307">
        <v>30884241</v>
      </c>
      <c r="D1499" s="1307"/>
      <c r="E1499" s="1556" t="s">
        <v>6446</v>
      </c>
      <c r="F1499" s="1528" t="s">
        <v>6401</v>
      </c>
      <c r="G1499" s="1520" t="s">
        <v>3991</v>
      </c>
      <c r="H1499" s="1529" t="s">
        <v>6392</v>
      </c>
      <c r="I1499" s="1326"/>
      <c r="J1499" s="1520" t="s">
        <v>6393</v>
      </c>
      <c r="K1499" s="1400"/>
      <c r="L1499" s="703">
        <v>1</v>
      </c>
      <c r="M1499" s="1554" t="s">
        <v>6462</v>
      </c>
      <c r="N1499" s="166"/>
      <c r="P1499" s="166"/>
    </row>
    <row r="1500" spans="1:16" s="1311" customFormat="1" ht="13.2" hidden="1" customHeight="1">
      <c r="A1500" s="2326">
        <v>45558</v>
      </c>
      <c r="B1500" s="1530" t="s">
        <v>6404</v>
      </c>
      <c r="C1500" s="1531" t="s">
        <v>6405</v>
      </c>
      <c r="D1500" s="1532"/>
      <c r="E1500" s="1532"/>
      <c r="F1500" s="1533"/>
      <c r="G1500" s="1534" t="s">
        <v>6406</v>
      </c>
      <c r="H1500" s="1535"/>
      <c r="I1500" s="1536"/>
      <c r="J1500" s="1496"/>
      <c r="K1500" s="1400"/>
      <c r="L1500" s="703"/>
      <c r="M1500" s="708"/>
      <c r="N1500" s="166"/>
      <c r="P1500" s="166"/>
    </row>
    <row r="1501" spans="1:16" s="1311" customFormat="1" ht="13.2" hidden="1" customHeight="1">
      <c r="A1501" s="2327">
        <v>45558</v>
      </c>
      <c r="B1501" s="1323" t="s">
        <v>6407</v>
      </c>
      <c r="C1501" s="1307">
        <v>87366131</v>
      </c>
      <c r="D1501" s="1576" t="s">
        <v>6554</v>
      </c>
      <c r="E1501" s="1578" t="s">
        <v>2755</v>
      </c>
      <c r="F1501" s="1578" t="s">
        <v>6401</v>
      </c>
      <c r="G1501" s="1528" t="s">
        <v>1009</v>
      </c>
      <c r="H1501" s="1566" t="s">
        <v>6520</v>
      </c>
      <c r="I1501" s="1326"/>
      <c r="J1501" s="1528" t="s">
        <v>6409</v>
      </c>
      <c r="K1501" s="1400"/>
      <c r="L1501" s="703"/>
      <c r="M1501" s="708"/>
      <c r="N1501" s="166"/>
      <c r="P1501" s="166"/>
    </row>
    <row r="1502" spans="1:16" s="1311" customFormat="1" ht="13.2" hidden="1" customHeight="1">
      <c r="A1502" s="2327">
        <v>45558</v>
      </c>
      <c r="B1502" s="1323" t="s">
        <v>6427</v>
      </c>
      <c r="C1502" s="1307">
        <v>33071516</v>
      </c>
      <c r="D1502" s="1578" t="s">
        <v>6562</v>
      </c>
      <c r="E1502" s="1578" t="s">
        <v>6398</v>
      </c>
      <c r="F1502" s="1578" t="s">
        <v>6486</v>
      </c>
      <c r="G1502" s="1528" t="s">
        <v>1970</v>
      </c>
      <c r="H1502" s="1539" t="s">
        <v>6410</v>
      </c>
      <c r="I1502" s="1326"/>
      <c r="J1502" s="1528" t="s">
        <v>6409</v>
      </c>
      <c r="K1502" s="1400"/>
      <c r="L1502" s="703"/>
      <c r="M1502" s="708"/>
      <c r="N1502" s="166"/>
      <c r="P1502" s="166"/>
    </row>
    <row r="1503" spans="1:16" s="1311" customFormat="1" ht="13.2" hidden="1" customHeight="1">
      <c r="A1503" s="2326">
        <v>45558</v>
      </c>
      <c r="B1503" s="1323" t="s">
        <v>6448</v>
      </c>
      <c r="C1503" s="1307">
        <v>79202140</v>
      </c>
      <c r="D1503" s="1563" t="s">
        <v>6522</v>
      </c>
      <c r="E1503" s="1578" t="s">
        <v>6570</v>
      </c>
      <c r="F1503" s="1571" t="s">
        <v>6401</v>
      </c>
      <c r="G1503" s="1528" t="s">
        <v>4664</v>
      </c>
      <c r="H1503" s="1539" t="s">
        <v>6411</v>
      </c>
      <c r="I1503" s="1326"/>
      <c r="J1503" s="1528" t="s">
        <v>6024</v>
      </c>
      <c r="K1503" s="1400"/>
      <c r="L1503" s="703"/>
      <c r="M1503" s="708"/>
      <c r="N1503" s="166"/>
      <c r="P1503" s="166"/>
    </row>
    <row r="1504" spans="1:16" s="1311" customFormat="1" ht="13.2" hidden="1" customHeight="1">
      <c r="A1504" s="2326">
        <v>45558</v>
      </c>
      <c r="B1504" s="1323" t="s">
        <v>6481</v>
      </c>
      <c r="C1504" s="1307">
        <v>86303772</v>
      </c>
      <c r="D1504" s="1658" t="s">
        <v>6570</v>
      </c>
      <c r="E1504" s="1578" t="s">
        <v>6443</v>
      </c>
      <c r="F1504" s="1466"/>
      <c r="G1504" s="1528" t="s">
        <v>2312</v>
      </c>
      <c r="H1504" s="1645" t="s">
        <v>6882</v>
      </c>
      <c r="I1504" s="1326">
        <v>0</v>
      </c>
      <c r="J1504" s="1646" t="s">
        <v>6890</v>
      </c>
      <c r="K1504" s="1400"/>
      <c r="L1504" s="703"/>
      <c r="M1504" s="708"/>
      <c r="N1504" s="166"/>
      <c r="P1504" s="166"/>
    </row>
    <row r="1505" spans="1:16" s="1311" customFormat="1" ht="13.2" hidden="1" customHeight="1">
      <c r="A1505" s="2326">
        <v>45559</v>
      </c>
      <c r="B1505" s="1323" t="s">
        <v>6417</v>
      </c>
      <c r="C1505" s="1307">
        <v>59208445</v>
      </c>
      <c r="D1505" s="1307"/>
      <c r="E1505" s="1307"/>
      <c r="F1505" s="1466"/>
      <c r="G1505" s="1528" t="s">
        <v>2251</v>
      </c>
      <c r="H1505" s="1539" t="s">
        <v>6420</v>
      </c>
      <c r="I1505" s="1326"/>
      <c r="J1505" s="1528" t="s">
        <v>6421</v>
      </c>
      <c r="K1505" s="1400"/>
      <c r="L1505" s="703"/>
      <c r="M1505" s="708"/>
      <c r="N1505" s="166"/>
      <c r="P1505" s="166"/>
    </row>
    <row r="1506" spans="1:16" s="1311" customFormat="1" ht="13.2" hidden="1" customHeight="1">
      <c r="A1506" s="2327">
        <v>45559</v>
      </c>
      <c r="B1506" s="1323" t="s">
        <v>6511</v>
      </c>
      <c r="C1506" s="1307">
        <v>81542777</v>
      </c>
      <c r="D1506" s="1583" t="s">
        <v>6599</v>
      </c>
      <c r="E1506" s="1578" t="s">
        <v>2755</v>
      </c>
      <c r="F1506" s="1578" t="s">
        <v>6401</v>
      </c>
      <c r="G1506" s="1528" t="s">
        <v>1009</v>
      </c>
      <c r="H1506" s="1539" t="s">
        <v>6422</v>
      </c>
      <c r="I1506" s="1326"/>
      <c r="J1506" s="1528" t="s">
        <v>6024</v>
      </c>
      <c r="K1506" s="1400"/>
      <c r="L1506" s="703"/>
      <c r="M1506" s="708"/>
      <c r="N1506" s="166"/>
      <c r="P1506" s="166"/>
    </row>
    <row r="1507" spans="1:16" s="1311" customFormat="1" ht="13.2" customHeight="1">
      <c r="A1507" s="2328">
        <v>45562</v>
      </c>
      <c r="B1507" s="1316" t="s">
        <v>6438</v>
      </c>
      <c r="C1507" s="1305">
        <v>1</v>
      </c>
      <c r="D1507" s="1305"/>
      <c r="E1507" s="1580" t="s">
        <v>6443</v>
      </c>
      <c r="F1507" s="1463"/>
      <c r="G1507" s="1881" t="s">
        <v>1996</v>
      </c>
      <c r="H1507" s="1545" t="s">
        <v>6439</v>
      </c>
      <c r="I1507" s="1317">
        <v>0.01</v>
      </c>
      <c r="J1507" s="1546" t="s">
        <v>6440</v>
      </c>
      <c r="K1507" s="1400"/>
      <c r="L1507" s="703"/>
      <c r="M1507" s="708"/>
      <c r="N1507" s="166"/>
      <c r="P1507" s="166"/>
    </row>
    <row r="1508" spans="1:16" s="1311" customFormat="1" ht="13.2" hidden="1" customHeight="1">
      <c r="A1508" s="2329">
        <v>45563</v>
      </c>
      <c r="B1508" s="1323" t="s">
        <v>6485</v>
      </c>
      <c r="C1508" s="1307">
        <v>81112312</v>
      </c>
      <c r="D1508" s="1589" t="s">
        <v>6626</v>
      </c>
      <c r="E1508" s="1589" t="s">
        <v>2755</v>
      </c>
      <c r="F1508" s="1571" t="s">
        <v>6401</v>
      </c>
      <c r="G1508" s="1546" t="s">
        <v>3022</v>
      </c>
      <c r="H1508" s="1586" t="s">
        <v>6612</v>
      </c>
      <c r="I1508" s="1326"/>
      <c r="J1508" s="1546" t="s">
        <v>6445</v>
      </c>
      <c r="K1508" s="1400"/>
      <c r="L1508" s="703"/>
      <c r="M1508" s="708"/>
      <c r="N1508" s="166"/>
      <c r="P1508" s="166"/>
    </row>
    <row r="1509" spans="1:16" s="1311" customFormat="1" ht="13.2" hidden="1" customHeight="1">
      <c r="A1509" s="2328">
        <v>45565</v>
      </c>
      <c r="B1509" s="1323" t="s">
        <v>6447</v>
      </c>
      <c r="C1509" s="1307">
        <v>43388894</v>
      </c>
      <c r="D1509" s="1563" t="s">
        <v>6534</v>
      </c>
      <c r="E1509" s="1578" t="s">
        <v>6570</v>
      </c>
      <c r="F1509" s="1571" t="s">
        <v>6401</v>
      </c>
      <c r="G1509" s="1563" t="s">
        <v>1006</v>
      </c>
      <c r="H1509" s="1566" t="s">
        <v>6525</v>
      </c>
      <c r="I1509" s="1326"/>
      <c r="J1509" s="1546" t="s">
        <v>6034</v>
      </c>
      <c r="K1509" s="1400"/>
      <c r="L1509" s="703">
        <v>1</v>
      </c>
      <c r="M1509" s="1624" t="s">
        <v>6751</v>
      </c>
      <c r="N1509" s="166"/>
      <c r="P1509" s="166"/>
    </row>
    <row r="1510" spans="1:16" s="1311" customFormat="1" ht="13.2" hidden="1" customHeight="1">
      <c r="A1510" s="2328">
        <v>45566</v>
      </c>
      <c r="B1510" s="1323" t="s">
        <v>6458</v>
      </c>
      <c r="C1510" s="1307">
        <v>94158360</v>
      </c>
      <c r="D1510" s="1307"/>
      <c r="E1510" s="1307" t="s">
        <v>6466</v>
      </c>
      <c r="F1510" s="1556" t="s">
        <v>6401</v>
      </c>
      <c r="G1510" s="1546" t="s">
        <v>3213</v>
      </c>
      <c r="H1510" s="1552" t="s">
        <v>6450</v>
      </c>
      <c r="I1510" s="1326"/>
      <c r="J1510" s="1556" t="s">
        <v>6477</v>
      </c>
      <c r="K1510" s="1400"/>
      <c r="L1510" s="703">
        <v>1</v>
      </c>
      <c r="M1510" s="1560" t="s">
        <v>6489</v>
      </c>
      <c r="N1510" s="166"/>
      <c r="P1510" s="166"/>
    </row>
    <row r="1511" spans="1:16" s="1311" customFormat="1" ht="13.2" hidden="1" customHeight="1">
      <c r="A1511" s="2329">
        <v>45567</v>
      </c>
      <c r="B1511" s="1323" t="s">
        <v>6532</v>
      </c>
      <c r="C1511" s="1307">
        <v>46738876</v>
      </c>
      <c r="D1511" s="1563" t="s">
        <v>6522</v>
      </c>
      <c r="E1511" s="1578" t="s">
        <v>6570</v>
      </c>
      <c r="F1511" s="1571" t="s">
        <v>6401</v>
      </c>
      <c r="G1511" s="1546" t="s">
        <v>1972</v>
      </c>
      <c r="H1511" s="1552" t="s">
        <v>6460</v>
      </c>
      <c r="I1511" s="1326"/>
      <c r="J1511" s="1546" t="s">
        <v>6034</v>
      </c>
      <c r="K1511" s="1400"/>
      <c r="L1511" s="703"/>
      <c r="M1511" s="708"/>
      <c r="N1511" s="166"/>
      <c r="P1511" s="166"/>
    </row>
    <row r="1512" spans="1:16" s="1311" customFormat="1" ht="13.2" hidden="1" customHeight="1">
      <c r="A1512" s="2329">
        <v>45567</v>
      </c>
      <c r="B1512" s="1323" t="s">
        <v>6524</v>
      </c>
      <c r="C1512" s="1307">
        <v>39605187</v>
      </c>
      <c r="D1512" s="1563" t="s">
        <v>6522</v>
      </c>
      <c r="E1512" s="1578" t="s">
        <v>6570</v>
      </c>
      <c r="F1512" s="1571" t="s">
        <v>6401</v>
      </c>
      <c r="G1512" s="1546" t="s">
        <v>2335</v>
      </c>
      <c r="H1512" s="1568" t="s">
        <v>6492</v>
      </c>
      <c r="I1512" s="1326"/>
      <c r="J1512" s="1546" t="s">
        <v>6034</v>
      </c>
      <c r="K1512" s="1400"/>
      <c r="L1512" s="703"/>
      <c r="M1512" s="708"/>
      <c r="N1512" s="166"/>
      <c r="P1512" s="166"/>
    </row>
    <row r="1513" spans="1:16" s="1311" customFormat="1" ht="13.2" hidden="1" customHeight="1">
      <c r="A1513" s="2330">
        <v>45570</v>
      </c>
      <c r="B1513" s="1323" t="s">
        <v>6484</v>
      </c>
      <c r="C1513" s="1307">
        <v>35102166</v>
      </c>
      <c r="D1513" s="1578" t="s">
        <v>6567</v>
      </c>
      <c r="E1513" s="1589" t="s">
        <v>2755</v>
      </c>
      <c r="F1513" s="1583" t="s">
        <v>6401</v>
      </c>
      <c r="G1513" s="1556" t="s">
        <v>2012</v>
      </c>
      <c r="H1513" s="1558" t="s">
        <v>6469</v>
      </c>
      <c r="I1513" s="1326"/>
      <c r="J1513" s="1556" t="s">
        <v>6393</v>
      </c>
      <c r="K1513" s="1400">
        <v>1</v>
      </c>
      <c r="L1513" s="1625" t="s">
        <v>6801</v>
      </c>
      <c r="M1513" s="708"/>
      <c r="N1513" s="166"/>
      <c r="P1513" s="166"/>
    </row>
    <row r="1514" spans="1:16" s="1311" customFormat="1" ht="13.2" hidden="1" customHeight="1">
      <c r="A1514" s="2331">
        <v>45572</v>
      </c>
      <c r="B1514" s="1323" t="s">
        <v>6483</v>
      </c>
      <c r="C1514" s="1307">
        <v>54177965</v>
      </c>
      <c r="D1514" s="1307"/>
      <c r="E1514" s="1307"/>
      <c r="F1514" s="1559" t="s">
        <v>6486</v>
      </c>
      <c r="G1514" s="1556" t="s">
        <v>1989</v>
      </c>
      <c r="H1514" s="1558" t="s">
        <v>6475</v>
      </c>
      <c r="I1514" s="1326"/>
      <c r="J1514" s="1556" t="s">
        <v>6034</v>
      </c>
      <c r="K1514" s="1400"/>
      <c r="L1514" s="703">
        <v>1</v>
      </c>
      <c r="M1514" s="1560" t="s">
        <v>6489</v>
      </c>
      <c r="N1514" s="166"/>
      <c r="P1514" s="166"/>
    </row>
    <row r="1515" spans="1:16" s="1311" customFormat="1" ht="13.2" hidden="1" customHeight="1">
      <c r="A1515" s="2331">
        <v>45572</v>
      </c>
      <c r="B1515" s="1323" t="s">
        <v>6876</v>
      </c>
      <c r="C1515" s="1307">
        <v>39655992</v>
      </c>
      <c r="D1515" s="1632" t="s">
        <v>6811</v>
      </c>
      <c r="E1515" s="1578" t="s">
        <v>6443</v>
      </c>
      <c r="F1515" s="1466"/>
      <c r="G1515" s="1556" t="s">
        <v>2312</v>
      </c>
      <c r="H1515" s="1645" t="s">
        <v>6881</v>
      </c>
      <c r="I1515" s="1326"/>
      <c r="J1515" s="1556" t="s">
        <v>6476</v>
      </c>
      <c r="K1515" s="1400"/>
      <c r="L1515" s="703"/>
      <c r="M1515" s="708"/>
      <c r="N1515" s="166"/>
      <c r="P1515" s="166"/>
    </row>
    <row r="1516" spans="1:16" s="1311" customFormat="1" ht="13.2" hidden="1" customHeight="1">
      <c r="A1516" s="2331">
        <v>45573</v>
      </c>
      <c r="B1516" s="1323" t="s">
        <v>6482</v>
      </c>
      <c r="C1516" s="1307">
        <v>57048613</v>
      </c>
      <c r="D1516" s="1307"/>
      <c r="E1516" s="1556" t="s">
        <v>6446</v>
      </c>
      <c r="F1516" s="1559" t="s">
        <v>6486</v>
      </c>
      <c r="G1516" s="1556" t="s">
        <v>1989</v>
      </c>
      <c r="H1516" s="1558" t="s">
        <v>6479</v>
      </c>
      <c r="I1516" s="1326"/>
      <c r="J1516" s="1556" t="s">
        <v>6024</v>
      </c>
      <c r="K1516" s="1400"/>
      <c r="L1516" s="703"/>
      <c r="M1516" s="708"/>
      <c r="N1516" s="166"/>
      <c r="P1516" s="166"/>
    </row>
    <row r="1517" spans="1:16" s="1311" customFormat="1" ht="13.2" hidden="1" customHeight="1">
      <c r="A1517" s="2331">
        <v>45573</v>
      </c>
      <c r="B1517" s="1316"/>
      <c r="C1517" s="1305"/>
      <c r="D1517" s="1305"/>
      <c r="E1517" s="1305"/>
      <c r="F1517" s="1463"/>
      <c r="G1517" s="1555"/>
      <c r="H1517" s="1557"/>
      <c r="I1517" s="1317"/>
      <c r="J1517" s="1556"/>
      <c r="K1517" s="1400"/>
      <c r="L1517" s="703"/>
      <c r="M1517" s="708"/>
      <c r="N1517" s="166"/>
      <c r="P1517" s="166"/>
    </row>
    <row r="1518" spans="1:16" s="1311" customFormat="1" ht="13.2" hidden="1" customHeight="1">
      <c r="A1518" s="2331">
        <v>45573</v>
      </c>
      <c r="B1518" s="1323" t="s">
        <v>6491</v>
      </c>
      <c r="C1518" s="1307">
        <v>60563937</v>
      </c>
      <c r="D1518" s="1307"/>
      <c r="E1518" s="1556" t="s">
        <v>6446</v>
      </c>
      <c r="F1518" s="1559" t="s">
        <v>6401</v>
      </c>
      <c r="G1518" s="1556" t="s">
        <v>1945</v>
      </c>
      <c r="H1518" s="1558" t="s">
        <v>6480</v>
      </c>
      <c r="I1518" s="1326">
        <v>0</v>
      </c>
      <c r="J1518" s="1556" t="s">
        <v>4916</v>
      </c>
      <c r="K1518" s="1400"/>
      <c r="L1518" s="703">
        <v>1</v>
      </c>
      <c r="M1518" s="1567" t="s">
        <v>6508</v>
      </c>
      <c r="N1518" s="166"/>
      <c r="P1518" s="166"/>
    </row>
    <row r="1519" spans="1:16" s="1311" customFormat="1" ht="13.2" hidden="1" customHeight="1">
      <c r="A1519" s="2332">
        <v>45575</v>
      </c>
      <c r="B1519" s="1323" t="s">
        <v>6521</v>
      </c>
      <c r="C1519" s="1307">
        <v>94048470</v>
      </c>
      <c r="D1519" s="1563" t="s">
        <v>6522</v>
      </c>
      <c r="E1519" s="1578" t="s">
        <v>6570</v>
      </c>
      <c r="F1519" s="1571" t="s">
        <v>6401</v>
      </c>
      <c r="G1519" s="1559" t="s">
        <v>2012</v>
      </c>
      <c r="H1519" s="1568" t="s">
        <v>6497</v>
      </c>
      <c r="I1519" s="1326"/>
      <c r="J1519" s="1559" t="s">
        <v>6034</v>
      </c>
      <c r="K1519" s="1400">
        <v>1</v>
      </c>
      <c r="L1519" s="1625" t="s">
        <v>6801</v>
      </c>
      <c r="M1519" s="708"/>
      <c r="N1519" s="166"/>
      <c r="P1519" s="166"/>
    </row>
    <row r="1520" spans="1:16" s="1311" customFormat="1" ht="13.2" hidden="1" customHeight="1">
      <c r="A1520" s="2332">
        <v>45575</v>
      </c>
      <c r="B1520" s="1323" t="s">
        <v>6507</v>
      </c>
      <c r="C1520" s="1307">
        <v>55255782</v>
      </c>
      <c r="D1520" s="1307"/>
      <c r="E1520" s="1578" t="s">
        <v>6570</v>
      </c>
      <c r="F1520" s="1598" t="s">
        <v>4912</v>
      </c>
      <c r="G1520" s="1559" t="s">
        <v>1009</v>
      </c>
      <c r="H1520" s="1568" t="s">
        <v>6498</v>
      </c>
      <c r="I1520" s="1326">
        <v>0</v>
      </c>
      <c r="J1520" s="1559" t="s">
        <v>6499</v>
      </c>
      <c r="K1520" s="1400"/>
      <c r="L1520" s="703"/>
      <c r="M1520" s="708"/>
      <c r="N1520" s="166"/>
      <c r="P1520" s="166"/>
    </row>
    <row r="1521" spans="1:16" s="1311" customFormat="1" ht="13.2" hidden="1" customHeight="1">
      <c r="A1521" s="2332">
        <v>45576</v>
      </c>
      <c r="B1521" s="1323" t="s">
        <v>6500</v>
      </c>
      <c r="C1521" s="1307">
        <v>45631682</v>
      </c>
      <c r="D1521" s="1307"/>
      <c r="E1521" s="1578" t="s">
        <v>6570</v>
      </c>
      <c r="F1521" s="1559" t="s">
        <v>6401</v>
      </c>
      <c r="G1521" s="1559" t="s">
        <v>5491</v>
      </c>
      <c r="H1521" s="1568" t="s">
        <v>6503</v>
      </c>
      <c r="I1521" s="1326"/>
      <c r="J1521" s="1559" t="s">
        <v>6034</v>
      </c>
      <c r="K1521" s="1400"/>
      <c r="L1521" s="703"/>
      <c r="M1521" s="708"/>
      <c r="N1521" s="166"/>
      <c r="P1521" s="166"/>
    </row>
    <row r="1522" spans="1:16" s="1311" customFormat="1" ht="13.2" hidden="1" customHeight="1">
      <c r="A1522" s="2333">
        <v>45579</v>
      </c>
      <c r="B1522" s="1323" t="s">
        <v>6523</v>
      </c>
      <c r="C1522" s="1307">
        <v>98141693</v>
      </c>
      <c r="D1522" s="1571" t="s">
        <v>4630</v>
      </c>
      <c r="E1522" s="1578" t="s">
        <v>6570</v>
      </c>
      <c r="F1522" s="1578" t="s">
        <v>6401</v>
      </c>
      <c r="G1522" s="1563" t="s">
        <v>1971</v>
      </c>
      <c r="H1522" s="1566" t="s">
        <v>6509</v>
      </c>
      <c r="I1522" s="1326"/>
      <c r="J1522" s="1563" t="s">
        <v>6510</v>
      </c>
      <c r="K1522" s="1400"/>
      <c r="L1522" s="703"/>
      <c r="M1522" s="708"/>
      <c r="N1522" s="166"/>
      <c r="P1522" s="166"/>
    </row>
    <row r="1523" spans="1:16" s="1311" customFormat="1" ht="13.2" hidden="1" customHeight="1">
      <c r="A1523" s="2334">
        <v>45581</v>
      </c>
      <c r="B1523" s="1323" t="s">
        <v>6551</v>
      </c>
      <c r="C1523" s="1307">
        <v>17216260</v>
      </c>
      <c r="D1523" s="1307"/>
      <c r="E1523" s="1589" t="s">
        <v>6570</v>
      </c>
      <c r="F1523" s="1583" t="s">
        <v>6401</v>
      </c>
      <c r="G1523" s="1563" t="s">
        <v>1009</v>
      </c>
      <c r="H1523" s="1566" t="s">
        <v>6528</v>
      </c>
      <c r="I1523" s="1326"/>
      <c r="J1523" s="1563" t="s">
        <v>6529</v>
      </c>
      <c r="K1523" s="1400"/>
      <c r="L1523" s="703"/>
      <c r="M1523" s="708"/>
      <c r="N1523" s="166"/>
      <c r="P1523" s="166"/>
    </row>
    <row r="1524" spans="1:16" s="1311" customFormat="1" ht="13.2" hidden="1" customHeight="1">
      <c r="A1524" s="2333">
        <v>45582</v>
      </c>
      <c r="B1524" s="1323" t="s">
        <v>6560</v>
      </c>
      <c r="C1524" s="1307">
        <v>90070414</v>
      </c>
      <c r="D1524" s="1578" t="s">
        <v>6562</v>
      </c>
      <c r="E1524" s="1578" t="s">
        <v>6570</v>
      </c>
      <c r="F1524" s="1583" t="s">
        <v>6401</v>
      </c>
      <c r="G1524" s="1563" t="s">
        <v>2019</v>
      </c>
      <c r="H1524" s="1566" t="s">
        <v>6536</v>
      </c>
      <c r="I1524" s="1326"/>
      <c r="J1524" s="1563" t="s">
        <v>6537</v>
      </c>
      <c r="K1524" s="1400"/>
      <c r="L1524" s="703"/>
      <c r="M1524" s="708"/>
      <c r="N1524" s="166"/>
      <c r="P1524" s="166"/>
    </row>
    <row r="1525" spans="1:16" s="1311" customFormat="1" ht="13.2" hidden="1" customHeight="1">
      <c r="A1525" s="2335">
        <v>45582</v>
      </c>
      <c r="B1525" s="1323" t="s">
        <v>6624</v>
      </c>
      <c r="C1525" s="1307">
        <v>71349738</v>
      </c>
      <c r="D1525" s="1627" t="s">
        <v>6625</v>
      </c>
      <c r="E1525" s="1578" t="s">
        <v>6570</v>
      </c>
      <c r="F1525" s="1632" t="s">
        <v>6570</v>
      </c>
      <c r="G1525" s="1563" t="s">
        <v>2402</v>
      </c>
      <c r="H1525" s="1566" t="s">
        <v>6538</v>
      </c>
      <c r="I1525" s="1326"/>
      <c r="J1525" s="1563" t="s">
        <v>6539</v>
      </c>
      <c r="K1525" s="1400"/>
      <c r="L1525" s="703"/>
      <c r="M1525" s="708"/>
      <c r="N1525" s="166"/>
      <c r="P1525" s="166"/>
    </row>
    <row r="1526" spans="1:16" s="1311" customFormat="1" ht="13.2" hidden="1" customHeight="1">
      <c r="A1526" s="2336">
        <v>45585</v>
      </c>
      <c r="B1526" s="1323" t="s">
        <v>6559</v>
      </c>
      <c r="C1526" s="1307">
        <v>48790627</v>
      </c>
      <c r="D1526" s="1307"/>
      <c r="E1526" s="1583" t="s">
        <v>2755</v>
      </c>
      <c r="F1526" s="1578" t="s">
        <v>6401</v>
      </c>
      <c r="G1526" s="1571" t="s">
        <v>1972</v>
      </c>
      <c r="H1526" s="1502"/>
      <c r="I1526" s="1326"/>
      <c r="J1526" s="1571" t="s">
        <v>6540</v>
      </c>
      <c r="K1526" s="1400"/>
      <c r="L1526" s="703"/>
      <c r="M1526" s="708"/>
      <c r="N1526" s="166"/>
      <c r="P1526" s="166"/>
    </row>
    <row r="1527" spans="1:16" s="1311" customFormat="1" ht="13.2" hidden="1" customHeight="1">
      <c r="A1527" s="2336">
        <v>45586</v>
      </c>
      <c r="B1527" s="1323" t="s">
        <v>6574</v>
      </c>
      <c r="C1527" s="1307">
        <v>53115993</v>
      </c>
      <c r="D1527" s="1307"/>
      <c r="E1527" s="1583" t="s">
        <v>2755</v>
      </c>
      <c r="F1527" s="1578" t="s">
        <v>6401</v>
      </c>
      <c r="G1527" s="1571" t="s">
        <v>1972</v>
      </c>
      <c r="H1527" s="1502"/>
      <c r="I1527" s="1326"/>
      <c r="J1527" s="1571" t="s">
        <v>6550</v>
      </c>
      <c r="K1527" s="1400"/>
      <c r="L1527" s="703"/>
      <c r="M1527" s="708"/>
      <c r="N1527" s="166"/>
      <c r="P1527" s="166"/>
    </row>
    <row r="1528" spans="1:16" s="1311" customFormat="1" ht="13.2" customHeight="1">
      <c r="A1528" s="2337">
        <v>45587</v>
      </c>
      <c r="B1528" s="1316" t="s">
        <v>6555</v>
      </c>
      <c r="C1528" s="1305">
        <v>1</v>
      </c>
      <c r="D1528" s="1305"/>
      <c r="E1528" s="1305"/>
      <c r="F1528" s="1463"/>
      <c r="G1528" s="1575" t="s">
        <v>1972</v>
      </c>
      <c r="H1528" s="1644" t="s">
        <v>6888</v>
      </c>
      <c r="I1528" s="1317">
        <f>5.3+0.8</f>
        <v>6.1</v>
      </c>
      <c r="J1528" s="1576" t="s">
        <v>6556</v>
      </c>
      <c r="K1528" s="1740" t="s">
        <v>7085</v>
      </c>
      <c r="L1528" s="703"/>
      <c r="M1528" s="708"/>
      <c r="N1528" s="166"/>
      <c r="P1528" s="166"/>
    </row>
    <row r="1529" spans="1:16" s="1311" customFormat="1" ht="13.2" hidden="1" customHeight="1">
      <c r="A1529" s="2338">
        <v>45589</v>
      </c>
      <c r="B1529" s="1323" t="s">
        <v>6585</v>
      </c>
      <c r="C1529" s="1307">
        <v>41721939</v>
      </c>
      <c r="D1529" s="1307"/>
      <c r="E1529" s="1604" t="s">
        <v>2755</v>
      </c>
      <c r="F1529" s="1598" t="s">
        <v>6401</v>
      </c>
      <c r="G1529" s="1578" t="s">
        <v>1032</v>
      </c>
      <c r="H1529" s="1603" t="s">
        <v>6575</v>
      </c>
      <c r="I1529" s="1326"/>
      <c r="J1529" s="1578" t="s">
        <v>6576</v>
      </c>
      <c r="K1529" s="1400"/>
      <c r="L1529" s="703">
        <v>1</v>
      </c>
      <c r="M1529" s="1605" t="s">
        <v>6713</v>
      </c>
      <c r="N1529" s="166"/>
      <c r="P1529" s="166"/>
    </row>
    <row r="1530" spans="1:16" s="1311" customFormat="1" ht="13.2" hidden="1" customHeight="1">
      <c r="A1530" s="2339">
        <v>45590</v>
      </c>
      <c r="B1530" s="1323" t="s">
        <v>6577</v>
      </c>
      <c r="C1530" s="1307">
        <v>16559823</v>
      </c>
      <c r="D1530" s="1307"/>
      <c r="E1530" s="1307" t="s">
        <v>6398</v>
      </c>
      <c r="F1530" s="1583" t="s">
        <v>6401</v>
      </c>
      <c r="G1530" s="1581" t="s">
        <v>2005</v>
      </c>
      <c r="H1530" s="1587" t="s">
        <v>6584</v>
      </c>
      <c r="I1530" s="1326">
        <v>0</v>
      </c>
      <c r="J1530" s="1581" t="s">
        <v>6393</v>
      </c>
      <c r="K1530" s="1400"/>
      <c r="L1530" s="703"/>
      <c r="M1530" s="708"/>
      <c r="N1530" s="166"/>
      <c r="P1530" s="166"/>
    </row>
    <row r="1531" spans="1:16" s="1311" customFormat="1" ht="13.2" hidden="1" customHeight="1">
      <c r="A1531" s="2340">
        <v>45591</v>
      </c>
      <c r="B1531" s="1323" t="s">
        <v>6662</v>
      </c>
      <c r="C1531" s="1307">
        <v>78325689</v>
      </c>
      <c r="D1531" s="1307"/>
      <c r="E1531" s="1604" t="s">
        <v>2755</v>
      </c>
      <c r="F1531" s="1598" t="s">
        <v>6401</v>
      </c>
      <c r="G1531" s="1583" t="s">
        <v>3312</v>
      </c>
      <c r="H1531" s="1586" t="s">
        <v>6586</v>
      </c>
      <c r="I1531" s="1326"/>
      <c r="J1531" s="1583" t="s">
        <v>6587</v>
      </c>
      <c r="K1531" s="1400"/>
      <c r="L1531" s="703">
        <v>1</v>
      </c>
      <c r="M1531" s="1605" t="s">
        <v>6670</v>
      </c>
      <c r="N1531" s="166"/>
      <c r="P1531" s="166"/>
    </row>
    <row r="1532" spans="1:16" s="1311" customFormat="1" ht="13.2" hidden="1" customHeight="1">
      <c r="A1532" s="2340">
        <v>45593</v>
      </c>
      <c r="B1532" s="1323" t="s">
        <v>6598</v>
      </c>
      <c r="C1532" s="1307">
        <v>42469014</v>
      </c>
      <c r="D1532" s="1307"/>
      <c r="E1532" s="1598" t="s">
        <v>6570</v>
      </c>
      <c r="F1532" s="1583" t="s">
        <v>6401</v>
      </c>
      <c r="G1532" s="1583" t="s">
        <v>6600</v>
      </c>
      <c r="H1532" s="1502"/>
      <c r="I1532" s="1326"/>
      <c r="J1532" s="1583" t="s">
        <v>6610</v>
      </c>
      <c r="K1532" s="1400"/>
      <c r="L1532" s="703"/>
      <c r="M1532" s="708"/>
      <c r="N1532" s="166"/>
      <c r="P1532" s="166"/>
    </row>
    <row r="1533" spans="1:16" s="1311" customFormat="1" ht="13.2" hidden="1" customHeight="1">
      <c r="A1533" s="2340">
        <v>45593</v>
      </c>
      <c r="B1533" s="1323" t="s">
        <v>6607</v>
      </c>
      <c r="C1533" s="1307">
        <v>40268140</v>
      </c>
      <c r="D1533" s="1307"/>
      <c r="E1533" s="1578" t="s">
        <v>6398</v>
      </c>
      <c r="F1533" s="1589" t="s">
        <v>6401</v>
      </c>
      <c r="G1533" s="1583" t="s">
        <v>3312</v>
      </c>
      <c r="H1533" s="1586" t="s">
        <v>6608</v>
      </c>
      <c r="I1533" s="1326"/>
      <c r="J1533" s="1583" t="s">
        <v>6609</v>
      </c>
      <c r="K1533" s="1400"/>
      <c r="L1533" s="703">
        <v>0.5</v>
      </c>
      <c r="M1533" s="1591" t="s">
        <v>6618</v>
      </c>
      <c r="N1533" s="166"/>
      <c r="P1533" s="166"/>
    </row>
    <row r="1534" spans="1:16" s="1311" customFormat="1" ht="13.2" hidden="1" customHeight="1">
      <c r="A1534" s="2341">
        <v>45595</v>
      </c>
      <c r="B1534" s="1323" t="s">
        <v>6615</v>
      </c>
      <c r="C1534" s="1307">
        <v>87569176</v>
      </c>
      <c r="D1534" s="1307"/>
      <c r="E1534" s="1604" t="s">
        <v>2755</v>
      </c>
      <c r="F1534" s="1589" t="s">
        <v>6401</v>
      </c>
      <c r="G1534" s="1589" t="s">
        <v>2284</v>
      </c>
      <c r="H1534" s="1590" t="s">
        <v>6617</v>
      </c>
      <c r="I1534" s="1326"/>
      <c r="J1534" s="1589" t="s">
        <v>6616</v>
      </c>
      <c r="K1534" s="1400"/>
      <c r="L1534" s="703"/>
      <c r="M1534" s="708"/>
      <c r="N1534" s="166"/>
      <c r="P1534" s="166"/>
    </row>
    <row r="1535" spans="1:16" s="1311" customFormat="1" ht="13.2" hidden="1" customHeight="1">
      <c r="A1535" s="2341">
        <v>45597</v>
      </c>
      <c r="B1535" s="1323" t="s">
        <v>6636</v>
      </c>
      <c r="C1535" s="1307">
        <v>19881988</v>
      </c>
      <c r="D1535" s="1307"/>
      <c r="E1535" s="1589" t="s">
        <v>2755</v>
      </c>
      <c r="F1535" s="1598" t="s">
        <v>6401</v>
      </c>
      <c r="G1535" s="1604" t="s">
        <v>3022</v>
      </c>
      <c r="H1535" s="1590" t="s">
        <v>6629</v>
      </c>
      <c r="I1535" s="1326"/>
      <c r="J1535" s="1589" t="s">
        <v>4916</v>
      </c>
      <c r="K1535" s="1400"/>
      <c r="L1535" s="703"/>
      <c r="M1535" s="708"/>
      <c r="N1535" s="166"/>
      <c r="P1535" s="166"/>
    </row>
    <row r="1536" spans="1:16" s="1311" customFormat="1" ht="13.2" hidden="1" customHeight="1">
      <c r="A1536" s="2342">
        <v>45597</v>
      </c>
      <c r="B1536" s="1323" t="s">
        <v>6634</v>
      </c>
      <c r="C1536" s="1307">
        <v>38662957</v>
      </c>
      <c r="D1536" s="1307"/>
      <c r="E1536" s="1578" t="s">
        <v>6570</v>
      </c>
      <c r="F1536" s="1589" t="s">
        <v>6401</v>
      </c>
      <c r="G1536" s="1589" t="s">
        <v>2402</v>
      </c>
      <c r="H1536" s="1590" t="s">
        <v>6631</v>
      </c>
      <c r="I1536" s="1326"/>
      <c r="J1536" s="1589" t="s">
        <v>6630</v>
      </c>
      <c r="K1536" s="1400"/>
      <c r="L1536" s="703"/>
      <c r="M1536" s="708"/>
      <c r="N1536" s="166"/>
      <c r="P1536" s="166"/>
    </row>
    <row r="1537" spans="1:16" s="1311" customFormat="1" ht="13.2" hidden="1" customHeight="1">
      <c r="A1537" s="2341">
        <v>45597</v>
      </c>
      <c r="B1537" s="1323" t="s">
        <v>6635</v>
      </c>
      <c r="C1537" s="1307">
        <v>18312584</v>
      </c>
      <c r="D1537" s="1307"/>
      <c r="E1537" s="1604" t="s">
        <v>2755</v>
      </c>
      <c r="F1537" s="1598" t="s">
        <v>6401</v>
      </c>
      <c r="G1537" s="1589" t="s">
        <v>1943</v>
      </c>
      <c r="H1537" s="1590" t="s">
        <v>6632</v>
      </c>
      <c r="I1537" s="1326"/>
      <c r="J1537" s="1589" t="s">
        <v>6633</v>
      </c>
      <c r="K1537" s="1400"/>
      <c r="L1537" s="703">
        <v>1</v>
      </c>
      <c r="M1537" s="1605" t="s">
        <v>6697</v>
      </c>
      <c r="N1537" s="166"/>
      <c r="P1537" s="166"/>
    </row>
    <row r="1538" spans="1:16" s="1311" customFormat="1" ht="13.2" hidden="1" customHeight="1">
      <c r="A1538" s="2343">
        <v>45598</v>
      </c>
      <c r="B1538" s="1323" t="s">
        <v>6646</v>
      </c>
      <c r="C1538" s="1307">
        <v>19949147</v>
      </c>
      <c r="D1538" s="1307"/>
      <c r="E1538" s="1589" t="s">
        <v>2755</v>
      </c>
      <c r="F1538" s="1598" t="s">
        <v>6401</v>
      </c>
      <c r="G1538" s="1598" t="s">
        <v>1032</v>
      </c>
      <c r="H1538" s="1600" t="s">
        <v>6638</v>
      </c>
      <c r="I1538" s="1326"/>
      <c r="J1538" s="1598" t="s">
        <v>6034</v>
      </c>
      <c r="K1538" s="1400"/>
      <c r="L1538" s="703">
        <v>1</v>
      </c>
      <c r="M1538" s="1605" t="s">
        <v>6679</v>
      </c>
      <c r="N1538" s="166"/>
      <c r="P1538" s="166"/>
    </row>
    <row r="1539" spans="1:16" s="1311" customFormat="1" ht="13.2" hidden="1" customHeight="1">
      <c r="A1539" s="2343">
        <v>45603</v>
      </c>
      <c r="B1539" s="1323" t="s">
        <v>6887</v>
      </c>
      <c r="C1539" s="1307">
        <v>38583387</v>
      </c>
      <c r="D1539" s="1632" t="s">
        <v>6812</v>
      </c>
      <c r="E1539" s="1307"/>
      <c r="F1539" s="1466"/>
      <c r="G1539" s="1598" t="s">
        <v>2312</v>
      </c>
      <c r="H1539" s="1645" t="s">
        <v>6880</v>
      </c>
      <c r="I1539" s="1326"/>
      <c r="J1539" s="1598" t="s">
        <v>6667</v>
      </c>
      <c r="K1539" s="1400"/>
      <c r="L1539" s="703"/>
      <c r="M1539" s="708"/>
      <c r="N1539" s="166"/>
      <c r="P1539" s="166"/>
    </row>
    <row r="1540" spans="1:16" s="1311" customFormat="1" ht="13.2" hidden="1" customHeight="1">
      <c r="A1540" s="2344">
        <v>45611</v>
      </c>
      <c r="B1540" s="1323" t="s">
        <v>6711</v>
      </c>
      <c r="C1540" s="1307">
        <v>36592791</v>
      </c>
      <c r="D1540" s="1307"/>
      <c r="E1540" s="1307"/>
      <c r="F1540" s="1466"/>
      <c r="G1540" s="1604" t="s">
        <v>2402</v>
      </c>
      <c r="H1540" s="1610" t="s">
        <v>6706</v>
      </c>
      <c r="I1540" s="1326"/>
      <c r="J1540" s="1604" t="s">
        <v>6707</v>
      </c>
      <c r="K1540" s="1400"/>
      <c r="L1540" s="703"/>
      <c r="M1540" s="708"/>
      <c r="N1540" s="166"/>
      <c r="P1540" s="166"/>
    </row>
    <row r="1541" spans="1:16" s="1311" customFormat="1" ht="13.2" hidden="1" customHeight="1">
      <c r="A1541" s="2345">
        <v>45611</v>
      </c>
      <c r="B1541" s="1323" t="s">
        <v>6712</v>
      </c>
      <c r="C1541" s="1307">
        <v>54814968</v>
      </c>
      <c r="D1541" s="1627" t="s">
        <v>2755</v>
      </c>
      <c r="E1541" s="1578" t="s">
        <v>6570</v>
      </c>
      <c r="F1541" s="1466"/>
      <c r="G1541" s="1604" t="s">
        <v>2284</v>
      </c>
      <c r="H1541" s="1610" t="s">
        <v>6709</v>
      </c>
      <c r="I1541" s="1326"/>
      <c r="J1541" s="1604" t="s">
        <v>6710</v>
      </c>
      <c r="K1541" s="1400"/>
      <c r="L1541" s="703"/>
      <c r="M1541" s="708"/>
      <c r="N1541" s="166"/>
      <c r="P1541" s="166"/>
    </row>
    <row r="1542" spans="1:16" s="1311" customFormat="1" ht="13.2" hidden="1" customHeight="1">
      <c r="A1542" s="2345">
        <v>45614</v>
      </c>
      <c r="B1542" s="1323" t="s">
        <v>6719</v>
      </c>
      <c r="C1542" s="1307">
        <v>65159445</v>
      </c>
      <c r="D1542" s="1627" t="s">
        <v>2755</v>
      </c>
      <c r="E1542" s="1307"/>
      <c r="F1542" s="1466"/>
      <c r="G1542" s="1604" t="s">
        <v>2124</v>
      </c>
      <c r="H1542" s="1610"/>
      <c r="I1542" s="1326">
        <v>0</v>
      </c>
      <c r="J1542" s="1604" t="s">
        <v>6721</v>
      </c>
      <c r="K1542" s="1400"/>
      <c r="L1542" s="703"/>
      <c r="M1542" s="708"/>
      <c r="N1542" s="166"/>
      <c r="P1542" s="166"/>
    </row>
    <row r="1543" spans="1:16" s="1311" customFormat="1" ht="13.2" hidden="1" customHeight="1">
      <c r="A1543" s="2346">
        <v>45614</v>
      </c>
      <c r="B1543" s="1323" t="s">
        <v>6741</v>
      </c>
      <c r="C1543" s="1307">
        <v>39380080</v>
      </c>
      <c r="D1543" s="1627" t="s">
        <v>6797</v>
      </c>
      <c r="E1543" s="1578" t="s">
        <v>6570</v>
      </c>
      <c r="F1543" s="1632" t="s">
        <v>2755</v>
      </c>
      <c r="G1543" s="1604" t="s">
        <v>2124</v>
      </c>
      <c r="H1543" s="1610" t="s">
        <v>6720</v>
      </c>
      <c r="I1543" s="1326"/>
      <c r="J1543" s="1604" t="s">
        <v>6722</v>
      </c>
      <c r="K1543" s="1400"/>
      <c r="L1543" s="703"/>
      <c r="M1543" s="708"/>
      <c r="N1543" s="166"/>
      <c r="P1543" s="166"/>
    </row>
    <row r="1544" spans="1:16" s="1311" customFormat="1" ht="13.2" hidden="1" customHeight="1">
      <c r="A1544" s="2345">
        <v>45614</v>
      </c>
      <c r="B1544" s="1323" t="s">
        <v>6809</v>
      </c>
      <c r="C1544" s="1307">
        <v>29243435</v>
      </c>
      <c r="D1544" s="1307">
        <v>1</v>
      </c>
      <c r="E1544" s="1307"/>
      <c r="F1544" s="1466"/>
      <c r="G1544" s="1604" t="s">
        <v>1972</v>
      </c>
      <c r="H1544" s="1630" t="s">
        <v>6776</v>
      </c>
      <c r="I1544" s="1326"/>
      <c r="J1544" s="1604" t="s">
        <v>6034</v>
      </c>
      <c r="K1544" s="1400"/>
      <c r="L1544" s="703"/>
      <c r="M1544" s="708"/>
      <c r="N1544" s="166"/>
      <c r="P1544" s="166"/>
    </row>
    <row r="1545" spans="1:16" s="1311" customFormat="1" ht="13.2" hidden="1" customHeight="1">
      <c r="A1545" s="2347">
        <v>45616</v>
      </c>
      <c r="B1545" s="1323" t="s">
        <v>6742</v>
      </c>
      <c r="C1545" s="1307">
        <v>81201744</v>
      </c>
      <c r="D1545" s="1627" t="s">
        <v>6797</v>
      </c>
      <c r="E1545" s="1307" t="s">
        <v>6570</v>
      </c>
      <c r="F1545" s="1632" t="s">
        <v>2755</v>
      </c>
      <c r="G1545" s="1620" t="s">
        <v>713</v>
      </c>
      <c r="H1545" s="1623" t="s">
        <v>6728</v>
      </c>
      <c r="I1545" s="1326"/>
      <c r="J1545" s="1620" t="s">
        <v>6729</v>
      </c>
      <c r="K1545" s="1400"/>
      <c r="L1545" s="703"/>
      <c r="M1545" s="708"/>
      <c r="N1545" s="166"/>
      <c r="P1545" s="166"/>
    </row>
    <row r="1546" spans="1:16" s="1311" customFormat="1" ht="13.2" hidden="1" customHeight="1">
      <c r="A1546" s="2347">
        <v>45616</v>
      </c>
      <c r="B1546" s="1323" t="s">
        <v>6740</v>
      </c>
      <c r="C1546" s="1307">
        <v>35735750</v>
      </c>
      <c r="D1546" s="1307"/>
      <c r="E1546" s="1307"/>
      <c r="F1546" s="1466"/>
      <c r="G1546" s="1620" t="s">
        <v>1971</v>
      </c>
      <c r="H1546" s="1623" t="s">
        <v>6730</v>
      </c>
      <c r="I1546" s="1326">
        <v>0</v>
      </c>
      <c r="J1546" s="1620" t="s">
        <v>6731</v>
      </c>
      <c r="K1546" s="1400"/>
      <c r="L1546" s="703"/>
      <c r="M1546" s="708"/>
      <c r="N1546" s="166"/>
      <c r="P1546" s="166"/>
    </row>
    <row r="1547" spans="1:16" s="1311" customFormat="1" ht="13.2" hidden="1" customHeight="1">
      <c r="A1547" s="2348">
        <v>45621</v>
      </c>
      <c r="B1547" s="1323" t="s">
        <v>6805</v>
      </c>
      <c r="C1547" s="1307">
        <v>66219774</v>
      </c>
      <c r="D1547" s="1307">
        <v>1</v>
      </c>
      <c r="E1547" s="1307"/>
      <c r="F1547" s="1466"/>
      <c r="G1547" s="1620" t="s">
        <v>1970</v>
      </c>
      <c r="H1547" s="1623" t="s">
        <v>6758</v>
      </c>
      <c r="I1547" s="1326">
        <f>12-1-11</f>
        <v>0</v>
      </c>
      <c r="J1547" s="1620" t="s">
        <v>6759</v>
      </c>
      <c r="K1547" s="1400"/>
      <c r="L1547" s="703"/>
      <c r="M1547" s="708"/>
      <c r="N1547" s="166"/>
      <c r="P1547" s="166"/>
    </row>
    <row r="1548" spans="1:16" s="1311" customFormat="1" ht="13.2" hidden="1" customHeight="1">
      <c r="A1548" s="2347">
        <v>45621</v>
      </c>
      <c r="B1548" s="1323" t="s">
        <v>6768</v>
      </c>
      <c r="C1548" s="1307">
        <v>42837945</v>
      </c>
      <c r="D1548" s="1627" t="s">
        <v>6797</v>
      </c>
      <c r="E1548" s="1307" t="s">
        <v>6570</v>
      </c>
      <c r="F1548" s="1632" t="s">
        <v>2755</v>
      </c>
      <c r="G1548" s="1620" t="s">
        <v>2124</v>
      </c>
      <c r="H1548" s="1623" t="s">
        <v>6760</v>
      </c>
      <c r="I1548" s="1326"/>
      <c r="J1548" s="1620" t="s">
        <v>6393</v>
      </c>
      <c r="K1548" s="1400"/>
      <c r="L1548" s="703"/>
      <c r="M1548" s="708"/>
      <c r="N1548" s="166"/>
      <c r="P1548" s="166"/>
    </row>
    <row r="1549" spans="1:16" s="1311" customFormat="1" ht="13.2" hidden="1" customHeight="1">
      <c r="A1549" s="2348">
        <v>45621</v>
      </c>
      <c r="B1549" s="1323" t="s">
        <v>6854</v>
      </c>
      <c r="C1549" s="1307">
        <v>53995302</v>
      </c>
      <c r="D1549" s="1307">
        <v>1</v>
      </c>
      <c r="E1549" s="1658" t="s">
        <v>2755</v>
      </c>
      <c r="F1549" s="1466"/>
      <c r="G1549" s="1620" t="s">
        <v>2071</v>
      </c>
      <c r="H1549" s="1623" t="s">
        <v>6761</v>
      </c>
      <c r="I1549" s="1326"/>
      <c r="J1549" s="1620" t="s">
        <v>6762</v>
      </c>
      <c r="K1549" s="1400"/>
      <c r="L1549" s="703"/>
      <c r="M1549" s="708"/>
      <c r="N1549" s="166"/>
      <c r="P1549" s="166"/>
    </row>
    <row r="1550" spans="1:16" s="1311" customFormat="1" ht="13.2" hidden="1" customHeight="1">
      <c r="A1550" s="2348">
        <v>45621</v>
      </c>
      <c r="B1550" s="1323" t="s">
        <v>6767</v>
      </c>
      <c r="C1550" s="1307">
        <v>95972045</v>
      </c>
      <c r="D1550" s="1307"/>
      <c r="E1550" s="1632" t="s">
        <v>6570</v>
      </c>
      <c r="F1550" s="1466"/>
      <c r="G1550" s="1620" t="s">
        <v>2019</v>
      </c>
      <c r="H1550" s="1623" t="s">
        <v>6763</v>
      </c>
      <c r="I1550" s="1326"/>
      <c r="J1550" s="1620" t="s">
        <v>6764</v>
      </c>
      <c r="K1550" s="1400"/>
      <c r="L1550" s="703"/>
      <c r="M1550" s="708"/>
      <c r="N1550" s="166"/>
      <c r="P1550" s="166"/>
    </row>
    <row r="1551" spans="1:16" s="1311" customFormat="1" ht="13.2" hidden="1" customHeight="1">
      <c r="A1551" s="2349">
        <v>45624</v>
      </c>
      <c r="B1551" s="1323" t="s">
        <v>6889</v>
      </c>
      <c r="C1551" s="1307">
        <v>42224819</v>
      </c>
      <c r="D1551" s="1658" t="s">
        <v>6916</v>
      </c>
      <c r="E1551" s="1307"/>
      <c r="F1551" s="1466"/>
      <c r="G1551" s="1627" t="s">
        <v>2312</v>
      </c>
      <c r="H1551" s="1645" t="s">
        <v>6883</v>
      </c>
      <c r="I1551" s="1326"/>
      <c r="J1551" s="1627" t="s">
        <v>6779</v>
      </c>
      <c r="K1551" s="1400"/>
      <c r="L1551" s="703"/>
      <c r="M1551" s="708"/>
      <c r="N1551" s="166"/>
      <c r="P1551" s="166"/>
    </row>
    <row r="1552" spans="1:16" s="1311" customFormat="1" ht="13.2" hidden="1" customHeight="1">
      <c r="A1552" s="2349">
        <v>45625</v>
      </c>
      <c r="B1552" s="1323" t="s">
        <v>6791</v>
      </c>
      <c r="C1552" s="1307">
        <v>68115683</v>
      </c>
      <c r="D1552" s="1627" t="s">
        <v>6797</v>
      </c>
      <c r="E1552" s="1632" t="s">
        <v>6398</v>
      </c>
      <c r="F1552" s="1632" t="s">
        <v>2755</v>
      </c>
      <c r="G1552" s="1627" t="s">
        <v>2266</v>
      </c>
      <c r="H1552" s="1630" t="s">
        <v>6785</v>
      </c>
      <c r="I1552" s="1326"/>
      <c r="J1552" s="1627" t="s">
        <v>6034</v>
      </c>
      <c r="K1552" s="1400"/>
      <c r="L1552" s="703">
        <v>1</v>
      </c>
      <c r="M1552" s="1657" t="s">
        <v>6894</v>
      </c>
      <c r="N1552" s="166"/>
      <c r="P1552" s="166"/>
    </row>
    <row r="1553" spans="1:16" s="1311" customFormat="1" ht="13.2" hidden="1" customHeight="1">
      <c r="A1553" s="2349">
        <v>45625</v>
      </c>
      <c r="B1553" s="1323" t="s">
        <v>6793</v>
      </c>
      <c r="C1553" s="1307">
        <v>84201113</v>
      </c>
      <c r="D1553" s="1658" t="s">
        <v>6916</v>
      </c>
      <c r="E1553" s="1307"/>
      <c r="F1553" s="1466"/>
      <c r="G1553" s="1627" t="s">
        <v>2312</v>
      </c>
      <c r="H1553" s="1645" t="s">
        <v>6884</v>
      </c>
      <c r="I1553" s="1326"/>
      <c r="J1553" s="1627" t="s">
        <v>6034</v>
      </c>
      <c r="K1553" s="1400"/>
      <c r="L1553" s="703"/>
      <c r="M1553" s="708"/>
      <c r="N1553" s="166"/>
      <c r="P1553" s="166"/>
    </row>
    <row r="1554" spans="1:16" s="1311" customFormat="1" ht="13.2" hidden="1" customHeight="1">
      <c r="A1554" s="2349">
        <v>45625</v>
      </c>
      <c r="B1554" s="1323" t="s">
        <v>6792</v>
      </c>
      <c r="C1554" s="1307">
        <v>95193903</v>
      </c>
      <c r="D1554" s="1627" t="s">
        <v>6797</v>
      </c>
      <c r="E1554" s="1307" t="s">
        <v>6570</v>
      </c>
      <c r="F1554" s="1466"/>
      <c r="G1554" s="1627" t="s">
        <v>2254</v>
      </c>
      <c r="H1554" s="1630" t="s">
        <v>6786</v>
      </c>
      <c r="I1554" s="1326"/>
      <c r="J1554" s="1627" t="s">
        <v>6787</v>
      </c>
      <c r="K1554" s="1400"/>
      <c r="L1554" s="703"/>
      <c r="M1554" s="708"/>
      <c r="N1554" s="166"/>
      <c r="P1554" s="166"/>
    </row>
    <row r="1555" spans="1:16" s="1311" customFormat="1" ht="13.2" hidden="1" customHeight="1">
      <c r="A1555" s="2349">
        <v>45628</v>
      </c>
      <c r="B1555" s="1323" t="s">
        <v>6800</v>
      </c>
      <c r="C1555" s="1307">
        <v>38508793</v>
      </c>
      <c r="D1555" s="1627" t="s">
        <v>6801</v>
      </c>
      <c r="E1555" s="1307" t="s">
        <v>6570</v>
      </c>
      <c r="F1555" s="1632" t="s">
        <v>2755</v>
      </c>
      <c r="G1555" s="1627" t="s">
        <v>1972</v>
      </c>
      <c r="H1555" s="1630" t="s">
        <v>6796</v>
      </c>
      <c r="I1555" s="1326"/>
      <c r="J1555" s="1627" t="s">
        <v>4916</v>
      </c>
      <c r="K1555" s="1400"/>
      <c r="L1555" s="703"/>
      <c r="M1555" s="708"/>
      <c r="N1555" s="166"/>
      <c r="P1555" s="166"/>
    </row>
    <row r="1556" spans="1:16" s="1311" customFormat="1" ht="13.2" hidden="1" customHeight="1">
      <c r="A1556" s="2350">
        <v>45632</v>
      </c>
      <c r="B1556" s="1323" t="s">
        <v>6836</v>
      </c>
      <c r="C1556" s="1307">
        <v>88474378</v>
      </c>
      <c r="D1556" s="1646" t="s">
        <v>2755</v>
      </c>
      <c r="E1556" s="1307"/>
      <c r="F1556" s="1466"/>
      <c r="G1556" s="1632" t="s">
        <v>3835</v>
      </c>
      <c r="H1556" s="1637" t="s">
        <v>6831</v>
      </c>
      <c r="I1556" s="1326"/>
      <c r="J1556" s="1632" t="s">
        <v>4916</v>
      </c>
      <c r="K1556" s="1400"/>
      <c r="L1556" s="703">
        <v>1</v>
      </c>
      <c r="M1556" s="1718" t="s">
        <v>6984</v>
      </c>
      <c r="N1556" s="166"/>
      <c r="P1556" s="166"/>
    </row>
    <row r="1557" spans="1:16" s="1311" customFormat="1" ht="13.2" hidden="1" customHeight="1">
      <c r="A1557" s="2350">
        <v>45632</v>
      </c>
      <c r="B1557" s="1323" t="s">
        <v>6837</v>
      </c>
      <c r="C1557" s="1307">
        <v>75045765</v>
      </c>
      <c r="D1557" s="1646" t="s">
        <v>2755</v>
      </c>
      <c r="E1557" s="1307"/>
      <c r="F1557" s="1466"/>
      <c r="G1557" s="1632" t="s">
        <v>2284</v>
      </c>
      <c r="H1557" s="1637" t="s">
        <v>6832</v>
      </c>
      <c r="I1557" s="1326"/>
      <c r="J1557" s="1632" t="s">
        <v>5690</v>
      </c>
      <c r="K1557" s="1400"/>
      <c r="L1557" s="703"/>
      <c r="M1557" s="708"/>
      <c r="N1557" s="166"/>
      <c r="P1557" s="166"/>
    </row>
    <row r="1558" spans="1:16" s="1311" customFormat="1" ht="13.2" hidden="1" customHeight="1">
      <c r="A1558" s="2350">
        <v>45632</v>
      </c>
      <c r="B1558" s="1323" t="s">
        <v>6833</v>
      </c>
      <c r="C1558" s="1307"/>
      <c r="D1558" s="1307"/>
      <c r="E1558" s="1307"/>
      <c r="F1558" s="1466"/>
      <c r="G1558" s="1632" t="s">
        <v>713</v>
      </c>
      <c r="H1558" s="1637" t="s">
        <v>6834</v>
      </c>
      <c r="I1558" s="1326"/>
      <c r="J1558" s="1632" t="s">
        <v>6835</v>
      </c>
      <c r="K1558" s="1400"/>
      <c r="L1558" s="703"/>
      <c r="M1558" s="708"/>
      <c r="N1558" s="166"/>
      <c r="P1558" s="166"/>
    </row>
    <row r="1559" spans="1:16" s="1311" customFormat="1" ht="13.2" hidden="1" customHeight="1">
      <c r="A1559" s="2351">
        <v>45639</v>
      </c>
      <c r="B1559" s="1323" t="s">
        <v>6885</v>
      </c>
      <c r="C1559" s="1307">
        <v>11000780</v>
      </c>
      <c r="D1559" s="1658" t="s">
        <v>6916</v>
      </c>
      <c r="E1559" s="1307"/>
      <c r="F1559" s="1466"/>
      <c r="G1559" s="1642" t="s">
        <v>2614</v>
      </c>
      <c r="H1559" s="1656" t="s">
        <v>6892</v>
      </c>
      <c r="I1559" s="1326"/>
      <c r="J1559" s="1642" t="s">
        <v>5753</v>
      </c>
      <c r="K1559" s="1400"/>
      <c r="L1559" s="703"/>
      <c r="M1559" s="708"/>
      <c r="N1559" s="166"/>
      <c r="P1559" s="166"/>
    </row>
    <row r="1560" spans="1:16" s="1311" customFormat="1" ht="13.2" hidden="1" customHeight="1">
      <c r="A1560" s="2352">
        <v>45648</v>
      </c>
      <c r="B1560" s="1323" t="s">
        <v>6915</v>
      </c>
      <c r="C1560" s="1307">
        <v>23136973</v>
      </c>
      <c r="D1560" s="1307"/>
      <c r="E1560" s="1307"/>
      <c r="F1560" s="1466"/>
      <c r="G1560" s="1658" t="s">
        <v>1972</v>
      </c>
      <c r="H1560" s="1705" t="s">
        <v>6911</v>
      </c>
      <c r="I1560" s="1326"/>
      <c r="J1560" s="1658" t="s">
        <v>4916</v>
      </c>
      <c r="K1560" s="1400"/>
      <c r="L1560" s="703"/>
      <c r="M1560" s="708"/>
      <c r="N1560" s="166"/>
      <c r="P1560" s="166"/>
    </row>
    <row r="1561" spans="1:16" s="1311" customFormat="1" ht="13.2" hidden="1" customHeight="1">
      <c r="A1561" s="2352">
        <v>45651</v>
      </c>
      <c r="B1561" s="1323" t="s">
        <v>6923</v>
      </c>
      <c r="C1561" s="1307">
        <v>88799779</v>
      </c>
      <c r="D1561" s="1658" t="s">
        <v>6570</v>
      </c>
      <c r="E1561" s="1307"/>
      <c r="F1561" s="1466"/>
      <c r="G1561" s="1658" t="s">
        <v>2012</v>
      </c>
      <c r="H1561" s="1610"/>
      <c r="I1561" s="1326"/>
      <c r="J1561" s="1658" t="s">
        <v>4916</v>
      </c>
      <c r="K1561" s="1400"/>
      <c r="L1561" s="703"/>
      <c r="M1561" s="708"/>
      <c r="N1561" s="166"/>
      <c r="P1561" s="166"/>
    </row>
    <row r="1562" spans="1:16" s="1311" customFormat="1" ht="13.2" hidden="1" customHeight="1">
      <c r="A1562" s="2353">
        <v>45669</v>
      </c>
      <c r="B1562" s="1323" t="s">
        <v>6945</v>
      </c>
      <c r="C1562" s="1307">
        <v>64150213</v>
      </c>
      <c r="D1562" s="1658"/>
      <c r="E1562" s="1307"/>
      <c r="F1562" s="1466"/>
      <c r="G1562" s="1687" t="s">
        <v>1032</v>
      </c>
      <c r="H1562" s="1706" t="s">
        <v>6932</v>
      </c>
      <c r="I1562" s="1326"/>
      <c r="J1562" s="1687" t="s">
        <v>6933</v>
      </c>
      <c r="K1562" s="1400"/>
      <c r="L1562" s="703"/>
      <c r="M1562" s="708"/>
      <c r="N1562" s="166"/>
      <c r="P1562" s="166"/>
    </row>
    <row r="1563" spans="1:16" s="1311" customFormat="1" ht="13.2" hidden="1" customHeight="1">
      <c r="A1563" s="2353">
        <v>45669</v>
      </c>
      <c r="B1563" s="1323" t="s">
        <v>6959</v>
      </c>
      <c r="C1563" s="1307">
        <v>94094219</v>
      </c>
      <c r="D1563" s="1658"/>
      <c r="E1563" s="1307"/>
      <c r="F1563" s="1466"/>
      <c r="G1563" s="1687" t="s">
        <v>1996</v>
      </c>
      <c r="H1563" s="1706" t="s">
        <v>6934</v>
      </c>
      <c r="I1563" s="1326"/>
      <c r="J1563" s="1687" t="s">
        <v>5640</v>
      </c>
      <c r="K1563" s="1400"/>
      <c r="L1563" s="703"/>
      <c r="M1563" s="708"/>
      <c r="N1563" s="166"/>
      <c r="P1563" s="166"/>
    </row>
    <row r="1564" spans="1:16" s="1311" customFormat="1" ht="13.2" hidden="1" customHeight="1">
      <c r="A1564" s="2353">
        <v>45669</v>
      </c>
      <c r="B1564" s="1323" t="s">
        <v>6944</v>
      </c>
      <c r="C1564" s="1307">
        <v>63864552</v>
      </c>
      <c r="D1564" s="1307"/>
      <c r="E1564" s="1307"/>
      <c r="F1564" s="1466"/>
      <c r="G1564" s="1687" t="s">
        <v>1989</v>
      </c>
      <c r="H1564" s="1706" t="s">
        <v>6936</v>
      </c>
      <c r="I1564" s="1326"/>
      <c r="J1564" s="1687" t="s">
        <v>6937</v>
      </c>
      <c r="K1564" s="1400"/>
      <c r="L1564" s="703"/>
      <c r="M1564" s="708"/>
      <c r="N1564" s="166"/>
      <c r="P1564" s="166"/>
    </row>
    <row r="1565" spans="1:16" s="1311" customFormat="1" ht="13.2" hidden="1" customHeight="1">
      <c r="A1565" s="2354">
        <v>45672</v>
      </c>
      <c r="B1565" s="1323" t="s">
        <v>6955</v>
      </c>
      <c r="C1565" s="1307">
        <v>55730863</v>
      </c>
      <c r="D1565" s="1307"/>
      <c r="E1565" s="1307"/>
      <c r="F1565" s="1466"/>
      <c r="G1565" s="1709" t="s">
        <v>1972</v>
      </c>
      <c r="H1565" s="1712" t="s">
        <v>6953</v>
      </c>
      <c r="I1565" s="1326"/>
      <c r="J1565" s="1709" t="s">
        <v>6539</v>
      </c>
      <c r="K1565" s="1400"/>
      <c r="L1565" s="703"/>
      <c r="M1565" s="708"/>
      <c r="N1565" s="166"/>
      <c r="P1565" s="166"/>
    </row>
    <row r="1566" spans="1:16" s="1311" customFormat="1" ht="13.2" hidden="1" customHeight="1">
      <c r="A1566" s="2354">
        <v>45673</v>
      </c>
      <c r="B1566" s="1323" t="s">
        <v>6924</v>
      </c>
      <c r="C1566" s="1307">
        <v>41901665</v>
      </c>
      <c r="D1566" s="1307"/>
      <c r="E1566" s="1307"/>
      <c r="F1566" s="1466"/>
      <c r="G1566" s="1709" t="s">
        <v>1996</v>
      </c>
      <c r="H1566" s="1712" t="s">
        <v>6954</v>
      </c>
      <c r="I1566" s="1326"/>
      <c r="J1566" s="1709" t="s">
        <v>5640</v>
      </c>
      <c r="K1566" s="1400"/>
      <c r="L1566" s="703"/>
      <c r="M1566" s="708"/>
      <c r="N1566" s="166"/>
      <c r="P1566" s="166"/>
    </row>
    <row r="1567" spans="1:16" s="1311" customFormat="1" ht="13.2" hidden="1" customHeight="1">
      <c r="A1567" s="2355">
        <v>45689</v>
      </c>
      <c r="B1567" s="1323" t="s">
        <v>6989</v>
      </c>
      <c r="C1567" s="1716">
        <v>18130927</v>
      </c>
      <c r="D1567" s="1716"/>
      <c r="E1567" s="1716"/>
      <c r="F1567" s="1716"/>
      <c r="G1567" s="1716" t="s">
        <v>1972</v>
      </c>
      <c r="H1567" s="1717"/>
      <c r="I1567" s="1723"/>
      <c r="J1567" s="1716" t="s">
        <v>6034</v>
      </c>
      <c r="K1567" s="1400"/>
      <c r="L1567" s="703"/>
      <c r="M1567" s="708"/>
      <c r="N1567" s="166"/>
      <c r="P1567" s="166"/>
    </row>
    <row r="1568" spans="1:16" s="1311" customFormat="1" ht="13.2" hidden="1" customHeight="1">
      <c r="A1568" s="2355">
        <v>45692</v>
      </c>
      <c r="B1568" s="1343" t="s">
        <v>7010</v>
      </c>
      <c r="C1568" s="1733">
        <v>47602314</v>
      </c>
      <c r="D1568" s="1733"/>
      <c r="E1568" s="1733"/>
      <c r="F1568" s="1733"/>
      <c r="G1568" s="1733" t="s">
        <v>2478</v>
      </c>
      <c r="H1568" s="1734" t="s">
        <v>7008</v>
      </c>
      <c r="I1568" s="1735">
        <v>0</v>
      </c>
      <c r="J1568" s="1716" t="s">
        <v>7009</v>
      </c>
      <c r="K1568" s="1400"/>
      <c r="L1568" s="703"/>
      <c r="M1568" s="708"/>
      <c r="N1568" s="166"/>
      <c r="P1568" s="166"/>
    </row>
    <row r="1569" spans="1:16" s="1311" customFormat="1" ht="13.2" hidden="1" customHeight="1">
      <c r="A1569" s="2356">
        <v>45700</v>
      </c>
      <c r="B1569" s="1323" t="s">
        <v>7084</v>
      </c>
      <c r="C1569" s="1716">
        <v>77652483</v>
      </c>
      <c r="D1569" s="1716"/>
      <c r="E1569" s="1716"/>
      <c r="F1569" s="1716"/>
      <c r="G1569" s="1736" t="s">
        <v>2012</v>
      </c>
      <c r="H1569" s="1737" t="s">
        <v>7082</v>
      </c>
      <c r="I1569" s="1723"/>
      <c r="J1569" s="1736" t="s">
        <v>7083</v>
      </c>
      <c r="K1569" s="1400"/>
      <c r="L1569" s="703"/>
      <c r="M1569" s="708"/>
      <c r="N1569" s="166"/>
      <c r="P1569" s="166"/>
    </row>
    <row r="1570" spans="1:16" s="1311" customFormat="1" ht="13.2" customHeight="1">
      <c r="A1570" s="2357">
        <v>45717</v>
      </c>
      <c r="B1570" s="1316" t="s">
        <v>7087</v>
      </c>
      <c r="C1570" s="1715"/>
      <c r="D1570" s="1715"/>
      <c r="E1570" s="1715"/>
      <c r="F1570" s="1715"/>
      <c r="G1570" s="1740" t="s">
        <v>736</v>
      </c>
      <c r="H1570" s="1743" t="s">
        <v>7088</v>
      </c>
      <c r="I1570" s="1722">
        <f>5-3.95</f>
        <v>1.0499999999999998</v>
      </c>
      <c r="J1570" s="1736"/>
      <c r="K1570" s="1400"/>
      <c r="L1570" s="703"/>
      <c r="M1570" s="708"/>
      <c r="N1570" s="166"/>
      <c r="P1570" s="166"/>
    </row>
    <row r="1571" spans="1:16" s="1311" customFormat="1" ht="13.2" hidden="1" customHeight="1">
      <c r="A1571" s="2357">
        <v>45717</v>
      </c>
      <c r="B1571" s="1323" t="s">
        <v>7425</v>
      </c>
      <c r="C1571" s="1716">
        <v>79150387</v>
      </c>
      <c r="D1571" s="1716"/>
      <c r="E1571" s="1716"/>
      <c r="F1571" s="1716"/>
      <c r="G1571" s="1736" t="s">
        <v>1009</v>
      </c>
      <c r="H1571" s="1737" t="s">
        <v>7091</v>
      </c>
      <c r="I1571" s="1723"/>
      <c r="J1571" s="1806" t="s">
        <v>7359</v>
      </c>
      <c r="K1571" s="1400"/>
      <c r="L1571" s="703"/>
      <c r="M1571" s="708"/>
      <c r="N1571" s="166"/>
      <c r="P1571" s="166"/>
    </row>
    <row r="1572" spans="1:16" s="1311" customFormat="1" ht="13.2" hidden="1" customHeight="1">
      <c r="A1572" s="2357">
        <v>45717</v>
      </c>
      <c r="B1572" s="1323" t="s">
        <v>7101</v>
      </c>
      <c r="C1572" s="1716">
        <v>49361335</v>
      </c>
      <c r="D1572" s="1716"/>
      <c r="E1572" s="1716"/>
      <c r="F1572" s="1716"/>
      <c r="G1572" s="1749" t="s">
        <v>1996</v>
      </c>
      <c r="H1572" s="1751" t="s">
        <v>7092</v>
      </c>
      <c r="I1572" s="1723"/>
      <c r="J1572" s="1749" t="s">
        <v>7093</v>
      </c>
      <c r="K1572" s="1400"/>
      <c r="L1572" s="703"/>
      <c r="M1572" s="708"/>
      <c r="N1572" s="166"/>
      <c r="P1572" s="166"/>
    </row>
    <row r="1573" spans="1:16" s="1311" customFormat="1" ht="13.2" hidden="1" customHeight="1">
      <c r="A1573" s="2357">
        <v>45717</v>
      </c>
      <c r="B1573" s="1323" t="s">
        <v>7183</v>
      </c>
      <c r="C1573" s="1716">
        <v>90728692</v>
      </c>
      <c r="D1573" s="1716"/>
      <c r="E1573" s="1716"/>
      <c r="F1573" s="1716"/>
      <c r="G1573" s="1749" t="s">
        <v>1973</v>
      </c>
      <c r="H1573" s="1751" t="s">
        <v>7110</v>
      </c>
      <c r="I1573" s="1723">
        <f>23-23</f>
        <v>0</v>
      </c>
      <c r="J1573" s="1749" t="s">
        <v>7109</v>
      </c>
      <c r="K1573" s="1400"/>
      <c r="L1573" s="703"/>
      <c r="M1573" s="708"/>
      <c r="N1573" s="166"/>
      <c r="P1573" s="166"/>
    </row>
    <row r="1574" spans="1:16" s="1311" customFormat="1" ht="13.2" hidden="1" customHeight="1">
      <c r="A1574" s="2358">
        <v>45734</v>
      </c>
      <c r="B1574" s="1323" t="s">
        <v>7186</v>
      </c>
      <c r="C1574" s="1716">
        <v>58972047</v>
      </c>
      <c r="D1574" s="1716"/>
      <c r="E1574" s="1716"/>
      <c r="F1574" s="1716"/>
      <c r="G1574" s="1762" t="s">
        <v>1996</v>
      </c>
      <c r="H1574" s="1764" t="s">
        <v>7187</v>
      </c>
      <c r="I1574" s="1723">
        <v>0</v>
      </c>
      <c r="J1574" s="1749" t="s">
        <v>7109</v>
      </c>
      <c r="K1574" s="1400"/>
      <c r="L1574" s="703"/>
      <c r="M1574" s="708"/>
      <c r="N1574" s="166"/>
      <c r="P1574" s="166"/>
    </row>
    <row r="1575" spans="1:16" s="1311" customFormat="1" ht="13.2" hidden="1" customHeight="1">
      <c r="A1575" s="2358">
        <v>45736</v>
      </c>
      <c r="B1575" s="1323" t="s">
        <v>7420</v>
      </c>
      <c r="C1575" s="1716"/>
      <c r="D1575" s="1716"/>
      <c r="E1575" s="1716"/>
      <c r="F1575" s="1716"/>
      <c r="G1575" s="1778" t="s">
        <v>7244</v>
      </c>
      <c r="H1575" s="1774" t="s">
        <v>7226</v>
      </c>
      <c r="I1575" s="1723"/>
      <c r="J1575" s="1749" t="s">
        <v>7109</v>
      </c>
      <c r="K1575" s="1400"/>
      <c r="L1575" s="703"/>
      <c r="M1575" s="708"/>
      <c r="N1575" s="166"/>
      <c r="P1575" s="166"/>
    </row>
    <row r="1576" spans="1:16" s="1311" customFormat="1" ht="13.2" hidden="1" customHeight="1">
      <c r="A1576" s="2359">
        <v>45741</v>
      </c>
      <c r="B1576" s="1343" t="s">
        <v>7225</v>
      </c>
      <c r="C1576" s="1733">
        <v>38052893</v>
      </c>
      <c r="D1576" s="1733"/>
      <c r="E1576" s="1733"/>
      <c r="F1576" s="1733"/>
      <c r="G1576" s="1808" t="s">
        <v>1006</v>
      </c>
      <c r="H1576" s="1809" t="s">
        <v>7223</v>
      </c>
      <c r="I1576" s="1735"/>
      <c r="J1576" s="1768" t="s">
        <v>7224</v>
      </c>
      <c r="K1576" s="1400"/>
      <c r="L1576" s="703"/>
      <c r="M1576" s="708"/>
      <c r="N1576" s="166"/>
      <c r="P1576" s="166"/>
    </row>
    <row r="1577" spans="1:16" s="1311" customFormat="1" ht="13.2" hidden="1" customHeight="1">
      <c r="A1577" s="2360">
        <v>45748</v>
      </c>
      <c r="B1577" s="1316" t="s">
        <v>7238</v>
      </c>
      <c r="C1577" s="1715"/>
      <c r="D1577" s="1715"/>
      <c r="E1577" s="1715"/>
      <c r="F1577" s="1715"/>
      <c r="G1577" s="1776" t="s">
        <v>1006</v>
      </c>
      <c r="H1577" s="1780" t="s">
        <v>7239</v>
      </c>
      <c r="I1577" s="1722">
        <f>5-3.6-1.4</f>
        <v>0</v>
      </c>
      <c r="J1577" s="1768">
        <v>280</v>
      </c>
      <c r="K1577" s="1400"/>
      <c r="L1577" s="703"/>
      <c r="M1577" s="708"/>
      <c r="N1577" s="166"/>
      <c r="P1577" s="166"/>
    </row>
    <row r="1578" spans="1:16" s="1311" customFormat="1" ht="13.2" hidden="1" customHeight="1">
      <c r="A1578" s="2360">
        <v>45749</v>
      </c>
      <c r="B1578" s="1323" t="s">
        <v>7278</v>
      </c>
      <c r="C1578" s="1716">
        <v>79053321</v>
      </c>
      <c r="D1578" s="1716"/>
      <c r="E1578" s="1716"/>
      <c r="F1578" s="1716"/>
      <c r="G1578" s="1778" t="s">
        <v>2019</v>
      </c>
      <c r="H1578" s="1781" t="s">
        <v>7243</v>
      </c>
      <c r="I1578" s="1723"/>
      <c r="J1578" s="1782" t="s">
        <v>7253</v>
      </c>
      <c r="K1578" s="1400"/>
      <c r="L1578" s="703"/>
      <c r="M1578" s="708"/>
      <c r="N1578" s="166"/>
      <c r="P1578" s="166"/>
    </row>
    <row r="1579" spans="1:16" s="1311" customFormat="1" ht="13.2" hidden="1" customHeight="1">
      <c r="A1579" s="2361">
        <v>45751</v>
      </c>
      <c r="B1579" s="1323" t="s">
        <v>7251</v>
      </c>
      <c r="C1579" s="1716">
        <v>80673871</v>
      </c>
      <c r="D1579" s="1716"/>
      <c r="E1579" s="1716"/>
      <c r="F1579" s="1716"/>
      <c r="G1579" s="1782" t="s">
        <v>2012</v>
      </c>
      <c r="H1579" s="1787" t="s">
        <v>7252</v>
      </c>
      <c r="I1579" s="1723"/>
      <c r="J1579" s="1782" t="s">
        <v>4640</v>
      </c>
      <c r="K1579" s="1400"/>
      <c r="L1579" s="703"/>
      <c r="M1579" s="708"/>
      <c r="N1579" s="166"/>
      <c r="P1579" s="166"/>
    </row>
    <row r="1580" spans="1:16" s="1311" customFormat="1" ht="13.2" customHeight="1">
      <c r="A1580" s="2361">
        <v>45752</v>
      </c>
      <c r="B1580" s="1323" t="s">
        <v>7256</v>
      </c>
      <c r="C1580" s="1716">
        <v>66366744</v>
      </c>
      <c r="D1580" s="1716"/>
      <c r="E1580" s="1716"/>
      <c r="F1580" s="1716"/>
      <c r="G1580" s="1782" t="s">
        <v>3326</v>
      </c>
      <c r="H1580" s="1787" t="s">
        <v>7258</v>
      </c>
      <c r="I1580" s="1723">
        <v>1.5</v>
      </c>
      <c r="J1580" s="1782" t="s">
        <v>7259</v>
      </c>
      <c r="K1580" s="1400"/>
      <c r="L1580" s="703"/>
      <c r="M1580" s="708"/>
      <c r="N1580" s="166"/>
      <c r="P1580" s="166"/>
    </row>
    <row r="1581" spans="1:16" s="1311" customFormat="1" ht="13.2" hidden="1" customHeight="1">
      <c r="A1581" s="2362">
        <v>45757</v>
      </c>
      <c r="B1581" s="1323" t="s">
        <v>7790</v>
      </c>
      <c r="C1581" s="1976" t="s">
        <v>7789</v>
      </c>
      <c r="D1581" s="1716"/>
      <c r="E1581" s="1716"/>
      <c r="F1581" s="1716"/>
      <c r="G1581" s="1836" t="s">
        <v>1970</v>
      </c>
      <c r="H1581" s="1855" t="s">
        <v>7476</v>
      </c>
      <c r="I1581" s="1723"/>
      <c r="J1581" s="1836" t="s">
        <v>7477</v>
      </c>
      <c r="K1581" s="1400"/>
      <c r="L1581" s="703"/>
      <c r="M1581" s="708"/>
      <c r="N1581" s="166"/>
      <c r="P1581" s="166"/>
    </row>
    <row r="1582" spans="1:16" s="1311" customFormat="1" ht="13.2" hidden="1" customHeight="1">
      <c r="A1582" s="2363">
        <v>45764</v>
      </c>
      <c r="B1582" s="1323" t="s">
        <v>7300</v>
      </c>
      <c r="C1582" s="1794">
        <v>12345678</v>
      </c>
      <c r="D1582" s="1716"/>
      <c r="E1582" s="1716"/>
      <c r="F1582" s="1716"/>
      <c r="G1582" s="1794" t="s">
        <v>7297</v>
      </c>
      <c r="H1582" s="1795" t="s">
        <v>7298</v>
      </c>
      <c r="I1582" s="1723"/>
      <c r="J1582" s="1794" t="s">
        <v>7299</v>
      </c>
      <c r="K1582" s="1400"/>
      <c r="L1582" s="703"/>
      <c r="M1582" s="708"/>
      <c r="N1582" s="166"/>
      <c r="P1582" s="166"/>
    </row>
    <row r="1583" spans="1:16" s="1311" customFormat="1" ht="13.2" hidden="1" customHeight="1">
      <c r="A1583" s="2363">
        <v>45768</v>
      </c>
      <c r="B1583" s="1323" t="s">
        <v>7309</v>
      </c>
      <c r="C1583" s="1716">
        <v>58224016</v>
      </c>
      <c r="D1583" s="1716"/>
      <c r="E1583" s="1716"/>
      <c r="F1583" s="1716"/>
      <c r="G1583" s="1794" t="s">
        <v>2124</v>
      </c>
      <c r="H1583" s="1795" t="s">
        <v>7308</v>
      </c>
      <c r="I1583" s="1904"/>
      <c r="J1583" s="1716"/>
      <c r="K1583" s="1400"/>
      <c r="L1583" s="703"/>
      <c r="M1583" s="708"/>
      <c r="N1583" s="166"/>
      <c r="P1583" s="166"/>
    </row>
    <row r="1584" spans="1:16" s="1311" customFormat="1" ht="13.2" hidden="1" customHeight="1">
      <c r="A1584" s="2363">
        <v>45768</v>
      </c>
      <c r="B1584" s="1323" t="s">
        <v>7365</v>
      </c>
      <c r="C1584" s="1716">
        <v>24617986</v>
      </c>
      <c r="D1584" s="1716"/>
      <c r="E1584" s="1716"/>
      <c r="F1584" s="1716"/>
      <c r="G1584" s="1794" t="s">
        <v>2312</v>
      </c>
      <c r="H1584" s="1717"/>
      <c r="I1584" s="1723"/>
      <c r="J1584" s="1794" t="s">
        <v>7310</v>
      </c>
      <c r="K1584" s="1400"/>
      <c r="L1584" s="703"/>
      <c r="M1584" s="708"/>
      <c r="N1584" s="166"/>
      <c r="P1584" s="166"/>
    </row>
    <row r="1585" spans="1:16" s="1311" customFormat="1" ht="13.2" hidden="1" customHeight="1">
      <c r="A1585" s="2364">
        <v>45771</v>
      </c>
      <c r="B1585" s="1323" t="s">
        <v>7329</v>
      </c>
      <c r="C1585" s="1965" t="s">
        <v>7332</v>
      </c>
      <c r="D1585" s="1716"/>
      <c r="E1585" s="1716"/>
      <c r="F1585" s="1716"/>
      <c r="G1585" s="1798" t="s">
        <v>2651</v>
      </c>
      <c r="H1585" s="1803" t="s">
        <v>7324</v>
      </c>
      <c r="I1585" s="1723"/>
      <c r="J1585" s="1802" t="s">
        <v>7338</v>
      </c>
      <c r="K1585" s="1400"/>
      <c r="L1585" s="703"/>
      <c r="M1585" s="708"/>
      <c r="N1585" s="166"/>
      <c r="P1585" s="166"/>
    </row>
    <row r="1586" spans="1:16" s="1311" customFormat="1" ht="13.2" hidden="1" customHeight="1">
      <c r="A1586" s="2364">
        <v>45771</v>
      </c>
      <c r="B1586" s="1323" t="s">
        <v>7331</v>
      </c>
      <c r="C1586" s="1716">
        <v>43678364</v>
      </c>
      <c r="D1586" s="1716"/>
      <c r="E1586" s="1716"/>
      <c r="F1586" s="1716"/>
      <c r="G1586" s="1798" t="s">
        <v>2651</v>
      </c>
      <c r="H1586" s="1803" t="s">
        <v>7326</v>
      </c>
      <c r="I1586" s="1723"/>
      <c r="J1586" s="1798" t="s">
        <v>5690</v>
      </c>
      <c r="K1586" s="1400"/>
      <c r="L1586" s="703"/>
      <c r="M1586" s="708"/>
      <c r="N1586" s="166"/>
      <c r="P1586" s="166"/>
    </row>
    <row r="1587" spans="1:16" s="1311" customFormat="1" ht="13.2" hidden="1" customHeight="1">
      <c r="A1587" s="2364">
        <v>45771</v>
      </c>
      <c r="B1587" s="1323" t="s">
        <v>7330</v>
      </c>
      <c r="C1587" s="1716">
        <v>77667934</v>
      </c>
      <c r="D1587" s="1716"/>
      <c r="E1587" s="1716"/>
      <c r="F1587" s="1716"/>
      <c r="G1587" s="1798" t="s">
        <v>1942</v>
      </c>
      <c r="H1587" s="1803" t="s">
        <v>7328</v>
      </c>
      <c r="I1587" s="1723"/>
      <c r="J1587" s="1798" t="s">
        <v>7327</v>
      </c>
      <c r="K1587" s="1400"/>
      <c r="L1587" s="703"/>
      <c r="M1587" s="708"/>
      <c r="N1587" s="166"/>
      <c r="P1587" s="166"/>
    </row>
    <row r="1588" spans="1:16" s="1311" customFormat="1" ht="13.2" hidden="1" customHeight="1">
      <c r="A1588" s="2365">
        <v>45772</v>
      </c>
      <c r="B1588" s="1316" t="s">
        <v>7336</v>
      </c>
      <c r="C1588" s="1715"/>
      <c r="D1588" s="1715"/>
      <c r="E1588" s="1715"/>
      <c r="F1588" s="1715"/>
      <c r="G1588" s="1799" t="s">
        <v>2612</v>
      </c>
      <c r="H1588" s="1801" t="s">
        <v>7337</v>
      </c>
      <c r="I1588" s="1810" t="s">
        <v>7370</v>
      </c>
      <c r="J1588" s="1798" t="s">
        <v>7325</v>
      </c>
      <c r="K1588" s="1400"/>
      <c r="L1588" s="703"/>
      <c r="M1588" s="708"/>
      <c r="N1588" s="166"/>
      <c r="P1588" s="166"/>
    </row>
    <row r="1589" spans="1:16" s="1311" customFormat="1" ht="13.2" hidden="1" customHeight="1">
      <c r="A1589" s="2365">
        <v>45773</v>
      </c>
      <c r="B1589" s="1323" t="s">
        <v>7392</v>
      </c>
      <c r="C1589" s="1716">
        <v>72574282</v>
      </c>
      <c r="D1589" s="1716"/>
      <c r="E1589" s="1716"/>
      <c r="F1589" s="1716"/>
      <c r="G1589" s="1802" t="s">
        <v>713</v>
      </c>
      <c r="H1589" s="1807" t="s">
        <v>7339</v>
      </c>
      <c r="I1589" s="1723"/>
      <c r="J1589" s="1802" t="s">
        <v>4916</v>
      </c>
      <c r="K1589" s="1400"/>
      <c r="L1589" s="703"/>
      <c r="M1589" s="708"/>
      <c r="N1589" s="166"/>
      <c r="P1589" s="166"/>
    </row>
    <row r="1590" spans="1:16" s="1311" customFormat="1" ht="13.2" hidden="1" customHeight="1">
      <c r="A1590" s="2365">
        <v>45774</v>
      </c>
      <c r="B1590" s="1323" t="s">
        <v>7366</v>
      </c>
      <c r="C1590" s="1716">
        <v>69152278</v>
      </c>
      <c r="D1590" s="1716"/>
      <c r="E1590" s="1716"/>
      <c r="F1590" s="1716"/>
      <c r="G1590" s="1802" t="s">
        <v>2215</v>
      </c>
      <c r="H1590" s="1807" t="s">
        <v>7340</v>
      </c>
      <c r="I1590" s="1723"/>
      <c r="J1590" s="1802" t="s">
        <v>6550</v>
      </c>
      <c r="K1590" s="1400"/>
      <c r="L1590" s="703"/>
      <c r="M1590" s="708"/>
      <c r="N1590" s="166"/>
      <c r="P1590" s="166"/>
    </row>
    <row r="1591" spans="1:16" s="1311" customFormat="1" ht="13.2" hidden="1" customHeight="1">
      <c r="A1591" s="2365">
        <v>45774</v>
      </c>
      <c r="B1591" s="1323" t="s">
        <v>7580</v>
      </c>
      <c r="C1591" s="1716"/>
      <c r="D1591" s="1716"/>
      <c r="E1591" s="1716"/>
      <c r="F1591" s="1716"/>
      <c r="G1591" s="1802" t="s">
        <v>1972</v>
      </c>
      <c r="H1591" s="1807" t="s">
        <v>7353</v>
      </c>
      <c r="I1591" s="1723"/>
      <c r="J1591" s="1802" t="s">
        <v>4916</v>
      </c>
      <c r="K1591" s="1400"/>
      <c r="L1591" s="703"/>
      <c r="M1591" s="708"/>
      <c r="N1591" s="166"/>
      <c r="P1591" s="166"/>
    </row>
    <row r="1592" spans="1:16" s="1311" customFormat="1" ht="13.2" customHeight="1">
      <c r="A1592" s="2365">
        <v>45775</v>
      </c>
      <c r="B1592" s="1323" t="s">
        <v>7341</v>
      </c>
      <c r="C1592" s="1716">
        <v>28102670</v>
      </c>
      <c r="D1592" s="1716"/>
      <c r="E1592" s="1716"/>
      <c r="F1592" s="1716"/>
      <c r="G1592" s="1802" t="s">
        <v>763</v>
      </c>
      <c r="H1592" s="1807" t="s">
        <v>7352</v>
      </c>
      <c r="I1592" s="1723">
        <f>13-8*1.2-0.4</f>
        <v>3.0000000000000004</v>
      </c>
      <c r="J1592" s="1802" t="s">
        <v>6204</v>
      </c>
      <c r="K1592" s="1400"/>
      <c r="L1592" s="703"/>
      <c r="M1592" s="708"/>
      <c r="N1592" s="166"/>
      <c r="P1592" s="166"/>
    </row>
    <row r="1593" spans="1:16" s="1311" customFormat="1" ht="13.2" hidden="1" customHeight="1">
      <c r="A1593" s="2365">
        <v>45776</v>
      </c>
      <c r="B1593" s="1323" t="s">
        <v>7419</v>
      </c>
      <c r="C1593" s="1716">
        <v>89061188</v>
      </c>
      <c r="D1593" s="1716"/>
      <c r="E1593" s="1716"/>
      <c r="F1593" s="1716"/>
      <c r="G1593" s="1802" t="s">
        <v>713</v>
      </c>
      <c r="H1593" s="1717"/>
      <c r="I1593" s="1723"/>
      <c r="J1593" s="1802" t="s">
        <v>4916</v>
      </c>
      <c r="K1593" s="1830" t="s">
        <v>7446</v>
      </c>
      <c r="L1593" s="703"/>
      <c r="M1593" s="708"/>
      <c r="N1593" s="166"/>
      <c r="P1593" s="166"/>
    </row>
    <row r="1594" spans="1:16" s="1311" customFormat="1" ht="13.2" hidden="1" customHeight="1">
      <c r="A1594" s="2366">
        <v>45777</v>
      </c>
      <c r="B1594" s="1323" t="s">
        <v>7391</v>
      </c>
      <c r="C1594" s="1716">
        <v>19881988</v>
      </c>
      <c r="D1594" s="1716"/>
      <c r="E1594" s="1716"/>
      <c r="F1594" s="1716"/>
      <c r="G1594" s="1806" t="s">
        <v>7356</v>
      </c>
      <c r="H1594" s="1824" t="s">
        <v>7357</v>
      </c>
      <c r="I1594" s="1723"/>
      <c r="J1594" s="1806" t="s">
        <v>6204</v>
      </c>
      <c r="K1594" s="1400"/>
      <c r="L1594" s="703"/>
      <c r="M1594" s="708"/>
      <c r="N1594" s="166"/>
      <c r="P1594" s="166"/>
    </row>
    <row r="1595" spans="1:16" s="1311" customFormat="1" ht="13.2" hidden="1" customHeight="1">
      <c r="A1595" s="2366">
        <v>45777</v>
      </c>
      <c r="B1595" s="1323" t="s">
        <v>7779</v>
      </c>
      <c r="C1595" s="1716">
        <v>73633407</v>
      </c>
      <c r="D1595" s="1716"/>
      <c r="E1595" s="1716"/>
      <c r="F1595" s="1716"/>
      <c r="G1595" s="1806" t="s">
        <v>1970</v>
      </c>
      <c r="H1595" s="1824" t="s">
        <v>7358</v>
      </c>
      <c r="I1595" s="1723">
        <v>0</v>
      </c>
      <c r="J1595" s="1806" t="s">
        <v>6550</v>
      </c>
      <c r="K1595" s="1400"/>
      <c r="L1595" s="703"/>
      <c r="M1595" s="708"/>
      <c r="N1595" s="166"/>
      <c r="P1595" s="166"/>
    </row>
    <row r="1596" spans="1:16" s="1311" customFormat="1" ht="13.2" hidden="1" customHeight="1">
      <c r="A1596" s="2366">
        <v>45778</v>
      </c>
      <c r="B1596" s="1312" t="s">
        <v>7364</v>
      </c>
      <c r="C1596" s="1099">
        <v>15226862</v>
      </c>
      <c r="D1596" s="1716"/>
      <c r="E1596" s="1716"/>
      <c r="F1596" s="1716"/>
      <c r="G1596" s="1806" t="s">
        <v>2719</v>
      </c>
      <c r="H1596" s="1824"/>
      <c r="I1596" s="1723"/>
      <c r="J1596" s="1831" t="s">
        <v>7447</v>
      </c>
      <c r="K1596" s="1400"/>
      <c r="L1596" s="703"/>
      <c r="M1596" s="708"/>
      <c r="N1596" s="166"/>
      <c r="P1596" s="166"/>
    </row>
    <row r="1597" spans="1:16" s="1311" customFormat="1" ht="13.2" hidden="1" customHeight="1">
      <c r="A1597" s="2366">
        <v>45779</v>
      </c>
      <c r="B1597" s="1312" t="s">
        <v>7369</v>
      </c>
      <c r="C1597" s="1716">
        <v>79036660</v>
      </c>
      <c r="D1597" s="1716"/>
      <c r="E1597" s="1716"/>
      <c r="F1597" s="1716"/>
      <c r="G1597" s="1806" t="s">
        <v>2221</v>
      </c>
      <c r="H1597" s="1824" t="s">
        <v>7367</v>
      </c>
      <c r="I1597" s="1833"/>
      <c r="J1597" s="1831" t="s">
        <v>7368</v>
      </c>
      <c r="K1597" s="1400"/>
      <c r="L1597" s="703"/>
      <c r="M1597" s="708"/>
      <c r="N1597" s="166"/>
      <c r="P1597" s="166"/>
    </row>
    <row r="1598" spans="1:16" s="1311" customFormat="1" ht="13.2" hidden="1" customHeight="1">
      <c r="A1598" s="2366">
        <v>45780</v>
      </c>
      <c r="B1598" s="1323" t="s">
        <v>7373</v>
      </c>
      <c r="C1598" s="1716">
        <v>34880648</v>
      </c>
      <c r="D1598" s="1716"/>
      <c r="E1598" s="1716"/>
      <c r="F1598" s="1716"/>
      <c r="G1598" s="1806" t="s">
        <v>2000</v>
      </c>
      <c r="H1598" s="1717"/>
      <c r="I1598" s="1723"/>
      <c r="J1598" s="1716">
        <v>1400</v>
      </c>
      <c r="K1598" s="1400"/>
      <c r="L1598" s="703"/>
      <c r="M1598" s="708"/>
      <c r="N1598" s="166"/>
      <c r="P1598" s="166"/>
    </row>
    <row r="1599" spans="1:16" s="1311" customFormat="1" ht="13.2" hidden="1" customHeight="1">
      <c r="A1599" s="2367">
        <v>45784</v>
      </c>
      <c r="B1599" s="1323" t="s">
        <v>7421</v>
      </c>
      <c r="C1599" s="1716"/>
      <c r="D1599" s="1716"/>
      <c r="E1599" s="1716"/>
      <c r="F1599" s="1716"/>
      <c r="G1599" s="1826" t="s">
        <v>2000</v>
      </c>
      <c r="H1599" s="1717"/>
      <c r="I1599" s="1723"/>
      <c r="J1599" s="1826" t="s">
        <v>7412</v>
      </c>
      <c r="K1599" s="1400"/>
      <c r="L1599" s="703"/>
      <c r="M1599" s="708"/>
      <c r="N1599" s="166"/>
      <c r="P1599" s="166"/>
    </row>
    <row r="1600" spans="1:16" s="1311" customFormat="1" ht="13.2" customHeight="1">
      <c r="A1600" s="2367">
        <v>45784</v>
      </c>
      <c r="B1600" s="1316" t="s">
        <v>7413</v>
      </c>
      <c r="C1600" s="1715"/>
      <c r="D1600" s="1715"/>
      <c r="E1600" s="1715"/>
      <c r="F1600" s="1715"/>
      <c r="G1600" s="1813" t="s">
        <v>1970</v>
      </c>
      <c r="H1600" s="1825" t="s">
        <v>7415</v>
      </c>
      <c r="I1600" s="1722">
        <f>11-6</f>
        <v>5</v>
      </c>
      <c r="J1600" s="1826" t="s">
        <v>7414</v>
      </c>
      <c r="K1600" s="1881" t="s">
        <v>7597</v>
      </c>
      <c r="L1600" s="703"/>
      <c r="M1600" s="708"/>
      <c r="N1600" s="166"/>
      <c r="P1600" s="166"/>
    </row>
    <row r="1601" spans="1:16" s="1311" customFormat="1" ht="13.2" hidden="1" customHeight="1">
      <c r="A1601" s="2367">
        <v>45785</v>
      </c>
      <c r="B1601" s="1323" t="s">
        <v>7431</v>
      </c>
      <c r="C1601" s="1716"/>
      <c r="D1601" s="1716"/>
      <c r="E1601" s="1716"/>
      <c r="F1601" s="1716"/>
      <c r="G1601" s="1826" t="s">
        <v>1970</v>
      </c>
      <c r="H1601" s="1827" t="s">
        <v>7432</v>
      </c>
      <c r="I1601" s="1723"/>
      <c r="J1601" s="1826" t="s">
        <v>7224</v>
      </c>
      <c r="K1601" s="1400"/>
      <c r="L1601" s="703"/>
      <c r="M1601" s="708"/>
      <c r="N1601" s="166"/>
      <c r="P1601" s="166"/>
    </row>
    <row r="1602" spans="1:16" s="1311" customFormat="1" ht="13.8" hidden="1" customHeight="1">
      <c r="A1602" s="2367">
        <v>45785</v>
      </c>
      <c r="B1602" s="1316" t="s">
        <v>7440</v>
      </c>
      <c r="C1602" s="1715"/>
      <c r="D1602" s="1715"/>
      <c r="E1602" s="1715"/>
      <c r="F1602" s="1715"/>
      <c r="G1602" s="1958" t="s">
        <v>2124</v>
      </c>
      <c r="H1602" s="1960" t="s">
        <v>7771</v>
      </c>
      <c r="I1602" s="1722">
        <f>21-8-6*1.2-5.8</f>
        <v>0</v>
      </c>
      <c r="J1602" s="1826" t="s">
        <v>4916</v>
      </c>
      <c r="K1602" s="2533" t="s">
        <v>8101</v>
      </c>
      <c r="L1602" s="703"/>
      <c r="M1602" s="708"/>
      <c r="N1602" s="166"/>
      <c r="P1602" s="166"/>
    </row>
    <row r="1603" spans="1:16" s="1311" customFormat="1" ht="13.8" hidden="1" customHeight="1">
      <c r="A1603" s="2362">
        <v>45788</v>
      </c>
      <c r="B1603" s="1323" t="s">
        <v>7466</v>
      </c>
      <c r="C1603" s="1716">
        <v>82744080</v>
      </c>
      <c r="D1603" s="1716"/>
      <c r="E1603" s="1716"/>
      <c r="F1603" s="1716"/>
      <c r="G1603" s="1836" t="s">
        <v>1996</v>
      </c>
      <c r="H1603" s="1855" t="s">
        <v>7468</v>
      </c>
      <c r="I1603" s="1723"/>
      <c r="J1603" s="1836" t="s">
        <v>7467</v>
      </c>
      <c r="K1603" s="1400"/>
      <c r="L1603" s="703"/>
      <c r="M1603" s="708"/>
      <c r="N1603" s="166"/>
      <c r="P1603" s="166"/>
    </row>
    <row r="1604" spans="1:16" s="1311" customFormat="1" ht="13.2" hidden="1" customHeight="1">
      <c r="A1604" s="2368">
        <v>45787</v>
      </c>
      <c r="B1604" s="1323" t="s">
        <v>7475</v>
      </c>
      <c r="C1604" s="1716"/>
      <c r="D1604" s="1716"/>
      <c r="E1604" s="1716"/>
      <c r="F1604" s="1716"/>
      <c r="G1604" s="1831" t="s">
        <v>2237</v>
      </c>
      <c r="H1604" s="1839" t="s">
        <v>7437</v>
      </c>
      <c r="I1604" s="1723"/>
      <c r="J1604" s="1831" t="s">
        <v>7009</v>
      </c>
      <c r="K1604" s="1400"/>
      <c r="L1604" s="703"/>
      <c r="M1604" s="708"/>
      <c r="N1604" s="166"/>
      <c r="P1604" s="166"/>
    </row>
    <row r="1605" spans="1:16" s="1311" customFormat="1" ht="13.2" hidden="1" customHeight="1">
      <c r="A1605" s="2368">
        <v>45791</v>
      </c>
      <c r="B1605" s="1323" t="s">
        <v>7474</v>
      </c>
      <c r="C1605" s="1716">
        <v>32052406</v>
      </c>
      <c r="D1605" s="1716"/>
      <c r="E1605" s="1716"/>
      <c r="F1605" s="1716"/>
      <c r="G1605" s="1831" t="s">
        <v>617</v>
      </c>
      <c r="H1605" s="1839" t="s">
        <v>7454</v>
      </c>
      <c r="I1605" s="1723"/>
      <c r="J1605" s="1831" t="s">
        <v>7453</v>
      </c>
      <c r="K1605" s="1400"/>
      <c r="L1605" s="703"/>
      <c r="M1605" s="708"/>
      <c r="N1605" s="166"/>
      <c r="P1605" s="166"/>
    </row>
    <row r="1606" spans="1:16" s="1311" customFormat="1" ht="13.2" hidden="1" customHeight="1">
      <c r="A1606" s="2362">
        <v>45794</v>
      </c>
      <c r="B1606" s="1323" t="s">
        <v>7594</v>
      </c>
      <c r="C1606" s="1716"/>
      <c r="D1606" s="1716"/>
      <c r="E1606" s="1716"/>
      <c r="F1606" s="1716"/>
      <c r="G1606" s="1900" t="s">
        <v>7356</v>
      </c>
      <c r="H1606" s="1855" t="s">
        <v>7483</v>
      </c>
      <c r="I1606" s="1723">
        <f>22-22</f>
        <v>0</v>
      </c>
      <c r="J1606" s="1836" t="s">
        <v>4916</v>
      </c>
      <c r="K1606" s="1400"/>
      <c r="L1606" s="1898" t="s">
        <v>7668</v>
      </c>
      <c r="M1606" s="708"/>
      <c r="N1606" s="166"/>
      <c r="P1606" s="166"/>
    </row>
    <row r="1607" spans="1:16" s="1311" customFormat="1" ht="13.2" hidden="1" customHeight="1">
      <c r="A1607" s="2369">
        <v>45796</v>
      </c>
      <c r="B1607" s="1323" t="s">
        <v>7496</v>
      </c>
      <c r="C1607" s="1716"/>
      <c r="D1607" s="1716"/>
      <c r="E1607" s="1716"/>
      <c r="F1607" s="1716"/>
      <c r="G1607" s="1863" t="s">
        <v>1970</v>
      </c>
      <c r="H1607" s="1864" t="s">
        <v>7497</v>
      </c>
      <c r="I1607" s="1723">
        <v>0</v>
      </c>
      <c r="J1607" s="1882" t="s">
        <v>7589</v>
      </c>
      <c r="K1607" s="1400"/>
      <c r="L1607" s="703"/>
      <c r="M1607" s="708"/>
      <c r="N1607" s="166"/>
      <c r="P1607" s="166"/>
    </row>
    <row r="1608" spans="1:16" s="1311" customFormat="1" ht="13.2" customHeight="1">
      <c r="A1608" s="2369">
        <v>45796</v>
      </c>
      <c r="B1608" s="1316" t="s">
        <v>7498</v>
      </c>
      <c r="C1608" s="1715"/>
      <c r="D1608" s="1715"/>
      <c r="E1608" s="1715"/>
      <c r="F1608" s="1715"/>
      <c r="G1608" s="1859" t="s">
        <v>1970</v>
      </c>
      <c r="H1608" s="1862" t="s">
        <v>7499</v>
      </c>
      <c r="I1608" s="1722">
        <v>11</v>
      </c>
      <c r="J1608" s="1863" t="s">
        <v>7500</v>
      </c>
      <c r="K1608" s="1400"/>
      <c r="L1608" s="703"/>
      <c r="M1608" s="708"/>
      <c r="N1608" s="166"/>
      <c r="P1608" s="166"/>
    </row>
    <row r="1609" spans="1:16" s="1311" customFormat="1" ht="13.2" hidden="1" customHeight="1">
      <c r="A1609" s="2369">
        <v>45796</v>
      </c>
      <c r="B1609" s="1323" t="s">
        <v>7810</v>
      </c>
      <c r="C1609" s="1716">
        <v>50644363</v>
      </c>
      <c r="D1609" s="1716"/>
      <c r="E1609" s="1716"/>
      <c r="F1609" s="1716"/>
      <c r="G1609" s="1863" t="s">
        <v>1970</v>
      </c>
      <c r="H1609" s="1864" t="s">
        <v>7501</v>
      </c>
      <c r="I1609" s="1723"/>
      <c r="J1609" s="1863" t="s">
        <v>7500</v>
      </c>
      <c r="K1609" s="1400"/>
      <c r="L1609" s="703"/>
      <c r="M1609" s="708"/>
      <c r="N1609" s="166"/>
      <c r="P1609" s="166"/>
    </row>
    <row r="1610" spans="1:16" s="1311" customFormat="1" ht="13.2" hidden="1" customHeight="1">
      <c r="A1610" s="1861" t="s">
        <v>7812</v>
      </c>
      <c r="B1610" s="1323" t="s">
        <v>7502</v>
      </c>
      <c r="C1610" s="1716"/>
      <c r="D1610" s="1716"/>
      <c r="E1610" s="1716"/>
      <c r="F1610" s="1716"/>
      <c r="G1610" s="1863" t="s">
        <v>2118</v>
      </c>
      <c r="H1610" s="1864" t="s">
        <v>7503</v>
      </c>
      <c r="I1610" s="1723"/>
      <c r="J1610" s="1863" t="s">
        <v>4916</v>
      </c>
      <c r="K1610" s="1400"/>
      <c r="L1610" s="703"/>
      <c r="M1610" s="708"/>
      <c r="N1610" s="166"/>
      <c r="P1610" s="166"/>
    </row>
    <row r="1611" spans="1:16" s="1311" customFormat="1" ht="13.2" hidden="1" customHeight="1">
      <c r="A1611" s="2369">
        <v>45797</v>
      </c>
      <c r="B1611" s="1316" t="s">
        <v>7504</v>
      </c>
      <c r="C1611" s="1715"/>
      <c r="D1611" s="1715"/>
      <c r="E1611" s="1715"/>
      <c r="F1611" s="1715"/>
      <c r="G1611" s="1859" t="s">
        <v>2237</v>
      </c>
      <c r="H1611" s="1862" t="s">
        <v>7505</v>
      </c>
      <c r="I1611" s="1722">
        <f>22-22</f>
        <v>0</v>
      </c>
      <c r="J1611" s="1863" t="s">
        <v>4916</v>
      </c>
      <c r="K1611" s="1400"/>
      <c r="L1611" s="703"/>
      <c r="M1611" s="708"/>
      <c r="N1611" s="166"/>
      <c r="P1611" s="166"/>
    </row>
    <row r="1612" spans="1:16" s="1311" customFormat="1" ht="13.2" hidden="1" customHeight="1">
      <c r="A1612" s="2369">
        <v>45800</v>
      </c>
      <c r="B1612" s="1323" t="s">
        <v>7506</v>
      </c>
      <c r="C1612" s="1716"/>
      <c r="D1612" s="1716"/>
      <c r="E1612" s="1716"/>
      <c r="F1612" s="1716"/>
      <c r="G1612" s="1863" t="s">
        <v>1006</v>
      </c>
      <c r="H1612" s="1864" t="s">
        <v>7507</v>
      </c>
      <c r="I1612" s="1723"/>
      <c r="J1612" s="1863" t="s">
        <v>7508</v>
      </c>
      <c r="K1612" s="1400"/>
      <c r="L1612" s="703"/>
      <c r="M1612" s="708"/>
      <c r="N1612" s="166"/>
      <c r="P1612" s="166"/>
    </row>
    <row r="1613" spans="1:16" s="1311" customFormat="1" ht="13.2" hidden="1" customHeight="1">
      <c r="A1613" s="2369">
        <v>45801</v>
      </c>
      <c r="B1613" s="1323" t="s">
        <v>7509</v>
      </c>
      <c r="C1613" s="1716"/>
      <c r="D1613" s="1716"/>
      <c r="E1613" s="1716"/>
      <c r="F1613" s="1716"/>
      <c r="G1613" s="1879" t="s">
        <v>7356</v>
      </c>
      <c r="H1613" s="1864" t="s">
        <v>7510</v>
      </c>
      <c r="I1613" s="1723"/>
      <c r="J1613" s="1863" t="s">
        <v>4916</v>
      </c>
      <c r="K1613" s="1400"/>
      <c r="L1613" s="1898" t="s">
        <v>7672</v>
      </c>
      <c r="M1613" s="708"/>
      <c r="N1613" s="166"/>
      <c r="P1613" s="166"/>
    </row>
    <row r="1614" spans="1:16" s="1311" customFormat="1" ht="13.2" hidden="1" customHeight="1">
      <c r="A1614" s="2369">
        <v>45802</v>
      </c>
      <c r="B1614" s="1323" t="s">
        <v>7607</v>
      </c>
      <c r="C1614" s="1716">
        <v>97936375</v>
      </c>
      <c r="D1614" s="1716"/>
      <c r="E1614" s="1716"/>
      <c r="F1614" s="1716"/>
      <c r="G1614" s="1863" t="s">
        <v>1009</v>
      </c>
      <c r="H1614" s="1864" t="s">
        <v>7511</v>
      </c>
      <c r="I1614" s="1723"/>
      <c r="J1614" s="1863" t="s">
        <v>4916</v>
      </c>
      <c r="K1614" s="1400"/>
      <c r="L1614" s="703"/>
      <c r="M1614" s="708"/>
      <c r="N1614" s="166"/>
      <c r="P1614" s="166"/>
    </row>
    <row r="1615" spans="1:16" s="1311" customFormat="1" ht="13.2" hidden="1" customHeight="1">
      <c r="A1615" s="2369">
        <v>45804</v>
      </c>
      <c r="B1615" s="1323" t="s">
        <v>7761</v>
      </c>
      <c r="C1615" s="1961" t="s">
        <v>7762</v>
      </c>
      <c r="D1615" s="1716"/>
      <c r="E1615" s="1716"/>
      <c r="F1615" s="1716"/>
      <c r="G1615" s="1873" t="s">
        <v>1009</v>
      </c>
      <c r="H1615" s="1884" t="s">
        <v>7529</v>
      </c>
      <c r="I1615" s="1723"/>
      <c r="J1615" s="1863" t="s">
        <v>4916</v>
      </c>
      <c r="K1615" s="1400"/>
      <c r="L1615" s="703"/>
      <c r="M1615" s="708"/>
      <c r="N1615" s="166"/>
      <c r="P1615" s="166"/>
    </row>
    <row r="1616" spans="1:16" s="1311" customFormat="1" ht="13.2" hidden="1" customHeight="1">
      <c r="A1616" s="2369">
        <v>45804</v>
      </c>
      <c r="B1616" s="1323" t="s">
        <v>7581</v>
      </c>
      <c r="C1616" s="1716"/>
      <c r="D1616" s="1716"/>
      <c r="E1616" s="1716"/>
      <c r="F1616" s="1716"/>
      <c r="G1616" s="1863" t="s">
        <v>2237</v>
      </c>
      <c r="H1616" s="1864" t="s">
        <v>7512</v>
      </c>
      <c r="I1616" s="1723"/>
      <c r="J1616" s="1863" t="s">
        <v>4916</v>
      </c>
      <c r="K1616" s="1400"/>
      <c r="L1616" s="703"/>
      <c r="M1616" s="708"/>
      <c r="N1616" s="166"/>
      <c r="P1616" s="166"/>
    </row>
    <row r="1617" spans="1:16" s="1311" customFormat="1" ht="13.2" customHeight="1">
      <c r="A1617" s="2369">
        <v>45804</v>
      </c>
      <c r="B1617" s="1316" t="s">
        <v>7513</v>
      </c>
      <c r="C1617" s="1715"/>
      <c r="D1617" s="1715"/>
      <c r="E1617" s="1715"/>
      <c r="F1617" s="1715"/>
      <c r="G1617" s="1898" t="s">
        <v>7356</v>
      </c>
      <c r="H1617" s="1862" t="s">
        <v>7514</v>
      </c>
      <c r="I1617" s="1722">
        <f>21-14-2</f>
        <v>5</v>
      </c>
      <c r="J1617" s="1863" t="s">
        <v>4916</v>
      </c>
      <c r="K1617" s="1400"/>
      <c r="L1617" s="703"/>
      <c r="M1617" s="708"/>
      <c r="N1617" s="166"/>
      <c r="P1617" s="166"/>
    </row>
    <row r="1618" spans="1:16" s="1311" customFormat="1" ht="13.2" hidden="1" customHeight="1">
      <c r="A1618" s="2369">
        <v>45806</v>
      </c>
      <c r="B1618" s="1343" t="s">
        <v>7593</v>
      </c>
      <c r="C1618" s="1733">
        <v>28478576</v>
      </c>
      <c r="D1618" s="1733"/>
      <c r="E1618" s="1733"/>
      <c r="F1618" s="1733"/>
      <c r="G1618" s="1889" t="s">
        <v>1009</v>
      </c>
      <c r="H1618" s="1890" t="s">
        <v>7515</v>
      </c>
      <c r="I1618" s="1735"/>
      <c r="J1618" s="1863" t="s">
        <v>4916</v>
      </c>
      <c r="K1618" s="1400"/>
      <c r="L1618" s="703"/>
      <c r="M1618" s="708"/>
      <c r="N1618" s="166"/>
      <c r="P1618" s="166"/>
    </row>
    <row r="1619" spans="1:16" s="1311" customFormat="1" ht="13.2" hidden="1" customHeight="1">
      <c r="A1619" s="2369">
        <v>45808</v>
      </c>
      <c r="B1619" s="1323" t="s">
        <v>7550</v>
      </c>
      <c r="C1619" s="1716"/>
      <c r="D1619" s="1716"/>
      <c r="E1619" s="1716"/>
      <c r="F1619" s="1716"/>
      <c r="G1619" s="1863" t="s">
        <v>736</v>
      </c>
      <c r="H1619" s="1864" t="s">
        <v>7516</v>
      </c>
      <c r="I1619" s="1723"/>
      <c r="J1619" s="1863" t="s">
        <v>4916</v>
      </c>
      <c r="K1619" s="1400"/>
      <c r="L1619" s="703">
        <v>1</v>
      </c>
      <c r="M1619" s="1908" t="s">
        <v>6042</v>
      </c>
      <c r="N1619" s="166"/>
      <c r="P1619" s="166"/>
    </row>
    <row r="1620" spans="1:16" s="1311" customFormat="1" ht="13.2" hidden="1" customHeight="1">
      <c r="A1620" s="2369">
        <v>45810</v>
      </c>
      <c r="B1620" s="1323" t="s">
        <v>7592</v>
      </c>
      <c r="C1620" s="1716">
        <v>46305905</v>
      </c>
      <c r="D1620" s="1716"/>
      <c r="E1620" s="1716"/>
      <c r="F1620" s="1716"/>
      <c r="G1620" s="1863" t="s">
        <v>2237</v>
      </c>
      <c r="H1620" s="1864" t="s">
        <v>7517</v>
      </c>
      <c r="I1620" s="1723"/>
      <c r="J1620" s="1863" t="s">
        <v>4916</v>
      </c>
      <c r="K1620" s="1400"/>
      <c r="L1620" s="703"/>
      <c r="M1620" s="708"/>
      <c r="N1620" s="166"/>
      <c r="P1620" s="166"/>
    </row>
    <row r="1621" spans="1:16" s="1311" customFormat="1" ht="13.2" hidden="1" customHeight="1">
      <c r="A1621" s="2369">
        <v>45811</v>
      </c>
      <c r="B1621" s="1323" t="s">
        <v>7583</v>
      </c>
      <c r="C1621" s="1716"/>
      <c r="D1621" s="1716"/>
      <c r="E1621" s="1716"/>
      <c r="F1621" s="1716"/>
      <c r="G1621" s="1863" t="s">
        <v>1996</v>
      </c>
      <c r="H1621" s="1864" t="s">
        <v>7523</v>
      </c>
      <c r="I1621" s="1723"/>
      <c r="J1621" s="1863" t="s">
        <v>4913</v>
      </c>
      <c r="K1621" s="1400"/>
      <c r="L1621" s="703"/>
      <c r="M1621" s="708"/>
      <c r="N1621" s="166"/>
      <c r="P1621" s="166"/>
    </row>
    <row r="1622" spans="1:16" s="1311" customFormat="1" ht="13.2" hidden="1" customHeight="1">
      <c r="A1622" s="2370">
        <v>45818</v>
      </c>
      <c r="B1622" s="1323" t="s">
        <v>7527</v>
      </c>
      <c r="C1622" s="1716">
        <v>42082257</v>
      </c>
      <c r="D1622" s="1716"/>
      <c r="E1622" s="1716"/>
      <c r="F1622" s="1716"/>
      <c r="G1622" s="1870" t="s">
        <v>2221</v>
      </c>
      <c r="H1622" s="1883" t="s">
        <v>7525</v>
      </c>
      <c r="I1622" s="1723">
        <v>0</v>
      </c>
      <c r="J1622" s="1870" t="s">
        <v>7526</v>
      </c>
      <c r="K1622" s="1400"/>
      <c r="L1622" s="703"/>
      <c r="M1622" s="708"/>
      <c r="N1622" s="166"/>
      <c r="P1622" s="166"/>
    </row>
    <row r="1623" spans="1:16" s="1311" customFormat="1" ht="13.2" customHeight="1">
      <c r="A1623" s="2370">
        <v>45818</v>
      </c>
      <c r="B1623" s="1323" t="s">
        <v>7528</v>
      </c>
      <c r="C1623" s="1716">
        <v>79162287</v>
      </c>
      <c r="D1623" s="1716">
        <v>5058163</v>
      </c>
      <c r="E1623" s="1961" t="s">
        <v>7764</v>
      </c>
      <c r="F1623" s="1716"/>
      <c r="G1623" s="1870" t="s">
        <v>736</v>
      </c>
      <c r="H1623" s="1986" t="s">
        <v>7800</v>
      </c>
      <c r="I1623" s="1723">
        <v>0.05</v>
      </c>
      <c r="J1623" s="1961" t="s">
        <v>7770</v>
      </c>
      <c r="K1623" s="1400"/>
      <c r="L1623" s="703"/>
      <c r="M1623" s="708"/>
      <c r="N1623" s="166"/>
      <c r="P1623" s="166"/>
    </row>
    <row r="1624" spans="1:16" s="1311" customFormat="1" ht="13.2" hidden="1" customHeight="1">
      <c r="A1624" s="2371">
        <v>45821</v>
      </c>
      <c r="B1624" s="1323" t="s">
        <v>7530</v>
      </c>
      <c r="C1624" s="1716"/>
      <c r="D1624" s="1716"/>
      <c r="E1624" s="1716"/>
      <c r="F1624" s="1716"/>
      <c r="G1624" s="1873" t="s">
        <v>2071</v>
      </c>
      <c r="H1624" s="1884" t="s">
        <v>7531</v>
      </c>
      <c r="I1624" s="1723">
        <f>19.7-19.7</f>
        <v>0</v>
      </c>
      <c r="J1624" s="1873" t="s">
        <v>6393</v>
      </c>
      <c r="K1624" s="1400"/>
      <c r="L1624" s="703"/>
      <c r="M1624" s="708"/>
      <c r="N1624" s="166"/>
      <c r="P1624" s="166"/>
    </row>
    <row r="1625" spans="1:16" s="1311" customFormat="1" ht="13.2" hidden="1" customHeight="1">
      <c r="A1625" s="2371">
        <v>45824</v>
      </c>
      <c r="B1625" s="1323" t="s">
        <v>7604</v>
      </c>
      <c r="C1625" s="1716"/>
      <c r="D1625" s="1716"/>
      <c r="E1625" s="1716"/>
      <c r="F1625" s="1716"/>
      <c r="G1625" s="1873" t="s">
        <v>1009</v>
      </c>
      <c r="H1625" s="1884" t="s">
        <v>7532</v>
      </c>
      <c r="I1625" s="1723"/>
      <c r="J1625" s="1873" t="s">
        <v>4916</v>
      </c>
      <c r="K1625" s="1400"/>
      <c r="L1625" s="703"/>
      <c r="M1625" s="708"/>
      <c r="N1625" s="166"/>
      <c r="P1625" s="166"/>
    </row>
    <row r="1626" spans="1:16" s="1311" customFormat="1" ht="13.2" hidden="1" customHeight="1">
      <c r="A1626" s="2371">
        <v>45824</v>
      </c>
      <c r="B1626" s="1323" t="s">
        <v>7585</v>
      </c>
      <c r="C1626" s="1716"/>
      <c r="D1626" s="1716"/>
      <c r="E1626" s="1716"/>
      <c r="F1626" s="1716"/>
      <c r="G1626" s="1873" t="s">
        <v>713</v>
      </c>
      <c r="H1626" s="1884" t="s">
        <v>7533</v>
      </c>
      <c r="I1626" s="1723"/>
      <c r="J1626" s="1873" t="s">
        <v>4916</v>
      </c>
      <c r="K1626" s="1400"/>
      <c r="L1626" s="703"/>
      <c r="M1626" s="708"/>
      <c r="N1626" s="166"/>
      <c r="P1626" s="166"/>
    </row>
    <row r="1627" spans="1:16" s="1311" customFormat="1" ht="13.2" hidden="1" customHeight="1">
      <c r="A1627" s="2371">
        <v>45824</v>
      </c>
      <c r="B1627" s="1323" t="s">
        <v>7568</v>
      </c>
      <c r="C1627" s="1716">
        <v>84847780</v>
      </c>
      <c r="D1627" s="1716"/>
      <c r="E1627" s="1716"/>
      <c r="F1627" s="1716"/>
      <c r="G1627" s="1873" t="s">
        <v>2221</v>
      </c>
      <c r="H1627" s="1884" t="s">
        <v>7534</v>
      </c>
      <c r="I1627" s="1723">
        <f>22-22</f>
        <v>0</v>
      </c>
      <c r="J1627" s="1873" t="s">
        <v>4916</v>
      </c>
      <c r="K1627" s="1400"/>
      <c r="L1627" s="703"/>
      <c r="M1627" s="708"/>
      <c r="N1627" s="166"/>
      <c r="P1627" s="166"/>
    </row>
    <row r="1628" spans="1:16" s="1311" customFormat="1" ht="13.2" hidden="1" customHeight="1">
      <c r="A1628" s="2371">
        <v>45824</v>
      </c>
      <c r="B1628" s="1323" t="s">
        <v>7818</v>
      </c>
      <c r="C1628" s="2390" t="s">
        <v>7817</v>
      </c>
      <c r="D1628" s="1961" t="s">
        <v>3770</v>
      </c>
      <c r="E1628" s="1716"/>
      <c r="F1628" s="1716"/>
      <c r="G1628" s="1873" t="s">
        <v>713</v>
      </c>
      <c r="H1628" s="1884" t="s">
        <v>7535</v>
      </c>
      <c r="I1628" s="1723"/>
      <c r="J1628" s="1873" t="s">
        <v>4916</v>
      </c>
      <c r="K1628" s="1400">
        <v>1</v>
      </c>
      <c r="L1628" s="1991" t="s">
        <v>7824</v>
      </c>
      <c r="M1628" s="708"/>
      <c r="N1628" s="166"/>
      <c r="P1628" s="166"/>
    </row>
    <row r="1629" spans="1:16" s="1311" customFormat="1" ht="13.2" customHeight="1">
      <c r="A1629" s="2371">
        <v>45824</v>
      </c>
      <c r="B1629" s="1323" t="s">
        <v>7536</v>
      </c>
      <c r="C1629" s="1716"/>
      <c r="D1629" s="1716"/>
      <c r="E1629" s="1716"/>
      <c r="F1629" s="1716"/>
      <c r="G1629" s="1873" t="s">
        <v>1970</v>
      </c>
      <c r="H1629" s="1884" t="s">
        <v>7537</v>
      </c>
      <c r="I1629" s="1723">
        <v>2</v>
      </c>
      <c r="J1629" s="1873" t="s">
        <v>7538</v>
      </c>
      <c r="K1629" s="1400"/>
      <c r="L1629" s="703"/>
      <c r="M1629" s="708"/>
      <c r="N1629" s="166"/>
      <c r="P1629" s="166"/>
    </row>
    <row r="1630" spans="1:16" s="1311" customFormat="1" ht="13.2" customHeight="1">
      <c r="A1630" s="2371">
        <v>45826</v>
      </c>
      <c r="B1630" s="1316" t="s">
        <v>7614</v>
      </c>
      <c r="C1630" s="1715">
        <v>96849043</v>
      </c>
      <c r="D1630" s="1715"/>
      <c r="E1630" s="1715"/>
      <c r="F1630" s="1715"/>
      <c r="G1630" s="1871" t="s">
        <v>1970</v>
      </c>
      <c r="H1630" s="1872" t="s">
        <v>7539</v>
      </c>
      <c r="I1630" s="1722">
        <f>21.5-8.5-6-1</f>
        <v>6</v>
      </c>
      <c r="J1630" s="1873" t="s">
        <v>4916</v>
      </c>
      <c r="K1630" s="1400"/>
      <c r="L1630" s="703"/>
      <c r="M1630" s="708"/>
      <c r="N1630" s="166"/>
      <c r="P1630" s="166"/>
    </row>
    <row r="1631" spans="1:16" s="1311" customFormat="1" ht="13.2" hidden="1" customHeight="1">
      <c r="A1631" s="2371">
        <v>45826</v>
      </c>
      <c r="B1631" s="1323" t="s">
        <v>7577</v>
      </c>
      <c r="C1631" s="1716"/>
      <c r="D1631" s="1716"/>
      <c r="E1631" s="1716"/>
      <c r="F1631" s="1716"/>
      <c r="G1631" s="1873" t="s">
        <v>1970</v>
      </c>
      <c r="H1631" s="1884" t="s">
        <v>7540</v>
      </c>
      <c r="I1631" s="1723"/>
      <c r="J1631" s="1882" t="s">
        <v>7576</v>
      </c>
      <c r="K1631" s="1400"/>
      <c r="L1631" s="703"/>
      <c r="M1631" s="708"/>
      <c r="N1631" s="166"/>
      <c r="P1631" s="166"/>
    </row>
    <row r="1632" spans="1:16" s="1311" customFormat="1" ht="13.2" hidden="1" customHeight="1">
      <c r="A1632" s="2372">
        <v>45834</v>
      </c>
      <c r="B1632" s="1323" t="s">
        <v>7584</v>
      </c>
      <c r="C1632" s="1716"/>
      <c r="D1632" s="1716"/>
      <c r="E1632" s="1716"/>
      <c r="F1632" s="1716"/>
      <c r="G1632" s="1879" t="s">
        <v>1996</v>
      </c>
      <c r="H1632" s="1888" t="s">
        <v>7561</v>
      </c>
      <c r="I1632" s="1723"/>
      <c r="J1632" s="1879" t="s">
        <v>4916</v>
      </c>
      <c r="K1632" s="1400"/>
      <c r="L1632" s="703"/>
      <c r="M1632" s="708"/>
      <c r="N1632" s="166"/>
      <c r="P1632" s="166"/>
    </row>
    <row r="1633" spans="1:16" s="1311" customFormat="1" ht="13.2" customHeight="1">
      <c r="A1633" s="2372">
        <v>45834</v>
      </c>
      <c r="B1633" s="1323" t="s">
        <v>7562</v>
      </c>
      <c r="C1633" s="1716"/>
      <c r="D1633" s="1716"/>
      <c r="E1633" s="1716"/>
      <c r="F1633" s="1716"/>
      <c r="G1633" s="1879" t="s">
        <v>7356</v>
      </c>
      <c r="H1633" s="1888" t="s">
        <v>7563</v>
      </c>
      <c r="I1633" s="1723">
        <f>22-17</f>
        <v>5</v>
      </c>
      <c r="J1633" s="1879" t="s">
        <v>4916</v>
      </c>
      <c r="K1633" s="1400"/>
      <c r="L1633" s="1898" t="s">
        <v>7672</v>
      </c>
      <c r="M1633" s="708"/>
      <c r="N1633" s="166"/>
      <c r="P1633" s="166"/>
    </row>
    <row r="1634" spans="1:16" s="1311" customFormat="1" ht="13.2" hidden="1" customHeight="1">
      <c r="A1634" s="2372">
        <v>45834</v>
      </c>
      <c r="B1634" s="1323" t="s">
        <v>7605</v>
      </c>
      <c r="C1634" s="1716">
        <v>59174866</v>
      </c>
      <c r="D1634" s="1716"/>
      <c r="E1634" s="1716"/>
      <c r="F1634" s="1716"/>
      <c r="G1634" s="1879" t="s">
        <v>1970</v>
      </c>
      <c r="H1634" s="1888" t="s">
        <v>7564</v>
      </c>
      <c r="I1634" s="1723"/>
      <c r="J1634" s="1879" t="s">
        <v>4916</v>
      </c>
      <c r="K1634" s="1400"/>
      <c r="L1634" s="703"/>
      <c r="M1634" s="708"/>
      <c r="N1634" s="166"/>
      <c r="P1634" s="166"/>
    </row>
    <row r="1635" spans="1:16" s="1311" customFormat="1" ht="13.2" hidden="1" customHeight="1">
      <c r="A1635" s="2372">
        <v>45834</v>
      </c>
      <c r="B1635" s="1323" t="s">
        <v>7603</v>
      </c>
      <c r="C1635" s="1716">
        <v>66508857</v>
      </c>
      <c r="D1635" s="1716"/>
      <c r="E1635" s="1716"/>
      <c r="F1635" s="1716"/>
      <c r="G1635" s="1879" t="s">
        <v>1009</v>
      </c>
      <c r="H1635" s="1888" t="s">
        <v>7565</v>
      </c>
      <c r="I1635" s="1723"/>
      <c r="J1635" s="1879" t="s">
        <v>4916</v>
      </c>
      <c r="K1635" s="1400"/>
      <c r="L1635" s="703"/>
      <c r="M1635" s="708"/>
      <c r="N1635" s="166"/>
      <c r="P1635" s="166"/>
    </row>
    <row r="1636" spans="1:16" s="1311" customFormat="1" ht="13.2" hidden="1" customHeight="1">
      <c r="A1636" s="2373">
        <v>45842</v>
      </c>
      <c r="B1636" s="1323" t="s">
        <v>7759</v>
      </c>
      <c r="C1636" s="1961" t="s">
        <v>7758</v>
      </c>
      <c r="D1636" s="1716"/>
      <c r="E1636" s="1716"/>
      <c r="F1636" s="1716"/>
      <c r="G1636" s="1882" t="s">
        <v>713</v>
      </c>
      <c r="H1636" s="1896" t="s">
        <v>7573</v>
      </c>
      <c r="I1636" s="1723"/>
      <c r="J1636" s="1879" t="s">
        <v>4916</v>
      </c>
      <c r="K1636" s="1400"/>
      <c r="L1636" s="703"/>
      <c r="M1636" s="708"/>
      <c r="N1636" s="166"/>
      <c r="P1636" s="166"/>
    </row>
    <row r="1637" spans="1:16" s="1311" customFormat="1" ht="13.2" hidden="1" customHeight="1">
      <c r="A1637" s="2374">
        <v>45842</v>
      </c>
      <c r="B1637" s="1323" t="s">
        <v>7707</v>
      </c>
      <c r="C1637" s="1716">
        <v>94291299</v>
      </c>
      <c r="D1637" s="1716"/>
      <c r="E1637" s="1716"/>
      <c r="F1637" s="1716"/>
      <c r="G1637" s="1882" t="s">
        <v>1996</v>
      </c>
      <c r="H1637" s="1896" t="s">
        <v>7574</v>
      </c>
      <c r="I1637" s="1723"/>
      <c r="J1637" s="1945" t="s">
        <v>7699</v>
      </c>
      <c r="K1637" s="1400"/>
      <c r="L1637" s="703"/>
      <c r="M1637" s="708"/>
      <c r="N1637" s="166"/>
      <c r="P1637" s="166"/>
    </row>
    <row r="1638" spans="1:16" s="1311" customFormat="1" ht="13.2" hidden="1" customHeight="1">
      <c r="A1638" s="2373">
        <v>45842</v>
      </c>
      <c r="B1638" s="1323" t="s">
        <v>7750</v>
      </c>
      <c r="C1638" s="1716">
        <v>39678003</v>
      </c>
      <c r="D1638" s="1716">
        <v>5057325</v>
      </c>
      <c r="E1638" s="1961" t="s">
        <v>7765</v>
      </c>
      <c r="F1638" s="1716"/>
      <c r="G1638" s="1882" t="s">
        <v>2056</v>
      </c>
      <c r="H1638" s="1896" t="s">
        <v>7575</v>
      </c>
      <c r="I1638" s="1723"/>
      <c r="J1638" s="1879" t="s">
        <v>4916</v>
      </c>
      <c r="K1638" s="1400"/>
      <c r="L1638" s="703"/>
      <c r="M1638" s="708"/>
      <c r="N1638" s="166"/>
      <c r="P1638" s="166"/>
    </row>
    <row r="1639" spans="1:16" s="1311" customFormat="1" ht="13.2" hidden="1" customHeight="1">
      <c r="A1639" s="2373">
        <v>45842</v>
      </c>
      <c r="B1639" s="1323" t="s">
        <v>7751</v>
      </c>
      <c r="C1639" s="1965" t="s">
        <v>7752</v>
      </c>
      <c r="D1639" s="1716"/>
      <c r="E1639" s="1716"/>
      <c r="F1639" s="1716"/>
      <c r="G1639" s="1882" t="s">
        <v>2056</v>
      </c>
      <c r="H1639" s="1896" t="s">
        <v>7578</v>
      </c>
      <c r="I1639" s="1723"/>
      <c r="J1639" s="1882" t="s">
        <v>7579</v>
      </c>
      <c r="K1639" s="1400"/>
      <c r="L1639" s="703"/>
      <c r="M1639" s="708"/>
      <c r="N1639" s="166"/>
      <c r="P1639" s="166"/>
    </row>
    <row r="1640" spans="1:16" s="1311" customFormat="1" ht="13.2" hidden="1" customHeight="1">
      <c r="A1640" s="2373">
        <v>45845</v>
      </c>
      <c r="B1640" s="1323" t="s">
        <v>7815</v>
      </c>
      <c r="C1640" s="1716">
        <v>65413788</v>
      </c>
      <c r="D1640" s="1716"/>
      <c r="E1640" s="1716"/>
      <c r="F1640" s="1716"/>
      <c r="G1640" s="1882" t="s">
        <v>1970</v>
      </c>
      <c r="H1640" s="1896" t="s">
        <v>7582</v>
      </c>
      <c r="I1640" s="1723"/>
      <c r="J1640" s="1879" t="s">
        <v>4916</v>
      </c>
      <c r="K1640" s="1400"/>
      <c r="L1640" s="703"/>
      <c r="M1640" s="708"/>
      <c r="N1640" s="166"/>
      <c r="P1640" s="166"/>
    </row>
    <row r="1641" spans="1:16" s="1311" customFormat="1" ht="13.2" hidden="1" customHeight="1">
      <c r="A1641" s="2373">
        <v>45846</v>
      </c>
      <c r="B1641" s="1323" t="s">
        <v>7714</v>
      </c>
      <c r="C1641" s="1716">
        <v>94996881</v>
      </c>
      <c r="D1641" s="1716"/>
      <c r="E1641" s="1716"/>
      <c r="F1641" s="1716"/>
      <c r="G1641" s="1882" t="s">
        <v>7586</v>
      </c>
      <c r="H1641" s="1896" t="s">
        <v>7587</v>
      </c>
      <c r="I1641" s="1723">
        <f>19-9-10</f>
        <v>0</v>
      </c>
      <c r="J1641" s="1882" t="s">
        <v>6204</v>
      </c>
      <c r="K1641" s="1400">
        <v>1</v>
      </c>
      <c r="L1641" s="1991" t="s">
        <v>7824</v>
      </c>
      <c r="M1641" s="708"/>
      <c r="N1641" s="166"/>
      <c r="P1641" s="166"/>
    </row>
    <row r="1642" spans="1:16" s="1311" customFormat="1" ht="13.2" hidden="1" customHeight="1">
      <c r="A1642" s="2373">
        <v>45846</v>
      </c>
      <c r="B1642" s="1323" t="s">
        <v>7713</v>
      </c>
      <c r="C1642" s="1716">
        <v>26092001</v>
      </c>
      <c r="D1642" s="1716"/>
      <c r="E1642" s="1716"/>
      <c r="F1642" s="1716"/>
      <c r="G1642" s="1882" t="s">
        <v>2012</v>
      </c>
      <c r="H1642" s="1896" t="s">
        <v>7588</v>
      </c>
      <c r="I1642" s="1723"/>
      <c r="J1642" s="1879" t="s">
        <v>4916</v>
      </c>
      <c r="K1642" s="1400"/>
      <c r="L1642" s="703"/>
      <c r="M1642" s="708"/>
      <c r="N1642" s="166"/>
      <c r="P1642" s="166"/>
    </row>
    <row r="1643" spans="1:16" s="1311" customFormat="1" ht="13.2" customHeight="1">
      <c r="A1643" s="2373">
        <v>45846</v>
      </c>
      <c r="B1643" s="1316" t="s">
        <v>1335</v>
      </c>
      <c r="C1643" s="1715"/>
      <c r="D1643" s="1715"/>
      <c r="E1643" s="1715"/>
      <c r="F1643" s="1715"/>
      <c r="G1643" s="1881" t="s">
        <v>1972</v>
      </c>
      <c r="H1643" s="1872"/>
      <c r="I1643" s="1722">
        <f>20-5-4.5-3</f>
        <v>7.5</v>
      </c>
      <c r="J1643" s="1879" t="s">
        <v>4916</v>
      </c>
      <c r="K1643" s="1400"/>
      <c r="L1643" s="703"/>
      <c r="M1643" s="708"/>
      <c r="N1643" s="166"/>
      <c r="P1643" s="166"/>
    </row>
    <row r="1644" spans="1:16" s="1311" customFormat="1" ht="13.2" hidden="1" customHeight="1">
      <c r="A1644" s="2373">
        <v>45847</v>
      </c>
      <c r="B1644" s="1323" t="s">
        <v>7590</v>
      </c>
      <c r="C1644" s="1716"/>
      <c r="D1644" s="1716"/>
      <c r="E1644" s="1716"/>
      <c r="F1644" s="1716"/>
      <c r="G1644" s="1882" t="s">
        <v>2614</v>
      </c>
      <c r="H1644" s="1896" t="s">
        <v>7591</v>
      </c>
      <c r="I1644" s="1723"/>
      <c r="J1644" s="1893" t="s">
        <v>7602</v>
      </c>
      <c r="K1644" s="1400"/>
      <c r="L1644" s="703"/>
      <c r="M1644" s="708"/>
      <c r="N1644" s="166"/>
      <c r="P1644" s="166"/>
    </row>
    <row r="1645" spans="1:16" s="1311" customFormat="1" ht="13.2" hidden="1" customHeight="1">
      <c r="A1645" s="2373">
        <v>45848</v>
      </c>
      <c r="B1645" s="1323" t="s">
        <v>7606</v>
      </c>
      <c r="C1645" s="1716">
        <v>57610360</v>
      </c>
      <c r="D1645" s="1716"/>
      <c r="E1645" s="1716"/>
      <c r="F1645" s="1716"/>
      <c r="G1645" s="1882" t="s">
        <v>1972</v>
      </c>
      <c r="H1645" s="1896" t="s">
        <v>7598</v>
      </c>
      <c r="I1645" s="1723"/>
      <c r="J1645" s="1879" t="s">
        <v>4916</v>
      </c>
      <c r="K1645" s="1400"/>
      <c r="L1645" s="703"/>
      <c r="M1645" s="708"/>
      <c r="N1645" s="166"/>
      <c r="P1645" s="166"/>
    </row>
    <row r="1646" spans="1:16" s="1311" customFormat="1" ht="13.2" hidden="1" customHeight="1">
      <c r="A1646" s="2375">
        <v>45856</v>
      </c>
      <c r="B1646" s="1323" t="s">
        <v>7749</v>
      </c>
      <c r="C1646" s="1716">
        <v>30081987</v>
      </c>
      <c r="D1646" s="1716"/>
      <c r="E1646" s="1716"/>
      <c r="F1646" s="1716"/>
      <c r="G1646" s="1893" t="s">
        <v>2056</v>
      </c>
      <c r="H1646" s="1897" t="s">
        <v>7609</v>
      </c>
      <c r="I1646" s="1723"/>
      <c r="J1646" s="1893" t="s">
        <v>7610</v>
      </c>
      <c r="K1646" s="1400"/>
      <c r="L1646" s="703"/>
      <c r="M1646" s="708"/>
      <c r="N1646" s="166"/>
      <c r="P1646" s="166"/>
    </row>
    <row r="1647" spans="1:16" s="1311" customFormat="1" ht="13.2" hidden="1" customHeight="1">
      <c r="A1647" s="2375">
        <v>45856</v>
      </c>
      <c r="B1647" s="1323" t="s">
        <v>7611</v>
      </c>
      <c r="C1647" s="1716"/>
      <c r="D1647" s="1716"/>
      <c r="E1647" s="1716"/>
      <c r="F1647" s="1716"/>
      <c r="G1647" s="1893" t="s">
        <v>2237</v>
      </c>
      <c r="H1647" s="1896"/>
      <c r="I1647" s="1723">
        <f>20-20</f>
        <v>0</v>
      </c>
      <c r="J1647" s="1879">
        <v>1400</v>
      </c>
      <c r="K1647" s="1400"/>
      <c r="L1647" s="703"/>
      <c r="M1647" s="708"/>
      <c r="N1647" s="166"/>
      <c r="P1647" s="166"/>
    </row>
    <row r="1648" spans="1:16" s="1311" customFormat="1" ht="13.2" hidden="1" customHeight="1">
      <c r="A1648" s="2375">
        <v>45856</v>
      </c>
      <c r="B1648" s="1316" t="s">
        <v>7612</v>
      </c>
      <c r="C1648" s="1715"/>
      <c r="D1648" s="1715"/>
      <c r="E1648" s="1715"/>
      <c r="F1648" s="1715"/>
      <c r="G1648" s="1894" t="s">
        <v>1970</v>
      </c>
      <c r="H1648" s="1895" t="s">
        <v>7613</v>
      </c>
      <c r="I1648" s="1722">
        <f>22-15-2.5-4.5</f>
        <v>0</v>
      </c>
      <c r="J1648" s="1893" t="s">
        <v>4916</v>
      </c>
      <c r="K1648" s="1400"/>
      <c r="L1648" s="703"/>
      <c r="M1648" s="708"/>
      <c r="N1648" s="166"/>
      <c r="P1648" s="166"/>
    </row>
    <row r="1649" spans="1:16" s="1311" customFormat="1" ht="13.2" customHeight="1">
      <c r="A1649" s="2375">
        <v>45857</v>
      </c>
      <c r="B1649" s="1323" t="s">
        <v>7615</v>
      </c>
      <c r="C1649" s="1716"/>
      <c r="D1649" s="1716"/>
      <c r="E1649" s="1716"/>
      <c r="F1649" s="1716"/>
      <c r="G1649" s="1893" t="s">
        <v>3326</v>
      </c>
      <c r="H1649" s="1897" t="s">
        <v>7616</v>
      </c>
      <c r="I1649" s="1723">
        <v>0.05</v>
      </c>
      <c r="J1649" s="1893" t="s">
        <v>7617</v>
      </c>
      <c r="K1649" s="1400"/>
      <c r="L1649" s="703"/>
      <c r="M1649" s="708"/>
      <c r="N1649" s="166"/>
      <c r="P1649" s="166"/>
    </row>
    <row r="1650" spans="1:16" s="1311" customFormat="1" ht="13.2" hidden="1" customHeight="1">
      <c r="A1650" s="2376">
        <v>45863</v>
      </c>
      <c r="B1650" s="1323" t="s">
        <v>7850</v>
      </c>
      <c r="C1650" s="2424" t="s">
        <v>7851</v>
      </c>
      <c r="D1650" s="1716"/>
      <c r="E1650" s="1716"/>
      <c r="F1650" s="1716"/>
      <c r="G1650" s="1900" t="s">
        <v>7356</v>
      </c>
      <c r="H1650" s="1911" t="s">
        <v>7618</v>
      </c>
      <c r="I1650" s="1723">
        <f>21-21</f>
        <v>0</v>
      </c>
      <c r="J1650" s="1900" t="s">
        <v>4916</v>
      </c>
      <c r="K1650" s="1400">
        <v>1</v>
      </c>
      <c r="L1650" s="2436" t="s">
        <v>7989</v>
      </c>
      <c r="M1650" s="708"/>
      <c r="N1650" s="166"/>
      <c r="P1650" s="166"/>
    </row>
    <row r="1651" spans="1:16" s="1311" customFormat="1" ht="13.2" hidden="1" customHeight="1">
      <c r="A1651" s="2376">
        <v>45863</v>
      </c>
      <c r="B1651" s="1323" t="s">
        <v>7711</v>
      </c>
      <c r="C1651" s="1716">
        <v>74502115</v>
      </c>
      <c r="D1651" s="1716"/>
      <c r="E1651" s="1716"/>
      <c r="F1651" s="1716"/>
      <c r="G1651" s="1900" t="s">
        <v>2124</v>
      </c>
      <c r="H1651" s="1911" t="s">
        <v>7619</v>
      </c>
      <c r="I1651" s="1723"/>
      <c r="J1651" s="1900" t="s">
        <v>4916</v>
      </c>
      <c r="K1651" s="1400"/>
      <c r="L1651" s="703"/>
      <c r="M1651" s="708"/>
      <c r="N1651" s="166"/>
      <c r="P1651" s="166"/>
    </row>
    <row r="1652" spans="1:16" s="1311" customFormat="1" ht="13.2" hidden="1" customHeight="1">
      <c r="A1652" s="2376">
        <v>45866</v>
      </c>
      <c r="B1652" s="1323" t="s">
        <v>7772</v>
      </c>
      <c r="C1652" s="1716">
        <v>53938730</v>
      </c>
      <c r="D1652" s="1716"/>
      <c r="E1652" s="1716"/>
      <c r="F1652" s="1716"/>
      <c r="G1652" s="1900" t="s">
        <v>1972</v>
      </c>
      <c r="H1652" s="1911" t="s">
        <v>7620</v>
      </c>
      <c r="I1652" s="1723"/>
      <c r="J1652" s="1900" t="s">
        <v>4916</v>
      </c>
      <c r="K1652" s="1400"/>
      <c r="L1652" s="703"/>
      <c r="M1652" s="708"/>
      <c r="N1652" s="166"/>
      <c r="P1652" s="166"/>
    </row>
    <row r="1653" spans="1:16" s="1311" customFormat="1" ht="13.2" hidden="1" customHeight="1">
      <c r="A1653" s="2376">
        <v>45866</v>
      </c>
      <c r="B1653" s="1323" t="s">
        <v>7621</v>
      </c>
      <c r="C1653" s="1716"/>
      <c r="D1653" s="1716"/>
      <c r="E1653" s="1716"/>
      <c r="F1653" s="1716"/>
      <c r="G1653" s="1900" t="s">
        <v>3312</v>
      </c>
      <c r="H1653" s="1911" t="s">
        <v>7622</v>
      </c>
      <c r="I1653" s="1723"/>
      <c r="J1653" s="1900" t="s">
        <v>4916</v>
      </c>
      <c r="K1653" s="1400"/>
      <c r="L1653" s="703"/>
      <c r="M1653" s="708"/>
      <c r="N1653" s="166"/>
      <c r="P1653" s="166"/>
    </row>
    <row r="1654" spans="1:16" s="1311" customFormat="1" ht="13.2" hidden="1" customHeight="1">
      <c r="A1654" s="2376">
        <v>45867</v>
      </c>
      <c r="B1654" s="1323" t="s">
        <v>7715</v>
      </c>
      <c r="C1654" s="1950" t="s">
        <v>7716</v>
      </c>
      <c r="D1654" s="1716"/>
      <c r="E1654" s="1716"/>
      <c r="F1654" s="1716"/>
      <c r="G1654" s="1900" t="s">
        <v>3835</v>
      </c>
      <c r="H1654" s="1911" t="s">
        <v>7623</v>
      </c>
      <c r="I1654" s="1723"/>
      <c r="J1654" s="1900" t="s">
        <v>4916</v>
      </c>
      <c r="K1654" s="1400"/>
      <c r="L1654" s="703"/>
      <c r="M1654" s="708"/>
      <c r="N1654" s="166"/>
      <c r="P1654" s="166"/>
    </row>
    <row r="1655" spans="1:16" s="1311" customFormat="1" ht="13.2" hidden="1" customHeight="1">
      <c r="A1655" s="2376">
        <v>45867</v>
      </c>
      <c r="B1655" s="1323" t="s">
        <v>7624</v>
      </c>
      <c r="C1655" s="1716"/>
      <c r="D1655" s="1716"/>
      <c r="E1655" s="1716"/>
      <c r="F1655" s="1716"/>
      <c r="G1655" s="1900" t="s">
        <v>667</v>
      </c>
      <c r="H1655" s="1911" t="s">
        <v>7625</v>
      </c>
      <c r="I1655" s="1723"/>
      <c r="J1655" s="1900" t="s">
        <v>4916</v>
      </c>
      <c r="K1655" s="1400"/>
      <c r="L1655" s="703"/>
      <c r="M1655" s="708"/>
      <c r="N1655" s="166"/>
      <c r="P1655" s="166"/>
    </row>
    <row r="1656" spans="1:16" s="1311" customFormat="1" ht="13.2" hidden="1" customHeight="1">
      <c r="A1656" s="2376">
        <v>45868</v>
      </c>
      <c r="B1656" s="1323" t="s">
        <v>7712</v>
      </c>
      <c r="C1656" s="1716"/>
      <c r="D1656" s="1716"/>
      <c r="E1656" s="1716"/>
      <c r="F1656" s="1716"/>
      <c r="G1656" s="1900" t="s">
        <v>2124</v>
      </c>
      <c r="H1656" s="1911"/>
      <c r="I1656" s="1723"/>
      <c r="J1656" s="1900" t="s">
        <v>4916</v>
      </c>
      <c r="K1656" s="1400"/>
      <c r="L1656" s="703"/>
      <c r="M1656" s="708"/>
      <c r="N1656" s="166"/>
      <c r="P1656" s="166"/>
    </row>
    <row r="1657" spans="1:16" s="1311" customFormat="1" ht="13.2" hidden="1" customHeight="1">
      <c r="A1657" s="2376">
        <v>45870</v>
      </c>
      <c r="B1657" s="1323" t="s">
        <v>7781</v>
      </c>
      <c r="C1657" s="2394" t="s">
        <v>7780</v>
      </c>
      <c r="D1657" s="1716"/>
      <c r="E1657" s="1716"/>
      <c r="F1657" s="1716"/>
      <c r="G1657" s="1900" t="s">
        <v>1970</v>
      </c>
      <c r="H1657" s="1911" t="s">
        <v>7627</v>
      </c>
      <c r="I1657" s="1723"/>
      <c r="J1657" s="1900" t="s">
        <v>4916</v>
      </c>
      <c r="K1657" s="1400"/>
      <c r="L1657" s="703"/>
      <c r="M1657" s="708"/>
      <c r="N1657" s="166"/>
      <c r="P1657" s="166"/>
    </row>
    <row r="1658" spans="1:16" s="1311" customFormat="1" ht="13.2" hidden="1" customHeight="1">
      <c r="A1658" s="2376">
        <v>45880</v>
      </c>
      <c r="B1658" s="1323" t="s">
        <v>7847</v>
      </c>
      <c r="C1658" s="2419" t="s">
        <v>7848</v>
      </c>
      <c r="D1658" s="1716"/>
      <c r="E1658" s="1716"/>
      <c r="F1658" s="1716"/>
      <c r="G1658" s="1900" t="s">
        <v>7356</v>
      </c>
      <c r="H1658" s="1911" t="s">
        <v>7641</v>
      </c>
      <c r="I1658" s="1723"/>
      <c r="J1658" s="1900" t="s">
        <v>4916</v>
      </c>
      <c r="K1658" s="1400">
        <v>1</v>
      </c>
      <c r="L1658" s="2436" t="s">
        <v>7989</v>
      </c>
      <c r="M1658" s="708"/>
      <c r="N1658" s="166"/>
      <c r="P1658" s="166"/>
    </row>
    <row r="1659" spans="1:16" s="1311" customFormat="1" ht="13.2" hidden="1" customHeight="1">
      <c r="A1659" s="2376">
        <v>45880</v>
      </c>
      <c r="B1659" s="1316" t="s">
        <v>7642</v>
      </c>
      <c r="C1659" s="1715"/>
      <c r="D1659" s="1715"/>
      <c r="E1659" s="1715"/>
      <c r="F1659" s="1715"/>
      <c r="G1659" s="1898" t="s">
        <v>2073</v>
      </c>
      <c r="H1659" s="1899" t="s">
        <v>7643</v>
      </c>
      <c r="I1659" s="1722"/>
      <c r="J1659" s="1900" t="s">
        <v>4916</v>
      </c>
      <c r="K1659" s="1400"/>
      <c r="L1659" s="703"/>
      <c r="M1659" s="708"/>
      <c r="N1659" s="166"/>
      <c r="P1659" s="166"/>
    </row>
    <row r="1660" spans="1:16" s="1311" customFormat="1" ht="13.2" hidden="1" customHeight="1">
      <c r="A1660" s="2376">
        <v>45880</v>
      </c>
      <c r="B1660" s="1323" t="s">
        <v>7644</v>
      </c>
      <c r="C1660" s="1716"/>
      <c r="D1660" s="1716"/>
      <c r="E1660" s="1716"/>
      <c r="F1660" s="1716"/>
      <c r="G1660" s="1900" t="s">
        <v>2749</v>
      </c>
      <c r="H1660" s="1911" t="s">
        <v>7645</v>
      </c>
      <c r="I1660" s="1723"/>
      <c r="J1660" s="1900" t="s">
        <v>7646</v>
      </c>
      <c r="K1660" s="1400"/>
      <c r="L1660" s="703"/>
      <c r="M1660" s="708"/>
      <c r="N1660" s="166"/>
      <c r="P1660" s="166"/>
    </row>
    <row r="1661" spans="1:16" s="1311" customFormat="1" ht="13.2" hidden="1" customHeight="1">
      <c r="A1661" s="2376">
        <v>45880</v>
      </c>
      <c r="B1661" s="1323" t="s">
        <v>7748</v>
      </c>
      <c r="C1661" s="1716">
        <v>62563152</v>
      </c>
      <c r="D1661" s="1716"/>
      <c r="E1661" s="1716"/>
      <c r="F1661" s="1716"/>
      <c r="G1661" s="1900" t="s">
        <v>2056</v>
      </c>
      <c r="H1661" s="1962" t="s">
        <v>7745</v>
      </c>
      <c r="I1661" s="1723"/>
      <c r="J1661" s="1900" t="s">
        <v>7647</v>
      </c>
      <c r="K1661" s="1400"/>
      <c r="L1661" s="703"/>
      <c r="M1661" s="708"/>
      <c r="N1661" s="166"/>
      <c r="P1661" s="166"/>
    </row>
    <row r="1662" spans="1:16" s="1311" customFormat="1" ht="13.2" hidden="1" customHeight="1">
      <c r="A1662" s="2376">
        <v>45884</v>
      </c>
      <c r="B1662" s="1323" t="s">
        <v>7746</v>
      </c>
      <c r="C1662" s="1961" t="s">
        <v>7747</v>
      </c>
      <c r="D1662" s="1961"/>
      <c r="E1662" s="1961"/>
      <c r="F1662" s="1961"/>
      <c r="G1662" s="1961" t="s">
        <v>7356</v>
      </c>
      <c r="H1662" s="1962" t="s">
        <v>7649</v>
      </c>
      <c r="I1662" s="1963"/>
      <c r="J1662" s="1900" t="s">
        <v>4766</v>
      </c>
      <c r="K1662" s="1400"/>
      <c r="L1662" s="703"/>
      <c r="M1662" s="708"/>
      <c r="N1662" s="166"/>
      <c r="P1662" s="166"/>
    </row>
    <row r="1663" spans="1:16" s="1311" customFormat="1" ht="13.2" hidden="1" customHeight="1">
      <c r="A1663" s="2376">
        <v>45884</v>
      </c>
      <c r="B1663" s="1323" t="s">
        <v>7760</v>
      </c>
      <c r="C1663" s="1716">
        <v>41194586</v>
      </c>
      <c r="D1663" s="1716"/>
      <c r="E1663" s="1716"/>
      <c r="F1663" s="1716"/>
      <c r="G1663" s="1900" t="s">
        <v>713</v>
      </c>
      <c r="H1663" s="1911" t="s">
        <v>7650</v>
      </c>
      <c r="I1663" s="1723"/>
      <c r="J1663" s="1900" t="s">
        <v>4766</v>
      </c>
      <c r="K1663" s="1400"/>
      <c r="L1663" s="703"/>
      <c r="M1663" s="708"/>
      <c r="N1663" s="166"/>
      <c r="P1663" s="166"/>
    </row>
    <row r="1664" spans="1:16" s="1311" customFormat="1" ht="13.2" hidden="1" customHeight="1">
      <c r="A1664" s="2376">
        <v>45884</v>
      </c>
      <c r="B1664" s="1323" t="s">
        <v>7651</v>
      </c>
      <c r="C1664" s="1716"/>
      <c r="D1664" s="1716"/>
      <c r="E1664" s="1716"/>
      <c r="F1664" s="1716"/>
      <c r="G1664" s="1900" t="s">
        <v>5598</v>
      </c>
      <c r="H1664" s="1911" t="s">
        <v>7652</v>
      </c>
      <c r="I1664" s="1723"/>
      <c r="J1664" s="1900" t="s">
        <v>7653</v>
      </c>
      <c r="K1664" s="1400"/>
      <c r="L1664" s="703"/>
      <c r="M1664" s="708"/>
      <c r="N1664" s="166"/>
      <c r="P1664" s="166"/>
    </row>
    <row r="1665" spans="1:16" s="1311" customFormat="1" ht="13.2" hidden="1" customHeight="1">
      <c r="A1665" s="2376">
        <v>45887</v>
      </c>
      <c r="B1665" s="1408" t="s">
        <v>7654</v>
      </c>
      <c r="C1665" s="1919"/>
      <c r="D1665" s="1919"/>
      <c r="E1665" s="1919"/>
      <c r="F1665" s="1919"/>
      <c r="G1665" s="1920" t="s">
        <v>5598</v>
      </c>
      <c r="H1665" s="1921" t="s">
        <v>7655</v>
      </c>
      <c r="I1665" s="1922"/>
      <c r="J1665" s="1900" t="s">
        <v>7656</v>
      </c>
      <c r="K1665" s="1400"/>
      <c r="L1665" s="703"/>
      <c r="M1665" s="708"/>
      <c r="N1665" s="166"/>
      <c r="P1665" s="166"/>
    </row>
    <row r="1666" spans="1:16" s="1311" customFormat="1" ht="13.2" hidden="1" customHeight="1">
      <c r="A1666" s="2376">
        <v>45888</v>
      </c>
      <c r="B1666" s="1323" t="s">
        <v>7787</v>
      </c>
      <c r="C1666" s="1961">
        <v>23259253</v>
      </c>
      <c r="D1666" s="1716"/>
      <c r="E1666" s="1716"/>
      <c r="F1666" s="1716"/>
      <c r="G1666" s="1900" t="s">
        <v>713</v>
      </c>
      <c r="H1666" s="1911" t="s">
        <v>7669</v>
      </c>
      <c r="I1666" s="1723"/>
      <c r="J1666" s="1900" t="s">
        <v>4766</v>
      </c>
      <c r="K1666" s="1400"/>
      <c r="L1666" s="703"/>
      <c r="M1666" s="708"/>
      <c r="N1666" s="166"/>
      <c r="P1666" s="166"/>
    </row>
    <row r="1667" spans="1:16" s="1311" customFormat="1" ht="13.2" hidden="1" customHeight="1">
      <c r="A1667" s="2376">
        <v>45888</v>
      </c>
      <c r="B1667" s="1323" t="s">
        <v>7754</v>
      </c>
      <c r="C1667" s="1961" t="s">
        <v>7753</v>
      </c>
      <c r="D1667" s="1716"/>
      <c r="E1667" s="1716"/>
      <c r="F1667" s="1716"/>
      <c r="G1667" s="1900" t="s">
        <v>7356</v>
      </c>
      <c r="H1667" s="1911" t="s">
        <v>7670</v>
      </c>
      <c r="I1667" s="1723"/>
      <c r="J1667" s="1900" t="s">
        <v>4766</v>
      </c>
      <c r="K1667" s="1400"/>
      <c r="L1667" s="703"/>
      <c r="M1667" s="708"/>
      <c r="N1667" s="166"/>
      <c r="P1667" s="166"/>
    </row>
    <row r="1668" spans="1:16" s="1311" customFormat="1" ht="13.2" hidden="1" customHeight="1">
      <c r="A1668" s="2376">
        <v>45888</v>
      </c>
      <c r="B1668" s="1323" t="s">
        <v>7792</v>
      </c>
      <c r="C1668" s="1976" t="s">
        <v>7791</v>
      </c>
      <c r="D1668" s="1716"/>
      <c r="E1668" s="1716"/>
      <c r="F1668" s="1716"/>
      <c r="G1668" s="1900" t="s">
        <v>1970</v>
      </c>
      <c r="H1668" s="1911" t="s">
        <v>7671</v>
      </c>
      <c r="I1668" s="1723">
        <v>0</v>
      </c>
      <c r="J1668" s="1976" t="s">
        <v>7788</v>
      </c>
      <c r="K1668" s="1400"/>
      <c r="L1668" s="703"/>
      <c r="M1668" s="708"/>
      <c r="N1668" s="166"/>
      <c r="P1668" s="166"/>
    </row>
    <row r="1669" spans="1:16" s="1311" customFormat="1" ht="13.2" hidden="1" customHeight="1">
      <c r="A1669" s="2376">
        <v>45889</v>
      </c>
      <c r="B1669" s="1316" t="s">
        <v>7673</v>
      </c>
      <c r="C1669" s="1715"/>
      <c r="D1669" s="1715"/>
      <c r="E1669" s="1715"/>
      <c r="F1669" s="1715"/>
      <c r="G1669" s="1898" t="s">
        <v>2118</v>
      </c>
      <c r="H1669" s="1899" t="s">
        <v>7674</v>
      </c>
      <c r="I1669" s="1722"/>
      <c r="J1669" s="1900" t="s">
        <v>7656</v>
      </c>
      <c r="K1669" s="1400"/>
      <c r="L1669" s="703"/>
      <c r="M1669" s="708"/>
      <c r="N1669" s="166"/>
      <c r="P1669" s="166"/>
    </row>
    <row r="1670" spans="1:16" s="1311" customFormat="1" ht="13.2" hidden="1" customHeight="1">
      <c r="A1670" s="2376">
        <v>45890</v>
      </c>
      <c r="B1670" s="1323" t="s">
        <v>7820</v>
      </c>
      <c r="C1670" s="2394" t="s">
        <v>7823</v>
      </c>
      <c r="D1670" s="1716"/>
      <c r="E1670" s="1716"/>
      <c r="F1670" s="1716"/>
      <c r="G1670" s="1900" t="s">
        <v>1970</v>
      </c>
      <c r="H1670" s="2397" t="s">
        <v>7819</v>
      </c>
      <c r="I1670" s="1723"/>
      <c r="J1670" s="1900" t="s">
        <v>4766</v>
      </c>
      <c r="K1670" s="1400"/>
      <c r="L1670" s="703"/>
      <c r="M1670" s="708"/>
      <c r="N1670" s="166"/>
      <c r="P1670" s="166"/>
    </row>
    <row r="1671" spans="1:16" s="1311" customFormat="1" ht="13.2" hidden="1" customHeight="1">
      <c r="A1671" s="2376">
        <v>45894</v>
      </c>
      <c r="B1671" s="1323" t="s">
        <v>7763</v>
      </c>
      <c r="C1671" s="1716">
        <v>50879864</v>
      </c>
      <c r="D1671" s="1716">
        <v>5057931</v>
      </c>
      <c r="E1671" s="1961" t="s">
        <v>7765</v>
      </c>
      <c r="F1671" s="1716"/>
      <c r="G1671" s="1900" t="s">
        <v>713</v>
      </c>
      <c r="H1671" s="1911" t="s">
        <v>7677</v>
      </c>
      <c r="I1671" s="1723"/>
      <c r="J1671" s="1900" t="s">
        <v>4766</v>
      </c>
      <c r="K1671" s="1400"/>
      <c r="L1671" s="703"/>
      <c r="M1671" s="708"/>
      <c r="N1671" s="166"/>
      <c r="P1671" s="166"/>
    </row>
    <row r="1672" spans="1:16" s="1311" customFormat="1" ht="13.2" hidden="1" customHeight="1">
      <c r="A1672" s="2376">
        <v>45890</v>
      </c>
      <c r="B1672" s="1323" t="s">
        <v>7766</v>
      </c>
      <c r="C1672" s="1716"/>
      <c r="D1672" s="1716"/>
      <c r="E1672" s="1716"/>
      <c r="F1672" s="1716"/>
      <c r="G1672" s="1900" t="s">
        <v>7356</v>
      </c>
      <c r="H1672" s="1911" t="s">
        <v>7678</v>
      </c>
      <c r="I1672" s="1723"/>
      <c r="J1672" s="1900" t="s">
        <v>4766</v>
      </c>
      <c r="K1672" s="1400"/>
      <c r="L1672" s="703"/>
      <c r="M1672" s="708"/>
      <c r="N1672" s="166"/>
      <c r="P1672" s="166"/>
    </row>
    <row r="1673" spans="1:16" s="1311" customFormat="1" ht="13.2" hidden="1" customHeight="1">
      <c r="A1673" s="1800">
        <v>0</v>
      </c>
      <c r="B1673" s="1316"/>
      <c r="C1673" s="1715"/>
      <c r="D1673" s="1715"/>
      <c r="E1673" s="1715"/>
      <c r="F1673" s="1715"/>
      <c r="G1673" s="1805"/>
      <c r="H1673" s="1721"/>
      <c r="I1673" s="1722"/>
      <c r="J1673" s="1716"/>
      <c r="K1673" s="1400"/>
      <c r="L1673" s="703"/>
      <c r="M1673" s="708"/>
      <c r="N1673" s="166"/>
      <c r="P1673" s="166"/>
    </row>
    <row r="1674" spans="1:16" s="1311" customFormat="1" ht="13.2" hidden="1" customHeight="1">
      <c r="A1674" s="2377">
        <v>45898</v>
      </c>
      <c r="B1674" s="1323" t="s">
        <v>7679</v>
      </c>
      <c r="C1674" s="1716"/>
      <c r="D1674" s="1716"/>
      <c r="E1674" s="1716"/>
      <c r="F1674" s="1716"/>
      <c r="G1674" s="1900" t="s">
        <v>2266</v>
      </c>
      <c r="H1674" s="1911" t="s">
        <v>7680</v>
      </c>
      <c r="I1674" s="1723">
        <f>18-1-17</f>
        <v>0</v>
      </c>
      <c r="J1674" s="1900" t="s">
        <v>7681</v>
      </c>
      <c r="K1674" s="1400"/>
      <c r="L1674" s="703"/>
      <c r="M1674" s="708"/>
      <c r="N1674" s="166"/>
      <c r="P1674" s="166"/>
    </row>
    <row r="1675" spans="1:16" s="1311" customFormat="1" ht="13.2" hidden="1" customHeight="1">
      <c r="A1675" s="2378">
        <v>45903</v>
      </c>
      <c r="B1675" s="1323" t="s">
        <v>7768</v>
      </c>
      <c r="C1675" s="1961" t="s">
        <v>7769</v>
      </c>
      <c r="D1675" s="1716"/>
      <c r="E1675" s="1716"/>
      <c r="F1675" s="1716"/>
      <c r="G1675" s="1924" t="s">
        <v>2056</v>
      </c>
      <c r="H1675" s="1962" t="s">
        <v>7683</v>
      </c>
      <c r="I1675" s="1723"/>
      <c r="J1675" s="1924" t="s">
        <v>7684</v>
      </c>
      <c r="K1675" s="1400"/>
      <c r="L1675" s="703"/>
      <c r="M1675" s="708"/>
      <c r="N1675" s="166"/>
      <c r="P1675" s="166"/>
    </row>
    <row r="1676" spans="1:16" s="1311" customFormat="1" ht="13.2" hidden="1" customHeight="1">
      <c r="A1676" s="2379">
        <v>45903</v>
      </c>
      <c r="B1676" s="1323" t="s">
        <v>7709</v>
      </c>
      <c r="C1676" s="1716">
        <v>16561220</v>
      </c>
      <c r="D1676" s="1716"/>
      <c r="E1676" s="1716"/>
      <c r="F1676" s="1716"/>
      <c r="G1676" s="1954" t="s">
        <v>7710</v>
      </c>
      <c r="H1676" s="1947" t="s">
        <v>7685</v>
      </c>
      <c r="I1676" s="1723"/>
      <c r="J1676" s="1924" t="s">
        <v>7684</v>
      </c>
      <c r="K1676" s="1400"/>
      <c r="L1676" s="703"/>
      <c r="M1676" s="708"/>
      <c r="N1676" s="166"/>
      <c r="P1676" s="166"/>
    </row>
    <row r="1677" spans="1:16" s="1311" customFormat="1" ht="13.2" hidden="1" customHeight="1">
      <c r="A1677" s="2379">
        <v>45903</v>
      </c>
      <c r="B1677" s="1323" t="s">
        <v>7822</v>
      </c>
      <c r="C1677" s="2390" t="s">
        <v>7823</v>
      </c>
      <c r="D1677" s="1716"/>
      <c r="E1677" s="1716"/>
      <c r="F1677" s="1716"/>
      <c r="G1677" s="1924" t="s">
        <v>2251</v>
      </c>
      <c r="H1677" s="1947" t="s">
        <v>7686</v>
      </c>
      <c r="I1677" s="1723">
        <v>0</v>
      </c>
      <c r="J1677" s="1924" t="s">
        <v>7684</v>
      </c>
      <c r="K1677" s="1400"/>
      <c r="L1677" s="703"/>
      <c r="M1677" s="708"/>
      <c r="N1677" s="166"/>
      <c r="P1677" s="166"/>
    </row>
    <row r="1678" spans="1:16" s="1311" customFormat="1" ht="13.2" hidden="1" customHeight="1">
      <c r="A1678" s="2379">
        <v>45903</v>
      </c>
      <c r="B1678" s="1323" t="s">
        <v>7855</v>
      </c>
      <c r="C1678" s="2424" t="s">
        <v>7854</v>
      </c>
      <c r="D1678" s="1716"/>
      <c r="E1678" s="1716"/>
      <c r="F1678" s="1716"/>
      <c r="G1678" s="1924" t="s">
        <v>7687</v>
      </c>
      <c r="H1678" s="1947" t="s">
        <v>7688</v>
      </c>
      <c r="I1678" s="1723">
        <f>22-22</f>
        <v>0</v>
      </c>
      <c r="J1678" s="1924" t="s">
        <v>7684</v>
      </c>
      <c r="K1678" s="1400">
        <v>1</v>
      </c>
      <c r="L1678" s="2436" t="s">
        <v>7989</v>
      </c>
      <c r="M1678" s="708"/>
      <c r="N1678" s="166"/>
      <c r="P1678" s="166"/>
    </row>
    <row r="1679" spans="1:16" s="1311" customFormat="1" ht="13.2" hidden="1" customHeight="1">
      <c r="A1679" s="2378">
        <v>45920</v>
      </c>
      <c r="B1679" s="1323" t="s">
        <v>7773</v>
      </c>
      <c r="C1679" s="1716">
        <v>161196</v>
      </c>
      <c r="D1679" s="1716"/>
      <c r="E1679" s="1716"/>
      <c r="F1679" s="1716"/>
      <c r="G1679" s="1924" t="s">
        <v>3312</v>
      </c>
      <c r="H1679" s="1947" t="s">
        <v>7694</v>
      </c>
      <c r="I1679" s="1723"/>
      <c r="J1679" s="1924" t="s">
        <v>7684</v>
      </c>
      <c r="K1679" s="1400"/>
      <c r="L1679" s="703"/>
      <c r="M1679" s="708"/>
      <c r="N1679" s="166"/>
      <c r="P1679" s="166"/>
    </row>
    <row r="1680" spans="1:16" s="1311" customFormat="1" ht="13.2" hidden="1" customHeight="1">
      <c r="A1680" s="2380">
        <v>45929</v>
      </c>
      <c r="B1680" s="1323" t="s">
        <v>7702</v>
      </c>
      <c r="C1680" s="1716">
        <v>67710418</v>
      </c>
      <c r="D1680" s="1716"/>
      <c r="E1680" s="1716"/>
      <c r="F1680" s="1716"/>
      <c r="G1680" s="1945" t="s">
        <v>1996</v>
      </c>
      <c r="H1680" s="1947"/>
      <c r="I1680" s="1723"/>
      <c r="J1680" s="1924" t="s">
        <v>7684</v>
      </c>
      <c r="K1680" s="1400"/>
      <c r="L1680" s="703"/>
      <c r="M1680" s="708"/>
      <c r="N1680" s="166"/>
      <c r="P1680" s="166"/>
    </row>
    <row r="1681" spans="1:16" s="1311" customFormat="1" ht="13.2" hidden="1" customHeight="1">
      <c r="A1681" s="2380">
        <v>45929</v>
      </c>
      <c r="B1681" s="1323" t="s">
        <v>7697</v>
      </c>
      <c r="C1681" s="1716"/>
      <c r="D1681" s="1716"/>
      <c r="E1681" s="1716"/>
      <c r="F1681" s="1716"/>
      <c r="G1681" s="1945" t="s">
        <v>2288</v>
      </c>
      <c r="H1681" s="1951" t="s">
        <v>7698</v>
      </c>
      <c r="I1681" s="1723"/>
      <c r="J1681" s="1924" t="s">
        <v>7684</v>
      </c>
      <c r="K1681" s="1400"/>
      <c r="L1681" s="703"/>
      <c r="M1681" s="708"/>
      <c r="N1681" s="166"/>
      <c r="P1681" s="166"/>
    </row>
    <row r="1682" spans="1:16" s="1311" customFormat="1" ht="13.2" hidden="1" customHeight="1">
      <c r="A1682" s="2381">
        <v>45929</v>
      </c>
      <c r="B1682" s="1323" t="s">
        <v>7708</v>
      </c>
      <c r="C1682" s="1716">
        <v>37277529</v>
      </c>
      <c r="D1682" s="1716"/>
      <c r="E1682" s="1716"/>
      <c r="F1682" s="1716"/>
      <c r="G1682" s="1945" t="s">
        <v>1006</v>
      </c>
      <c r="H1682" s="1951" t="s">
        <v>7700</v>
      </c>
      <c r="I1682" s="1723"/>
      <c r="J1682" s="1924" t="s">
        <v>7684</v>
      </c>
      <c r="K1682" s="1400"/>
      <c r="L1682" s="703"/>
      <c r="M1682" s="708"/>
      <c r="N1682" s="166"/>
      <c r="P1682" s="166"/>
    </row>
    <row r="1683" spans="1:16" s="1311" customFormat="1" ht="13.2" customHeight="1">
      <c r="A1683" s="2382">
        <v>45945</v>
      </c>
      <c r="B1683" s="1323" t="s">
        <v>7832</v>
      </c>
      <c r="C1683" s="2398" t="s">
        <v>7831</v>
      </c>
      <c r="D1683" s="1716"/>
      <c r="E1683" s="1716"/>
      <c r="F1683" s="1716"/>
      <c r="G1683" s="1954" t="s">
        <v>7687</v>
      </c>
      <c r="H1683" s="2478" t="s">
        <v>7840</v>
      </c>
      <c r="I1683" s="1723">
        <v>22</v>
      </c>
      <c r="J1683" s="1924" t="s">
        <v>7684</v>
      </c>
      <c r="K1683" s="1400"/>
      <c r="L1683" s="703"/>
      <c r="M1683" s="708"/>
      <c r="N1683" s="166"/>
      <c r="P1683" s="166"/>
    </row>
    <row r="1684" spans="1:16" s="1311" customFormat="1" ht="13.2" hidden="1" customHeight="1">
      <c r="A1684" s="2382">
        <v>45945</v>
      </c>
      <c r="B1684" s="1323" t="s">
        <v>7756</v>
      </c>
      <c r="C1684" s="1716" t="s">
        <v>7755</v>
      </c>
      <c r="D1684" s="1716"/>
      <c r="E1684" s="1716"/>
      <c r="F1684" s="1716"/>
      <c r="G1684" s="1954" t="s">
        <v>1972</v>
      </c>
      <c r="H1684" s="1957" t="s">
        <v>7726</v>
      </c>
      <c r="I1684" s="1723"/>
      <c r="J1684" s="1954" t="s">
        <v>7727</v>
      </c>
      <c r="K1684" s="1400"/>
      <c r="L1684" s="703"/>
      <c r="M1684" s="708"/>
      <c r="N1684" s="166"/>
      <c r="P1684" s="166"/>
    </row>
    <row r="1685" spans="1:16" s="1311" customFormat="1" ht="13.2" hidden="1" customHeight="1">
      <c r="A1685" s="2383">
        <v>45945</v>
      </c>
      <c r="B1685" s="1323" t="s">
        <v>7767</v>
      </c>
      <c r="C1685" s="1716">
        <v>10470654</v>
      </c>
      <c r="D1685" s="1716"/>
      <c r="E1685" s="1716"/>
      <c r="F1685" s="1716"/>
      <c r="G1685" s="1954" t="s">
        <v>7728</v>
      </c>
      <c r="H1685" s="1957" t="s">
        <v>7729</v>
      </c>
      <c r="I1685" s="1723"/>
      <c r="J1685" s="1954"/>
      <c r="K1685" s="1400"/>
      <c r="L1685" s="703"/>
      <c r="M1685" s="708"/>
      <c r="N1685" s="166"/>
      <c r="P1685" s="166"/>
    </row>
    <row r="1686" spans="1:16" s="1311" customFormat="1" ht="13.2" hidden="1" customHeight="1">
      <c r="A1686" s="2383">
        <v>45950</v>
      </c>
      <c r="B1686" s="1323" t="s">
        <v>7735</v>
      </c>
      <c r="C1686" s="1961" t="s">
        <v>7736</v>
      </c>
      <c r="D1686" s="1716"/>
      <c r="E1686" s="1716"/>
      <c r="F1686" s="1716"/>
      <c r="G1686" s="1961" t="s">
        <v>2124</v>
      </c>
      <c r="H1686" s="1957" t="s">
        <v>7737</v>
      </c>
      <c r="I1686" s="1723"/>
      <c r="J1686" s="1954" t="s">
        <v>7684</v>
      </c>
      <c r="K1686" s="1400"/>
      <c r="L1686" s="703"/>
      <c r="M1686" s="708"/>
      <c r="N1686" s="166"/>
      <c r="P1686" s="166"/>
    </row>
    <row r="1687" spans="1:16" s="1311" customFormat="1" ht="13.2" hidden="1" customHeight="1">
      <c r="A1687" s="2382">
        <v>45951</v>
      </c>
      <c r="B1687" s="1323" t="s">
        <v>7740</v>
      </c>
      <c r="C1687" s="1954" t="s">
        <v>7739</v>
      </c>
      <c r="D1687" s="1716"/>
      <c r="E1687" s="1716"/>
      <c r="F1687" s="1716"/>
      <c r="G1687" s="1954" t="s">
        <v>2012</v>
      </c>
      <c r="H1687" s="1957"/>
      <c r="I1687" s="1723"/>
      <c r="J1687" s="1954" t="s">
        <v>7684</v>
      </c>
      <c r="K1687" s="1400"/>
      <c r="L1687" s="703"/>
      <c r="M1687" s="708"/>
      <c r="N1687" s="166"/>
      <c r="P1687" s="166"/>
    </row>
    <row r="1688" spans="1:16" s="1311" customFormat="1" ht="13.2" hidden="1" customHeight="1">
      <c r="A1688" s="1996">
        <v>45992</v>
      </c>
      <c r="B1688" s="1323" t="s">
        <v>7795</v>
      </c>
      <c r="C1688" s="1980" t="s">
        <v>7796</v>
      </c>
      <c r="D1688" s="1716"/>
      <c r="E1688" s="1716"/>
      <c r="F1688" s="1716"/>
      <c r="G1688" s="1976" t="s">
        <v>2312</v>
      </c>
      <c r="H1688" s="1972" t="s">
        <v>7797</v>
      </c>
      <c r="I1688" s="1723"/>
      <c r="J1688" s="1954"/>
      <c r="K1688" s="1400"/>
      <c r="L1688" s="703"/>
      <c r="M1688" s="708"/>
      <c r="N1688" s="166"/>
      <c r="P1688" s="166"/>
    </row>
    <row r="1689" spans="1:16" s="1311" customFormat="1" ht="13.2" customHeight="1">
      <c r="A1689" s="2384">
        <v>45957</v>
      </c>
      <c r="B1689" s="1316" t="s">
        <v>7801</v>
      </c>
      <c r="C1689" s="1949"/>
      <c r="D1689" s="1715"/>
      <c r="E1689" s="1715"/>
      <c r="F1689" s="1715"/>
      <c r="G1689" s="1987" t="s">
        <v>7802</v>
      </c>
      <c r="H1689" s="1989" t="s">
        <v>2000</v>
      </c>
      <c r="I1689" s="1722">
        <v>0.01</v>
      </c>
      <c r="J1689" s="1980" t="s">
        <v>4640</v>
      </c>
      <c r="K1689" s="1400"/>
      <c r="L1689" s="703"/>
      <c r="M1689" s="708"/>
      <c r="N1689" s="166"/>
      <c r="P1689" s="166"/>
    </row>
    <row r="1690" spans="1:16" s="1311" customFormat="1" ht="13.2" hidden="1" customHeight="1">
      <c r="A1690" s="2406" t="s">
        <v>7849</v>
      </c>
      <c r="B1690" s="1323" t="s">
        <v>7852</v>
      </c>
      <c r="C1690" s="2424" t="s">
        <v>7922</v>
      </c>
      <c r="D1690" s="1716"/>
      <c r="E1690" s="1716"/>
      <c r="F1690" s="1716"/>
      <c r="G1690" s="2407" t="s">
        <v>2012</v>
      </c>
      <c r="H1690" s="2411" t="s">
        <v>7853</v>
      </c>
      <c r="I1690" s="1723"/>
      <c r="J1690" s="1980"/>
      <c r="K1690" s="1400"/>
      <c r="L1690" s="703"/>
      <c r="M1690" s="708"/>
      <c r="N1690" s="166"/>
      <c r="P1690" s="166"/>
    </row>
    <row r="1691" spans="1:16" s="1311" customFormat="1" ht="13.2" customHeight="1">
      <c r="A1691" s="2476" t="s">
        <v>8040</v>
      </c>
      <c r="B1691" s="1343" t="s">
        <v>8039</v>
      </c>
      <c r="C1691" s="2486" t="s">
        <v>8043</v>
      </c>
      <c r="D1691" s="1733"/>
      <c r="E1691" s="1733"/>
      <c r="F1691" s="1733"/>
      <c r="G1691" s="2479" t="s">
        <v>713</v>
      </c>
      <c r="H1691" s="2480" t="s">
        <v>8041</v>
      </c>
      <c r="I1691" s="1735">
        <f>24-23</f>
        <v>1</v>
      </c>
      <c r="J1691" s="2477" t="s">
        <v>8042</v>
      </c>
      <c r="K1691" s="1400"/>
      <c r="L1691" s="703"/>
      <c r="M1691" s="708"/>
      <c r="N1691" s="166"/>
      <c r="P1691" s="166"/>
    </row>
    <row r="1692" spans="1:16" s="1311" customFormat="1" ht="13.2" hidden="1" customHeight="1">
      <c r="A1692" s="2482" t="s">
        <v>8044</v>
      </c>
      <c r="B1692" s="1316" t="s">
        <v>8046</v>
      </c>
      <c r="C1692" s="2481" t="s">
        <v>8045</v>
      </c>
      <c r="D1692" s="1715"/>
      <c r="E1692" s="1715"/>
      <c r="F1692" s="1715"/>
      <c r="G1692" s="2481" t="s">
        <v>2612</v>
      </c>
      <c r="H1692" s="2483" t="s">
        <v>8047</v>
      </c>
      <c r="I1692" s="1722"/>
      <c r="J1692" s="2484" t="s">
        <v>8048</v>
      </c>
      <c r="K1692" s="1400"/>
      <c r="L1692" s="703"/>
      <c r="M1692" s="708"/>
      <c r="N1692" s="166"/>
      <c r="P1692" s="166"/>
    </row>
    <row r="1693" spans="1:16" s="1311" customFormat="1" ht="13.2" customHeight="1">
      <c r="A1693" s="2488" t="s">
        <v>8071</v>
      </c>
      <c r="B1693" s="1316" t="s">
        <v>8073</v>
      </c>
      <c r="C1693" s="2489" t="s">
        <v>8072</v>
      </c>
      <c r="D1693" s="1715"/>
      <c r="E1693" s="1715"/>
      <c r="F1693" s="1715"/>
      <c r="G1693" s="2479" t="s">
        <v>713</v>
      </c>
      <c r="H1693" s="1989"/>
      <c r="I1693" s="1722">
        <v>23</v>
      </c>
      <c r="J1693" s="1980"/>
      <c r="K1693" s="1400"/>
      <c r="L1693" s="703"/>
      <c r="M1693" s="708"/>
      <c r="N1693" s="166"/>
      <c r="P1693" s="166"/>
    </row>
    <row r="1694" spans="1:16" s="1311" customFormat="1" ht="13.2" hidden="1" customHeight="1">
      <c r="A1694" s="2490" t="s">
        <v>8075</v>
      </c>
      <c r="B1694" s="1316" t="s">
        <v>8074</v>
      </c>
      <c r="C1694" s="2491" t="s">
        <v>8076</v>
      </c>
      <c r="D1694" s="1715"/>
      <c r="E1694" s="1715"/>
      <c r="F1694" s="1715"/>
      <c r="G1694" s="2491" t="s">
        <v>8077</v>
      </c>
      <c r="H1694" s="1989"/>
      <c r="I1694" s="1722"/>
      <c r="J1694" s="1980"/>
      <c r="K1694" s="1400"/>
      <c r="L1694" s="703"/>
      <c r="M1694" s="708"/>
      <c r="N1694" s="166"/>
      <c r="P1694" s="166"/>
    </row>
    <row r="1695" spans="1:16" s="1311" customFormat="1" ht="13.2" customHeight="1">
      <c r="A1695" s="2384"/>
      <c r="B1695" s="1316" t="s">
        <v>8078</v>
      </c>
      <c r="C1695" s="1949"/>
      <c r="D1695" s="1715"/>
      <c r="E1695" s="1715"/>
      <c r="F1695" s="1715"/>
      <c r="G1695" s="1987"/>
      <c r="H1695" s="1989"/>
      <c r="I1695" s="1722">
        <v>10</v>
      </c>
      <c r="J1695" s="2492" t="s">
        <v>8079</v>
      </c>
      <c r="K1695" s="1400"/>
      <c r="L1695" s="703"/>
      <c r="M1695" s="708"/>
      <c r="N1695" s="166"/>
      <c r="P1695" s="166"/>
    </row>
    <row r="1696" spans="1:16" s="1311" customFormat="1" ht="13.2" hidden="1" customHeight="1">
      <c r="A1696" s="1952"/>
      <c r="B1696" s="1316"/>
      <c r="C1696" s="1949"/>
      <c r="D1696" s="2417" t="s">
        <v>7948</v>
      </c>
      <c r="E1696" s="1715"/>
      <c r="F1696" s="1715"/>
      <c r="G1696" s="1949"/>
      <c r="H1696" s="1953"/>
      <c r="I1696" s="1722"/>
      <c r="J1696" s="1954"/>
      <c r="K1696" s="1400"/>
      <c r="L1696" s="703"/>
      <c r="M1696" s="708"/>
      <c r="N1696" s="166"/>
      <c r="P1696" s="166"/>
    </row>
    <row r="1697" spans="1:16" s="1311" customFormat="1" ht="13.2" customHeight="1">
      <c r="A1697" s="2385">
        <v>45663</v>
      </c>
      <c r="B1697" s="709" t="s">
        <v>7805</v>
      </c>
      <c r="C1697" s="1991" t="s">
        <v>7806</v>
      </c>
      <c r="D1697" s="1305"/>
      <c r="E1697" s="1305"/>
      <c r="F1697" s="1463"/>
      <c r="G1697" s="1991" t="s">
        <v>7807</v>
      </c>
      <c r="H1697" s="1992" t="s">
        <v>7808</v>
      </c>
      <c r="I1697" s="1317">
        <v>33</v>
      </c>
      <c r="J1697" s="1709"/>
      <c r="K1697" s="1400"/>
      <c r="L1697" s="703"/>
      <c r="M1697" s="708"/>
      <c r="N1697" s="166"/>
      <c r="P1697" s="166"/>
    </row>
    <row r="1698" spans="1:16" s="1311" customFormat="1">
      <c r="A1698" s="1710"/>
      <c r="B1698" s="709" t="s">
        <v>7845</v>
      </c>
      <c r="C1698" s="2541" t="s">
        <v>7844</v>
      </c>
      <c r="D1698" s="1305"/>
      <c r="E1698" s="1305"/>
      <c r="F1698" s="1463"/>
      <c r="G1698" s="2403" t="s">
        <v>3403</v>
      </c>
      <c r="H1698" s="2404" t="s">
        <v>7846</v>
      </c>
      <c r="I1698" s="1317"/>
      <c r="J1698" s="1709"/>
      <c r="K1698" s="1400"/>
      <c r="L1698" s="703"/>
      <c r="M1698" s="708"/>
      <c r="N1698" s="166"/>
      <c r="P1698" s="166"/>
    </row>
    <row r="1699" spans="1:16" s="1311" customFormat="1" ht="13.2" customHeight="1">
      <c r="A1699" s="1710"/>
      <c r="B1699" s="709"/>
      <c r="C1699" s="1305"/>
      <c r="D1699" s="1305"/>
      <c r="E1699" s="1305"/>
      <c r="F1699" s="1463"/>
      <c r="G1699" s="1707"/>
      <c r="H1699" s="1708"/>
      <c r="I1699" s="1317"/>
      <c r="J1699" s="1709"/>
      <c r="K1699" s="1400"/>
      <c r="L1699" s="703"/>
      <c r="M1699" s="708"/>
      <c r="N1699" s="166"/>
      <c r="P1699" s="166"/>
    </row>
    <row r="1700" spans="1:16" s="1311" customFormat="1" ht="13.2" customHeight="1">
      <c r="A1700" s="1710"/>
      <c r="B1700" s="709"/>
      <c r="C1700" s="1305"/>
      <c r="D1700" s="1305"/>
      <c r="E1700" s="1305"/>
      <c r="F1700" s="1463"/>
      <c r="G1700" s="1707"/>
      <c r="H1700" s="1708"/>
      <c r="I1700" s="1317"/>
      <c r="J1700" s="1709"/>
      <c r="K1700" s="1400"/>
      <c r="L1700" s="703"/>
      <c r="M1700" s="708"/>
      <c r="N1700" s="166"/>
      <c r="P1700" s="166"/>
    </row>
    <row r="1701" spans="1:16" s="1311" customFormat="1" ht="13.2" customHeight="1">
      <c r="A1701" s="1710"/>
      <c r="B1701" s="709"/>
      <c r="C1701" s="1305"/>
      <c r="D1701" s="1305"/>
      <c r="E1701" s="1305"/>
      <c r="F1701" s="1463"/>
      <c r="G1701" s="1707"/>
      <c r="H1701" s="1708"/>
      <c r="I1701" s="1317"/>
      <c r="J1701" s="1709"/>
      <c r="K1701" s="1400"/>
      <c r="L1701" s="703"/>
      <c r="M1701" s="708"/>
      <c r="N1701" s="166"/>
      <c r="P1701" s="166"/>
    </row>
    <row r="1702" spans="1:16" s="1311" customFormat="1" ht="13.2" customHeight="1">
      <c r="A1702" s="2321">
        <v>45538</v>
      </c>
      <c r="B1702" s="1323" t="s">
        <v>5086</v>
      </c>
      <c r="C1702" s="1307">
        <v>16033780</v>
      </c>
      <c r="D1702" s="1307"/>
      <c r="E1702" s="1307"/>
      <c r="F1702" s="1466"/>
      <c r="G1702" s="1486" t="s">
        <v>2317</v>
      </c>
      <c r="H1702" s="1491" t="s">
        <v>6203</v>
      </c>
      <c r="I1702" s="1326"/>
      <c r="J1702" s="1486" t="s">
        <v>6204</v>
      </c>
      <c r="K1702" s="1400"/>
      <c r="L1702" s="703"/>
      <c r="M1702" s="708"/>
      <c r="N1702" s="166"/>
      <c r="P1702" s="166"/>
    </row>
    <row r="1703" spans="1:16" s="1311" customFormat="1" ht="13.2" customHeight="1">
      <c r="A1703" s="2321">
        <v>45538</v>
      </c>
      <c r="B1703" s="1018" t="s">
        <v>5379</v>
      </c>
      <c r="C1703" s="1257">
        <v>11111111</v>
      </c>
      <c r="D1703" s="1258"/>
      <c r="E1703" s="1020"/>
      <c r="F1703" s="1019"/>
      <c r="G1703" s="1259" t="s">
        <v>4332</v>
      </c>
      <c r="H1703" s="1487" t="s">
        <v>6205</v>
      </c>
      <c r="I1703" s="1261">
        <v>26</v>
      </c>
      <c r="J1703" s="1486" t="s">
        <v>6204</v>
      </c>
      <c r="K1703" s="1400"/>
      <c r="L1703" s="703"/>
      <c r="M1703" s="708"/>
      <c r="N1703" s="166"/>
      <c r="P1703" s="166"/>
    </row>
    <row r="1704" spans="1:16" s="1311" customFormat="1" ht="13.2" customHeight="1">
      <c r="A1704" s="2321">
        <v>45538</v>
      </c>
      <c r="B1704" s="709" t="s">
        <v>5385</v>
      </c>
      <c r="C1704" s="1082">
        <v>60632771</v>
      </c>
      <c r="D1704" s="1141"/>
      <c r="E1704" s="915"/>
      <c r="F1704" s="1310"/>
      <c r="G1704" s="1268" t="s">
        <v>2317</v>
      </c>
      <c r="H1704" s="1160"/>
      <c r="I1704" s="1122">
        <v>26</v>
      </c>
      <c r="J1704" s="1486" t="s">
        <v>6204</v>
      </c>
      <c r="K1704" s="1400"/>
      <c r="L1704" s="703"/>
      <c r="M1704" s="708"/>
      <c r="N1704" s="166"/>
      <c r="P1704" s="166"/>
    </row>
    <row r="1705" spans="1:16" s="1311" customFormat="1" ht="13.2" customHeight="1">
      <c r="A1705" s="2321">
        <v>45538</v>
      </c>
      <c r="B1705" s="1316" t="s">
        <v>6206</v>
      </c>
      <c r="C1705" s="1305"/>
      <c r="D1705" s="1715" t="s">
        <v>122</v>
      </c>
      <c r="E1705" s="1305"/>
      <c r="F1705" s="1682" t="s">
        <v>2941</v>
      </c>
      <c r="G1705" s="1484" t="s">
        <v>4332</v>
      </c>
      <c r="H1705" s="1485" t="s">
        <v>6207</v>
      </c>
      <c r="I1705" s="1317">
        <f>26-21</f>
        <v>5</v>
      </c>
      <c r="J1705" s="1486" t="s">
        <v>6204</v>
      </c>
      <c r="K1705" s="1400">
        <v>21</v>
      </c>
      <c r="L1705" s="703"/>
      <c r="M1705" s="708"/>
      <c r="N1705" s="166"/>
      <c r="P1705" s="166"/>
    </row>
    <row r="1706" spans="1:16" s="1311" customFormat="1" ht="13.2" customHeight="1">
      <c r="A1706" s="2321">
        <v>45538</v>
      </c>
      <c r="B1706" s="1316" t="s">
        <v>6208</v>
      </c>
      <c r="C1706" s="1305"/>
      <c r="D1706" s="1305"/>
      <c r="E1706" s="1305"/>
      <c r="F1706" s="1463"/>
      <c r="G1706" s="1484" t="s">
        <v>2317</v>
      </c>
      <c r="H1706" s="1485"/>
      <c r="I1706" s="1317">
        <v>26</v>
      </c>
      <c r="J1706" s="1486" t="s">
        <v>6204</v>
      </c>
      <c r="K1706" s="1400"/>
      <c r="L1706" s="703"/>
      <c r="M1706" s="708"/>
      <c r="N1706" s="166"/>
      <c r="P1706" s="166"/>
    </row>
    <row r="1707" spans="1:16" s="1311" customFormat="1" ht="13.2" customHeight="1">
      <c r="A1707" s="2321">
        <v>45538</v>
      </c>
      <c r="B1707" s="1316" t="s">
        <v>6209</v>
      </c>
      <c r="C1707" s="1305"/>
      <c r="D1707" s="1305"/>
      <c r="E1707" s="1305"/>
      <c r="F1707" s="1682" t="s">
        <v>2941</v>
      </c>
      <c r="G1707" s="1484" t="s">
        <v>4332</v>
      </c>
      <c r="H1707" s="1485"/>
      <c r="I1707" s="1317">
        <f>26-19.5</f>
        <v>6.5</v>
      </c>
      <c r="J1707" s="1486" t="s">
        <v>6204</v>
      </c>
      <c r="K1707" s="1400">
        <v>19.5</v>
      </c>
      <c r="L1707" s="703"/>
      <c r="M1707" s="708"/>
      <c r="N1707" s="166"/>
      <c r="P1707" s="166"/>
    </row>
    <row r="1708" spans="1:16" s="1311" customFormat="1" ht="13.2" customHeight="1">
      <c r="A1708" s="2321">
        <v>45538</v>
      </c>
      <c r="B1708" s="1483" t="s">
        <v>6210</v>
      </c>
      <c r="C1708" s="1305"/>
      <c r="D1708" s="1305"/>
      <c r="E1708" s="1305"/>
      <c r="F1708" s="1682" t="s">
        <v>2941</v>
      </c>
      <c r="G1708" s="1484" t="s">
        <v>4332</v>
      </c>
      <c r="H1708" s="1485"/>
      <c r="I1708" s="1317">
        <v>26</v>
      </c>
      <c r="J1708" s="1486" t="s">
        <v>6204</v>
      </c>
      <c r="K1708" s="1400"/>
      <c r="L1708" s="703"/>
      <c r="M1708" s="708"/>
      <c r="N1708" s="166"/>
      <c r="P1708" s="166"/>
    </row>
    <row r="1709" spans="1:16" s="1311" customFormat="1" ht="13.2" customHeight="1">
      <c r="A1709" s="2321">
        <v>45538</v>
      </c>
      <c r="B1709" s="1316" t="s">
        <v>6211</v>
      </c>
      <c r="C1709" s="1305"/>
      <c r="D1709" s="1305"/>
      <c r="E1709" s="1305"/>
      <c r="F1709" s="1682" t="s">
        <v>2941</v>
      </c>
      <c r="G1709" s="1484" t="s">
        <v>4332</v>
      </c>
      <c r="H1709" s="1485"/>
      <c r="I1709" s="1317">
        <f>26-21</f>
        <v>5</v>
      </c>
      <c r="J1709" s="1486" t="s">
        <v>6204</v>
      </c>
      <c r="K1709" s="1400">
        <v>21</v>
      </c>
      <c r="L1709" s="703"/>
      <c r="M1709" s="708"/>
      <c r="N1709" s="166"/>
      <c r="P1709" s="166"/>
    </row>
    <row r="1710" spans="1:16" s="1311" customFormat="1" ht="13.2" customHeight="1">
      <c r="A1710" s="2386">
        <v>45538</v>
      </c>
      <c r="B1710" s="1312" t="s">
        <v>5381</v>
      </c>
      <c r="C1710" s="1099">
        <v>44572296</v>
      </c>
      <c r="D1710" s="1145"/>
      <c r="E1710" s="917"/>
      <c r="F1710" s="1313"/>
      <c r="G1710" s="1262" t="s">
        <v>2317</v>
      </c>
      <c r="H1710" s="1173"/>
      <c r="I1710" s="1136">
        <v>0</v>
      </c>
      <c r="J1710" s="1486" t="s">
        <v>6204</v>
      </c>
      <c r="K1710" s="1400"/>
      <c r="L1710" s="703"/>
      <c r="M1710" s="708"/>
      <c r="N1710" s="166"/>
      <c r="P1710" s="166"/>
    </row>
    <row r="1711" spans="1:16" s="1311" customFormat="1" ht="13.2" customHeight="1">
      <c r="A1711" s="2321">
        <v>45538</v>
      </c>
      <c r="B1711" s="1312" t="s">
        <v>6426</v>
      </c>
      <c r="C1711" s="1099">
        <v>11111111</v>
      </c>
      <c r="D1711" s="1145"/>
      <c r="E1711" s="917"/>
      <c r="F1711" s="1313"/>
      <c r="G1711" s="1486" t="s">
        <v>4332</v>
      </c>
      <c r="H1711" s="1491" t="s">
        <v>6221</v>
      </c>
      <c r="I1711" s="1136">
        <v>0</v>
      </c>
      <c r="J1711" s="1486" t="s">
        <v>6222</v>
      </c>
      <c r="K1711" s="1400"/>
      <c r="L1711" s="703"/>
      <c r="M1711" s="708"/>
      <c r="N1711" s="166"/>
      <c r="P1711" s="166"/>
    </row>
    <row r="1712" spans="1:16" s="1311" customFormat="1" ht="13.2" customHeight="1">
      <c r="A1712" s="2321">
        <v>45538</v>
      </c>
      <c r="B1712" s="709" t="s">
        <v>6223</v>
      </c>
      <c r="C1712" s="1082"/>
      <c r="D1712" s="1141"/>
      <c r="E1712" s="915"/>
      <c r="F1712" s="1310"/>
      <c r="G1712" s="1253"/>
      <c r="H1712" s="1160"/>
      <c r="I1712" s="1122">
        <v>14</v>
      </c>
      <c r="J1712" s="1486" t="s">
        <v>6222</v>
      </c>
      <c r="K1712" s="1400"/>
      <c r="L1712" s="703"/>
      <c r="M1712" s="708"/>
      <c r="N1712" s="166"/>
      <c r="P1712" s="166"/>
    </row>
    <row r="1713" spans="1:16" s="1311" customFormat="1" ht="13.2" customHeight="1">
      <c r="A1713" s="2321">
        <v>45538</v>
      </c>
      <c r="B1713" s="709" t="s">
        <v>6212</v>
      </c>
      <c r="C1713" s="1082"/>
      <c r="D1713" s="1141"/>
      <c r="E1713" s="915"/>
      <c r="F1713" s="1310"/>
      <c r="G1713" s="1484" t="s">
        <v>6213</v>
      </c>
      <c r="H1713" s="1160"/>
      <c r="I1713" s="1122">
        <f>16-8.8</f>
        <v>7.1999999999999993</v>
      </c>
      <c r="J1713" s="1486" t="s">
        <v>4916</v>
      </c>
      <c r="K1713" s="1400">
        <v>8.8000000000000007</v>
      </c>
      <c r="L1713" s="703"/>
      <c r="M1713" s="708"/>
      <c r="N1713" s="166"/>
      <c r="P1713" s="166"/>
    </row>
    <row r="1714" spans="1:16" s="1311" customFormat="1" ht="13.2" customHeight="1">
      <c r="A1714" s="2321">
        <v>45538</v>
      </c>
      <c r="B1714" s="709" t="s">
        <v>6214</v>
      </c>
      <c r="C1714" s="1082"/>
      <c r="D1714" s="1141"/>
      <c r="E1714" s="915"/>
      <c r="F1714" s="1310"/>
      <c r="G1714" s="1484" t="s">
        <v>6213</v>
      </c>
      <c r="H1714" s="1160"/>
      <c r="I1714" s="1122">
        <f t="shared" ref="I1714:I1719" si="0">16-16</f>
        <v>0</v>
      </c>
      <c r="J1714" s="1486" t="s">
        <v>4916</v>
      </c>
      <c r="K1714" s="1400">
        <v>16</v>
      </c>
      <c r="L1714" s="703"/>
      <c r="M1714" s="708"/>
      <c r="N1714" s="166"/>
      <c r="P1714" s="166"/>
    </row>
    <row r="1715" spans="1:16" s="1311" customFormat="1" ht="13.2" customHeight="1">
      <c r="A1715" s="2321">
        <v>45538</v>
      </c>
      <c r="B1715" s="709" t="s">
        <v>6215</v>
      </c>
      <c r="C1715" s="1082"/>
      <c r="D1715" s="1141"/>
      <c r="E1715" s="915"/>
      <c r="F1715" s="1310"/>
      <c r="G1715" s="1484" t="s">
        <v>6213</v>
      </c>
      <c r="H1715" s="1160"/>
      <c r="I1715" s="1122">
        <f t="shared" si="0"/>
        <v>0</v>
      </c>
      <c r="J1715" s="1486" t="s">
        <v>4916</v>
      </c>
      <c r="K1715" s="1400">
        <v>16</v>
      </c>
      <c r="L1715" s="703"/>
      <c r="M1715" s="708"/>
      <c r="N1715" s="166"/>
      <c r="P1715" s="166"/>
    </row>
    <row r="1716" spans="1:16" s="1311" customFormat="1" ht="13.2" customHeight="1">
      <c r="A1716" s="2321">
        <v>45538</v>
      </c>
      <c r="B1716" s="709" t="s">
        <v>6216</v>
      </c>
      <c r="C1716" s="1082"/>
      <c r="D1716" s="1141"/>
      <c r="E1716" s="915"/>
      <c r="F1716" s="1310"/>
      <c r="G1716" s="1484" t="s">
        <v>6213</v>
      </c>
      <c r="H1716" s="1160"/>
      <c r="I1716" s="1122">
        <f t="shared" si="0"/>
        <v>0</v>
      </c>
      <c r="J1716" s="1486" t="s">
        <v>4916</v>
      </c>
      <c r="K1716" s="1400">
        <v>16</v>
      </c>
      <c r="L1716" s="703"/>
      <c r="M1716" s="708"/>
      <c r="N1716" s="166"/>
      <c r="P1716" s="166"/>
    </row>
    <row r="1717" spans="1:16" s="1311" customFormat="1" ht="13.2" customHeight="1">
      <c r="A1717" s="2321">
        <v>45538</v>
      </c>
      <c r="B1717" s="709" t="s">
        <v>6217</v>
      </c>
      <c r="C1717" s="1082"/>
      <c r="D1717" s="1141"/>
      <c r="E1717" s="915"/>
      <c r="F1717" s="1310"/>
      <c r="G1717" s="1484" t="s">
        <v>6213</v>
      </c>
      <c r="H1717" s="1160"/>
      <c r="I1717" s="1122">
        <f t="shared" si="0"/>
        <v>0</v>
      </c>
      <c r="J1717" s="1486" t="s">
        <v>4916</v>
      </c>
      <c r="K1717" s="1400">
        <v>16</v>
      </c>
      <c r="L1717" s="703"/>
      <c r="M1717" s="708"/>
      <c r="N1717" s="166"/>
      <c r="P1717" s="166"/>
    </row>
    <row r="1718" spans="1:16" s="1311" customFormat="1" ht="13.2" customHeight="1">
      <c r="A1718" s="2321">
        <v>45538</v>
      </c>
      <c r="B1718" s="709" t="s">
        <v>6218</v>
      </c>
      <c r="C1718" s="1082"/>
      <c r="D1718" s="1141"/>
      <c r="E1718" s="915"/>
      <c r="F1718" s="1310"/>
      <c r="G1718" s="1484" t="s">
        <v>6213</v>
      </c>
      <c r="H1718" s="1160"/>
      <c r="I1718" s="1122">
        <f t="shared" si="0"/>
        <v>0</v>
      </c>
      <c r="J1718" s="1486" t="s">
        <v>4916</v>
      </c>
      <c r="K1718" s="1400">
        <v>16</v>
      </c>
      <c r="L1718" s="703"/>
      <c r="M1718" s="708"/>
      <c r="N1718" s="166"/>
      <c r="P1718" s="166"/>
    </row>
    <row r="1719" spans="1:16" s="1311" customFormat="1" ht="13.2" customHeight="1">
      <c r="A1719" s="2321">
        <v>45538</v>
      </c>
      <c r="B1719" s="709" t="s">
        <v>6219</v>
      </c>
      <c r="C1719" s="1082"/>
      <c r="D1719" s="1141"/>
      <c r="E1719" s="915"/>
      <c r="F1719" s="1310"/>
      <c r="G1719" s="1484" t="s">
        <v>6213</v>
      </c>
      <c r="H1719" s="1160"/>
      <c r="I1719" s="1122">
        <f t="shared" si="0"/>
        <v>0</v>
      </c>
      <c r="J1719" s="1486" t="s">
        <v>4916</v>
      </c>
      <c r="K1719" s="1400">
        <v>16</v>
      </c>
      <c r="L1719" s="703"/>
      <c r="M1719" s="708"/>
      <c r="N1719" s="166"/>
      <c r="P1719" s="166"/>
    </row>
    <row r="1720" spans="1:16" s="1311" customFormat="1" ht="13.2" customHeight="1">
      <c r="A1720" s="2321">
        <v>45538</v>
      </c>
      <c r="B1720" s="709" t="s">
        <v>6220</v>
      </c>
      <c r="C1720" s="1082"/>
      <c r="D1720" s="1878" t="s">
        <v>7557</v>
      </c>
      <c r="E1720" s="915"/>
      <c r="F1720" s="1310"/>
      <c r="G1720" s="1484" t="s">
        <v>6213</v>
      </c>
      <c r="H1720" s="1160"/>
      <c r="I1720" s="1122">
        <f>16-5</f>
        <v>11</v>
      </c>
      <c r="J1720" s="1486" t="s">
        <v>4916</v>
      </c>
      <c r="K1720" s="1400">
        <v>5</v>
      </c>
      <c r="L1720" s="703"/>
      <c r="M1720" s="708"/>
      <c r="N1720" s="166"/>
      <c r="P1720" s="166"/>
    </row>
    <row r="1721" spans="1:16" s="1311" customFormat="1" ht="13.2" customHeight="1">
      <c r="A1721" s="1483"/>
      <c r="B1721" s="709" t="s">
        <v>7805</v>
      </c>
      <c r="C1721" s="1082"/>
      <c r="D1721" s="1141"/>
      <c r="E1721" s="915"/>
      <c r="F1721" s="1310"/>
      <c r="G1721" s="1484"/>
      <c r="H1721" s="1160"/>
      <c r="I1721" s="1122"/>
      <c r="J1721" s="1486"/>
      <c r="K1721" s="1400"/>
      <c r="L1721" s="703"/>
      <c r="M1721" s="708"/>
      <c r="N1721" s="166"/>
      <c r="P1721" s="166"/>
    </row>
    <row r="1722" spans="1:16" s="1311" customFormat="1" ht="13.2" customHeight="1">
      <c r="A1722" s="1483"/>
      <c r="B1722" s="709"/>
      <c r="C1722" s="1082"/>
      <c r="D1722" s="1141"/>
      <c r="E1722" s="915"/>
      <c r="F1722" s="1310"/>
      <c r="G1722" s="1484"/>
      <c r="H1722" s="1160"/>
      <c r="I1722" s="1122"/>
      <c r="J1722" s="1486"/>
      <c r="K1722" s="1400"/>
      <c r="L1722" s="703"/>
      <c r="M1722" s="708"/>
      <c r="N1722" s="166"/>
      <c r="P1722" s="166"/>
    </row>
    <row r="1723" spans="1:16" s="1311" customFormat="1" ht="13.2" customHeight="1">
      <c r="A1723" s="1483">
        <v>1</v>
      </c>
      <c r="B1723" s="1312" t="s">
        <v>7858</v>
      </c>
      <c r="C1723" s="2412" t="s">
        <v>7859</v>
      </c>
      <c r="D1723" s="1145"/>
      <c r="E1723" s="917"/>
      <c r="F1723" s="1313"/>
      <c r="G1723" s="2407" t="s">
        <v>1989</v>
      </c>
      <c r="H1723" s="2411" t="s">
        <v>4877</v>
      </c>
      <c r="I1723" s="1122"/>
      <c r="J1723" s="1486"/>
      <c r="K1723" s="1400"/>
      <c r="L1723" s="703"/>
      <c r="M1723" s="708"/>
      <c r="N1723" s="166"/>
      <c r="P1723" s="166"/>
    </row>
    <row r="1724" spans="1:16" s="1311" customFormat="1" ht="13.2" customHeight="1">
      <c r="A1724" s="1483">
        <v>2</v>
      </c>
      <c r="B1724" s="1312" t="s">
        <v>7861</v>
      </c>
      <c r="C1724" s="2412" t="s">
        <v>7860</v>
      </c>
      <c r="D1724" s="1145"/>
      <c r="E1724" s="917">
        <v>5187745</v>
      </c>
      <c r="F1724" s="1313" t="s">
        <v>7849</v>
      </c>
      <c r="G1724" s="2407" t="s">
        <v>1989</v>
      </c>
      <c r="H1724" s="2411" t="s">
        <v>7213</v>
      </c>
      <c r="I1724" s="1122"/>
      <c r="J1724" s="1486"/>
      <c r="K1724" s="1400"/>
      <c r="L1724" s="703"/>
      <c r="M1724" s="708"/>
      <c r="N1724" s="166"/>
      <c r="P1724" s="166"/>
    </row>
    <row r="1725" spans="1:16" s="1311" customFormat="1" ht="13.2" customHeight="1">
      <c r="A1725" s="1483">
        <v>3</v>
      </c>
      <c r="B1725" s="1312" t="s">
        <v>7864</v>
      </c>
      <c r="C1725" s="2407" t="s">
        <v>7863</v>
      </c>
      <c r="D1725" s="1145"/>
      <c r="E1725" s="917">
        <v>5181261</v>
      </c>
      <c r="F1725" s="1313" t="s">
        <v>7865</v>
      </c>
      <c r="G1725" s="2407" t="s">
        <v>1989</v>
      </c>
      <c r="H1725" s="2411" t="s">
        <v>7877</v>
      </c>
      <c r="I1725" s="1122"/>
      <c r="J1725" s="1486"/>
      <c r="K1725" s="1400"/>
      <c r="L1725" s="703"/>
      <c r="M1725" s="708"/>
      <c r="N1725" s="166"/>
      <c r="P1725" s="166"/>
    </row>
    <row r="1726" spans="1:16" s="1311" customFormat="1" ht="13.2" customHeight="1">
      <c r="A1726" s="1483">
        <v>4</v>
      </c>
      <c r="B1726" s="1312" t="s">
        <v>7868</v>
      </c>
      <c r="C1726" s="2412" t="s">
        <v>7866</v>
      </c>
      <c r="D1726" s="1145"/>
      <c r="E1726" s="917">
        <v>5176116</v>
      </c>
      <c r="F1726" s="1313" t="s">
        <v>7867</v>
      </c>
      <c r="G1726" s="2407" t="s">
        <v>7869</v>
      </c>
      <c r="H1726" s="2411" t="s">
        <v>7870</v>
      </c>
      <c r="I1726" s="1122"/>
      <c r="J1726" s="1486"/>
      <c r="K1726" s="1400"/>
      <c r="L1726" s="703"/>
      <c r="M1726" s="708"/>
      <c r="N1726" s="166"/>
      <c r="P1726" s="166"/>
    </row>
    <row r="1727" spans="1:16" s="1311" customFormat="1" ht="13.2" customHeight="1">
      <c r="A1727" s="1483">
        <v>5</v>
      </c>
      <c r="B1727" s="1312" t="s">
        <v>7871</v>
      </c>
      <c r="C1727" s="2412" t="s">
        <v>7872</v>
      </c>
      <c r="D1727" s="1145"/>
      <c r="E1727" s="917">
        <v>5186827</v>
      </c>
      <c r="F1727" s="1313" t="s">
        <v>7849</v>
      </c>
      <c r="G1727" s="2407" t="s">
        <v>7869</v>
      </c>
      <c r="H1727" s="2411" t="s">
        <v>7870</v>
      </c>
      <c r="I1727" s="1122"/>
      <c r="J1727" s="1486"/>
      <c r="K1727" s="1400"/>
      <c r="L1727" s="703"/>
      <c r="M1727" s="708"/>
      <c r="N1727" s="166"/>
      <c r="P1727" s="166"/>
    </row>
    <row r="1728" spans="1:16" s="1311" customFormat="1" ht="13.2" customHeight="1">
      <c r="A1728" s="1483">
        <v>6</v>
      </c>
      <c r="B1728" s="1312" t="s">
        <v>7874</v>
      </c>
      <c r="C1728" s="2407" t="s">
        <v>7873</v>
      </c>
      <c r="D1728" s="1145"/>
      <c r="E1728" s="917">
        <v>5178779</v>
      </c>
      <c r="F1728" s="1313" t="s">
        <v>7875</v>
      </c>
      <c r="G1728" s="2407" t="s">
        <v>7869</v>
      </c>
      <c r="H1728" s="2411" t="s">
        <v>7876</v>
      </c>
      <c r="I1728" s="1122"/>
      <c r="J1728" s="1486"/>
      <c r="K1728" s="1400"/>
      <c r="L1728" s="703"/>
      <c r="M1728" s="708"/>
      <c r="N1728" s="166"/>
      <c r="P1728" s="166"/>
    </row>
    <row r="1729" spans="1:16" s="1311" customFormat="1" ht="13.2" customHeight="1">
      <c r="A1729" s="1483">
        <v>7</v>
      </c>
      <c r="B1729" s="1312" t="s">
        <v>7879</v>
      </c>
      <c r="C1729" s="2412" t="s">
        <v>7878</v>
      </c>
      <c r="D1729" s="1145"/>
      <c r="E1729" s="917">
        <v>5184043</v>
      </c>
      <c r="F1729" s="1313" t="s">
        <v>7865</v>
      </c>
      <c r="G1729" s="2407" t="s">
        <v>7869</v>
      </c>
      <c r="H1729" s="2411" t="s">
        <v>7880</v>
      </c>
      <c r="I1729" s="1122"/>
      <c r="J1729" s="1486"/>
      <c r="K1729" s="1400"/>
      <c r="L1729" s="703"/>
      <c r="M1729" s="708"/>
      <c r="N1729" s="166"/>
      <c r="P1729" s="166"/>
    </row>
    <row r="1730" spans="1:16" s="1311" customFormat="1" ht="13.2" customHeight="1">
      <c r="A1730" s="1483">
        <v>8</v>
      </c>
      <c r="B1730" s="1312" t="s">
        <v>7882</v>
      </c>
      <c r="C1730" s="2407" t="s">
        <v>7881</v>
      </c>
      <c r="D1730" s="1145"/>
      <c r="E1730" s="917">
        <v>5184070</v>
      </c>
      <c r="F1730" s="1313" t="s">
        <v>7865</v>
      </c>
      <c r="G1730" s="2407" t="s">
        <v>7869</v>
      </c>
      <c r="H1730" s="2411" t="s">
        <v>7883</v>
      </c>
      <c r="I1730" s="1122"/>
      <c r="J1730" s="1486"/>
      <c r="K1730" s="1400"/>
      <c r="L1730" s="703"/>
      <c r="M1730" s="708"/>
      <c r="N1730" s="166"/>
      <c r="P1730" s="166"/>
    </row>
    <row r="1731" spans="1:16" s="1311" customFormat="1" ht="13.2" customHeight="1">
      <c r="A1731" s="1483">
        <v>9</v>
      </c>
      <c r="B1731" s="1312" t="s">
        <v>7885</v>
      </c>
      <c r="C1731" s="2407" t="s">
        <v>7884</v>
      </c>
      <c r="D1731" s="1145"/>
      <c r="E1731" s="917">
        <v>5168273</v>
      </c>
      <c r="F1731" s="1313" t="s">
        <v>7886</v>
      </c>
      <c r="G1731" s="2407" t="s">
        <v>7887</v>
      </c>
      <c r="H1731" s="2411" t="s">
        <v>7888</v>
      </c>
      <c r="I1731" s="1122"/>
      <c r="J1731" s="1486"/>
      <c r="K1731" s="1400"/>
      <c r="L1731" s="703"/>
      <c r="M1731" s="708"/>
      <c r="N1731" s="166"/>
      <c r="P1731" s="166"/>
    </row>
    <row r="1732" spans="1:16" s="1311" customFormat="1" ht="13.2" customHeight="1">
      <c r="A1732" s="1483">
        <v>10</v>
      </c>
      <c r="B1732" s="1312" t="s">
        <v>7889</v>
      </c>
      <c r="C1732" s="2407" t="s">
        <v>7890</v>
      </c>
      <c r="D1732" s="1145"/>
      <c r="E1732" s="917">
        <v>5187632</v>
      </c>
      <c r="F1732" s="1313" t="s">
        <v>7849</v>
      </c>
      <c r="G1732" s="2407" t="s">
        <v>7891</v>
      </c>
      <c r="H1732" s="2411" t="s">
        <v>7892</v>
      </c>
      <c r="I1732" s="1122"/>
      <c r="J1732" s="1486"/>
      <c r="K1732" s="1400"/>
      <c r="L1732" s="703"/>
      <c r="M1732" s="708"/>
      <c r="N1732" s="166"/>
      <c r="P1732" s="166"/>
    </row>
    <row r="1733" spans="1:16" s="1311" customFormat="1" ht="13.2" customHeight="1">
      <c r="A1733" s="1483">
        <v>11</v>
      </c>
      <c r="B1733" s="1312" t="s">
        <v>7894</v>
      </c>
      <c r="C1733" s="2412" t="s">
        <v>7893</v>
      </c>
      <c r="D1733" s="1145"/>
      <c r="E1733" s="917">
        <v>5194193</v>
      </c>
      <c r="F1733" s="1313" t="s">
        <v>7896</v>
      </c>
      <c r="G1733" s="2407" t="s">
        <v>7891</v>
      </c>
      <c r="H1733" s="2411" t="s">
        <v>7895</v>
      </c>
      <c r="I1733" s="1122"/>
      <c r="J1733" s="1486"/>
      <c r="K1733" s="1400"/>
      <c r="L1733" s="703"/>
      <c r="M1733" s="708"/>
      <c r="N1733" s="166"/>
      <c r="P1733" s="166"/>
    </row>
    <row r="1734" spans="1:16" s="1311" customFormat="1" ht="13.2" customHeight="1">
      <c r="A1734" s="1483">
        <v>12</v>
      </c>
      <c r="B1734" s="1312" t="s">
        <v>7898</v>
      </c>
      <c r="C1734" s="2412" t="s">
        <v>7897</v>
      </c>
      <c r="D1734" s="1145"/>
      <c r="E1734" s="917">
        <v>5188584</v>
      </c>
      <c r="F1734" s="1313" t="s">
        <v>7899</v>
      </c>
      <c r="G1734" s="2407" t="s">
        <v>7901</v>
      </c>
      <c r="H1734" s="2411" t="s">
        <v>7900</v>
      </c>
      <c r="I1734" s="1122"/>
      <c r="J1734" s="1486"/>
      <c r="K1734" s="1400"/>
      <c r="L1734" s="703"/>
      <c r="M1734" s="708"/>
      <c r="N1734" s="166"/>
      <c r="P1734" s="166"/>
    </row>
    <row r="1735" spans="1:16" s="1311" customFormat="1" ht="13.2" customHeight="1">
      <c r="A1735" s="1483">
        <v>13</v>
      </c>
      <c r="B1735" s="1312" t="s">
        <v>7902</v>
      </c>
      <c r="C1735" s="1099">
        <v>21446532</v>
      </c>
      <c r="D1735" s="1145"/>
      <c r="E1735" s="917">
        <v>5187344</v>
      </c>
      <c r="F1735" s="1313" t="s">
        <v>7849</v>
      </c>
      <c r="G1735" s="2407" t="s">
        <v>7901</v>
      </c>
      <c r="H1735" s="2411" t="s">
        <v>7877</v>
      </c>
      <c r="I1735" s="1122"/>
      <c r="J1735" s="1486"/>
      <c r="K1735" s="1400"/>
      <c r="L1735" s="703"/>
      <c r="M1735" s="708"/>
      <c r="N1735" s="166"/>
      <c r="P1735" s="166"/>
    </row>
    <row r="1736" spans="1:16" s="1311" customFormat="1" ht="13.2" customHeight="1">
      <c r="A1736" s="1483">
        <v>14</v>
      </c>
      <c r="B1736" s="1312" t="s">
        <v>7903</v>
      </c>
      <c r="C1736" s="2407" t="s">
        <v>7904</v>
      </c>
      <c r="D1736" s="1145"/>
      <c r="E1736" s="917">
        <v>5182906</v>
      </c>
      <c r="F1736" s="1313" t="s">
        <v>7865</v>
      </c>
      <c r="G1736" s="2407" t="s">
        <v>7901</v>
      </c>
      <c r="H1736" s="2411" t="s">
        <v>7905</v>
      </c>
      <c r="I1736" s="1122"/>
      <c r="J1736" s="1486"/>
      <c r="K1736" s="1400"/>
      <c r="L1736" s="703"/>
      <c r="M1736" s="708"/>
      <c r="N1736" s="166"/>
      <c r="P1736" s="166"/>
    </row>
    <row r="1737" spans="1:16" s="1311" customFormat="1" ht="13.2" customHeight="1">
      <c r="A1737" s="1483">
        <v>15</v>
      </c>
      <c r="B1737" s="1312" t="s">
        <v>7906</v>
      </c>
      <c r="C1737" s="2407" t="s">
        <v>7904</v>
      </c>
      <c r="D1737" s="1145"/>
      <c r="E1737" s="917">
        <v>5187453</v>
      </c>
      <c r="F1737" s="1313" t="s">
        <v>7849</v>
      </c>
      <c r="G1737" s="2407" t="s">
        <v>7901</v>
      </c>
      <c r="H1737" s="2411" t="s">
        <v>7907</v>
      </c>
      <c r="I1737" s="1122"/>
      <c r="J1737" s="1486"/>
      <c r="K1737" s="1400"/>
      <c r="L1737" s="703"/>
      <c r="M1737" s="708"/>
      <c r="N1737" s="166"/>
      <c r="P1737" s="166"/>
    </row>
    <row r="1738" spans="1:16" s="1311" customFormat="1" ht="13.2" customHeight="1">
      <c r="A1738" s="1483">
        <v>16</v>
      </c>
      <c r="B1738" s="1312" t="s">
        <v>7909</v>
      </c>
      <c r="C1738" s="2407" t="s">
        <v>7908</v>
      </c>
      <c r="D1738" s="1145"/>
      <c r="E1738" s="917">
        <v>5188488</v>
      </c>
      <c r="F1738" s="1313" t="s">
        <v>7849</v>
      </c>
      <c r="G1738" s="2407" t="s">
        <v>5244</v>
      </c>
      <c r="H1738" s="2411" t="s">
        <v>7020</v>
      </c>
      <c r="I1738" s="1122"/>
      <c r="J1738" s="1486"/>
      <c r="K1738" s="1400"/>
      <c r="L1738" s="703"/>
      <c r="M1738" s="708"/>
      <c r="N1738" s="166"/>
      <c r="P1738" s="166"/>
    </row>
    <row r="1739" spans="1:16" s="1311" customFormat="1" ht="13.2" customHeight="1">
      <c r="A1739" s="1483">
        <v>17</v>
      </c>
      <c r="B1739" s="975" t="s">
        <v>7911</v>
      </c>
      <c r="C1739" s="2410" t="s">
        <v>7910</v>
      </c>
      <c r="D1739" s="1165"/>
      <c r="E1739" s="977"/>
      <c r="F1739" s="976"/>
      <c r="G1739" s="2410" t="s">
        <v>7912</v>
      </c>
      <c r="H1739" s="1161"/>
      <c r="I1739" s="1122"/>
      <c r="J1739" s="1486"/>
      <c r="K1739" s="1400"/>
      <c r="L1739" s="703"/>
      <c r="M1739" s="708"/>
      <c r="N1739" s="166"/>
      <c r="P1739" s="166"/>
    </row>
    <row r="1740" spans="1:16" s="1311" customFormat="1" ht="13.2" customHeight="1">
      <c r="A1740" s="1483">
        <v>18</v>
      </c>
      <c r="B1740" s="1312" t="s">
        <v>7913</v>
      </c>
      <c r="C1740" s="1099">
        <v>84612032</v>
      </c>
      <c r="D1740" s="1145"/>
      <c r="E1740" s="917">
        <v>5162818</v>
      </c>
      <c r="F1740" s="1313" t="s">
        <v>7914</v>
      </c>
      <c r="G1740" s="2407" t="s">
        <v>7912</v>
      </c>
      <c r="H1740" s="2411" t="s">
        <v>7877</v>
      </c>
      <c r="I1740" s="1122"/>
      <c r="J1740" s="1486"/>
      <c r="K1740" s="1400"/>
      <c r="L1740" s="703"/>
      <c r="M1740" s="708"/>
      <c r="N1740" s="166"/>
      <c r="P1740" s="166"/>
    </row>
    <row r="1741" spans="1:16" s="1311" customFormat="1" ht="13.2" customHeight="1">
      <c r="A1741" s="1483">
        <v>19</v>
      </c>
      <c r="B1741" s="1312" t="s">
        <v>7916</v>
      </c>
      <c r="C1741" s="2407" t="s">
        <v>7915</v>
      </c>
      <c r="D1741" s="1145"/>
      <c r="E1741" s="917">
        <v>5176837</v>
      </c>
      <c r="F1741" s="1313" t="s">
        <v>7875</v>
      </c>
      <c r="G1741" s="2407" t="s">
        <v>7917</v>
      </c>
      <c r="H1741" s="2411" t="s">
        <v>7877</v>
      </c>
      <c r="I1741" s="1122"/>
      <c r="J1741" s="1486"/>
      <c r="K1741" s="1400"/>
      <c r="L1741" s="703"/>
      <c r="M1741" s="708"/>
      <c r="N1741" s="166"/>
      <c r="P1741" s="166"/>
    </row>
    <row r="1742" spans="1:16" s="1311" customFormat="1" ht="13.2" customHeight="1">
      <c r="A1742" s="1483">
        <v>20</v>
      </c>
      <c r="B1742" s="1312" t="s">
        <v>6900</v>
      </c>
      <c r="C1742" s="1099"/>
      <c r="D1742" s="1145"/>
      <c r="E1742" s="917">
        <v>5192207</v>
      </c>
      <c r="F1742" s="1313" t="s">
        <v>7899</v>
      </c>
      <c r="G1742" s="2407" t="s">
        <v>7918</v>
      </c>
      <c r="H1742" s="2411" t="s">
        <v>7883</v>
      </c>
      <c r="I1742" s="1122"/>
      <c r="J1742" s="1486"/>
      <c r="K1742" s="1400"/>
      <c r="L1742" s="703"/>
      <c r="M1742" s="708"/>
      <c r="N1742" s="166"/>
      <c r="P1742" s="166"/>
    </row>
    <row r="1743" spans="1:16" s="1311" customFormat="1" ht="13.2" customHeight="1">
      <c r="A1743" s="1483">
        <v>21</v>
      </c>
      <c r="B1743" s="1312" t="s">
        <v>7923</v>
      </c>
      <c r="C1743" s="2412" t="s">
        <v>7924</v>
      </c>
      <c r="D1743" s="1145"/>
      <c r="E1743" s="917">
        <v>5189750</v>
      </c>
      <c r="F1743" s="1313" t="s">
        <v>7899</v>
      </c>
      <c r="G1743" s="2412" t="s">
        <v>7925</v>
      </c>
      <c r="H1743" s="2415" t="s">
        <v>7926</v>
      </c>
      <c r="I1743" s="1122"/>
      <c r="J1743" s="1486"/>
      <c r="K1743" s="1400"/>
      <c r="L1743" s="703"/>
      <c r="M1743" s="708"/>
      <c r="N1743" s="166"/>
      <c r="P1743" s="166"/>
    </row>
    <row r="1744" spans="1:16" s="1311" customFormat="1" ht="13.2" customHeight="1">
      <c r="A1744" s="1483">
        <v>22</v>
      </c>
      <c r="B1744" s="1312" t="s">
        <v>7927</v>
      </c>
      <c r="C1744" s="2412" t="s">
        <v>7928</v>
      </c>
      <c r="D1744" s="1145"/>
      <c r="E1744" s="917">
        <v>5191646</v>
      </c>
      <c r="F1744" s="1313" t="s">
        <v>7899</v>
      </c>
      <c r="G1744" s="2412" t="s">
        <v>7925</v>
      </c>
      <c r="H1744" s="2415" t="s">
        <v>7929</v>
      </c>
      <c r="I1744" s="1122"/>
      <c r="J1744" s="1486"/>
      <c r="K1744" s="1400"/>
      <c r="L1744" s="703"/>
      <c r="M1744" s="708"/>
      <c r="N1744" s="166"/>
      <c r="P1744" s="166"/>
    </row>
    <row r="1745" spans="1:16" s="1311" customFormat="1" ht="13.2" customHeight="1">
      <c r="A1745" s="1483">
        <v>23</v>
      </c>
      <c r="B1745" s="1312" t="s">
        <v>7930</v>
      </c>
      <c r="C1745" s="1099">
        <v>35940950</v>
      </c>
      <c r="D1745" s="1145"/>
      <c r="E1745" s="917">
        <v>5188106</v>
      </c>
      <c r="F1745" s="1313" t="s">
        <v>7849</v>
      </c>
      <c r="G1745" s="2412" t="s">
        <v>736</v>
      </c>
      <c r="H1745" s="2415" t="s">
        <v>7877</v>
      </c>
      <c r="I1745" s="1122"/>
      <c r="J1745" s="1486"/>
      <c r="K1745" s="1400"/>
      <c r="L1745" s="703"/>
      <c r="M1745" s="708"/>
      <c r="N1745" s="166"/>
      <c r="P1745" s="166"/>
    </row>
    <row r="1746" spans="1:16" s="1311" customFormat="1" ht="13.2" customHeight="1">
      <c r="A1746" s="1483">
        <v>24</v>
      </c>
      <c r="B1746" s="1312" t="s">
        <v>7931</v>
      </c>
      <c r="C1746" s="2412" t="s">
        <v>7932</v>
      </c>
      <c r="D1746" s="1145"/>
      <c r="E1746" s="917">
        <v>5187126</v>
      </c>
      <c r="F1746" s="1313" t="s">
        <v>7849</v>
      </c>
      <c r="G1746" s="2412" t="s">
        <v>1970</v>
      </c>
      <c r="H1746" s="2415" t="s">
        <v>7465</v>
      </c>
      <c r="I1746" s="1122"/>
      <c r="J1746" s="1486"/>
      <c r="K1746" s="1400"/>
      <c r="L1746" s="703"/>
      <c r="M1746" s="708"/>
      <c r="N1746" s="166"/>
      <c r="P1746" s="166"/>
    </row>
    <row r="1747" spans="1:16" s="1311" customFormat="1" ht="13.2" customHeight="1">
      <c r="A1747" s="1483">
        <v>25</v>
      </c>
      <c r="B1747" s="1312" t="s">
        <v>7933</v>
      </c>
      <c r="C1747" s="2412" t="s">
        <v>7934</v>
      </c>
      <c r="D1747" s="1145"/>
      <c r="E1747" s="917">
        <v>5182407</v>
      </c>
      <c r="F1747" s="1313" t="s">
        <v>7865</v>
      </c>
      <c r="G1747" s="2412" t="s">
        <v>7935</v>
      </c>
      <c r="H1747" s="2415" t="s">
        <v>7936</v>
      </c>
      <c r="I1747" s="1122"/>
      <c r="J1747" s="1486"/>
      <c r="K1747" s="1400"/>
      <c r="L1747" s="703"/>
      <c r="M1747" s="708"/>
      <c r="N1747" s="166"/>
      <c r="P1747" s="166"/>
    </row>
    <row r="1748" spans="1:16" s="1311" customFormat="1" ht="13.2" customHeight="1">
      <c r="A1748" s="1483">
        <v>26</v>
      </c>
      <c r="B1748" s="1312" t="s">
        <v>7937</v>
      </c>
      <c r="C1748" s="2424" t="s">
        <v>7938</v>
      </c>
      <c r="D1748" s="1145"/>
      <c r="E1748" s="917">
        <v>5191441</v>
      </c>
      <c r="F1748" s="1313" t="s">
        <v>7899</v>
      </c>
      <c r="G1748" s="2412" t="s">
        <v>1972</v>
      </c>
      <c r="H1748" s="2415" t="s">
        <v>7936</v>
      </c>
      <c r="I1748" s="1122"/>
      <c r="J1748" s="1486"/>
      <c r="K1748" s="1400"/>
      <c r="L1748" s="703"/>
      <c r="M1748" s="708"/>
      <c r="N1748" s="166"/>
      <c r="P1748" s="166"/>
    </row>
    <row r="1749" spans="1:16" s="1311" customFormat="1" ht="13.2" customHeight="1">
      <c r="A1749" s="1483">
        <v>27</v>
      </c>
      <c r="B1749" s="1312" t="s">
        <v>7939</v>
      </c>
      <c r="C1749" s="2412" t="s">
        <v>7940</v>
      </c>
      <c r="D1749" s="1145"/>
      <c r="E1749" s="917">
        <v>5201398</v>
      </c>
      <c r="F1749" s="1313" t="s">
        <v>7941</v>
      </c>
      <c r="G1749" s="2412" t="s">
        <v>667</v>
      </c>
      <c r="H1749" s="2415" t="s">
        <v>7465</v>
      </c>
      <c r="I1749" s="1122"/>
      <c r="J1749" s="1486"/>
      <c r="K1749" s="1400"/>
      <c r="L1749" s="703"/>
      <c r="M1749" s="708"/>
      <c r="N1749" s="166"/>
      <c r="P1749" s="166"/>
    </row>
    <row r="1750" spans="1:16" s="1311" customFormat="1" ht="13.2" customHeight="1">
      <c r="A1750" s="1483">
        <v>28</v>
      </c>
      <c r="B1750" s="1312" t="s">
        <v>7942</v>
      </c>
      <c r="C1750" s="2412" t="s">
        <v>7943</v>
      </c>
      <c r="D1750" s="1145"/>
      <c r="E1750" s="917">
        <v>5191108</v>
      </c>
      <c r="F1750" s="1313" t="s">
        <v>7899</v>
      </c>
      <c r="G1750" s="2412" t="s">
        <v>667</v>
      </c>
      <c r="H1750" s="2415" t="s">
        <v>7905</v>
      </c>
      <c r="I1750" s="1122"/>
      <c r="J1750" s="1486"/>
      <c r="K1750" s="1400"/>
      <c r="L1750" s="703"/>
      <c r="M1750" s="708"/>
      <c r="N1750" s="166"/>
      <c r="P1750" s="166"/>
    </row>
    <row r="1751" spans="1:16" s="1311" customFormat="1" ht="13.2" customHeight="1">
      <c r="A1751" s="1483">
        <v>29</v>
      </c>
      <c r="B1751" s="1312" t="s">
        <v>7951</v>
      </c>
      <c r="C1751" s="2448" t="s">
        <v>7952</v>
      </c>
      <c r="D1751" s="1145"/>
      <c r="E1751" s="1313">
        <v>5191230</v>
      </c>
      <c r="F1751" s="1313" t="s">
        <v>7899</v>
      </c>
      <c r="G1751" s="2419" t="s">
        <v>2335</v>
      </c>
      <c r="H1751" s="2423" t="s">
        <v>7877</v>
      </c>
      <c r="I1751" s="1122"/>
      <c r="J1751" s="1486"/>
      <c r="K1751" s="1400"/>
      <c r="L1751" s="703"/>
      <c r="M1751" s="708"/>
      <c r="N1751" s="166"/>
      <c r="P1751" s="166"/>
    </row>
    <row r="1752" spans="1:16" s="1311" customFormat="1" ht="13.2" customHeight="1">
      <c r="A1752" s="1483">
        <v>30</v>
      </c>
      <c r="B1752" s="1312" t="s">
        <v>7954</v>
      </c>
      <c r="C1752" s="2419" t="s">
        <v>7953</v>
      </c>
      <c r="D1752" s="1145"/>
      <c r="E1752" s="917">
        <v>5203508</v>
      </c>
      <c r="F1752" s="2419" t="s">
        <v>7941</v>
      </c>
      <c r="G1752" s="2419" t="s">
        <v>2288</v>
      </c>
      <c r="H1752" s="2423" t="s">
        <v>7936</v>
      </c>
      <c r="I1752" s="1122"/>
      <c r="J1752" s="1486"/>
      <c r="K1752" s="1400"/>
      <c r="L1752" s="703"/>
      <c r="M1752" s="708"/>
      <c r="N1752" s="166"/>
      <c r="P1752" s="166"/>
    </row>
    <row r="1753" spans="1:16" s="1311" customFormat="1" ht="13.2" customHeight="1">
      <c r="A1753" s="1483">
        <v>31</v>
      </c>
      <c r="B1753" s="1312" t="s">
        <v>7956</v>
      </c>
      <c r="C1753" s="2419" t="s">
        <v>7955</v>
      </c>
      <c r="D1753" s="1145"/>
      <c r="E1753" s="917">
        <v>5210906</v>
      </c>
      <c r="F1753" s="2419" t="s">
        <v>7957</v>
      </c>
      <c r="G1753" s="2419" t="s">
        <v>7958</v>
      </c>
      <c r="H1753" s="2423" t="s">
        <v>7877</v>
      </c>
      <c r="I1753" s="1122"/>
      <c r="J1753" s="1486"/>
      <c r="K1753" s="1400"/>
      <c r="L1753" s="703"/>
      <c r="M1753" s="708"/>
      <c r="N1753" s="166"/>
      <c r="P1753" s="166"/>
    </row>
    <row r="1754" spans="1:16" s="1311" customFormat="1" ht="13.2" customHeight="1">
      <c r="A1754" s="1483">
        <v>32</v>
      </c>
      <c r="B1754" s="1312" t="s">
        <v>7959</v>
      </c>
      <c r="C1754" s="1099">
        <v>30079040</v>
      </c>
      <c r="D1754" s="1145"/>
      <c r="E1754" s="917">
        <v>5205694</v>
      </c>
      <c r="F1754" s="2419" t="s">
        <v>7945</v>
      </c>
      <c r="G1754" s="2419" t="s">
        <v>1959</v>
      </c>
      <c r="H1754" s="2423" t="s">
        <v>7465</v>
      </c>
      <c r="I1754" s="1122"/>
      <c r="J1754" s="1486"/>
      <c r="K1754" s="1400"/>
      <c r="L1754" s="703"/>
      <c r="M1754" s="708"/>
      <c r="N1754" s="166"/>
      <c r="P1754" s="166"/>
    </row>
    <row r="1755" spans="1:16" s="1311" customFormat="1" ht="13.2" customHeight="1">
      <c r="A1755" s="1483">
        <v>33</v>
      </c>
      <c r="B1755" s="1312" t="s">
        <v>7960</v>
      </c>
      <c r="C1755" s="2419" t="s">
        <v>7961</v>
      </c>
      <c r="D1755" s="1145"/>
      <c r="E1755" s="917">
        <v>5167644</v>
      </c>
      <c r="F1755" s="2419" t="s">
        <v>7886</v>
      </c>
      <c r="G1755" s="2419" t="s">
        <v>7962</v>
      </c>
      <c r="H1755" s="2423" t="s">
        <v>7877</v>
      </c>
      <c r="I1755" s="1122"/>
      <c r="J1755" s="1486"/>
      <c r="K1755" s="1400"/>
      <c r="L1755" s="703"/>
      <c r="M1755" s="708"/>
      <c r="N1755" s="166"/>
      <c r="P1755" s="166"/>
    </row>
    <row r="1756" spans="1:16" s="1311" customFormat="1" ht="13.2" customHeight="1">
      <c r="A1756" s="1483">
        <v>34</v>
      </c>
      <c r="B1756" s="1312" t="s">
        <v>7964</v>
      </c>
      <c r="C1756" s="2419" t="s">
        <v>7963</v>
      </c>
      <c r="D1756" s="1145"/>
      <c r="E1756" s="917">
        <v>5208945</v>
      </c>
      <c r="F1756" s="2419" t="s">
        <v>7957</v>
      </c>
      <c r="G1756" s="2419" t="s">
        <v>7965</v>
      </c>
      <c r="H1756" s="2423" t="s">
        <v>7966</v>
      </c>
      <c r="I1756" s="1122"/>
      <c r="J1756" s="1486"/>
      <c r="K1756" s="1400"/>
      <c r="L1756" s="703"/>
      <c r="M1756" s="708"/>
      <c r="N1756" s="166"/>
      <c r="P1756" s="166"/>
    </row>
    <row r="1757" spans="1:16" s="1311" customFormat="1" ht="13.2" customHeight="1">
      <c r="A1757" s="1483">
        <v>34</v>
      </c>
      <c r="B1757" s="1312" t="s">
        <v>7974</v>
      </c>
      <c r="C1757" s="2433" t="s">
        <v>7971</v>
      </c>
      <c r="D1757" s="1145"/>
      <c r="E1757" s="917">
        <v>5215165</v>
      </c>
      <c r="F1757" s="2433" t="s">
        <v>7967</v>
      </c>
      <c r="G1757" s="2433" t="s">
        <v>7958</v>
      </c>
      <c r="H1757" s="2434" t="s">
        <v>5030</v>
      </c>
      <c r="I1757" s="1122"/>
      <c r="J1757" s="1486"/>
      <c r="K1757" s="1400"/>
      <c r="L1757" s="703"/>
      <c r="M1757" s="708"/>
      <c r="N1757" s="166"/>
      <c r="P1757" s="166"/>
    </row>
    <row r="1758" spans="1:16" s="1311" customFormat="1" ht="13.2" customHeight="1">
      <c r="A1758" s="1483">
        <v>35</v>
      </c>
      <c r="B1758" s="1312" t="s">
        <v>7973</v>
      </c>
      <c r="C1758" s="2433" t="s">
        <v>7827</v>
      </c>
      <c r="D1758" s="1145"/>
      <c r="E1758" s="917">
        <v>5214745</v>
      </c>
      <c r="F1758" s="2433" t="s">
        <v>7967</v>
      </c>
      <c r="G1758" s="2433" t="s">
        <v>5244</v>
      </c>
      <c r="H1758" s="2434" t="s">
        <v>7972</v>
      </c>
      <c r="I1758" s="1122"/>
      <c r="J1758" s="1486"/>
      <c r="K1758" s="1400"/>
      <c r="L1758" s="703"/>
      <c r="M1758" s="708"/>
      <c r="N1758" s="166"/>
      <c r="P1758" s="166"/>
    </row>
    <row r="1759" spans="1:16" s="1311" customFormat="1" ht="13.2" customHeight="1">
      <c r="A1759" s="1483">
        <v>36</v>
      </c>
      <c r="B1759" s="1312" t="s">
        <v>7976</v>
      </c>
      <c r="C1759" s="2433" t="s">
        <v>7975</v>
      </c>
      <c r="D1759" s="1145"/>
      <c r="E1759" s="917">
        <v>5202274</v>
      </c>
      <c r="F1759" s="2433" t="s">
        <v>7941</v>
      </c>
      <c r="G1759" s="2433" t="s">
        <v>2306</v>
      </c>
      <c r="H1759" s="2434" t="s">
        <v>7372</v>
      </c>
      <c r="I1759" s="1122"/>
      <c r="J1759" s="1486"/>
      <c r="K1759" s="1400"/>
      <c r="L1759" s="703"/>
      <c r="M1759" s="708"/>
      <c r="N1759" s="166"/>
      <c r="P1759" s="166"/>
    </row>
    <row r="1760" spans="1:16" s="1311" customFormat="1" ht="13.2" customHeight="1">
      <c r="A1760" s="1483">
        <v>37</v>
      </c>
      <c r="B1760" s="1312" t="s">
        <v>7977</v>
      </c>
      <c r="C1760" s="2433" t="s">
        <v>7975</v>
      </c>
      <c r="D1760" s="1145"/>
      <c r="E1760" s="917">
        <v>5191707</v>
      </c>
      <c r="F1760" s="2433" t="s">
        <v>7899</v>
      </c>
      <c r="G1760" s="2433" t="s">
        <v>7912</v>
      </c>
      <c r="H1760" s="2434" t="s">
        <v>7978</v>
      </c>
      <c r="I1760" s="1122"/>
      <c r="J1760" s="1486"/>
      <c r="K1760" s="1400"/>
      <c r="L1760" s="703"/>
      <c r="M1760" s="708"/>
      <c r="N1760" s="166"/>
      <c r="P1760" s="166"/>
    </row>
    <row r="1761" spans="1:16" s="1311" customFormat="1" ht="13.2" customHeight="1">
      <c r="A1761" s="1483">
        <v>38</v>
      </c>
      <c r="B1761" s="1312" t="s">
        <v>7980</v>
      </c>
      <c r="C1761" s="2433" t="s">
        <v>7979</v>
      </c>
      <c r="D1761" s="1145"/>
      <c r="E1761" s="917">
        <v>5193119</v>
      </c>
      <c r="F1761" s="2433" t="s">
        <v>7899</v>
      </c>
      <c r="G1761" s="2433" t="s">
        <v>7912</v>
      </c>
      <c r="H1761" s="2434" t="s">
        <v>7978</v>
      </c>
      <c r="I1761" s="1122"/>
      <c r="J1761" s="1486"/>
      <c r="K1761" s="1400"/>
      <c r="L1761" s="703"/>
      <c r="M1761" s="708"/>
      <c r="N1761" s="166"/>
      <c r="P1761" s="166"/>
    </row>
    <row r="1762" spans="1:16" s="1311" customFormat="1" ht="13.2" customHeight="1">
      <c r="A1762" s="1483">
        <v>39</v>
      </c>
      <c r="B1762" s="961" t="s">
        <v>7981</v>
      </c>
      <c r="C1762" s="1078"/>
      <c r="D1762" s="1265"/>
      <c r="E1762" s="968">
        <v>5223344</v>
      </c>
      <c r="F1762" s="2431" t="s">
        <v>7982</v>
      </c>
      <c r="G1762" s="2431" t="s">
        <v>2335</v>
      </c>
      <c r="H1762" s="2432" t="s">
        <v>7983</v>
      </c>
      <c r="I1762" s="1122"/>
      <c r="J1762" s="1486"/>
      <c r="K1762" s="1400"/>
      <c r="L1762" s="703"/>
      <c r="M1762" s="708"/>
      <c r="N1762" s="166"/>
      <c r="P1762" s="166"/>
    </row>
    <row r="1763" spans="1:16" s="1311" customFormat="1" ht="13.2" customHeight="1">
      <c r="A1763" s="1483">
        <v>40</v>
      </c>
      <c r="B1763" s="709" t="s">
        <v>7984</v>
      </c>
      <c r="C1763" s="2436" t="s">
        <v>7823</v>
      </c>
      <c r="D1763" s="1141"/>
      <c r="E1763" s="915">
        <v>5209908</v>
      </c>
      <c r="F1763" s="1310"/>
      <c r="G1763" s="2429" t="s">
        <v>1972</v>
      </c>
      <c r="H1763" s="2430" t="s">
        <v>7985</v>
      </c>
      <c r="I1763" s="1122"/>
      <c r="J1763" s="1486"/>
      <c r="K1763" s="1400"/>
      <c r="L1763" s="703"/>
      <c r="M1763" s="708"/>
      <c r="N1763" s="166"/>
      <c r="P1763" s="166"/>
    </row>
    <row r="1764" spans="1:16" s="1311" customFormat="1" ht="13.2" customHeight="1">
      <c r="A1764" s="1483"/>
      <c r="B1764" s="709"/>
      <c r="C1764" s="2429" t="s">
        <v>7986</v>
      </c>
      <c r="D1764" s="1141"/>
      <c r="E1764" s="915"/>
      <c r="F1764" s="1310"/>
      <c r="G1764" s="1484"/>
      <c r="H1764" s="1160"/>
      <c r="I1764" s="1122"/>
      <c r="J1764" s="1486"/>
      <c r="K1764" s="1400"/>
      <c r="L1764" s="703"/>
      <c r="M1764" s="708"/>
      <c r="N1764" s="166"/>
      <c r="P1764" s="166"/>
    </row>
    <row r="1765" spans="1:16" s="1311" customFormat="1" ht="13.2" customHeight="1">
      <c r="A1765" s="1483"/>
      <c r="B1765" s="709"/>
      <c r="C1765" s="1082"/>
      <c r="D1765" s="1141"/>
      <c r="E1765" s="915"/>
      <c r="F1765" s="1310"/>
      <c r="G1765" s="1484"/>
      <c r="H1765" s="1160"/>
      <c r="I1765" s="1122"/>
      <c r="J1765" s="1486"/>
      <c r="K1765" s="1400"/>
      <c r="L1765" s="703"/>
      <c r="M1765" s="708"/>
      <c r="N1765" s="166"/>
      <c r="P1765" s="166"/>
    </row>
    <row r="1766" spans="1:16" s="1311" customFormat="1" ht="13.2" customHeight="1">
      <c r="A1766" s="1483">
        <v>1</v>
      </c>
      <c r="B1766" s="729" t="s">
        <v>7997</v>
      </c>
      <c r="C1766" s="2445" t="s">
        <v>7994</v>
      </c>
      <c r="D1766" s="1618"/>
      <c r="E1766" s="1057"/>
      <c r="F1766" s="730"/>
      <c r="G1766" s="2445" t="s">
        <v>7995</v>
      </c>
      <c r="H1766" s="2446" t="s">
        <v>7996</v>
      </c>
      <c r="I1766" s="1122"/>
      <c r="J1766" s="1486"/>
      <c r="K1766" s="1400"/>
      <c r="L1766" s="703"/>
      <c r="M1766" s="708"/>
      <c r="N1766" s="166"/>
      <c r="P1766" s="166"/>
    </row>
    <row r="1767" spans="1:16" s="1311" customFormat="1" ht="13.2" customHeight="1">
      <c r="A1767" s="1483"/>
      <c r="B1767" s="709" t="s">
        <v>8002</v>
      </c>
      <c r="C1767" s="2444">
        <v>19472781</v>
      </c>
      <c r="D1767" s="1141"/>
      <c r="E1767" s="915"/>
      <c r="F1767" s="1310"/>
      <c r="G1767" s="2456" t="s">
        <v>2251</v>
      </c>
      <c r="H1767" s="2455" t="s">
        <v>8003</v>
      </c>
      <c r="I1767" s="1122"/>
      <c r="J1767" s="1486"/>
      <c r="K1767" s="1400"/>
      <c r="L1767" s="703"/>
      <c r="M1767" s="708"/>
      <c r="N1767" s="166"/>
      <c r="P1767" s="166"/>
    </row>
    <row r="1768" spans="1:16" s="1311" customFormat="1" ht="13.2" customHeight="1">
      <c r="A1768" s="1483"/>
      <c r="B1768" s="709"/>
      <c r="C1768" s="2444"/>
      <c r="D1768" s="1141"/>
      <c r="E1768" s="915"/>
      <c r="F1768" s="1310"/>
      <c r="G1768" s="1484"/>
      <c r="H1768" s="1160"/>
      <c r="I1768" s="1122"/>
      <c r="J1768" s="1486"/>
      <c r="K1768" s="1400"/>
      <c r="L1768" s="703"/>
      <c r="M1768" s="708"/>
      <c r="N1768" s="166"/>
      <c r="P1768" s="166"/>
    </row>
    <row r="1769" spans="1:16" s="1311" customFormat="1" ht="13.2" customHeight="1">
      <c r="A1769" s="1483"/>
      <c r="B1769" s="1312" t="s">
        <v>8006</v>
      </c>
      <c r="C1769" s="2474" t="s">
        <v>8005</v>
      </c>
      <c r="D1769" s="1145"/>
      <c r="E1769" s="917">
        <v>5290044</v>
      </c>
      <c r="F1769" s="1313" t="s">
        <v>8007</v>
      </c>
      <c r="G1769" s="2471" t="s">
        <v>8008</v>
      </c>
      <c r="H1769" s="2472" t="s">
        <v>8009</v>
      </c>
      <c r="I1769" s="1122"/>
      <c r="J1769" s="1486"/>
      <c r="K1769" s="1400"/>
      <c r="L1769" s="703"/>
      <c r="M1769" s="708"/>
      <c r="N1769" s="166"/>
      <c r="P1769" s="166"/>
    </row>
    <row r="1770" spans="1:16" s="1311" customFormat="1" ht="13.2" customHeight="1">
      <c r="A1770" s="1483"/>
      <c r="B1770" s="1312" t="s">
        <v>8011</v>
      </c>
      <c r="C1770" s="2474" t="s">
        <v>8010</v>
      </c>
      <c r="D1770" s="1145"/>
      <c r="E1770" s="917">
        <v>5294595</v>
      </c>
      <c r="F1770" s="1313" t="s">
        <v>8012</v>
      </c>
      <c r="G1770" s="2471" t="s">
        <v>2187</v>
      </c>
      <c r="H1770" s="2472" t="s">
        <v>8013</v>
      </c>
      <c r="I1770" s="1122"/>
      <c r="J1770" s="1486"/>
      <c r="K1770" s="1400"/>
      <c r="L1770" s="703"/>
      <c r="M1770" s="708"/>
      <c r="N1770" s="166"/>
      <c r="P1770" s="166"/>
    </row>
    <row r="1771" spans="1:16" s="1311" customFormat="1" ht="13.2" customHeight="1">
      <c r="A1771" s="1483"/>
      <c r="B1771" s="1312" t="s">
        <v>8015</v>
      </c>
      <c r="C1771" s="2474" t="s">
        <v>8014</v>
      </c>
      <c r="D1771" s="1145"/>
      <c r="E1771" s="917">
        <v>5289063</v>
      </c>
      <c r="F1771" s="2471" t="s">
        <v>8007</v>
      </c>
      <c r="G1771" s="2471" t="s">
        <v>2124</v>
      </c>
      <c r="H1771" s="2472" t="s">
        <v>8013</v>
      </c>
      <c r="I1771" s="1122"/>
      <c r="J1771" s="1486"/>
      <c r="K1771" s="1400"/>
      <c r="L1771" s="703"/>
      <c r="M1771" s="708"/>
      <c r="N1771" s="166"/>
      <c r="P1771" s="166"/>
    </row>
    <row r="1772" spans="1:16" s="1311" customFormat="1" ht="13.2" customHeight="1">
      <c r="A1772" s="1483"/>
      <c r="B1772" s="1312" t="s">
        <v>8017</v>
      </c>
      <c r="C1772" s="2471" t="s">
        <v>8016</v>
      </c>
      <c r="D1772" s="1145"/>
      <c r="E1772" s="917">
        <v>5302189</v>
      </c>
      <c r="F1772" s="2471" t="s">
        <v>8018</v>
      </c>
      <c r="G1772" s="2471" t="s">
        <v>617</v>
      </c>
      <c r="H1772" s="2472" t="s">
        <v>7907</v>
      </c>
      <c r="I1772" s="1122"/>
      <c r="J1772" s="1486"/>
      <c r="K1772" s="1400"/>
      <c r="L1772" s="703"/>
      <c r="M1772" s="708"/>
      <c r="N1772" s="166"/>
      <c r="P1772" s="166"/>
    </row>
    <row r="1773" spans="1:16" s="1311" customFormat="1" ht="13.2" customHeight="1">
      <c r="A1773" s="1483"/>
      <c r="B1773" s="1312" t="s">
        <v>8019</v>
      </c>
      <c r="C1773" s="2471" t="s">
        <v>7823</v>
      </c>
      <c r="D1773" s="1145"/>
      <c r="E1773" s="917">
        <v>5288412</v>
      </c>
      <c r="F1773" s="2471" t="s">
        <v>8020</v>
      </c>
      <c r="G1773" s="2471" t="s">
        <v>1972</v>
      </c>
      <c r="H1773" s="2472" t="s">
        <v>8021</v>
      </c>
      <c r="I1773" s="1122"/>
      <c r="J1773" s="1486"/>
      <c r="K1773" s="1400"/>
      <c r="L1773" s="703"/>
      <c r="M1773" s="708"/>
      <c r="N1773" s="166"/>
      <c r="P1773" s="166"/>
    </row>
    <row r="1774" spans="1:16" s="1311" customFormat="1" ht="13.2" customHeight="1">
      <c r="A1774" s="1483"/>
      <c r="B1774" s="1312" t="s">
        <v>8023</v>
      </c>
      <c r="C1774" s="2471" t="s">
        <v>8022</v>
      </c>
      <c r="D1774" s="1145"/>
      <c r="E1774" s="917">
        <v>5287585</v>
      </c>
      <c r="F1774" s="2471" t="s">
        <v>8020</v>
      </c>
      <c r="G1774" s="2471" t="s">
        <v>2124</v>
      </c>
      <c r="H1774" s="2472" t="s">
        <v>8024</v>
      </c>
      <c r="I1774" s="1122"/>
      <c r="J1774" s="1486"/>
      <c r="K1774" s="1400"/>
      <c r="L1774" s="703"/>
      <c r="M1774" s="708"/>
      <c r="N1774" s="166"/>
      <c r="P1774" s="166"/>
    </row>
    <row r="1775" spans="1:16" s="1311" customFormat="1" ht="13.2" customHeight="1">
      <c r="A1775" s="1483"/>
      <c r="B1775" s="961" t="s">
        <v>8026</v>
      </c>
      <c r="C1775" s="2466" t="s">
        <v>8025</v>
      </c>
      <c r="D1775" s="1265"/>
      <c r="E1775" s="968">
        <v>5209908</v>
      </c>
      <c r="F1775" s="2466" t="s">
        <v>7957</v>
      </c>
      <c r="G1775" s="2466" t="s">
        <v>7912</v>
      </c>
      <c r="H1775" s="2467" t="s">
        <v>8027</v>
      </c>
      <c r="I1775" s="1122"/>
      <c r="J1775" s="1486"/>
      <c r="K1775" s="1400"/>
      <c r="L1775" s="703"/>
      <c r="M1775" s="708"/>
      <c r="N1775" s="166"/>
      <c r="P1775" s="166"/>
    </row>
    <row r="1776" spans="1:16" s="1311" customFormat="1" ht="13.2" customHeight="1">
      <c r="A1776" s="1483"/>
      <c r="B1776" s="729" t="s">
        <v>8029</v>
      </c>
      <c r="C1776" s="2469" t="s">
        <v>8028</v>
      </c>
      <c r="D1776" s="1618"/>
      <c r="E1776" s="1057">
        <v>5303394</v>
      </c>
      <c r="F1776" s="2469" t="s">
        <v>8030</v>
      </c>
      <c r="G1776" s="2469" t="s">
        <v>2402</v>
      </c>
      <c r="H1776" s="2470" t="s">
        <v>8031</v>
      </c>
      <c r="I1776" s="1122"/>
      <c r="J1776" s="1486"/>
      <c r="K1776" s="1400"/>
      <c r="L1776" s="703"/>
      <c r="M1776" s="708"/>
      <c r="N1776" s="166"/>
      <c r="P1776" s="166"/>
    </row>
    <row r="1777" spans="1:16" s="1311" customFormat="1" ht="13.2" customHeight="1">
      <c r="A1777" s="1483"/>
      <c r="B1777" s="961" t="s">
        <v>8033</v>
      </c>
      <c r="C1777" s="2473" t="s">
        <v>8032</v>
      </c>
      <c r="D1777" s="1265"/>
      <c r="E1777" s="968">
        <v>5290214</v>
      </c>
      <c r="F1777" s="2466" t="s">
        <v>8007</v>
      </c>
      <c r="G1777" s="2466" t="s">
        <v>736</v>
      </c>
      <c r="H1777" s="2467" t="s">
        <v>8034</v>
      </c>
      <c r="I1777" s="1122"/>
      <c r="J1777" s="1486"/>
      <c r="K1777" s="1400"/>
      <c r="L1777" s="703"/>
      <c r="M1777" s="708"/>
      <c r="N1777" s="166"/>
      <c r="P1777" s="166"/>
    </row>
    <row r="1778" spans="1:16" s="1311" customFormat="1" ht="13.2" customHeight="1">
      <c r="A1778" s="1483"/>
      <c r="B1778" s="709"/>
      <c r="C1778" s="2444"/>
      <c r="D1778" s="1141"/>
      <c r="E1778" s="915"/>
      <c r="F1778" s="1310"/>
      <c r="G1778" s="1484"/>
      <c r="H1778" s="1160"/>
      <c r="I1778" s="1122"/>
      <c r="J1778" s="1486"/>
      <c r="K1778" s="1400"/>
      <c r="L1778" s="703"/>
      <c r="M1778" s="708"/>
      <c r="N1778" s="166"/>
      <c r="P1778" s="166"/>
    </row>
    <row r="1779" spans="1:16" s="1311" customFormat="1" ht="13.2" customHeight="1">
      <c r="A1779" s="1483"/>
      <c r="B1779" s="709"/>
      <c r="C1779" s="2444"/>
      <c r="D1779" s="1141"/>
      <c r="E1779" s="915"/>
      <c r="F1779" s="1310"/>
      <c r="G1779" s="1484"/>
      <c r="H1779" s="1160"/>
      <c r="I1779" s="1122"/>
      <c r="J1779" s="1486"/>
      <c r="K1779" s="1400"/>
      <c r="L1779" s="703"/>
      <c r="M1779" s="708"/>
      <c r="N1779" s="166"/>
      <c r="P1779" s="166"/>
    </row>
    <row r="1780" spans="1:16" s="1311" customFormat="1" ht="13.2" customHeight="1">
      <c r="A1780" s="1483"/>
      <c r="B1780" s="709"/>
      <c r="C1780" s="1082"/>
      <c r="D1780" s="1141"/>
      <c r="E1780" s="915"/>
      <c r="F1780" s="1310"/>
      <c r="G1780" s="2405" t="s">
        <v>7862</v>
      </c>
      <c r="H1780" s="1160"/>
      <c r="I1780" s="1122"/>
      <c r="J1780" s="1486"/>
      <c r="K1780" s="1400"/>
      <c r="L1780" s="703"/>
      <c r="M1780" s="708"/>
      <c r="N1780" s="166"/>
      <c r="P1780" s="166"/>
    </row>
    <row r="1781" spans="1:16" s="1311" customFormat="1" ht="13.2" customHeight="1">
      <c r="A1781" s="1483"/>
      <c r="B1781" s="1312" t="s">
        <v>7657</v>
      </c>
      <c r="C1781" s="1099">
        <v>48361690</v>
      </c>
      <c r="D1781" s="1145"/>
      <c r="E1781" s="917"/>
      <c r="F1781" s="1313"/>
      <c r="G1781" s="1900" t="s">
        <v>7658</v>
      </c>
      <c r="H1781" s="1911" t="s">
        <v>7659</v>
      </c>
      <c r="I1781" s="1122"/>
      <c r="J1781" s="1486"/>
      <c r="K1781" s="1400"/>
      <c r="L1781" s="703"/>
      <c r="M1781" s="708"/>
      <c r="N1781" s="166"/>
      <c r="P1781" s="166"/>
    </row>
    <row r="1782" spans="1:16" s="1311" customFormat="1" ht="13.2" customHeight="1">
      <c r="A1782" s="1483"/>
      <c r="B1782" s="709"/>
      <c r="C1782" s="1082"/>
      <c r="D1782" s="1141"/>
      <c r="E1782" s="915"/>
      <c r="F1782" s="1310"/>
      <c r="G1782" s="1484"/>
      <c r="H1782" s="1160"/>
      <c r="I1782" s="1122"/>
      <c r="J1782" s="1486"/>
      <c r="K1782" s="1400"/>
      <c r="L1782" s="703"/>
      <c r="M1782" s="708"/>
      <c r="N1782" s="166"/>
      <c r="P1782" s="166"/>
    </row>
    <row r="1783" spans="1:16" s="1311" customFormat="1" ht="13.2" customHeight="1">
      <c r="A1783" s="1483"/>
      <c r="B1783" s="1312" t="s">
        <v>7666</v>
      </c>
      <c r="C1783" s="1099">
        <v>91509351</v>
      </c>
      <c r="D1783" s="1145"/>
      <c r="E1783" s="917"/>
      <c r="F1783" s="1313"/>
      <c r="G1783" s="1900" t="s">
        <v>7213</v>
      </c>
      <c r="H1783" s="1173"/>
      <c r="I1783" s="1122"/>
      <c r="J1783" s="1486"/>
      <c r="K1783" s="1400"/>
      <c r="L1783" s="703"/>
      <c r="M1783" s="708"/>
      <c r="N1783" s="166"/>
      <c r="P1783" s="166"/>
    </row>
    <row r="1784" spans="1:16" s="1311" customFormat="1" ht="13.2" customHeight="1">
      <c r="A1784" s="1483"/>
      <c r="B1784" s="1312" t="s">
        <v>7664</v>
      </c>
      <c r="C1784" s="1099">
        <v>34443612</v>
      </c>
      <c r="D1784" s="1145"/>
      <c r="E1784" s="917"/>
      <c r="F1784" s="1313"/>
      <c r="G1784" s="1900" t="s">
        <v>7665</v>
      </c>
      <c r="H1784" s="1173"/>
      <c r="I1784" s="1122"/>
      <c r="J1784" s="1486"/>
      <c r="K1784" s="1400"/>
      <c r="L1784" s="703"/>
      <c r="M1784" s="708"/>
      <c r="N1784" s="166"/>
      <c r="P1784" s="166"/>
    </row>
    <row r="1785" spans="1:16" s="1311" customFormat="1" ht="13.2" customHeight="1">
      <c r="A1785" s="1483"/>
      <c r="B1785" s="1312" t="s">
        <v>7663</v>
      </c>
      <c r="C1785" s="1099">
        <v>43813733</v>
      </c>
      <c r="D1785" s="1145"/>
      <c r="E1785" s="917"/>
      <c r="F1785" s="1313"/>
      <c r="G1785" s="1900" t="s">
        <v>7661</v>
      </c>
      <c r="H1785" s="1173"/>
      <c r="I1785" s="1122"/>
      <c r="J1785" s="1486"/>
      <c r="K1785" s="1400"/>
      <c r="L1785" s="703"/>
      <c r="M1785" s="708"/>
      <c r="N1785" s="166"/>
      <c r="P1785" s="166"/>
    </row>
    <row r="1786" spans="1:16" s="1311" customFormat="1" ht="13.2" customHeight="1">
      <c r="A1786" s="1483"/>
      <c r="B1786" s="1312" t="s">
        <v>7662</v>
      </c>
      <c r="C1786" s="1099">
        <v>12345678</v>
      </c>
      <c r="D1786" s="1145"/>
      <c r="E1786" s="917"/>
      <c r="F1786" s="1313"/>
      <c r="G1786" s="1900" t="s">
        <v>7661</v>
      </c>
      <c r="H1786" s="1173"/>
      <c r="I1786" s="1122"/>
      <c r="J1786" s="1486"/>
      <c r="K1786" s="1400"/>
      <c r="L1786" s="703"/>
      <c r="M1786" s="708"/>
      <c r="N1786" s="166"/>
      <c r="P1786" s="166"/>
    </row>
    <row r="1787" spans="1:16" s="1311" customFormat="1" ht="13.2" customHeight="1">
      <c r="A1787" s="1483"/>
      <c r="B1787" s="1312" t="s">
        <v>7660</v>
      </c>
      <c r="C1787" s="1099">
        <v>12345678</v>
      </c>
      <c r="D1787" s="1145"/>
      <c r="E1787" s="917"/>
      <c r="F1787" s="1313"/>
      <c r="G1787" s="1900" t="s">
        <v>7661</v>
      </c>
      <c r="H1787" s="1173"/>
      <c r="I1787" s="1122"/>
      <c r="J1787" s="1486"/>
      <c r="K1787" s="1400"/>
      <c r="L1787" s="703"/>
      <c r="M1787" s="708"/>
      <c r="N1787" s="166"/>
      <c r="P1787" s="166"/>
    </row>
    <row r="1788" spans="1:16" s="1311" customFormat="1" ht="13.2" customHeight="1">
      <c r="A1788" s="1483"/>
      <c r="B1788" s="1312" t="s">
        <v>7637</v>
      </c>
      <c r="C1788" s="1099">
        <v>37087637</v>
      </c>
      <c r="D1788" s="1145"/>
      <c r="E1788" s="917"/>
      <c r="F1788" s="1313"/>
      <c r="G1788" s="1900" t="s">
        <v>7638</v>
      </c>
      <c r="H1788" s="1173"/>
      <c r="I1788" s="1122"/>
      <c r="J1788" s="1486"/>
      <c r="K1788" s="1400"/>
      <c r="L1788" s="703"/>
      <c r="M1788" s="708"/>
      <c r="N1788" s="166"/>
      <c r="P1788" s="166"/>
    </row>
    <row r="1789" spans="1:16" s="1311" customFormat="1" ht="13.2" customHeight="1">
      <c r="A1789" s="1483"/>
      <c r="B1789" s="1312" t="s">
        <v>7600</v>
      </c>
      <c r="C1789" s="1099">
        <v>71388615</v>
      </c>
      <c r="D1789" s="1145"/>
      <c r="E1789" s="917"/>
      <c r="F1789" s="1313"/>
      <c r="G1789" s="1893" t="s">
        <v>7601</v>
      </c>
      <c r="H1789" s="1173"/>
      <c r="I1789" s="1122">
        <v>54</v>
      </c>
      <c r="J1789" s="1486"/>
      <c r="K1789" s="1400"/>
      <c r="L1789" s="703"/>
      <c r="M1789" s="708"/>
      <c r="N1789" s="166"/>
      <c r="P1789" s="166"/>
    </row>
    <row r="1790" spans="1:16" s="1311" customFormat="1" ht="13.2" customHeight="1">
      <c r="A1790" s="1483"/>
      <c r="B1790" s="1312" t="s">
        <v>7566</v>
      </c>
      <c r="C1790" s="1099">
        <v>10091974</v>
      </c>
      <c r="D1790" s="1145"/>
      <c r="E1790" s="917"/>
      <c r="F1790" s="1313"/>
      <c r="G1790" s="1882" t="s">
        <v>7567</v>
      </c>
      <c r="H1790" s="1173"/>
      <c r="I1790" s="1122">
        <v>90</v>
      </c>
      <c r="J1790" s="1486"/>
      <c r="K1790" s="1400"/>
      <c r="L1790" s="703"/>
      <c r="M1790" s="708"/>
      <c r="N1790" s="166"/>
      <c r="P1790" s="166"/>
    </row>
    <row r="1791" spans="1:16" s="1311" customFormat="1" ht="13.2" customHeight="1">
      <c r="A1791" s="1483"/>
      <c r="B1791" s="1312" t="s">
        <v>7559</v>
      </c>
      <c r="C1791" s="1099">
        <v>3032004</v>
      </c>
      <c r="D1791" s="1145"/>
      <c r="E1791" s="917"/>
      <c r="F1791" s="1313"/>
      <c r="G1791" s="1879" t="s">
        <v>7560</v>
      </c>
      <c r="H1791" s="1173"/>
      <c r="I1791" s="1122">
        <v>32.5</v>
      </c>
      <c r="J1791" s="1486"/>
      <c r="K1791" s="1400"/>
      <c r="L1791" s="703"/>
      <c r="M1791" s="708"/>
      <c r="N1791" s="166"/>
      <c r="P1791" s="166"/>
    </row>
    <row r="1792" spans="1:16" s="1311" customFormat="1" ht="13.2" customHeight="1">
      <c r="A1792" s="1483"/>
      <c r="B1792" s="1312" t="s">
        <v>7555</v>
      </c>
      <c r="C1792" s="1099">
        <v>12345678</v>
      </c>
      <c r="D1792" s="1145"/>
      <c r="E1792" s="917"/>
      <c r="F1792" s="1313"/>
      <c r="G1792" s="1879" t="s">
        <v>7556</v>
      </c>
      <c r="H1792" s="1173"/>
      <c r="I1792" s="1122">
        <v>80</v>
      </c>
      <c r="J1792" s="1486"/>
      <c r="K1792" s="1400"/>
      <c r="L1792" s="703"/>
      <c r="M1792" s="708"/>
      <c r="N1792" s="166"/>
      <c r="P1792" s="166"/>
    </row>
    <row r="1793" spans="1:16" s="1311" customFormat="1" ht="13.2" customHeight="1">
      <c r="A1793" s="1483"/>
      <c r="B1793" s="1312" t="s">
        <v>7554</v>
      </c>
      <c r="C1793" s="1099">
        <v>64779063</v>
      </c>
      <c r="D1793" s="1145"/>
      <c r="E1793" s="917"/>
      <c r="F1793" s="1313"/>
      <c r="G1793" s="1879" t="s">
        <v>7553</v>
      </c>
      <c r="H1793" s="1173"/>
      <c r="I1793" s="1122">
        <v>71</v>
      </c>
      <c r="J1793" s="1486"/>
      <c r="K1793" s="1400"/>
      <c r="L1793" s="703"/>
      <c r="M1793" s="708"/>
      <c r="N1793" s="166"/>
      <c r="P1793" s="166"/>
    </row>
    <row r="1794" spans="1:16" s="1311" customFormat="1" ht="13.2" customHeight="1">
      <c r="A1794" s="1483"/>
      <c r="B1794" s="1312" t="s">
        <v>7552</v>
      </c>
      <c r="C1794" s="1099">
        <v>37289189</v>
      </c>
      <c r="D1794" s="1145"/>
      <c r="E1794" s="917"/>
      <c r="F1794" s="1313"/>
      <c r="G1794" s="1879" t="s">
        <v>7553</v>
      </c>
      <c r="H1794" s="1173"/>
      <c r="I1794" s="1122">
        <v>45</v>
      </c>
      <c r="J1794" s="1486"/>
      <c r="K1794" s="1400"/>
      <c r="L1794" s="703"/>
      <c r="M1794" s="708"/>
      <c r="N1794" s="166"/>
      <c r="P1794" s="166"/>
    </row>
    <row r="1795" spans="1:16" s="1311" customFormat="1" ht="13.2" customHeight="1">
      <c r="A1795" s="1483"/>
      <c r="B1795" s="1312" t="s">
        <v>7551</v>
      </c>
      <c r="C1795" s="1099">
        <v>1971</v>
      </c>
      <c r="D1795" s="1145"/>
      <c r="E1795" s="917"/>
      <c r="F1795" s="1313"/>
      <c r="G1795" s="1879" t="s">
        <v>7553</v>
      </c>
      <c r="H1795" s="1173"/>
      <c r="I1795" s="1122">
        <v>92.5</v>
      </c>
      <c r="J1795" s="1486"/>
      <c r="K1795" s="1400"/>
      <c r="L1795" s="703"/>
      <c r="M1795" s="708"/>
      <c r="N1795" s="166"/>
      <c r="P1795" s="166"/>
    </row>
    <row r="1796" spans="1:16" s="1311" customFormat="1" ht="13.2" customHeight="1">
      <c r="A1796" s="1483"/>
      <c r="B1796" s="1312" t="s">
        <v>7548</v>
      </c>
      <c r="C1796" s="1099">
        <v>96390681</v>
      </c>
      <c r="D1796" s="1145"/>
      <c r="E1796" s="917"/>
      <c r="F1796" s="1313"/>
      <c r="G1796" s="1879" t="s">
        <v>7549</v>
      </c>
      <c r="H1796" s="1173"/>
      <c r="I1796" s="1122">
        <v>90</v>
      </c>
      <c r="J1796" s="1486"/>
      <c r="K1796" s="1400"/>
      <c r="L1796" s="703"/>
      <c r="M1796" s="708"/>
      <c r="N1796" s="166"/>
      <c r="P1796" s="166"/>
    </row>
    <row r="1797" spans="1:16" s="1311" customFormat="1" ht="13.2" customHeight="1">
      <c r="A1797" s="1483"/>
      <c r="B1797" s="1312" t="s">
        <v>7546</v>
      </c>
      <c r="C1797" s="1099">
        <v>69267459</v>
      </c>
      <c r="D1797" s="1145"/>
      <c r="E1797" s="917"/>
      <c r="F1797" s="1313"/>
      <c r="G1797" s="1879" t="s">
        <v>7547</v>
      </c>
      <c r="H1797" s="1173"/>
      <c r="I1797" s="1122">
        <v>35</v>
      </c>
      <c r="J1797" s="1486"/>
      <c r="K1797" s="1400"/>
      <c r="L1797" s="703"/>
      <c r="M1797" s="708"/>
      <c r="N1797" s="166"/>
      <c r="P1797" s="166"/>
    </row>
    <row r="1798" spans="1:16" s="1311" customFormat="1" ht="13.2" customHeight="1">
      <c r="A1798" s="1483"/>
      <c r="B1798" s="709" t="s">
        <v>7544</v>
      </c>
      <c r="C1798" s="1082">
        <v>33463880</v>
      </c>
      <c r="D1798" s="1141"/>
      <c r="E1798" s="915"/>
      <c r="F1798" s="1310"/>
      <c r="G1798" s="1876" t="s">
        <v>4877</v>
      </c>
      <c r="H1798" s="1160"/>
      <c r="I1798" s="1122">
        <v>51</v>
      </c>
      <c r="J1798" s="1486"/>
      <c r="K1798" s="1400"/>
      <c r="L1798" s="703"/>
      <c r="M1798" s="708"/>
      <c r="N1798" s="166"/>
      <c r="P1798" s="166"/>
    </row>
    <row r="1799" spans="1:16" s="1311" customFormat="1" ht="13.2" customHeight="1">
      <c r="A1799" s="1483"/>
      <c r="B1799" s="1312" t="s">
        <v>7541</v>
      </c>
      <c r="C1799" s="1099">
        <v>12345678</v>
      </c>
      <c r="D1799" s="1145"/>
      <c r="E1799" s="917"/>
      <c r="F1799" s="1313"/>
      <c r="G1799" s="1877" t="s">
        <v>6433</v>
      </c>
      <c r="H1799" s="1173"/>
      <c r="I1799" s="1122">
        <v>36</v>
      </c>
      <c r="J1799" s="1486"/>
      <c r="K1799" s="1400"/>
      <c r="L1799" s="703"/>
      <c r="M1799" s="708"/>
      <c r="N1799" s="166"/>
      <c r="P1799" s="166"/>
    </row>
    <row r="1800" spans="1:16" s="1311" customFormat="1" ht="13.2" customHeight="1">
      <c r="A1800" s="1483"/>
      <c r="B1800" s="573" t="s">
        <v>7518</v>
      </c>
      <c r="C1800" s="1099">
        <v>12345678</v>
      </c>
      <c r="D1800" s="1145"/>
      <c r="E1800" s="917"/>
      <c r="F1800" s="1313"/>
      <c r="G1800" s="1863" t="s">
        <v>7519</v>
      </c>
      <c r="H1800" s="1173"/>
      <c r="I1800" s="1122"/>
      <c r="J1800" s="1486"/>
      <c r="K1800" s="1400"/>
      <c r="L1800" s="703"/>
      <c r="M1800" s="708"/>
      <c r="N1800" s="166"/>
      <c r="P1800" s="166"/>
    </row>
    <row r="1801" spans="1:16" s="1311" customFormat="1" ht="13.2" customHeight="1">
      <c r="A1801" s="1483"/>
      <c r="B1801" s="1312" t="s">
        <v>7492</v>
      </c>
      <c r="C1801" s="1099">
        <v>28306742</v>
      </c>
      <c r="D1801" s="1145"/>
      <c r="E1801" s="917"/>
      <c r="F1801" s="1313"/>
      <c r="G1801" s="1863" t="s">
        <v>7493</v>
      </c>
      <c r="H1801" s="1173"/>
      <c r="I1801" s="1122"/>
      <c r="J1801" s="1486"/>
      <c r="K1801" s="1400"/>
      <c r="L1801" s="703"/>
      <c r="M1801" s="708"/>
      <c r="N1801" s="166"/>
      <c r="P1801" s="166"/>
    </row>
    <row r="1802" spans="1:16" s="1311" customFormat="1" ht="13.2" customHeight="1">
      <c r="A1802" s="1483"/>
      <c r="B1802" s="1312" t="s">
        <v>7484</v>
      </c>
      <c r="C1802" s="1099">
        <v>54402112</v>
      </c>
      <c r="D1802" s="1145"/>
      <c r="E1802" s="917"/>
      <c r="F1802" s="1313"/>
      <c r="G1802" s="1856" t="s">
        <v>7485</v>
      </c>
      <c r="H1802" s="1173"/>
      <c r="I1802" s="1122"/>
      <c r="J1802" s="1486"/>
      <c r="K1802" s="1400"/>
      <c r="L1802" s="703"/>
      <c r="M1802" s="708"/>
      <c r="N1802" s="166"/>
      <c r="P1802" s="166"/>
    </row>
    <row r="1803" spans="1:16" s="1311" customFormat="1" ht="13.2" customHeight="1">
      <c r="A1803" s="1483"/>
      <c r="B1803" s="1312" t="s">
        <v>7481</v>
      </c>
      <c r="C1803" s="1099">
        <v>63937226</v>
      </c>
      <c r="D1803" s="1145"/>
      <c r="E1803" s="917"/>
      <c r="F1803" s="1313"/>
      <c r="G1803" s="1836" t="s">
        <v>7482</v>
      </c>
      <c r="H1803" s="1173"/>
      <c r="I1803" s="1122"/>
      <c r="J1803" s="1486"/>
      <c r="K1803" s="1400"/>
      <c r="L1803" s="703"/>
      <c r="M1803" s="708"/>
      <c r="N1803" s="166"/>
      <c r="P1803" s="166"/>
    </row>
    <row r="1804" spans="1:16" s="1311" customFormat="1" ht="13.2" customHeight="1">
      <c r="A1804" s="1483"/>
      <c r="B1804" s="1312" t="s">
        <v>7478</v>
      </c>
      <c r="C1804" s="1848" t="s">
        <v>7479</v>
      </c>
      <c r="D1804" s="1145"/>
      <c r="E1804" s="917"/>
      <c r="F1804" s="1313"/>
      <c r="G1804" s="1836" t="s">
        <v>7480</v>
      </c>
      <c r="H1804" s="1173"/>
      <c r="I1804" s="1122"/>
      <c r="J1804" s="1486"/>
      <c r="K1804" s="1400"/>
      <c r="L1804" s="703"/>
      <c r="M1804" s="708"/>
      <c r="N1804" s="166"/>
      <c r="P1804" s="166"/>
    </row>
    <row r="1805" spans="1:16" s="1311" customFormat="1" ht="13.2" customHeight="1">
      <c r="A1805" s="1483"/>
      <c r="B1805" s="1312" t="s">
        <v>7472</v>
      </c>
      <c r="C1805" s="1099">
        <v>87713909</v>
      </c>
      <c r="D1805" s="1145"/>
      <c r="E1805" s="917"/>
      <c r="F1805" s="1313"/>
      <c r="G1805" s="1836" t="s">
        <v>7473</v>
      </c>
      <c r="H1805" s="1173"/>
      <c r="I1805" s="1122"/>
      <c r="J1805" s="1486"/>
      <c r="K1805" s="1400"/>
      <c r="L1805" s="703"/>
      <c r="M1805" s="708"/>
      <c r="N1805" s="166"/>
      <c r="P1805" s="166"/>
    </row>
    <row r="1806" spans="1:16" s="1311" customFormat="1" ht="13.2" customHeight="1">
      <c r="A1806" s="1483"/>
      <c r="B1806" s="1312" t="s">
        <v>7471</v>
      </c>
      <c r="C1806" s="1099">
        <v>17079298</v>
      </c>
      <c r="D1806" s="1145"/>
      <c r="E1806" s="917"/>
      <c r="F1806" s="1313"/>
      <c r="G1806" s="1836" t="s">
        <v>5175</v>
      </c>
      <c r="H1806" s="1173"/>
      <c r="I1806" s="1122"/>
      <c r="J1806" s="1486"/>
      <c r="K1806" s="1400"/>
      <c r="L1806" s="703"/>
      <c r="M1806" s="708"/>
      <c r="N1806" s="166"/>
      <c r="P1806" s="166"/>
    </row>
    <row r="1807" spans="1:16" s="1311" customFormat="1" ht="13.2" customHeight="1">
      <c r="A1807" s="1483"/>
      <c r="B1807" s="1312" t="s">
        <v>7470</v>
      </c>
      <c r="C1807" s="1099">
        <v>16310525</v>
      </c>
      <c r="D1807" s="1145"/>
      <c r="E1807" s="917"/>
      <c r="F1807" s="1313"/>
      <c r="G1807" s="1836" t="s">
        <v>7020</v>
      </c>
      <c r="H1807" s="1173"/>
      <c r="I1807" s="1122"/>
      <c r="J1807" s="1486"/>
      <c r="K1807" s="1400"/>
      <c r="L1807" s="703"/>
      <c r="M1807" s="708"/>
      <c r="N1807" s="166"/>
      <c r="P1807" s="166"/>
    </row>
    <row r="1808" spans="1:16" s="1311" customFormat="1" ht="13.2" customHeight="1">
      <c r="A1808" s="1483"/>
      <c r="B1808" s="1312" t="s">
        <v>7469</v>
      </c>
      <c r="C1808" s="1099">
        <v>69291372</v>
      </c>
      <c r="D1808" s="1145"/>
      <c r="E1808" s="917"/>
      <c r="F1808" s="1313"/>
      <c r="G1808" s="1836" t="s">
        <v>6685</v>
      </c>
      <c r="H1808" s="1173"/>
      <c r="I1808" s="1122"/>
      <c r="J1808" s="1486"/>
      <c r="K1808" s="1400"/>
      <c r="L1808" s="703"/>
      <c r="M1808" s="708"/>
      <c r="N1808" s="166"/>
      <c r="P1808" s="166"/>
    </row>
    <row r="1809" spans="1:16" s="1311" customFormat="1" ht="13.2" customHeight="1">
      <c r="A1809" s="1483"/>
      <c r="B1809" s="1312" t="s">
        <v>7464</v>
      </c>
      <c r="C1809" s="1099">
        <v>12372354</v>
      </c>
      <c r="D1809" s="1145"/>
      <c r="E1809" s="917"/>
      <c r="F1809" s="1313"/>
      <c r="G1809" s="1836" t="s">
        <v>7465</v>
      </c>
      <c r="H1809" s="1173"/>
      <c r="I1809" s="1122"/>
      <c r="J1809" s="1486"/>
      <c r="K1809" s="1400"/>
      <c r="L1809" s="703"/>
      <c r="M1809" s="708"/>
      <c r="N1809" s="166"/>
      <c r="P1809" s="166"/>
    </row>
    <row r="1810" spans="1:16" s="1311" customFormat="1" ht="13.2" customHeight="1">
      <c r="A1810" s="1483"/>
      <c r="B1810" s="1312" t="s">
        <v>7462</v>
      </c>
      <c r="C1810" s="1099">
        <v>45143310</v>
      </c>
      <c r="D1810" s="1145"/>
      <c r="E1810" s="917"/>
      <c r="F1810" s="1313"/>
      <c r="G1810" s="1836" t="s">
        <v>7020</v>
      </c>
      <c r="H1810" s="1173"/>
      <c r="I1810" s="1122"/>
      <c r="J1810" s="1486"/>
      <c r="K1810" s="1400"/>
      <c r="L1810" s="703"/>
      <c r="M1810" s="708"/>
      <c r="N1810" s="166"/>
      <c r="P1810" s="166"/>
    </row>
    <row r="1811" spans="1:16" s="1311" customFormat="1" ht="13.2" customHeight="1">
      <c r="A1811" s="1483"/>
      <c r="B1811" s="1312" t="s">
        <v>7461</v>
      </c>
      <c r="C1811" s="1099">
        <v>44092728</v>
      </c>
      <c r="D1811" s="1145"/>
      <c r="E1811" s="917"/>
      <c r="F1811" s="1313"/>
      <c r="G1811" s="1836" t="s">
        <v>7020</v>
      </c>
      <c r="H1811" s="1173"/>
      <c r="I1811" s="1122"/>
      <c r="J1811" s="1486"/>
      <c r="K1811" s="1400"/>
      <c r="L1811" s="703"/>
      <c r="M1811" s="708"/>
      <c r="N1811" s="166"/>
      <c r="P1811" s="166"/>
    </row>
    <row r="1812" spans="1:16" s="1311" customFormat="1" ht="13.2" customHeight="1">
      <c r="A1812" s="1483"/>
      <c r="B1812" s="1312" t="s">
        <v>7451</v>
      </c>
      <c r="C1812" s="1848" t="s">
        <v>7452</v>
      </c>
      <c r="D1812" s="1145"/>
      <c r="E1812" s="917"/>
      <c r="F1812" s="1313"/>
      <c r="G1812" s="1831" t="s">
        <v>7020</v>
      </c>
      <c r="H1812" s="1173"/>
      <c r="I1812" s="1122"/>
      <c r="J1812" s="1486"/>
      <c r="K1812" s="1400"/>
      <c r="L1812" s="703"/>
      <c r="M1812" s="708"/>
      <c r="N1812" s="166"/>
      <c r="P1812" s="166"/>
    </row>
    <row r="1813" spans="1:16" s="1311" customFormat="1" ht="13.2" customHeight="1">
      <c r="A1813" s="1483"/>
      <c r="B1813" s="975" t="s">
        <v>7450</v>
      </c>
      <c r="C1813" s="1180">
        <v>23268310</v>
      </c>
      <c r="D1813" s="1165"/>
      <c r="E1813" s="977"/>
      <c r="F1813" s="976"/>
      <c r="G1813" s="1834"/>
      <c r="H1813" s="1161"/>
      <c r="I1813" s="1122"/>
      <c r="J1813" s="1486"/>
      <c r="K1813" s="1400"/>
      <c r="L1813" s="703"/>
      <c r="M1813" s="708"/>
      <c r="N1813" s="166"/>
      <c r="P1813" s="166"/>
    </row>
    <row r="1814" spans="1:16" s="1311" customFormat="1" ht="13.2" customHeight="1">
      <c r="A1814" s="1483"/>
      <c r="B1814" s="1312" t="s">
        <v>7449</v>
      </c>
      <c r="C1814" s="1099">
        <v>12345678</v>
      </c>
      <c r="D1814" s="1145"/>
      <c r="E1814" s="917"/>
      <c r="F1814" s="1313"/>
      <c r="G1814" s="1831" t="s">
        <v>7216</v>
      </c>
      <c r="H1814" s="1173"/>
      <c r="I1814" s="1122"/>
      <c r="J1814" s="1486"/>
      <c r="K1814" s="1400"/>
      <c r="L1814" s="703"/>
      <c r="M1814" s="708"/>
      <c r="N1814" s="166"/>
      <c r="P1814" s="166"/>
    </row>
    <row r="1815" spans="1:16" s="1311" customFormat="1" ht="13.2" customHeight="1">
      <c r="A1815" s="1483"/>
      <c r="B1815" s="1312" t="s">
        <v>7448</v>
      </c>
      <c r="C1815" s="1099">
        <v>45347148</v>
      </c>
      <c r="D1815" s="1145"/>
      <c r="E1815" s="917"/>
      <c r="F1815" s="1313"/>
      <c r="G1815" s="1831" t="s">
        <v>7020</v>
      </c>
      <c r="H1815" s="1173"/>
      <c r="I1815" s="1122"/>
      <c r="J1815" s="1486"/>
      <c r="K1815" s="1400"/>
      <c r="L1815" s="703"/>
      <c r="M1815" s="708"/>
      <c r="N1815" s="166"/>
      <c r="P1815" s="166"/>
    </row>
    <row r="1816" spans="1:16" s="1311" customFormat="1" ht="13.2" customHeight="1">
      <c r="A1816" s="1483"/>
      <c r="B1816" s="1312" t="s">
        <v>7463</v>
      </c>
      <c r="C1816" s="1099">
        <v>1979</v>
      </c>
      <c r="D1816" s="1145"/>
      <c r="E1816" s="917"/>
      <c r="F1816" s="1313"/>
      <c r="G1816" s="1831" t="s">
        <v>7460</v>
      </c>
      <c r="H1816" s="1173"/>
      <c r="I1816" s="1122"/>
      <c r="J1816" s="1486"/>
      <c r="K1816" s="1400"/>
      <c r="L1816" s="703"/>
      <c r="M1816" s="708"/>
      <c r="N1816" s="166"/>
      <c r="P1816" s="166"/>
    </row>
    <row r="1817" spans="1:16" s="1311" customFormat="1" ht="13.2" customHeight="1">
      <c r="A1817" s="1483"/>
      <c r="B1817" s="1312" t="s">
        <v>7445</v>
      </c>
      <c r="C1817" s="1099">
        <v>7531</v>
      </c>
      <c r="D1817" s="1145"/>
      <c r="E1817" s="917"/>
      <c r="F1817" s="1313"/>
      <c r="G1817" s="1831" t="s">
        <v>7460</v>
      </c>
      <c r="H1817" s="1173"/>
      <c r="I1817" s="1122"/>
      <c r="J1817" s="1486"/>
      <c r="K1817" s="1400"/>
      <c r="L1817" s="703"/>
      <c r="M1817" s="708"/>
      <c r="N1817" s="166"/>
      <c r="P1817" s="166"/>
    </row>
    <row r="1818" spans="1:16" s="1311" customFormat="1" ht="13.2" customHeight="1">
      <c r="A1818" s="1483"/>
      <c r="B1818" s="1312" t="s">
        <v>7443</v>
      </c>
      <c r="C1818" s="1099">
        <v>27855727</v>
      </c>
      <c r="D1818" s="1145"/>
      <c r="E1818" s="917"/>
      <c r="F1818" s="1313"/>
      <c r="G1818" s="1831" t="s">
        <v>7444</v>
      </c>
      <c r="H1818" s="1173"/>
      <c r="I1818" s="1122"/>
      <c r="J1818" s="1486"/>
      <c r="K1818" s="1400"/>
      <c r="L1818" s="703"/>
      <c r="M1818" s="708"/>
      <c r="N1818" s="166"/>
      <c r="P1818" s="166"/>
    </row>
    <row r="1819" spans="1:16" s="1311" customFormat="1" ht="13.2" customHeight="1">
      <c r="A1819" s="1483"/>
      <c r="B1819" s="1312" t="s">
        <v>7442</v>
      </c>
      <c r="C1819" s="1099">
        <v>23400862</v>
      </c>
      <c r="D1819" s="1145"/>
      <c r="E1819" s="917"/>
      <c r="F1819" s="1313"/>
      <c r="G1819" s="1831" t="s">
        <v>7383</v>
      </c>
      <c r="H1819" s="1173"/>
      <c r="I1819" s="1122"/>
      <c r="J1819" s="1486"/>
      <c r="K1819" s="1400"/>
      <c r="L1819" s="703"/>
      <c r="M1819" s="708"/>
      <c r="N1819" s="166"/>
      <c r="P1819" s="166"/>
    </row>
    <row r="1820" spans="1:16" s="1311" customFormat="1" ht="13.2" customHeight="1">
      <c r="A1820" s="1483"/>
      <c r="B1820" s="1312" t="s">
        <v>7441</v>
      </c>
      <c r="C1820" s="1099">
        <v>81036885</v>
      </c>
      <c r="D1820" s="1145"/>
      <c r="E1820" s="917"/>
      <c r="F1820" s="1313"/>
      <c r="G1820" s="1831" t="s">
        <v>4877</v>
      </c>
      <c r="H1820" s="1173"/>
      <c r="I1820" s="1122"/>
      <c r="J1820" s="1486"/>
      <c r="K1820" s="1400"/>
      <c r="L1820" s="703"/>
      <c r="M1820" s="708"/>
      <c r="N1820" s="166"/>
      <c r="P1820" s="166"/>
    </row>
    <row r="1821" spans="1:16" s="1311" customFormat="1" ht="13.2" customHeight="1">
      <c r="A1821" s="1483"/>
      <c r="B1821" s="1312" t="s">
        <v>7439</v>
      </c>
      <c r="C1821" s="1099">
        <v>98907932</v>
      </c>
      <c r="D1821" s="1145"/>
      <c r="E1821" s="917"/>
      <c r="F1821" s="1313"/>
      <c r="G1821" s="1831" t="s">
        <v>5030</v>
      </c>
      <c r="H1821" s="1173"/>
      <c r="I1821" s="1122"/>
      <c r="J1821" s="1486"/>
      <c r="K1821" s="1400"/>
      <c r="L1821" s="703"/>
      <c r="M1821" s="708"/>
      <c r="N1821" s="166"/>
      <c r="P1821" s="166"/>
    </row>
    <row r="1822" spans="1:16" s="1311" customFormat="1" ht="13.2" customHeight="1">
      <c r="A1822" s="1483"/>
      <c r="B1822" s="1312" t="s">
        <v>7436</v>
      </c>
      <c r="C1822" s="1099">
        <v>66124761</v>
      </c>
      <c r="D1822" s="1145"/>
      <c r="E1822" s="917"/>
      <c r="F1822" s="1313"/>
      <c r="G1822" s="1831" t="s">
        <v>4877</v>
      </c>
      <c r="H1822" s="1173"/>
      <c r="I1822" s="1122"/>
      <c r="J1822" s="1486"/>
      <c r="K1822" s="1400"/>
      <c r="L1822" s="703"/>
      <c r="M1822" s="708"/>
      <c r="N1822" s="166"/>
      <c r="P1822" s="166"/>
    </row>
    <row r="1823" spans="1:16" s="1311" customFormat="1" ht="13.2" customHeight="1">
      <c r="A1823" s="1483"/>
      <c r="B1823" s="1312" t="s">
        <v>7434</v>
      </c>
      <c r="C1823" s="1099">
        <v>13156535</v>
      </c>
      <c r="D1823" s="1145"/>
      <c r="E1823" s="917"/>
      <c r="F1823" s="1313"/>
      <c r="G1823" s="1831" t="s">
        <v>7435</v>
      </c>
      <c r="H1823" s="1173"/>
      <c r="I1823" s="1122"/>
      <c r="J1823" s="1486"/>
      <c r="K1823" s="1400"/>
      <c r="L1823" s="703"/>
      <c r="M1823" s="708"/>
      <c r="N1823" s="166"/>
      <c r="P1823" s="166"/>
    </row>
    <row r="1824" spans="1:16" s="1311" customFormat="1" ht="13.2" customHeight="1">
      <c r="A1824" s="1483"/>
      <c r="B1824" s="1312" t="s">
        <v>7433</v>
      </c>
      <c r="C1824" s="1099">
        <v>44901248</v>
      </c>
      <c r="D1824" s="1145"/>
      <c r="E1824" s="917"/>
      <c r="F1824" s="1313"/>
      <c r="G1824" s="1831" t="s">
        <v>6977</v>
      </c>
      <c r="H1824" s="1173"/>
      <c r="I1824" s="1122"/>
      <c r="J1824" s="1486"/>
      <c r="K1824" s="1400"/>
      <c r="L1824" s="703"/>
      <c r="M1824" s="708"/>
      <c r="N1824" s="166"/>
      <c r="P1824" s="166"/>
    </row>
    <row r="1825" spans="1:16" s="1311" customFormat="1" ht="13.2" customHeight="1">
      <c r="A1825" s="1483"/>
      <c r="B1825" s="1312" t="s">
        <v>7430</v>
      </c>
      <c r="C1825" s="1099">
        <v>83742749</v>
      </c>
      <c r="D1825" s="1145"/>
      <c r="E1825" s="917"/>
      <c r="F1825" s="1313"/>
      <c r="G1825" s="1826" t="s">
        <v>5709</v>
      </c>
      <c r="H1825" s="1173"/>
      <c r="I1825" s="1122"/>
      <c r="J1825" s="1486"/>
      <c r="K1825" s="1400"/>
      <c r="L1825" s="703"/>
      <c r="M1825" s="708"/>
      <c r="N1825" s="166"/>
      <c r="P1825" s="166"/>
    </row>
    <row r="1826" spans="1:16" s="1311" customFormat="1" ht="13.2" customHeight="1">
      <c r="A1826" s="1483"/>
      <c r="B1826" s="1312" t="s">
        <v>7428</v>
      </c>
      <c r="C1826" s="1099">
        <v>20848295</v>
      </c>
      <c r="D1826" s="1145"/>
      <c r="E1826" s="917"/>
      <c r="F1826" s="1313"/>
      <c r="G1826" s="1826" t="s">
        <v>7429</v>
      </c>
      <c r="H1826" s="1173"/>
      <c r="I1826" s="1122"/>
      <c r="J1826" s="1486"/>
      <c r="K1826" s="1400"/>
      <c r="L1826" s="703"/>
      <c r="M1826" s="708"/>
      <c r="N1826" s="166"/>
      <c r="P1826" s="166"/>
    </row>
    <row r="1827" spans="1:16" s="1311" customFormat="1" ht="13.2" customHeight="1">
      <c r="A1827" s="1483"/>
      <c r="B1827" s="1312" t="s">
        <v>7426</v>
      </c>
      <c r="C1827" s="1099">
        <v>61939025</v>
      </c>
      <c r="D1827" s="1145"/>
      <c r="E1827" s="917"/>
      <c r="F1827" s="1313"/>
      <c r="G1827" s="1826" t="s">
        <v>7427</v>
      </c>
      <c r="H1827" s="1173"/>
      <c r="I1827" s="1122"/>
      <c r="J1827" s="1486"/>
      <c r="K1827" s="1400"/>
      <c r="L1827" s="703"/>
      <c r="M1827" s="708"/>
      <c r="N1827" s="166"/>
      <c r="P1827" s="166"/>
    </row>
    <row r="1828" spans="1:16" s="1311" customFormat="1" ht="13.2" customHeight="1">
      <c r="A1828" s="1483"/>
      <c r="B1828" s="1312" t="s">
        <v>7422</v>
      </c>
      <c r="C1828" s="1099">
        <v>94654640</v>
      </c>
      <c r="D1828" s="1145"/>
      <c r="E1828" s="917"/>
      <c r="F1828" s="1313"/>
      <c r="G1828" s="1826" t="s">
        <v>4877</v>
      </c>
      <c r="H1828" s="1173"/>
      <c r="I1828" s="1122"/>
      <c r="J1828" s="1486"/>
      <c r="K1828" s="1400"/>
      <c r="L1828" s="703"/>
      <c r="M1828" s="708"/>
      <c r="N1828" s="166"/>
      <c r="P1828" s="166"/>
    </row>
    <row r="1829" spans="1:16" s="1311" customFormat="1" ht="13.2" customHeight="1">
      <c r="A1829" s="1483"/>
      <c r="B1829" s="1312" t="s">
        <v>7417</v>
      </c>
      <c r="C1829" s="1099">
        <v>27412343</v>
      </c>
      <c r="D1829" s="1145"/>
      <c r="E1829" s="917"/>
      <c r="F1829" s="1313"/>
      <c r="G1829" s="1826" t="s">
        <v>7418</v>
      </c>
      <c r="H1829" s="1173"/>
      <c r="I1829" s="1122"/>
      <c r="J1829" s="1486"/>
      <c r="K1829" s="1400"/>
      <c r="L1829" s="703"/>
      <c r="M1829" s="708"/>
      <c r="N1829" s="166"/>
      <c r="P1829" s="166"/>
    </row>
    <row r="1830" spans="1:16" s="1311" customFormat="1" ht="13.2" customHeight="1">
      <c r="A1830" s="1483"/>
      <c r="B1830" s="975" t="s">
        <v>7416</v>
      </c>
      <c r="C1830" s="1180">
        <v>70971186</v>
      </c>
      <c r="D1830" s="1165"/>
      <c r="E1830" s="977"/>
      <c r="F1830" s="976"/>
      <c r="G1830" s="1821" t="s">
        <v>4877</v>
      </c>
      <c r="H1830" s="1161"/>
      <c r="I1830" s="1122"/>
      <c r="J1830" s="1486"/>
      <c r="K1830" s="1400"/>
      <c r="L1830" s="703"/>
      <c r="M1830" s="708"/>
      <c r="N1830" s="166"/>
      <c r="P1830" s="166"/>
    </row>
    <row r="1831" spans="1:16" s="1311" customFormat="1" ht="13.2" customHeight="1">
      <c r="A1831" s="1483"/>
      <c r="B1831" s="1312" t="s">
        <v>7410</v>
      </c>
      <c r="C1831" s="1099">
        <v>37692680</v>
      </c>
      <c r="D1831" s="1145"/>
      <c r="E1831" s="917"/>
      <c r="F1831" s="1313"/>
      <c r="G1831" s="1826" t="s">
        <v>7411</v>
      </c>
      <c r="H1831" s="1173"/>
      <c r="I1831" s="1122"/>
      <c r="J1831" s="1486"/>
      <c r="K1831" s="1400"/>
      <c r="L1831" s="703"/>
      <c r="M1831" s="708"/>
      <c r="N1831" s="166"/>
      <c r="P1831" s="166"/>
    </row>
    <row r="1832" spans="1:16" s="1311" customFormat="1" ht="13.2" customHeight="1">
      <c r="A1832" s="1483"/>
      <c r="B1832" s="1312" t="s">
        <v>7408</v>
      </c>
      <c r="C1832" s="1099">
        <v>37692680</v>
      </c>
      <c r="D1832" s="1145"/>
      <c r="E1832" s="917"/>
      <c r="F1832" s="1313"/>
      <c r="G1832" s="1826" t="s">
        <v>7409</v>
      </c>
      <c r="H1832" s="1173"/>
      <c r="I1832" s="1122"/>
      <c r="J1832" s="1486"/>
      <c r="K1832" s="1400"/>
      <c r="L1832" s="703"/>
      <c r="M1832" s="708"/>
      <c r="N1832" s="166"/>
      <c r="P1832" s="166"/>
    </row>
    <row r="1833" spans="1:16" s="1311" customFormat="1" ht="13.2" customHeight="1">
      <c r="A1833" s="1483"/>
      <c r="B1833" s="1312" t="s">
        <v>7407</v>
      </c>
      <c r="C1833" s="1099">
        <v>76454762</v>
      </c>
      <c r="D1833" s="1145"/>
      <c r="E1833" s="917"/>
      <c r="F1833" s="1313"/>
      <c r="G1833" s="1826" t="s">
        <v>7216</v>
      </c>
      <c r="H1833" s="1173"/>
      <c r="I1833" s="1122"/>
      <c r="J1833" s="1486"/>
      <c r="K1833" s="1400"/>
      <c r="L1833" s="703"/>
      <c r="M1833" s="708"/>
      <c r="N1833" s="166"/>
      <c r="P1833" s="166"/>
    </row>
    <row r="1834" spans="1:16" s="1311" customFormat="1" ht="13.2" customHeight="1">
      <c r="A1834" s="1483"/>
      <c r="B1834" s="1312" t="s">
        <v>7406</v>
      </c>
      <c r="C1834" s="1099">
        <v>15653976</v>
      </c>
      <c r="D1834" s="1145"/>
      <c r="E1834" s="917"/>
      <c r="F1834" s="1313"/>
      <c r="G1834" s="1826" t="s">
        <v>4877</v>
      </c>
      <c r="H1834" s="1173"/>
      <c r="I1834" s="1122"/>
      <c r="J1834" s="1486"/>
      <c r="K1834" s="1400"/>
      <c r="L1834" s="703"/>
      <c r="M1834" s="708"/>
      <c r="N1834" s="166"/>
      <c r="P1834" s="166"/>
    </row>
    <row r="1835" spans="1:16" s="1311" customFormat="1" ht="13.2" customHeight="1">
      <c r="A1835" s="1483"/>
      <c r="B1835" s="1312" t="s">
        <v>7404</v>
      </c>
      <c r="C1835" s="1099">
        <v>99357720</v>
      </c>
      <c r="D1835" s="1145"/>
      <c r="E1835" s="917"/>
      <c r="F1835" s="1313"/>
      <c r="G1835" s="1826" t="s">
        <v>7405</v>
      </c>
      <c r="H1835" s="1173"/>
      <c r="I1835" s="1122"/>
      <c r="J1835" s="1486"/>
      <c r="K1835" s="1400"/>
      <c r="L1835" s="703"/>
      <c r="M1835" s="708"/>
      <c r="N1835" s="166"/>
      <c r="P1835" s="166"/>
    </row>
    <row r="1836" spans="1:16" s="1311" customFormat="1" ht="13.2" customHeight="1">
      <c r="A1836" s="1483"/>
      <c r="B1836" s="1312" t="s">
        <v>7401</v>
      </c>
      <c r="C1836" s="1099">
        <v>71430017</v>
      </c>
      <c r="D1836" s="1145"/>
      <c r="E1836" s="917"/>
      <c r="F1836" s="1313"/>
      <c r="G1836" s="1826" t="s">
        <v>7394</v>
      </c>
      <c r="H1836" s="1173"/>
      <c r="I1836" s="1122"/>
      <c r="J1836" s="1486"/>
      <c r="K1836" s="1400"/>
      <c r="L1836" s="703"/>
      <c r="M1836" s="708"/>
      <c r="N1836" s="166"/>
      <c r="P1836" s="166"/>
    </row>
    <row r="1837" spans="1:16" s="1311" customFormat="1" ht="13.2" customHeight="1">
      <c r="A1837" s="1483"/>
      <c r="B1837" s="1312" t="s">
        <v>7400</v>
      </c>
      <c r="C1837" s="1099">
        <v>50775345</v>
      </c>
      <c r="D1837" s="1145"/>
      <c r="E1837" s="917"/>
      <c r="F1837" s="1313"/>
      <c r="G1837" s="1826" t="s">
        <v>7394</v>
      </c>
      <c r="H1837" s="1173"/>
      <c r="I1837" s="1122"/>
      <c r="J1837" s="1486"/>
      <c r="K1837" s="1400"/>
      <c r="L1837" s="703"/>
      <c r="M1837" s="708"/>
      <c r="N1837" s="166"/>
      <c r="P1837" s="166"/>
    </row>
    <row r="1838" spans="1:16" s="1311" customFormat="1" ht="13.2" customHeight="1">
      <c r="A1838" s="1483"/>
      <c r="B1838" s="1312" t="s">
        <v>7399</v>
      </c>
      <c r="C1838" s="1099">
        <v>82805151</v>
      </c>
      <c r="D1838" s="1145"/>
      <c r="E1838" s="917"/>
      <c r="F1838" s="1313"/>
      <c r="G1838" s="1826" t="s">
        <v>7216</v>
      </c>
      <c r="H1838" s="1173"/>
      <c r="I1838" s="1122"/>
      <c r="J1838" s="1486"/>
      <c r="K1838" s="1400"/>
      <c r="L1838" s="703"/>
      <c r="M1838" s="708"/>
      <c r="N1838" s="166"/>
      <c r="P1838" s="166"/>
    </row>
    <row r="1839" spans="1:16" s="1311" customFormat="1" ht="13.2" customHeight="1">
      <c r="A1839" s="1483"/>
      <c r="B1839" s="1312" t="s">
        <v>7398</v>
      </c>
      <c r="C1839" s="1099">
        <v>98679967</v>
      </c>
      <c r="D1839" s="1145"/>
      <c r="E1839" s="917"/>
      <c r="F1839" s="1313"/>
      <c r="G1839" s="1826" t="s">
        <v>7216</v>
      </c>
      <c r="H1839" s="1173"/>
      <c r="I1839" s="1122"/>
      <c r="J1839" s="1486"/>
      <c r="K1839" s="1400"/>
      <c r="L1839" s="703"/>
      <c r="M1839" s="708"/>
      <c r="N1839" s="166"/>
      <c r="P1839" s="166"/>
    </row>
    <row r="1840" spans="1:16" s="1311" customFormat="1" ht="13.2" customHeight="1">
      <c r="A1840" s="1483"/>
      <c r="B1840" s="1312" t="s">
        <v>7396</v>
      </c>
      <c r="C1840" s="1099">
        <v>75142040</v>
      </c>
      <c r="D1840" s="1145"/>
      <c r="E1840" s="917"/>
      <c r="F1840" s="1313"/>
      <c r="G1840" s="1826" t="s">
        <v>4877</v>
      </c>
      <c r="H1840" s="1827" t="s">
        <v>7397</v>
      </c>
      <c r="I1840" s="1122"/>
      <c r="J1840" s="1486"/>
      <c r="K1840" s="1400"/>
      <c r="L1840" s="703"/>
      <c r="M1840" s="708"/>
      <c r="N1840" s="166"/>
      <c r="P1840" s="166"/>
    </row>
    <row r="1841" spans="1:16" s="1311" customFormat="1" ht="13.2" customHeight="1">
      <c r="A1841" s="1483"/>
      <c r="B1841" s="1312" t="s">
        <v>7393</v>
      </c>
      <c r="C1841" s="1099">
        <v>89024836</v>
      </c>
      <c r="D1841" s="1145"/>
      <c r="E1841" s="917"/>
      <c r="F1841" s="1313"/>
      <c r="G1841" s="1826" t="s">
        <v>7394</v>
      </c>
      <c r="H1841" s="1827" t="s">
        <v>7395</v>
      </c>
      <c r="I1841" s="1122"/>
      <c r="J1841" s="1486"/>
      <c r="K1841" s="1400"/>
      <c r="L1841" s="703"/>
      <c r="M1841" s="708"/>
      <c r="N1841" s="166"/>
      <c r="P1841" s="166"/>
    </row>
    <row r="1842" spans="1:16" s="1311" customFormat="1" ht="13.2" customHeight="1">
      <c r="A1842" s="1483"/>
      <c r="B1842" s="1312" t="s">
        <v>7389</v>
      </c>
      <c r="C1842" s="1099">
        <v>60983591</v>
      </c>
      <c r="D1842" s="1145"/>
      <c r="E1842" s="917"/>
      <c r="F1842" s="1313"/>
      <c r="G1842" s="1826" t="s">
        <v>7390</v>
      </c>
      <c r="H1842" s="1173"/>
      <c r="I1842" s="1122"/>
      <c r="J1842" s="1486"/>
      <c r="K1842" s="1400"/>
      <c r="L1842" s="703"/>
      <c r="M1842" s="708"/>
      <c r="N1842" s="166"/>
      <c r="P1842" s="166"/>
    </row>
    <row r="1843" spans="1:16" s="1311" customFormat="1" ht="13.2" customHeight="1">
      <c r="A1843" s="1483"/>
      <c r="B1843" s="1312" t="s">
        <v>7387</v>
      </c>
      <c r="C1843" s="1099">
        <v>31892644</v>
      </c>
      <c r="D1843" s="1145"/>
      <c r="E1843" s="917"/>
      <c r="F1843" s="1313"/>
      <c r="G1843" s="1826" t="s">
        <v>7388</v>
      </c>
      <c r="H1843" s="1173"/>
      <c r="I1843" s="1122"/>
      <c r="J1843" s="1486"/>
      <c r="K1843" s="1400"/>
      <c r="L1843" s="703"/>
      <c r="M1843" s="708"/>
      <c r="N1843" s="166"/>
      <c r="P1843" s="166"/>
    </row>
    <row r="1844" spans="1:16" s="1311" customFormat="1" ht="13.2" customHeight="1">
      <c r="A1844" s="1483"/>
      <c r="B1844" s="1814" t="s">
        <v>7384</v>
      </c>
      <c r="C1844" s="1815">
        <v>46325513</v>
      </c>
      <c r="D1844" s="1816"/>
      <c r="E1844" s="1817"/>
      <c r="F1844" s="1818"/>
      <c r="G1844" s="1819" t="s">
        <v>4877</v>
      </c>
      <c r="H1844" s="1820"/>
      <c r="I1844" s="1122"/>
      <c r="J1844" s="1486"/>
      <c r="K1844" s="1400"/>
      <c r="L1844" s="703"/>
      <c r="M1844" s="708"/>
      <c r="N1844" s="166"/>
      <c r="P1844" s="166"/>
    </row>
    <row r="1845" spans="1:16" s="1311" customFormat="1" ht="13.2" customHeight="1">
      <c r="A1845" s="1483"/>
      <c r="B1845" s="1312" t="s">
        <v>7382</v>
      </c>
      <c r="C1845" s="1099">
        <v>46934789</v>
      </c>
      <c r="D1845" s="1145"/>
      <c r="E1845" s="917"/>
      <c r="F1845" s="1313"/>
      <c r="G1845" s="1826" t="s">
        <v>7383</v>
      </c>
      <c r="H1845" s="1173"/>
      <c r="I1845" s="1122"/>
      <c r="J1845" s="1486"/>
      <c r="K1845" s="1400"/>
      <c r="L1845" s="703"/>
      <c r="M1845" s="708"/>
      <c r="N1845" s="166"/>
      <c r="P1845" s="166"/>
    </row>
    <row r="1846" spans="1:16" s="1311" customFormat="1" ht="13.2" customHeight="1">
      <c r="A1846" s="1483"/>
      <c r="B1846" s="1312" t="s">
        <v>7381</v>
      </c>
      <c r="C1846" s="1099">
        <v>47252304</v>
      </c>
      <c r="D1846" s="1145"/>
      <c r="E1846" s="917"/>
      <c r="F1846" s="1313"/>
      <c r="G1846" s="1826" t="s">
        <v>4877</v>
      </c>
      <c r="H1846" s="1173"/>
      <c r="I1846" s="1122"/>
      <c r="J1846" s="1486"/>
      <c r="K1846" s="1400"/>
      <c r="L1846" s="703"/>
      <c r="M1846" s="708"/>
      <c r="N1846" s="166"/>
      <c r="P1846" s="166"/>
    </row>
    <row r="1847" spans="1:16" s="1311" customFormat="1" ht="13.2" customHeight="1">
      <c r="A1847" s="1483"/>
      <c r="B1847" s="1312" t="s">
        <v>7380</v>
      </c>
      <c r="C1847" s="1099">
        <v>12345678</v>
      </c>
      <c r="D1847" s="1145"/>
      <c r="E1847" s="917"/>
      <c r="F1847" s="1313"/>
      <c r="G1847" s="1826" t="s">
        <v>7216</v>
      </c>
      <c r="H1847" s="1173"/>
      <c r="I1847" s="1122"/>
      <c r="J1847" s="1486"/>
      <c r="K1847" s="1400"/>
      <c r="L1847" s="703"/>
      <c r="M1847" s="708"/>
      <c r="N1847" s="166"/>
      <c r="P1847" s="166"/>
    </row>
    <row r="1848" spans="1:16" s="1311" customFormat="1" ht="13.2" customHeight="1">
      <c r="A1848" s="1483"/>
      <c r="B1848" s="1814" t="s">
        <v>7378</v>
      </c>
      <c r="C1848" s="1815">
        <v>92902420</v>
      </c>
      <c r="D1848" s="1816"/>
      <c r="E1848" s="1817"/>
      <c r="F1848" s="1818"/>
      <c r="G1848" s="1828" t="s">
        <v>7379</v>
      </c>
      <c r="H1848" s="1820"/>
      <c r="I1848" s="1122"/>
      <c r="J1848" s="1486"/>
      <c r="K1848" s="1400"/>
      <c r="L1848" s="703"/>
      <c r="M1848" s="708"/>
      <c r="N1848" s="166"/>
      <c r="P1848" s="166"/>
    </row>
    <row r="1849" spans="1:16" s="1311" customFormat="1" ht="13.2" customHeight="1">
      <c r="A1849" s="1483"/>
      <c r="B1849" s="1312" t="s">
        <v>7376</v>
      </c>
      <c r="C1849" s="1099">
        <v>52595757</v>
      </c>
      <c r="D1849" s="1145"/>
      <c r="E1849" s="917"/>
      <c r="F1849" s="1313"/>
      <c r="G1849" s="1806" t="s">
        <v>7377</v>
      </c>
      <c r="H1849" s="1173"/>
      <c r="I1849" s="1122"/>
      <c r="J1849" s="1486"/>
      <c r="K1849" s="1400"/>
      <c r="L1849" s="703"/>
      <c r="M1849" s="708"/>
      <c r="N1849" s="166"/>
      <c r="P1849" s="166"/>
    </row>
    <row r="1850" spans="1:16" s="1311" customFormat="1" ht="13.2" customHeight="1">
      <c r="A1850" s="1483"/>
      <c r="B1850" s="1312" t="s">
        <v>7375</v>
      </c>
      <c r="C1850" s="1099">
        <v>20158214</v>
      </c>
      <c r="D1850" s="1145"/>
      <c r="E1850" s="917"/>
      <c r="F1850" s="1313"/>
      <c r="G1850" s="1806" t="s">
        <v>7372</v>
      </c>
      <c r="H1850" s="1173"/>
      <c r="I1850" s="1122"/>
      <c r="J1850" s="1486"/>
      <c r="K1850" s="1400"/>
      <c r="L1850" s="703"/>
      <c r="M1850" s="708"/>
      <c r="N1850" s="166"/>
      <c r="P1850" s="166"/>
    </row>
    <row r="1851" spans="1:16" s="1311" customFormat="1" ht="13.2" customHeight="1">
      <c r="A1851" s="1483"/>
      <c r="B1851" s="1312" t="s">
        <v>7374</v>
      </c>
      <c r="C1851" s="1099">
        <v>70140918</v>
      </c>
      <c r="D1851" s="1145"/>
      <c r="E1851" s="917"/>
      <c r="F1851" s="1313"/>
      <c r="G1851" s="1806" t="s">
        <v>7372</v>
      </c>
      <c r="H1851" s="1173"/>
      <c r="I1851" s="1122"/>
      <c r="J1851" s="1486"/>
      <c r="K1851" s="1400"/>
      <c r="L1851" s="703"/>
      <c r="M1851" s="708"/>
      <c r="N1851" s="166"/>
      <c r="P1851" s="166"/>
    </row>
    <row r="1852" spans="1:16" s="1311" customFormat="1" ht="13.2" customHeight="1">
      <c r="A1852" s="1483"/>
      <c r="B1852" s="1312" t="s">
        <v>7371</v>
      </c>
      <c r="C1852" s="1099">
        <v>96805428</v>
      </c>
      <c r="D1852" s="1145"/>
      <c r="E1852" s="917"/>
      <c r="F1852" s="1313"/>
      <c r="G1852" s="1806" t="s">
        <v>7372</v>
      </c>
      <c r="H1852" s="1173"/>
      <c r="I1852" s="1122"/>
      <c r="J1852" s="1486"/>
      <c r="K1852" s="1400"/>
      <c r="L1852" s="703"/>
      <c r="M1852" s="708"/>
      <c r="N1852" s="166"/>
      <c r="P1852" s="166"/>
    </row>
    <row r="1853" spans="1:16" s="1311" customFormat="1" ht="13.2" customHeight="1">
      <c r="A1853" s="1483"/>
      <c r="B1853" s="1312" t="s">
        <v>7362</v>
      </c>
      <c r="C1853" s="1099">
        <v>44025349</v>
      </c>
      <c r="D1853" s="1145"/>
      <c r="E1853" s="917"/>
      <c r="F1853" s="1313"/>
      <c r="G1853" s="1806" t="s">
        <v>7363</v>
      </c>
      <c r="H1853" s="1173"/>
      <c r="I1853" s="1122"/>
      <c r="J1853" s="1486"/>
      <c r="K1853" s="1400"/>
      <c r="L1853" s="703"/>
      <c r="M1853" s="708"/>
      <c r="N1853" s="166"/>
      <c r="P1853" s="166"/>
    </row>
    <row r="1854" spans="1:16" s="1311" customFormat="1" ht="13.2" customHeight="1">
      <c r="A1854" s="1483"/>
      <c r="B1854" s="1312" t="s">
        <v>7360</v>
      </c>
      <c r="C1854" s="1099">
        <v>20513706</v>
      </c>
      <c r="D1854" s="1145"/>
      <c r="E1854" s="917"/>
      <c r="F1854" s="1313"/>
      <c r="G1854" s="1806" t="s">
        <v>7361</v>
      </c>
      <c r="H1854" s="1173"/>
      <c r="I1854" s="1122"/>
      <c r="J1854" s="1486"/>
      <c r="K1854" s="1400"/>
      <c r="L1854" s="703"/>
      <c r="M1854" s="708"/>
      <c r="N1854" s="166"/>
      <c r="P1854" s="166"/>
    </row>
    <row r="1855" spans="1:16" s="1311" customFormat="1" ht="13.2" customHeight="1">
      <c r="A1855" s="1483"/>
      <c r="B1855" s="1312" t="s">
        <v>7354</v>
      </c>
      <c r="C1855" s="1099">
        <v>62689053</v>
      </c>
      <c r="D1855" s="1145"/>
      <c r="E1855" s="917"/>
      <c r="F1855" s="1313"/>
      <c r="G1855" s="1806" t="s">
        <v>7355</v>
      </c>
      <c r="H1855" s="1173"/>
      <c r="I1855" s="1122"/>
      <c r="J1855" s="1486"/>
      <c r="K1855" s="1400"/>
      <c r="L1855" s="703"/>
      <c r="M1855" s="708"/>
      <c r="N1855" s="166"/>
      <c r="P1855" s="166"/>
    </row>
    <row r="1856" spans="1:16" s="1311" customFormat="1" ht="13.2" customHeight="1">
      <c r="A1856" s="1483"/>
      <c r="B1856" s="961" t="s">
        <v>7350</v>
      </c>
      <c r="C1856" s="1078">
        <v>8585</v>
      </c>
      <c r="D1856" s="1265"/>
      <c r="E1856" s="968"/>
      <c r="F1856" s="962"/>
      <c r="G1856" s="1804" t="s">
        <v>7351</v>
      </c>
      <c r="H1856" s="1607"/>
      <c r="I1856" s="1122"/>
      <c r="J1856" s="1486"/>
      <c r="K1856" s="1400"/>
      <c r="L1856" s="703"/>
      <c r="M1856" s="708"/>
      <c r="N1856" s="166"/>
      <c r="P1856" s="166"/>
    </row>
    <row r="1857" spans="1:16" s="1311" customFormat="1" ht="13.2" customHeight="1">
      <c r="A1857" s="1483"/>
      <c r="B1857" s="787" t="s">
        <v>7349</v>
      </c>
      <c r="C1857" s="1769">
        <v>38912060</v>
      </c>
      <c r="D1857" s="1770"/>
      <c r="E1857" s="1771"/>
      <c r="F1857" s="788"/>
      <c r="G1857" s="1812" t="s">
        <v>4877</v>
      </c>
      <c r="H1857" s="1773"/>
      <c r="I1857" s="1122"/>
      <c r="J1857" s="1486"/>
      <c r="K1857" s="1400"/>
      <c r="L1857" s="703"/>
      <c r="M1857" s="708"/>
      <c r="N1857" s="166"/>
      <c r="P1857" s="166"/>
    </row>
    <row r="1858" spans="1:16" s="1311" customFormat="1" ht="13.2" customHeight="1">
      <c r="A1858" s="1483"/>
      <c r="B1858" s="1312" t="s">
        <v>7347</v>
      </c>
      <c r="C1858" s="1099">
        <v>23202777</v>
      </c>
      <c r="D1858" s="1145"/>
      <c r="E1858" s="917"/>
      <c r="F1858" s="1313"/>
      <c r="G1858" s="1802" t="s">
        <v>7348</v>
      </c>
      <c r="H1858" s="1173"/>
      <c r="I1858" s="1122"/>
      <c r="J1858" s="1486"/>
      <c r="K1858" s="1400"/>
      <c r="L1858" s="703"/>
      <c r="M1858" s="708"/>
      <c r="N1858" s="166"/>
      <c r="P1858" s="166"/>
    </row>
    <row r="1859" spans="1:16" s="1311" customFormat="1" ht="13.2" customHeight="1">
      <c r="A1859" s="1483"/>
      <c r="B1859" s="1312" t="s">
        <v>7345</v>
      </c>
      <c r="C1859" s="1099">
        <v>28610619</v>
      </c>
      <c r="D1859" s="1145"/>
      <c r="E1859" s="917"/>
      <c r="F1859" s="1313"/>
      <c r="G1859" s="1802" t="s">
        <v>7346</v>
      </c>
      <c r="H1859" s="1173"/>
      <c r="I1859" s="1122"/>
      <c r="J1859" s="1486"/>
      <c r="K1859" s="1400"/>
      <c r="L1859" s="703"/>
      <c r="M1859" s="708"/>
      <c r="N1859" s="166"/>
      <c r="P1859" s="166"/>
    </row>
    <row r="1860" spans="1:16" s="1311" customFormat="1" ht="13.2" customHeight="1">
      <c r="A1860" s="1483"/>
      <c r="B1860" s="1312" t="s">
        <v>7344</v>
      </c>
      <c r="C1860" s="1099">
        <v>10810923</v>
      </c>
      <c r="D1860" s="1145"/>
      <c r="E1860" s="917"/>
      <c r="F1860" s="1313"/>
      <c r="G1860" s="1802" t="s">
        <v>4877</v>
      </c>
      <c r="H1860" s="1173"/>
      <c r="I1860" s="1122"/>
      <c r="J1860" s="1486"/>
      <c r="K1860" s="1400"/>
      <c r="L1860" s="703"/>
      <c r="M1860" s="708"/>
      <c r="N1860" s="166"/>
      <c r="P1860" s="166"/>
    </row>
    <row r="1861" spans="1:16" s="1311" customFormat="1" ht="13.2" customHeight="1">
      <c r="A1861" s="1483"/>
      <c r="B1861" s="1312" t="s">
        <v>7343</v>
      </c>
      <c r="C1861" s="1099">
        <v>56772380</v>
      </c>
      <c r="D1861" s="1145"/>
      <c r="E1861" s="917"/>
      <c r="F1861" s="1313"/>
      <c r="G1861" s="1802" t="s">
        <v>4877</v>
      </c>
      <c r="H1861" s="1173"/>
      <c r="I1861" s="1122"/>
      <c r="J1861" s="1486"/>
      <c r="K1861" s="1400"/>
      <c r="L1861" s="703"/>
      <c r="M1861" s="708"/>
      <c r="N1861" s="166"/>
      <c r="P1861" s="166"/>
    </row>
    <row r="1862" spans="1:16" s="1311" customFormat="1" ht="13.2" customHeight="1">
      <c r="A1862" s="1483"/>
      <c r="B1862" s="1312" t="s">
        <v>7342</v>
      </c>
      <c r="C1862" s="1802">
        <v>22961262</v>
      </c>
      <c r="D1862" s="1802"/>
      <c r="E1862" s="1802"/>
      <c r="F1862" s="1313"/>
      <c r="G1862" s="1802" t="s">
        <v>5633</v>
      </c>
      <c r="H1862" s="1807"/>
      <c r="I1862" s="1122"/>
      <c r="J1862" s="1486"/>
      <c r="K1862" s="1400"/>
      <c r="L1862" s="703"/>
      <c r="M1862" s="708"/>
      <c r="N1862" s="166"/>
      <c r="P1862" s="166"/>
    </row>
    <row r="1863" spans="1:16" s="1311" customFormat="1" ht="13.2" customHeight="1">
      <c r="A1863" s="1483"/>
      <c r="B1863" s="1312" t="s">
        <v>7335</v>
      </c>
      <c r="C1863" s="1099">
        <v>48839027</v>
      </c>
      <c r="D1863" s="1145"/>
      <c r="E1863" s="917"/>
      <c r="F1863" s="1313"/>
      <c r="G1863" s="1802" t="s">
        <v>7334</v>
      </c>
      <c r="H1863" s="1173"/>
      <c r="I1863" s="1122"/>
      <c r="J1863" s="1486"/>
      <c r="K1863" s="1400"/>
      <c r="L1863" s="703"/>
      <c r="M1863" s="708"/>
      <c r="N1863" s="166"/>
      <c r="P1863" s="166"/>
    </row>
    <row r="1864" spans="1:16" s="1311" customFormat="1" ht="13.2" customHeight="1">
      <c r="A1864" s="1483"/>
      <c r="B1864" s="1312" t="s">
        <v>7333</v>
      </c>
      <c r="C1864" s="1099">
        <v>99627262</v>
      </c>
      <c r="D1864" s="1145"/>
      <c r="E1864" s="917"/>
      <c r="F1864" s="1313"/>
      <c r="G1864" s="1802" t="s">
        <v>7334</v>
      </c>
      <c r="H1864" s="1173"/>
      <c r="I1864" s="1122"/>
      <c r="J1864" s="1486"/>
      <c r="K1864" s="1400"/>
      <c r="L1864" s="703"/>
      <c r="M1864" s="708"/>
      <c r="N1864" s="166"/>
      <c r="P1864" s="166"/>
    </row>
    <row r="1865" spans="1:16" s="1311" customFormat="1" ht="13.2" customHeight="1">
      <c r="A1865" s="1483"/>
      <c r="B1865" s="1312" t="s">
        <v>7318</v>
      </c>
      <c r="C1865" s="1099">
        <v>70962850</v>
      </c>
      <c r="D1865" s="1145"/>
      <c r="E1865" s="917"/>
      <c r="F1865" s="1313"/>
      <c r="G1865" s="1798" t="s">
        <v>7319</v>
      </c>
      <c r="H1865" s="1173"/>
      <c r="I1865" s="1122"/>
      <c r="J1865" s="1486"/>
      <c r="K1865" s="1400"/>
      <c r="L1865" s="703"/>
      <c r="M1865" s="708"/>
      <c r="N1865" s="166"/>
      <c r="P1865" s="166"/>
    </row>
    <row r="1866" spans="1:16" s="1311" customFormat="1" ht="13.2" customHeight="1">
      <c r="A1866" s="1483"/>
      <c r="B1866" s="1312" t="s">
        <v>7316</v>
      </c>
      <c r="C1866" s="1099">
        <v>11223344</v>
      </c>
      <c r="D1866" s="1145"/>
      <c r="E1866" s="917"/>
      <c r="F1866" s="1313"/>
      <c r="G1866" s="1794" t="s">
        <v>7317</v>
      </c>
      <c r="H1866" s="1173"/>
      <c r="I1866" s="1122"/>
      <c r="J1866" s="1486"/>
      <c r="K1866" s="1400"/>
      <c r="L1866" s="703"/>
      <c r="M1866" s="708"/>
      <c r="N1866" s="166"/>
      <c r="P1866" s="166"/>
    </row>
    <row r="1867" spans="1:16" s="1311" customFormat="1" ht="13.2" customHeight="1">
      <c r="A1867" s="1483"/>
      <c r="B1867" s="1312" t="s">
        <v>7314</v>
      </c>
      <c r="C1867" s="1099">
        <v>82540368</v>
      </c>
      <c r="D1867" s="1145"/>
      <c r="E1867" s="917"/>
      <c r="F1867" s="1313"/>
      <c r="G1867" s="1794" t="s">
        <v>7315</v>
      </c>
      <c r="H1867" s="1173"/>
      <c r="I1867" s="1122"/>
      <c r="J1867" s="1486"/>
      <c r="K1867" s="1400"/>
      <c r="L1867" s="703"/>
      <c r="M1867" s="708"/>
      <c r="N1867" s="166"/>
      <c r="P1867" s="166"/>
    </row>
    <row r="1868" spans="1:16" s="1311" customFormat="1" ht="13.2" customHeight="1">
      <c r="A1868" s="1483"/>
      <c r="B1868" s="1312" t="s">
        <v>7312</v>
      </c>
      <c r="C1868" s="1099">
        <v>19950411</v>
      </c>
      <c r="D1868" s="1145"/>
      <c r="E1868" s="917"/>
      <c r="F1868" s="1313"/>
      <c r="G1868" s="1794" t="s">
        <v>7313</v>
      </c>
      <c r="H1868" s="1173"/>
      <c r="I1868" s="1122"/>
      <c r="J1868" s="1486"/>
      <c r="K1868" s="1400"/>
      <c r="L1868" s="703"/>
      <c r="M1868" s="708"/>
      <c r="N1868" s="166"/>
      <c r="P1868" s="166"/>
    </row>
    <row r="1869" spans="1:16" s="1311" customFormat="1" ht="13.2" customHeight="1">
      <c r="A1869" s="1483"/>
      <c r="B1869" s="1312" t="s">
        <v>7311</v>
      </c>
      <c r="C1869" s="1099">
        <v>19950411</v>
      </c>
      <c r="D1869" s="1145"/>
      <c r="E1869" s="917"/>
      <c r="F1869" s="1313"/>
      <c r="G1869" s="1794" t="s">
        <v>4877</v>
      </c>
      <c r="H1869" s="1173"/>
      <c r="I1869" s="1122"/>
      <c r="J1869" s="1486"/>
      <c r="K1869" s="1400"/>
      <c r="L1869" s="703"/>
      <c r="M1869" s="708"/>
      <c r="N1869" s="166"/>
      <c r="P1869" s="166"/>
    </row>
    <row r="1870" spans="1:16" s="1311" customFormat="1" ht="13.2" customHeight="1">
      <c r="A1870" s="1483"/>
      <c r="B1870" s="1312" t="s">
        <v>7305</v>
      </c>
      <c r="C1870" s="1099">
        <v>91823743</v>
      </c>
      <c r="D1870" s="1145"/>
      <c r="E1870" s="917"/>
      <c r="F1870" s="1313"/>
      <c r="G1870" s="1794" t="s">
        <v>7306</v>
      </c>
      <c r="H1870" s="1795" t="s">
        <v>7307</v>
      </c>
      <c r="I1870" s="1122"/>
      <c r="J1870" s="1486"/>
      <c r="K1870" s="1400"/>
      <c r="L1870" s="703"/>
      <c r="M1870" s="708"/>
      <c r="N1870" s="166"/>
      <c r="P1870" s="166"/>
    </row>
    <row r="1871" spans="1:16" s="1311" customFormat="1" ht="13.2" customHeight="1">
      <c r="A1871" s="1483"/>
      <c r="B1871" s="1312" t="s">
        <v>1915</v>
      </c>
      <c r="C1871" s="1099">
        <v>57147938</v>
      </c>
      <c r="D1871" s="1145"/>
      <c r="E1871" s="917"/>
      <c r="F1871" s="1313"/>
      <c r="G1871" s="1794" t="s">
        <v>7020</v>
      </c>
      <c r="H1871" s="1173"/>
      <c r="I1871" s="1122"/>
      <c r="J1871" s="1486"/>
      <c r="K1871" s="1400"/>
      <c r="L1871" s="703"/>
      <c r="M1871" s="708"/>
      <c r="N1871" s="166"/>
      <c r="P1871" s="166"/>
    </row>
    <row r="1872" spans="1:16" s="1311" customFormat="1">
      <c r="A1872" s="1483"/>
      <c r="B1872" s="1312" t="s">
        <v>7303</v>
      </c>
      <c r="C1872" s="1099">
        <v>52904481</v>
      </c>
      <c r="D1872" s="1145"/>
      <c r="E1872" s="917"/>
      <c r="F1872" s="1313"/>
      <c r="G1872" s="1794" t="s">
        <v>7304</v>
      </c>
      <c r="H1872" s="1173"/>
      <c r="I1872" s="1122"/>
      <c r="J1872" s="1486"/>
      <c r="K1872" s="1400"/>
      <c r="L1872" s="703"/>
      <c r="M1872" s="708"/>
      <c r="N1872" s="166"/>
      <c r="P1872" s="166"/>
    </row>
    <row r="1873" spans="1:16" s="1311" customFormat="1" ht="13.2" customHeight="1">
      <c r="A1873" s="1483"/>
      <c r="B1873" s="1312" t="s">
        <v>7301</v>
      </c>
      <c r="C1873" s="1099">
        <v>12345678</v>
      </c>
      <c r="D1873" s="1145"/>
      <c r="E1873" s="917"/>
      <c r="F1873" s="1313"/>
      <c r="G1873" s="1794" t="s">
        <v>7302</v>
      </c>
      <c r="H1873" s="1173"/>
      <c r="I1873" s="1122"/>
      <c r="J1873" s="1486"/>
      <c r="K1873" s="1400"/>
      <c r="L1873" s="703"/>
      <c r="M1873" s="708"/>
      <c r="N1873" s="166"/>
      <c r="P1873" s="166"/>
    </row>
    <row r="1874" spans="1:16" s="1311" customFormat="1" ht="13.2" customHeight="1">
      <c r="A1874" s="1483"/>
      <c r="B1874" s="1312" t="s">
        <v>7295</v>
      </c>
      <c r="C1874" s="1099">
        <v>30954334</v>
      </c>
      <c r="D1874" s="1145"/>
      <c r="E1874" s="917"/>
      <c r="F1874" s="1313"/>
      <c r="G1874" s="1794" t="s">
        <v>7296</v>
      </c>
      <c r="H1874" s="1173"/>
      <c r="I1874" s="1122"/>
      <c r="J1874" s="1486"/>
      <c r="K1874" s="1400"/>
      <c r="L1874" s="703"/>
      <c r="M1874" s="708"/>
      <c r="N1874" s="166"/>
      <c r="P1874" s="166"/>
    </row>
    <row r="1875" spans="1:16" s="1311" customFormat="1" ht="13.2" customHeight="1">
      <c r="A1875" s="1483"/>
      <c r="B1875" s="1312" t="s">
        <v>7294</v>
      </c>
      <c r="C1875" s="1099">
        <v>87550018</v>
      </c>
      <c r="D1875" s="1145"/>
      <c r="E1875" s="917"/>
      <c r="F1875" s="1313"/>
      <c r="G1875" s="1794" t="s">
        <v>7176</v>
      </c>
      <c r="H1875" s="1173"/>
      <c r="I1875" s="1122"/>
      <c r="J1875" s="1486"/>
      <c r="K1875" s="1400"/>
      <c r="L1875" s="703"/>
      <c r="M1875" s="708"/>
      <c r="N1875" s="166"/>
      <c r="P1875" s="166"/>
    </row>
    <row r="1876" spans="1:16" s="1311" customFormat="1" ht="13.2" customHeight="1">
      <c r="A1876" s="1483"/>
      <c r="B1876" s="1312" t="s">
        <v>7290</v>
      </c>
      <c r="C1876" s="1099">
        <v>12345678</v>
      </c>
      <c r="D1876" s="1145"/>
      <c r="E1876" s="917"/>
      <c r="F1876" s="1313"/>
      <c r="G1876" s="1789" t="s">
        <v>7291</v>
      </c>
      <c r="H1876" s="1173"/>
      <c r="I1876" s="1122"/>
      <c r="J1876" s="1486"/>
      <c r="K1876" s="1400"/>
      <c r="L1876" s="703"/>
      <c r="M1876" s="708"/>
      <c r="N1876" s="166"/>
      <c r="P1876" s="166"/>
    </row>
    <row r="1877" spans="1:16" s="1311" customFormat="1" ht="13.2" customHeight="1">
      <c r="A1877" s="1483"/>
      <c r="B1877" s="1312" t="s">
        <v>7279</v>
      </c>
      <c r="C1877" s="1099">
        <v>17755137</v>
      </c>
      <c r="D1877" s="1145"/>
      <c r="E1877" s="917"/>
      <c r="F1877" s="1313"/>
      <c r="G1877" s="1789" t="s">
        <v>7275</v>
      </c>
      <c r="H1877" s="1173"/>
      <c r="I1877" s="1122"/>
      <c r="J1877" s="1486"/>
      <c r="K1877" s="1400"/>
      <c r="L1877" s="703"/>
      <c r="M1877" s="708"/>
      <c r="N1877" s="166"/>
      <c r="P1877" s="166"/>
    </row>
    <row r="1878" spans="1:16" s="1311" customFormat="1" ht="13.2" customHeight="1">
      <c r="A1878" s="1483"/>
      <c r="B1878" s="1312" t="s">
        <v>7273</v>
      </c>
      <c r="C1878" s="1099">
        <v>55156678</v>
      </c>
      <c r="D1878" s="1145"/>
      <c r="E1878" s="917"/>
      <c r="F1878" s="1313"/>
      <c r="G1878" s="1789" t="s">
        <v>7274</v>
      </c>
      <c r="H1878" s="1173"/>
      <c r="I1878" s="1122"/>
      <c r="J1878" s="1486"/>
      <c r="K1878" s="1400"/>
      <c r="L1878" s="703"/>
      <c r="M1878" s="708"/>
      <c r="N1878" s="166"/>
      <c r="P1878" s="166"/>
    </row>
    <row r="1879" spans="1:16" s="1311" customFormat="1" ht="13.2" customHeight="1">
      <c r="A1879" s="1483"/>
      <c r="B1879" s="1312" t="s">
        <v>7271</v>
      </c>
      <c r="C1879" s="1099">
        <v>76186443</v>
      </c>
      <c r="D1879" s="1145"/>
      <c r="E1879" s="917"/>
      <c r="F1879" s="1313"/>
      <c r="G1879" s="1789" t="s">
        <v>7272</v>
      </c>
      <c r="H1879" s="1173"/>
      <c r="I1879" s="1122"/>
      <c r="J1879" s="1486"/>
      <c r="K1879" s="1400"/>
      <c r="L1879" s="703"/>
      <c r="M1879" s="708"/>
      <c r="N1879" s="166"/>
      <c r="P1879" s="166"/>
    </row>
    <row r="1880" spans="1:16" s="1311" customFormat="1" ht="13.2" customHeight="1">
      <c r="A1880" s="1483"/>
      <c r="B1880" s="1312" t="s">
        <v>7269</v>
      </c>
      <c r="C1880" s="1099">
        <v>12345678</v>
      </c>
      <c r="D1880" s="1145"/>
      <c r="E1880" s="917"/>
      <c r="F1880" s="1313"/>
      <c r="G1880" s="1782" t="s">
        <v>7270</v>
      </c>
      <c r="H1880" s="1173"/>
      <c r="I1880" s="1122"/>
      <c r="J1880" s="1486"/>
      <c r="K1880" s="1400"/>
      <c r="L1880" s="703"/>
      <c r="M1880" s="708"/>
      <c r="N1880" s="166"/>
      <c r="P1880" s="166"/>
    </row>
    <row r="1881" spans="1:16" s="1311" customFormat="1" ht="13.2" customHeight="1">
      <c r="A1881" s="1483"/>
      <c r="B1881" s="1312" t="s">
        <v>7268</v>
      </c>
      <c r="C1881" s="1099">
        <v>93829470</v>
      </c>
      <c r="D1881" s="1145"/>
      <c r="E1881" s="917"/>
      <c r="F1881" s="1313"/>
      <c r="G1881" s="1782" t="s">
        <v>6415</v>
      </c>
      <c r="H1881" s="1173"/>
      <c r="I1881" s="1122"/>
      <c r="J1881" s="1486"/>
      <c r="K1881" s="1400"/>
      <c r="L1881" s="703"/>
      <c r="M1881" s="708"/>
      <c r="N1881" s="166"/>
      <c r="P1881" s="166"/>
    </row>
    <row r="1882" spans="1:16" s="1311" customFormat="1" ht="13.2" customHeight="1">
      <c r="A1882" s="1483"/>
      <c r="B1882" s="1312" t="s">
        <v>7266</v>
      </c>
      <c r="C1882" s="1099">
        <v>99038529</v>
      </c>
      <c r="D1882" s="1145"/>
      <c r="E1882" s="917"/>
      <c r="F1882" s="1313"/>
      <c r="G1882" s="1782" t="s">
        <v>7267</v>
      </c>
      <c r="H1882" s="1173"/>
      <c r="I1882" s="1122"/>
      <c r="J1882" s="1486"/>
      <c r="K1882" s="1400"/>
      <c r="L1882" s="703"/>
      <c r="M1882" s="708"/>
      <c r="N1882" s="166"/>
      <c r="P1882" s="166"/>
    </row>
    <row r="1883" spans="1:16" s="1311" customFormat="1" ht="13.2" customHeight="1">
      <c r="A1883" s="1483"/>
      <c r="B1883" s="1312" t="s">
        <v>7265</v>
      </c>
      <c r="C1883" s="1099">
        <v>40516749</v>
      </c>
      <c r="D1883" s="1145"/>
      <c r="E1883" s="917"/>
      <c r="F1883" s="1313"/>
      <c r="G1883" s="1782" t="s">
        <v>5153</v>
      </c>
      <c r="H1883" s="1173"/>
      <c r="I1883" s="1122"/>
      <c r="J1883" s="1486"/>
      <c r="K1883" s="1400"/>
      <c r="L1883" s="703"/>
      <c r="M1883" s="708"/>
      <c r="N1883" s="166"/>
      <c r="P1883" s="166"/>
    </row>
    <row r="1884" spans="1:16" s="1311" customFormat="1" ht="13.2" customHeight="1">
      <c r="A1884" s="1483"/>
      <c r="B1884" s="1312" t="s">
        <v>7256</v>
      </c>
      <c r="C1884" s="1099">
        <v>66366744</v>
      </c>
      <c r="D1884" s="1145"/>
      <c r="E1884" s="917"/>
      <c r="F1884" s="1313"/>
      <c r="G1884" s="1782" t="s">
        <v>7257</v>
      </c>
      <c r="H1884" s="1787" t="s">
        <v>7258</v>
      </c>
      <c r="I1884" s="1122"/>
      <c r="J1884" s="1486"/>
      <c r="K1884" s="1400"/>
      <c r="L1884" s="703"/>
      <c r="M1884" s="708"/>
      <c r="N1884" s="166"/>
      <c r="P1884" s="166"/>
    </row>
    <row r="1885" spans="1:16" s="1311" customFormat="1" ht="13.2" customHeight="1">
      <c r="A1885" s="1483"/>
      <c r="B1885" s="1312" t="s">
        <v>7254</v>
      </c>
      <c r="C1885" s="1099">
        <v>12345678</v>
      </c>
      <c r="D1885" s="1145"/>
      <c r="E1885" s="917"/>
      <c r="F1885" s="1313"/>
      <c r="G1885" s="1782" t="s">
        <v>7255</v>
      </c>
      <c r="H1885" s="1173"/>
      <c r="I1885" s="1122"/>
      <c r="J1885" s="1486"/>
      <c r="K1885" s="1400"/>
      <c r="L1885" s="703"/>
      <c r="M1885" s="708"/>
      <c r="N1885" s="166"/>
      <c r="P1885" s="166"/>
    </row>
    <row r="1886" spans="1:16" s="1311" customFormat="1" ht="13.2" customHeight="1">
      <c r="A1886" s="1483"/>
      <c r="B1886" s="1312" t="s">
        <v>7249</v>
      </c>
      <c r="C1886" s="1099">
        <v>42541571</v>
      </c>
      <c r="D1886" s="1145"/>
      <c r="E1886" s="917"/>
      <c r="F1886" s="1313"/>
      <c r="G1886" s="1778" t="s">
        <v>5709</v>
      </c>
      <c r="H1886" s="1781" t="s">
        <v>7250</v>
      </c>
      <c r="I1886" s="1122"/>
      <c r="J1886" s="1486"/>
      <c r="K1886" s="1400"/>
      <c r="L1886" s="703"/>
      <c r="M1886" s="708"/>
      <c r="N1886" s="166"/>
      <c r="P1886" s="166"/>
    </row>
    <row r="1887" spans="1:16" s="1311" customFormat="1" ht="13.2" customHeight="1">
      <c r="A1887" s="1483"/>
      <c r="B1887" s="1312" t="s">
        <v>7247</v>
      </c>
      <c r="C1887" s="1099">
        <v>14974938</v>
      </c>
      <c r="D1887" s="1145"/>
      <c r="E1887" s="917"/>
      <c r="F1887" s="1313"/>
      <c r="G1887" s="1778" t="s">
        <v>7248</v>
      </c>
      <c r="H1887" s="1173"/>
      <c r="I1887" s="1122"/>
      <c r="J1887" s="1486"/>
      <c r="K1887" s="1400"/>
      <c r="L1887" s="703"/>
      <c r="M1887" s="708"/>
      <c r="N1887" s="166"/>
      <c r="P1887" s="166"/>
    </row>
    <row r="1888" spans="1:16" s="1311" customFormat="1" ht="13.2" customHeight="1">
      <c r="A1888" s="1483"/>
      <c r="B1888" s="1312" t="s">
        <v>7245</v>
      </c>
      <c r="C1888" s="1099">
        <v>29370848</v>
      </c>
      <c r="D1888" s="1145"/>
      <c r="E1888" s="917"/>
      <c r="F1888" s="1313"/>
      <c r="G1888" s="1778" t="s">
        <v>7246</v>
      </c>
      <c r="H1888" s="1173"/>
      <c r="I1888" s="1122"/>
      <c r="J1888" s="1486"/>
      <c r="K1888" s="1400"/>
      <c r="L1888" s="703"/>
      <c r="M1888" s="708"/>
      <c r="N1888" s="166"/>
      <c r="P1888" s="166"/>
    </row>
    <row r="1889" spans="1:16" s="1311" customFormat="1" ht="13.2" customHeight="1">
      <c r="A1889" s="1483"/>
      <c r="B1889" s="1312" t="s">
        <v>7242</v>
      </c>
      <c r="C1889" s="1099">
        <v>45987891</v>
      </c>
      <c r="D1889" s="1145"/>
      <c r="E1889" s="917"/>
      <c r="F1889" s="1313"/>
      <c r="G1889" s="1778" t="s">
        <v>6922</v>
      </c>
      <c r="H1889" s="1173"/>
      <c r="I1889" s="1122"/>
      <c r="J1889" s="1486"/>
      <c r="K1889" s="1400"/>
      <c r="L1889" s="703"/>
      <c r="M1889" s="708"/>
      <c r="N1889" s="166"/>
      <c r="P1889" s="166"/>
    </row>
    <row r="1890" spans="1:16" s="1311" customFormat="1" ht="13.2" customHeight="1">
      <c r="A1890" s="1483"/>
      <c r="B1890" s="1312" t="s">
        <v>7234</v>
      </c>
      <c r="C1890" s="1779" t="s">
        <v>7235</v>
      </c>
      <c r="D1890" s="1145"/>
      <c r="E1890" s="917"/>
      <c r="F1890" s="1313"/>
      <c r="G1890" s="1778" t="s">
        <v>6922</v>
      </c>
      <c r="H1890" s="1173"/>
      <c r="I1890" s="1122"/>
      <c r="J1890" s="1486"/>
      <c r="K1890" s="1400"/>
      <c r="L1890" s="703"/>
      <c r="M1890" s="708"/>
      <c r="N1890" s="166"/>
      <c r="P1890" s="166"/>
    </row>
    <row r="1891" spans="1:16" s="1311" customFormat="1" ht="13.2" customHeight="1">
      <c r="A1891" s="1483"/>
      <c r="B1891" s="1312" t="s">
        <v>7232</v>
      </c>
      <c r="C1891" s="1099">
        <v>12057602</v>
      </c>
      <c r="D1891" s="1145"/>
      <c r="E1891" s="917"/>
      <c r="F1891" s="1313"/>
      <c r="G1891" s="1778" t="s">
        <v>7233</v>
      </c>
      <c r="H1891" s="1173"/>
      <c r="I1891" s="1122"/>
      <c r="J1891" s="1486"/>
      <c r="K1891" s="1400"/>
      <c r="L1891" s="703"/>
      <c r="M1891" s="708"/>
      <c r="N1891" s="166"/>
      <c r="P1891" s="166"/>
    </row>
    <row r="1892" spans="1:16" s="1311" customFormat="1" ht="13.2" customHeight="1">
      <c r="A1892" s="1483"/>
      <c r="B1892" s="1312" t="s">
        <v>7236</v>
      </c>
      <c r="C1892" s="1099">
        <v>10540970</v>
      </c>
      <c r="D1892" s="1145"/>
      <c r="E1892" s="917"/>
      <c r="F1892" s="1313"/>
      <c r="G1892" s="1778" t="s">
        <v>7020</v>
      </c>
      <c r="H1892" s="1173"/>
      <c r="I1892" s="1122"/>
      <c r="J1892" s="1486"/>
      <c r="K1892" s="1400"/>
      <c r="L1892" s="703"/>
      <c r="M1892" s="708"/>
      <c r="N1892" s="166"/>
      <c r="P1892" s="166"/>
    </row>
    <row r="1893" spans="1:16" s="1311" customFormat="1" ht="13.2" customHeight="1">
      <c r="A1893" s="1483"/>
      <c r="B1893" s="1312" t="s">
        <v>7229</v>
      </c>
      <c r="C1893" s="1099">
        <v>91893469</v>
      </c>
      <c r="D1893" s="1145"/>
      <c r="E1893" s="917"/>
      <c r="F1893" s="1313"/>
      <c r="G1893" s="1778" t="s">
        <v>7020</v>
      </c>
      <c r="H1893" s="1173"/>
      <c r="I1893" s="1122"/>
      <c r="J1893" s="1486"/>
      <c r="K1893" s="1400"/>
      <c r="L1893" s="703"/>
      <c r="M1893" s="708"/>
      <c r="N1893" s="166"/>
      <c r="P1893" s="166"/>
    </row>
    <row r="1894" spans="1:16" s="1311" customFormat="1" ht="13.2" customHeight="1">
      <c r="A1894" s="1483"/>
      <c r="B1894" s="1312" t="s">
        <v>7228</v>
      </c>
      <c r="C1894" s="1099">
        <v>80574473</v>
      </c>
      <c r="D1894" s="1145"/>
      <c r="E1894" s="917"/>
      <c r="F1894" s="1313"/>
      <c r="G1894" s="1778" t="s">
        <v>7020</v>
      </c>
      <c r="H1894" s="1173"/>
      <c r="I1894" s="1122"/>
      <c r="J1894" s="1486"/>
      <c r="K1894" s="1400"/>
      <c r="L1894" s="703"/>
      <c r="M1894" s="708"/>
      <c r="N1894" s="166"/>
      <c r="P1894" s="166"/>
    </row>
    <row r="1895" spans="1:16" s="1311" customFormat="1" ht="13.2" customHeight="1">
      <c r="A1895" s="1483"/>
      <c r="B1895" s="1312" t="s">
        <v>7227</v>
      </c>
      <c r="C1895" s="1099">
        <v>80041685</v>
      </c>
      <c r="D1895" s="1145"/>
      <c r="E1895" s="917"/>
      <c r="F1895" s="1313"/>
      <c r="G1895" s="1778" t="s">
        <v>7020</v>
      </c>
      <c r="H1895" s="1173"/>
      <c r="I1895" s="1122"/>
      <c r="J1895" s="1486"/>
      <c r="K1895" s="1400"/>
      <c r="L1895" s="703"/>
      <c r="M1895" s="708"/>
      <c r="N1895" s="166"/>
      <c r="P1895" s="166"/>
    </row>
    <row r="1896" spans="1:16" s="1311" customFormat="1" ht="13.2" customHeight="1">
      <c r="A1896" s="1483"/>
      <c r="B1896" s="1312" t="s">
        <v>7222</v>
      </c>
      <c r="C1896" s="1099">
        <v>95652524</v>
      </c>
      <c r="D1896" s="1145"/>
      <c r="E1896" s="917"/>
      <c r="F1896" s="1313"/>
      <c r="G1896" s="1768" t="s">
        <v>7020</v>
      </c>
      <c r="H1896" s="1774" t="s">
        <v>2124</v>
      </c>
      <c r="I1896" s="1122"/>
      <c r="J1896" s="1486"/>
      <c r="K1896" s="1400"/>
      <c r="L1896" s="703"/>
      <c r="M1896" s="708"/>
      <c r="N1896" s="166"/>
      <c r="P1896" s="166"/>
    </row>
    <row r="1897" spans="1:16" s="1311" customFormat="1" ht="13.2" customHeight="1">
      <c r="A1897" s="1483"/>
      <c r="B1897" s="1312" t="s">
        <v>7221</v>
      </c>
      <c r="C1897" s="1099">
        <v>2005</v>
      </c>
      <c r="D1897" s="1145"/>
      <c r="E1897" s="917"/>
      <c r="F1897" s="1313"/>
      <c r="G1897" s="1768" t="s">
        <v>7216</v>
      </c>
      <c r="H1897" s="1774" t="s">
        <v>2306</v>
      </c>
      <c r="I1897" s="1122"/>
      <c r="J1897" s="1486"/>
      <c r="K1897" s="1400"/>
      <c r="L1897" s="703"/>
      <c r="M1897" s="708"/>
      <c r="N1897" s="166"/>
      <c r="P1897" s="166"/>
    </row>
    <row r="1898" spans="1:16" s="1311" customFormat="1" ht="13.2" customHeight="1">
      <c r="A1898" s="1483"/>
      <c r="B1898" s="1312" t="s">
        <v>7220</v>
      </c>
      <c r="C1898" s="1099">
        <v>12345678</v>
      </c>
      <c r="D1898" s="1145"/>
      <c r="E1898" s="917"/>
      <c r="F1898" s="1313"/>
      <c r="G1898" s="1768" t="s">
        <v>7216</v>
      </c>
      <c r="H1898" s="1774" t="s">
        <v>2306</v>
      </c>
      <c r="I1898" s="1122"/>
      <c r="J1898" s="1486"/>
      <c r="K1898" s="1400"/>
      <c r="L1898" s="703"/>
      <c r="M1898" s="708"/>
      <c r="N1898" s="166"/>
      <c r="P1898" s="166"/>
    </row>
    <row r="1899" spans="1:16" s="1311" customFormat="1" ht="13.2" customHeight="1">
      <c r="A1899" s="1483"/>
      <c r="B1899" s="709" t="s">
        <v>7219</v>
      </c>
      <c r="C1899" s="1082">
        <v>13101995</v>
      </c>
      <c r="D1899" s="1141"/>
      <c r="E1899" s="915"/>
      <c r="F1899" s="1310"/>
      <c r="G1899" s="1767" t="s">
        <v>4877</v>
      </c>
      <c r="H1899" s="1160"/>
      <c r="I1899" s="1122"/>
      <c r="J1899" s="1486"/>
      <c r="K1899" s="1400"/>
      <c r="L1899" s="703"/>
      <c r="M1899" s="708"/>
      <c r="N1899" s="166"/>
      <c r="P1899" s="166"/>
    </row>
    <row r="1900" spans="1:16" s="1311" customFormat="1" ht="13.2" customHeight="1">
      <c r="A1900" s="1483"/>
      <c r="B1900" s="787" t="s">
        <v>7217</v>
      </c>
      <c r="C1900" s="1769">
        <v>47325406</v>
      </c>
      <c r="D1900" s="1770"/>
      <c r="E1900" s="1771"/>
      <c r="F1900" s="788"/>
      <c r="G1900" s="1772" t="s">
        <v>7218</v>
      </c>
      <c r="H1900" s="1773"/>
      <c r="I1900" s="1122"/>
      <c r="J1900" s="1486"/>
      <c r="K1900" s="1400"/>
      <c r="L1900" s="703"/>
      <c r="M1900" s="708"/>
      <c r="N1900" s="166"/>
      <c r="P1900" s="166"/>
    </row>
    <row r="1901" spans="1:16" s="1311" customFormat="1" ht="13.2" customHeight="1">
      <c r="A1901" s="1483"/>
      <c r="B1901" s="1312" t="s">
        <v>7215</v>
      </c>
      <c r="C1901" s="1099">
        <v>1999</v>
      </c>
      <c r="D1901" s="1145"/>
      <c r="E1901" s="917"/>
      <c r="F1901" s="1313"/>
      <c r="G1901" s="1768" t="s">
        <v>7216</v>
      </c>
      <c r="H1901" s="1774" t="s">
        <v>2306</v>
      </c>
      <c r="I1901" s="1122"/>
      <c r="J1901" s="1486"/>
      <c r="K1901" s="1400"/>
      <c r="L1901" s="703"/>
      <c r="M1901" s="708"/>
      <c r="N1901" s="166"/>
      <c r="P1901" s="166"/>
    </row>
    <row r="1902" spans="1:16" s="1311" customFormat="1" ht="13.2" customHeight="1">
      <c r="A1902" s="1483"/>
      <c r="B1902" s="1312" t="s">
        <v>7214</v>
      </c>
      <c r="C1902" s="1099">
        <v>28383584</v>
      </c>
      <c r="D1902" s="1145"/>
      <c r="E1902" s="917"/>
      <c r="F1902" s="1313"/>
      <c r="G1902" s="1768" t="s">
        <v>5709</v>
      </c>
      <c r="H1902" s="1173"/>
      <c r="I1902" s="1122"/>
      <c r="J1902" s="1486"/>
      <c r="K1902" s="1400"/>
      <c r="L1902" s="703"/>
      <c r="M1902" s="708"/>
      <c r="N1902" s="166"/>
      <c r="P1902" s="166"/>
    </row>
    <row r="1903" spans="1:16" s="1311" customFormat="1" ht="13.2" customHeight="1">
      <c r="A1903" s="1483"/>
      <c r="B1903" s="1312" t="s">
        <v>7212</v>
      </c>
      <c r="C1903" s="1099">
        <v>63871052</v>
      </c>
      <c r="D1903" s="1145"/>
      <c r="E1903" s="917"/>
      <c r="F1903" s="1313"/>
      <c r="G1903" s="1768" t="s">
        <v>7213</v>
      </c>
      <c r="H1903" s="1173"/>
      <c r="I1903" s="1122"/>
      <c r="J1903" s="1486"/>
      <c r="K1903" s="1400"/>
      <c r="L1903" s="703"/>
      <c r="M1903" s="708"/>
      <c r="N1903" s="166"/>
      <c r="P1903" s="166"/>
    </row>
    <row r="1904" spans="1:16" s="1311" customFormat="1" ht="13.2" customHeight="1">
      <c r="A1904" s="1483"/>
      <c r="B1904" s="1312" t="s">
        <v>7211</v>
      </c>
      <c r="C1904" s="1099">
        <v>53939762</v>
      </c>
      <c r="D1904" s="1145"/>
      <c r="E1904" s="917"/>
      <c r="F1904" s="1313"/>
      <c r="G1904" s="1768" t="s">
        <v>4877</v>
      </c>
      <c r="H1904" s="1173"/>
      <c r="I1904" s="1122"/>
      <c r="J1904" s="1486"/>
      <c r="K1904" s="1400"/>
      <c r="L1904" s="703"/>
      <c r="M1904" s="708"/>
      <c r="N1904" s="166"/>
      <c r="P1904" s="166"/>
    </row>
    <row r="1905" spans="1:16" s="1311" customFormat="1" ht="13.2" customHeight="1">
      <c r="A1905" s="1483"/>
      <c r="B1905" s="1312" t="s">
        <v>7210</v>
      </c>
      <c r="C1905" s="1099">
        <v>90659950</v>
      </c>
      <c r="D1905" s="1145"/>
      <c r="E1905" s="917"/>
      <c r="F1905" s="1313"/>
      <c r="G1905" s="1768" t="s">
        <v>7020</v>
      </c>
      <c r="H1905" s="1173"/>
      <c r="I1905" s="1122"/>
      <c r="J1905" s="1486"/>
      <c r="K1905" s="1400"/>
      <c r="L1905" s="703"/>
      <c r="M1905" s="708"/>
      <c r="N1905" s="166"/>
      <c r="P1905" s="166"/>
    </row>
    <row r="1906" spans="1:16" s="1311" customFormat="1" ht="13.2" customHeight="1">
      <c r="A1906" s="1483"/>
      <c r="B1906" s="1312" t="s">
        <v>7208</v>
      </c>
      <c r="C1906" s="1099">
        <v>69501901</v>
      </c>
      <c r="D1906" s="1145"/>
      <c r="E1906" s="917"/>
      <c r="F1906" s="1313"/>
      <c r="G1906" s="1768" t="s">
        <v>7209</v>
      </c>
      <c r="H1906" s="1173"/>
      <c r="I1906" s="1122"/>
      <c r="J1906" s="1486"/>
      <c r="K1906" s="1400"/>
      <c r="L1906" s="703"/>
      <c r="M1906" s="708"/>
      <c r="N1906" s="166"/>
      <c r="P1906" s="166"/>
    </row>
    <row r="1907" spans="1:16" s="1311" customFormat="1" ht="13.2" customHeight="1">
      <c r="A1907" s="1483"/>
      <c r="B1907" s="1312" t="s">
        <v>7206</v>
      </c>
      <c r="C1907" s="1099">
        <v>91444849</v>
      </c>
      <c r="D1907" s="1145"/>
      <c r="E1907" s="917"/>
      <c r="F1907" s="1313"/>
      <c r="G1907" s="1768" t="s">
        <v>7207</v>
      </c>
      <c r="H1907" s="1173"/>
      <c r="I1907" s="1122"/>
      <c r="J1907" s="1486"/>
      <c r="K1907" s="1400"/>
      <c r="L1907" s="703"/>
      <c r="M1907" s="708"/>
      <c r="N1907" s="166"/>
      <c r="P1907" s="166"/>
    </row>
    <row r="1908" spans="1:16" s="1311" customFormat="1" ht="13.2" customHeight="1">
      <c r="A1908" s="1483"/>
      <c r="B1908" s="1312" t="s">
        <v>7204</v>
      </c>
      <c r="C1908" s="1099">
        <v>21849818</v>
      </c>
      <c r="D1908" s="1145"/>
      <c r="E1908" s="917"/>
      <c r="F1908" s="1313"/>
      <c r="G1908" s="1762" t="s">
        <v>7205</v>
      </c>
      <c r="H1908" s="1173"/>
      <c r="I1908" s="1122"/>
      <c r="J1908" s="1486"/>
      <c r="K1908" s="1400"/>
      <c r="L1908" s="703"/>
      <c r="M1908" s="708"/>
      <c r="N1908" s="166"/>
      <c r="P1908" s="166"/>
    </row>
    <row r="1909" spans="1:16" s="1311" customFormat="1" ht="13.2" customHeight="1">
      <c r="A1909" s="1483"/>
      <c r="B1909" s="1312" t="s">
        <v>7201</v>
      </c>
      <c r="C1909" s="1099">
        <v>84188026</v>
      </c>
      <c r="D1909" s="1145"/>
      <c r="E1909" s="917"/>
      <c r="F1909" s="1313"/>
      <c r="G1909" s="1762" t="s">
        <v>7202</v>
      </c>
      <c r="H1909" s="1173"/>
      <c r="I1909" s="1122"/>
      <c r="J1909" s="1486"/>
      <c r="K1909" s="1400"/>
      <c r="L1909" s="703"/>
      <c r="M1909" s="708"/>
      <c r="N1909" s="166"/>
      <c r="P1909" s="166"/>
    </row>
    <row r="1910" spans="1:16" s="1311" customFormat="1" ht="13.2" customHeight="1">
      <c r="A1910" s="1483"/>
      <c r="B1910" s="1312" t="s">
        <v>7199</v>
      </c>
      <c r="C1910" s="1099">
        <v>55544396</v>
      </c>
      <c r="D1910" s="1145"/>
      <c r="E1910" s="917"/>
      <c r="F1910" s="1313"/>
      <c r="G1910" s="1762" t="s">
        <v>7200</v>
      </c>
      <c r="H1910" s="1173"/>
      <c r="I1910" s="1122"/>
      <c r="J1910" s="1486"/>
      <c r="K1910" s="1400"/>
      <c r="L1910" s="703"/>
      <c r="M1910" s="708"/>
      <c r="N1910" s="166"/>
      <c r="P1910" s="166"/>
    </row>
    <row r="1911" spans="1:16" s="1311" customFormat="1" ht="13.2" customHeight="1">
      <c r="A1911" s="1483"/>
      <c r="B1911" s="1312" t="s">
        <v>7198</v>
      </c>
      <c r="C1911" s="1099">
        <v>63274641</v>
      </c>
      <c r="D1911" s="1145"/>
      <c r="E1911" s="917"/>
      <c r="F1911" s="1313"/>
      <c r="G1911" s="1762" t="s">
        <v>4877</v>
      </c>
      <c r="H1911" s="1173"/>
      <c r="I1911" s="1122"/>
      <c r="J1911" s="1486"/>
      <c r="K1911" s="1400"/>
      <c r="L1911" s="703"/>
      <c r="M1911" s="708"/>
      <c r="N1911" s="166"/>
      <c r="P1911" s="166"/>
    </row>
    <row r="1912" spans="1:16" s="1311" customFormat="1" ht="13.2" customHeight="1">
      <c r="A1912" s="1483"/>
      <c r="B1912" s="1312" t="s">
        <v>7166</v>
      </c>
      <c r="C1912" s="1099">
        <v>73594418</v>
      </c>
      <c r="D1912" s="1145"/>
      <c r="E1912" s="917"/>
      <c r="F1912" s="1313"/>
      <c r="G1912" s="1762" t="s">
        <v>7197</v>
      </c>
      <c r="H1912" s="1173"/>
      <c r="I1912" s="1122"/>
      <c r="J1912" s="1486"/>
      <c r="K1912" s="1400"/>
      <c r="L1912" s="703"/>
      <c r="M1912" s="708"/>
      <c r="N1912" s="166"/>
      <c r="P1912" s="166"/>
    </row>
    <row r="1913" spans="1:16" s="1311" customFormat="1" ht="13.2" customHeight="1">
      <c r="A1913" s="1483"/>
      <c r="B1913" s="1312" t="s">
        <v>7195</v>
      </c>
      <c r="C1913" s="1099">
        <v>55048518</v>
      </c>
      <c r="D1913" s="1145"/>
      <c r="E1913" s="917"/>
      <c r="F1913" s="1313"/>
      <c r="G1913" s="1762" t="s">
        <v>7196</v>
      </c>
      <c r="H1913" s="1173"/>
      <c r="I1913" s="1122"/>
      <c r="J1913" s="1486"/>
      <c r="K1913" s="1400"/>
      <c r="L1913" s="703"/>
      <c r="M1913" s="708"/>
      <c r="N1913" s="166"/>
      <c r="P1913" s="166"/>
    </row>
    <row r="1914" spans="1:16" s="1311" customFormat="1" ht="13.2" customHeight="1">
      <c r="A1914" s="1483"/>
      <c r="B1914" s="1312" t="s">
        <v>7194</v>
      </c>
      <c r="C1914" s="1099">
        <v>74269562</v>
      </c>
      <c r="D1914" s="1145"/>
      <c r="E1914" s="917"/>
      <c r="F1914" s="1313"/>
      <c r="G1914" s="1762" t="s">
        <v>7190</v>
      </c>
      <c r="H1914" s="1173"/>
      <c r="I1914" s="1122"/>
      <c r="J1914" s="1486"/>
      <c r="K1914" s="1400"/>
      <c r="L1914" s="703"/>
      <c r="M1914" s="708"/>
      <c r="N1914" s="166"/>
      <c r="P1914" s="166"/>
    </row>
    <row r="1915" spans="1:16" s="1311" customFormat="1" ht="13.2" customHeight="1">
      <c r="A1915" s="1483"/>
      <c r="B1915" s="1312" t="s">
        <v>7191</v>
      </c>
      <c r="C1915" s="1099">
        <v>12345678</v>
      </c>
      <c r="D1915" s="1145"/>
      <c r="E1915" s="917"/>
      <c r="F1915" s="1313"/>
      <c r="G1915" s="1762" t="s">
        <v>7192</v>
      </c>
      <c r="H1915" s="1173"/>
      <c r="I1915" s="1122"/>
      <c r="J1915" s="1486"/>
      <c r="K1915" s="1400"/>
      <c r="L1915" s="703"/>
      <c r="M1915" s="708"/>
      <c r="N1915" s="166"/>
      <c r="P1915" s="166"/>
    </row>
    <row r="1916" spans="1:16" s="1311" customFormat="1" ht="13.2" customHeight="1">
      <c r="A1916" s="1483"/>
      <c r="B1916" s="1312" t="s">
        <v>7189</v>
      </c>
      <c r="C1916" s="1099">
        <v>57262831</v>
      </c>
      <c r="D1916" s="1145"/>
      <c r="E1916" s="917"/>
      <c r="F1916" s="1313"/>
      <c r="G1916" s="1762" t="s">
        <v>7190</v>
      </c>
      <c r="H1916" s="1173"/>
      <c r="I1916" s="1122"/>
      <c r="J1916" s="1486"/>
      <c r="K1916" s="1400"/>
      <c r="L1916" s="703"/>
      <c r="M1916" s="708"/>
      <c r="N1916" s="166"/>
      <c r="P1916" s="166"/>
    </row>
    <row r="1917" spans="1:16" s="1311" customFormat="1" ht="13.2" customHeight="1">
      <c r="A1917" s="1483"/>
      <c r="B1917" s="1312" t="s">
        <v>7165</v>
      </c>
      <c r="C1917" s="1099">
        <v>57153494</v>
      </c>
      <c r="D1917" s="1145"/>
      <c r="E1917" s="917"/>
      <c r="F1917" s="1313"/>
      <c r="G1917" s="1762" t="s">
        <v>6685</v>
      </c>
      <c r="H1917" s="1173"/>
      <c r="I1917" s="1122"/>
      <c r="J1917" s="1486"/>
      <c r="K1917" s="1400"/>
      <c r="L1917" s="703"/>
      <c r="M1917" s="708"/>
      <c r="N1917" s="166"/>
      <c r="P1917" s="166"/>
    </row>
    <row r="1918" spans="1:16" s="1311" customFormat="1" ht="13.2" customHeight="1">
      <c r="A1918" s="1483"/>
      <c r="B1918" s="1312" t="s">
        <v>7184</v>
      </c>
      <c r="C1918" s="1099">
        <v>11223344</v>
      </c>
      <c r="D1918" s="1145"/>
      <c r="E1918" s="917"/>
      <c r="F1918" s="1313"/>
      <c r="G1918" s="1762" t="s">
        <v>7185</v>
      </c>
      <c r="H1918" s="1173"/>
      <c r="I1918" s="1122"/>
      <c r="J1918" s="1486"/>
      <c r="K1918" s="1400"/>
      <c r="L1918" s="703"/>
      <c r="M1918" s="708"/>
      <c r="N1918" s="166"/>
      <c r="P1918" s="166"/>
    </row>
    <row r="1919" spans="1:16" s="1311" customFormat="1" ht="13.2" customHeight="1">
      <c r="A1919" s="1483"/>
      <c r="B1919" s="1312" t="s">
        <v>7179</v>
      </c>
      <c r="C1919" s="1099">
        <v>85262761</v>
      </c>
      <c r="D1919" s="1145"/>
      <c r="E1919" s="917"/>
      <c r="F1919" s="1313"/>
      <c r="G1919" s="1762" t="s">
        <v>7180</v>
      </c>
      <c r="H1919" s="1173"/>
      <c r="I1919" s="1122"/>
      <c r="J1919" s="1486"/>
      <c r="K1919" s="1400"/>
      <c r="L1919" s="703"/>
      <c r="M1919" s="708"/>
      <c r="N1919" s="166"/>
      <c r="P1919" s="166"/>
    </row>
    <row r="1920" spans="1:16" s="1311" customFormat="1" ht="13.2" customHeight="1">
      <c r="A1920" s="1483"/>
      <c r="B1920" s="1312" t="s">
        <v>7178</v>
      </c>
      <c r="C1920" s="1099">
        <v>46608248</v>
      </c>
      <c r="D1920" s="1145"/>
      <c r="E1920" s="917"/>
      <c r="F1920" s="1313"/>
      <c r="G1920" s="1762" t="s">
        <v>4877</v>
      </c>
      <c r="H1920" s="1173"/>
      <c r="I1920" s="1122"/>
      <c r="J1920" s="1486"/>
      <c r="K1920" s="1400"/>
      <c r="L1920" s="703"/>
      <c r="M1920" s="708"/>
      <c r="N1920" s="166"/>
      <c r="P1920" s="166"/>
    </row>
    <row r="1921" spans="1:16" s="1311" customFormat="1" ht="13.2" customHeight="1">
      <c r="A1921" s="1483"/>
      <c r="B1921" s="1312" t="s">
        <v>7175</v>
      </c>
      <c r="C1921" s="1099">
        <v>15339126</v>
      </c>
      <c r="D1921" s="1145"/>
      <c r="E1921" s="917"/>
      <c r="F1921" s="1313"/>
      <c r="G1921" s="1762" t="s">
        <v>7176</v>
      </c>
      <c r="H1921" s="1764" t="s">
        <v>7177</v>
      </c>
      <c r="I1921" s="1122"/>
      <c r="J1921" s="1486"/>
      <c r="K1921" s="1400"/>
      <c r="L1921" s="703"/>
      <c r="M1921" s="708"/>
      <c r="N1921" s="166"/>
      <c r="P1921" s="166"/>
    </row>
    <row r="1922" spans="1:16" s="1311" customFormat="1" ht="13.2" customHeight="1">
      <c r="A1922" s="1483"/>
      <c r="B1922" s="1312" t="s">
        <v>7173</v>
      </c>
      <c r="C1922" s="1099">
        <v>19691969</v>
      </c>
      <c r="D1922" s="1145"/>
      <c r="E1922" s="917"/>
      <c r="F1922" s="1313"/>
      <c r="G1922" s="1762" t="s">
        <v>7174</v>
      </c>
      <c r="H1922" s="1173"/>
      <c r="I1922" s="1122"/>
      <c r="J1922" s="1486"/>
      <c r="K1922" s="1400"/>
      <c r="L1922" s="703"/>
      <c r="M1922" s="708"/>
      <c r="N1922" s="166"/>
      <c r="P1922" s="166"/>
    </row>
    <row r="1923" spans="1:16" s="1311" customFormat="1" ht="13.2" customHeight="1">
      <c r="A1923" s="1483"/>
      <c r="B1923" s="1312" t="s">
        <v>7170</v>
      </c>
      <c r="C1923" s="1099">
        <v>61665417</v>
      </c>
      <c r="D1923" s="1145"/>
      <c r="E1923" s="917"/>
      <c r="F1923" s="1313"/>
      <c r="G1923" s="1762" t="s">
        <v>7171</v>
      </c>
      <c r="H1923" s="1173"/>
      <c r="I1923" s="1122"/>
      <c r="J1923" s="1486"/>
      <c r="K1923" s="1400"/>
      <c r="L1923" s="703"/>
      <c r="M1923" s="708"/>
      <c r="N1923" s="166"/>
      <c r="P1923" s="166"/>
    </row>
    <row r="1924" spans="1:16" s="1311" customFormat="1" ht="13.2" customHeight="1">
      <c r="A1924" s="1483"/>
      <c r="B1924" s="1312" t="s">
        <v>7169</v>
      </c>
      <c r="C1924" s="1099">
        <v>19257741</v>
      </c>
      <c r="D1924" s="1145"/>
      <c r="E1924" s="917"/>
      <c r="F1924" s="1313"/>
      <c r="G1924" s="1762" t="s">
        <v>7172</v>
      </c>
      <c r="H1924" s="1173"/>
      <c r="I1924" s="1122"/>
      <c r="J1924" s="1486"/>
      <c r="K1924" s="1400"/>
      <c r="L1924" s="703"/>
      <c r="M1924" s="708"/>
      <c r="N1924" s="166"/>
      <c r="P1924" s="166"/>
    </row>
    <row r="1925" spans="1:16" s="1311" customFormat="1" ht="13.2" customHeight="1">
      <c r="A1925" s="1483"/>
      <c r="B1925" s="1312" t="s">
        <v>7166</v>
      </c>
      <c r="C1925" s="1099">
        <v>73594418</v>
      </c>
      <c r="D1925" s="1145"/>
      <c r="E1925" s="917"/>
      <c r="F1925" s="1313"/>
      <c r="G1925" s="1762" t="s">
        <v>7167</v>
      </c>
      <c r="H1925" s="1173"/>
      <c r="I1925" s="1122"/>
      <c r="J1925" s="1486"/>
      <c r="K1925" s="1400"/>
      <c r="L1925" s="703"/>
      <c r="M1925" s="708"/>
      <c r="N1925" s="166"/>
      <c r="P1925" s="166"/>
    </row>
    <row r="1926" spans="1:16" s="1311" customFormat="1" ht="13.2" customHeight="1">
      <c r="A1926" s="1483"/>
      <c r="B1926" s="1312" t="s">
        <v>6979</v>
      </c>
      <c r="C1926" s="1099">
        <v>24503155</v>
      </c>
      <c r="D1926" s="1145"/>
      <c r="E1926" s="917"/>
      <c r="F1926" s="1313"/>
      <c r="G1926" s="1762" t="s">
        <v>4877</v>
      </c>
      <c r="H1926" s="1173"/>
      <c r="I1926" s="1122"/>
      <c r="J1926" s="1486"/>
      <c r="K1926" s="1400"/>
      <c r="L1926" s="703"/>
      <c r="M1926" s="708"/>
      <c r="N1926" s="166"/>
      <c r="P1926" s="166"/>
    </row>
    <row r="1927" spans="1:16" s="1311" customFormat="1" ht="13.2" customHeight="1">
      <c r="A1927" s="1483"/>
      <c r="B1927" s="1312" t="s">
        <v>7163</v>
      </c>
      <c r="C1927" s="1099">
        <v>12345678</v>
      </c>
      <c r="D1927" s="1145"/>
      <c r="E1927" s="917"/>
      <c r="F1927" s="1313"/>
      <c r="G1927" s="1762" t="s">
        <v>7164</v>
      </c>
      <c r="H1927" s="1173"/>
      <c r="I1927" s="1122"/>
      <c r="J1927" s="1486"/>
      <c r="K1927" s="1400"/>
      <c r="L1927" s="703"/>
      <c r="M1927" s="708"/>
      <c r="N1927" s="166"/>
      <c r="P1927" s="166"/>
    </row>
    <row r="1928" spans="1:16" s="1311" customFormat="1" ht="13.2" customHeight="1">
      <c r="A1928" s="1483"/>
      <c r="B1928" s="709" t="s">
        <v>7161</v>
      </c>
      <c r="C1928" s="1082">
        <v>66502058</v>
      </c>
      <c r="D1928" s="1141"/>
      <c r="E1928" s="915"/>
      <c r="F1928" s="1310"/>
      <c r="G1928" s="1750" t="s">
        <v>7162</v>
      </c>
      <c r="H1928" s="1160"/>
      <c r="I1928" s="1122"/>
      <c r="J1928" s="1486"/>
      <c r="K1928" s="1400"/>
      <c r="L1928" s="703"/>
      <c r="M1928" s="708"/>
      <c r="N1928" s="166"/>
      <c r="P1928" s="166"/>
    </row>
    <row r="1929" spans="1:16" s="1311" customFormat="1" ht="13.2" customHeight="1">
      <c r="A1929" s="1483"/>
      <c r="B1929" s="1312" t="s">
        <v>7159</v>
      </c>
      <c r="C1929" s="1099">
        <v>96787177</v>
      </c>
      <c r="D1929" s="1145"/>
      <c r="E1929" s="917"/>
      <c r="F1929" s="1313"/>
      <c r="G1929" s="1752" t="s">
        <v>7160</v>
      </c>
      <c r="H1929" s="1764" t="s">
        <v>7168</v>
      </c>
      <c r="I1929" s="1122"/>
      <c r="J1929" s="1486"/>
      <c r="K1929" s="1400"/>
      <c r="L1929" s="703"/>
      <c r="M1929" s="708"/>
      <c r="N1929" s="166"/>
      <c r="P1929" s="166"/>
    </row>
    <row r="1930" spans="1:16" s="1311" customFormat="1" ht="13.2" customHeight="1">
      <c r="A1930" s="1483"/>
      <c r="B1930" s="1312" t="s">
        <v>7157</v>
      </c>
      <c r="C1930" s="1099">
        <v>61573543</v>
      </c>
      <c r="D1930" s="1145"/>
      <c r="E1930" s="917"/>
      <c r="F1930" s="1313"/>
      <c r="G1930" s="1752" t="s">
        <v>7158</v>
      </c>
      <c r="H1930" s="1173"/>
      <c r="I1930" s="1122"/>
      <c r="J1930" s="1486"/>
      <c r="K1930" s="1400"/>
      <c r="L1930" s="703"/>
      <c r="M1930" s="708"/>
      <c r="N1930" s="166"/>
      <c r="P1930" s="166"/>
    </row>
    <row r="1931" spans="1:16" s="1311" customFormat="1" ht="13.2" customHeight="1">
      <c r="A1931" s="1483"/>
      <c r="B1931" s="1312" t="s">
        <v>7155</v>
      </c>
      <c r="C1931" s="1099">
        <v>81451359</v>
      </c>
      <c r="D1931" s="1145"/>
      <c r="E1931" s="917"/>
      <c r="F1931" s="1313"/>
      <c r="G1931" s="1752" t="s">
        <v>7156</v>
      </c>
      <c r="H1931" s="1173"/>
      <c r="I1931" s="1122"/>
      <c r="J1931" s="1486"/>
      <c r="K1931" s="1400"/>
      <c r="L1931" s="703"/>
      <c r="M1931" s="708"/>
      <c r="N1931" s="166"/>
      <c r="P1931" s="166"/>
    </row>
    <row r="1932" spans="1:16" s="1311" customFormat="1" ht="13.2" customHeight="1">
      <c r="A1932" s="1483"/>
      <c r="B1932" s="1312" t="s">
        <v>7154</v>
      </c>
      <c r="C1932" s="1099">
        <v>21498475</v>
      </c>
      <c r="D1932" s="1145"/>
      <c r="E1932" s="917"/>
      <c r="F1932" s="1313"/>
      <c r="G1932" s="1752" t="s">
        <v>5171</v>
      </c>
      <c r="H1932" s="1173"/>
      <c r="I1932" s="1122"/>
      <c r="J1932" s="1486"/>
      <c r="K1932" s="1400"/>
      <c r="L1932" s="703"/>
      <c r="M1932" s="708"/>
      <c r="N1932" s="166"/>
      <c r="P1932" s="166"/>
    </row>
    <row r="1933" spans="1:16" s="1311" customFormat="1" ht="13.2" customHeight="1">
      <c r="A1933" s="1483"/>
      <c r="B1933" s="1312" t="s">
        <v>7152</v>
      </c>
      <c r="C1933" s="1758" t="s">
        <v>7153</v>
      </c>
      <c r="D1933" s="1145"/>
      <c r="E1933" s="917"/>
      <c r="F1933" s="1313"/>
      <c r="G1933" s="1752" t="s">
        <v>7149</v>
      </c>
      <c r="H1933" s="1173"/>
      <c r="I1933" s="1122"/>
      <c r="J1933" s="1486"/>
      <c r="K1933" s="1400"/>
      <c r="L1933" s="703"/>
      <c r="M1933" s="708"/>
      <c r="N1933" s="166"/>
      <c r="P1933" s="166"/>
    </row>
    <row r="1934" spans="1:16" s="1311" customFormat="1" ht="13.2" customHeight="1">
      <c r="A1934" s="1483"/>
      <c r="B1934" s="1312" t="s">
        <v>7151</v>
      </c>
      <c r="C1934" s="1099">
        <v>1112008</v>
      </c>
      <c r="D1934" s="1145"/>
      <c r="E1934" s="917"/>
      <c r="F1934" s="1313"/>
      <c r="G1934" s="1752" t="s">
        <v>7149</v>
      </c>
      <c r="H1934" s="1173"/>
      <c r="I1934" s="1122"/>
      <c r="J1934" s="1486"/>
      <c r="K1934" s="1400"/>
      <c r="L1934" s="703"/>
      <c r="M1934" s="708"/>
      <c r="N1934" s="166"/>
      <c r="P1934" s="166"/>
    </row>
    <row r="1935" spans="1:16" s="1311" customFormat="1" ht="13.2" customHeight="1">
      <c r="A1935" s="1483"/>
      <c r="B1935" s="1312" t="s">
        <v>7150</v>
      </c>
      <c r="C1935" s="1099">
        <v>11394452</v>
      </c>
      <c r="D1935" s="1145"/>
      <c r="E1935" s="917"/>
      <c r="F1935" s="1313"/>
      <c r="G1935" s="1752" t="s">
        <v>7149</v>
      </c>
      <c r="H1935" s="1173"/>
      <c r="I1935" s="1122"/>
      <c r="J1935" s="1486"/>
      <c r="K1935" s="1400"/>
      <c r="L1935" s="703"/>
      <c r="M1935" s="708"/>
      <c r="N1935" s="166"/>
      <c r="P1935" s="166"/>
    </row>
    <row r="1936" spans="1:16" s="1311" customFormat="1" ht="13.2" customHeight="1">
      <c r="A1936" s="1483"/>
      <c r="B1936" s="1312" t="s">
        <v>7148</v>
      </c>
      <c r="C1936" s="1099">
        <v>86077290</v>
      </c>
      <c r="D1936" s="1145"/>
      <c r="E1936" s="917"/>
      <c r="F1936" s="1313"/>
      <c r="G1936" s="1752" t="s">
        <v>7149</v>
      </c>
      <c r="H1936" s="1173"/>
      <c r="I1936" s="1122"/>
      <c r="J1936" s="1486"/>
      <c r="K1936" s="1400"/>
      <c r="L1936" s="703"/>
      <c r="M1936" s="708"/>
      <c r="N1936" s="166"/>
      <c r="P1936" s="166"/>
    </row>
    <row r="1937" spans="1:16" s="1311" customFormat="1" ht="13.2" customHeight="1">
      <c r="A1937" s="1483"/>
      <c r="B1937" s="1312" t="s">
        <v>7146</v>
      </c>
      <c r="C1937" s="1099">
        <v>52850382</v>
      </c>
      <c r="D1937" s="1145"/>
      <c r="E1937" s="917"/>
      <c r="F1937" s="1313"/>
      <c r="G1937" s="1752" t="s">
        <v>7147</v>
      </c>
      <c r="H1937" s="1173"/>
      <c r="I1937" s="1122"/>
      <c r="J1937" s="1486"/>
      <c r="K1937" s="1400"/>
      <c r="L1937" s="703"/>
      <c r="M1937" s="708"/>
      <c r="N1937" s="166"/>
      <c r="P1937" s="166"/>
    </row>
    <row r="1938" spans="1:16" s="1311" customFormat="1" ht="13.2" customHeight="1">
      <c r="A1938" s="1483"/>
      <c r="B1938" s="1312" t="s">
        <v>7145</v>
      </c>
      <c r="C1938" s="1099">
        <v>66812836</v>
      </c>
      <c r="D1938" s="1145"/>
      <c r="E1938" s="917"/>
      <c r="F1938" s="1313"/>
      <c r="G1938" s="1752" t="s">
        <v>5542</v>
      </c>
      <c r="H1938" s="1173"/>
      <c r="I1938" s="1122"/>
      <c r="J1938" s="1486"/>
      <c r="K1938" s="1400"/>
      <c r="L1938" s="703"/>
      <c r="M1938" s="708"/>
      <c r="N1938" s="166"/>
      <c r="P1938" s="166"/>
    </row>
    <row r="1939" spans="1:16" s="1311" customFormat="1" ht="13.2" customHeight="1">
      <c r="A1939" s="1483"/>
      <c r="B1939" s="1312" t="s">
        <v>7141</v>
      </c>
      <c r="C1939" s="1099">
        <v>56520558</v>
      </c>
      <c r="D1939" s="1145"/>
      <c r="E1939" s="917"/>
      <c r="F1939" s="1313"/>
      <c r="G1939" s="1752" t="s">
        <v>7142</v>
      </c>
      <c r="H1939" s="1173"/>
      <c r="I1939" s="1122"/>
      <c r="J1939" s="1486"/>
      <c r="K1939" s="1400"/>
      <c r="L1939" s="703"/>
      <c r="M1939" s="708"/>
      <c r="N1939" s="166"/>
      <c r="P1939" s="166"/>
    </row>
    <row r="1940" spans="1:16" s="1311" customFormat="1" ht="13.2" customHeight="1">
      <c r="A1940" s="1483"/>
      <c r="B1940" s="1312" t="s">
        <v>7139</v>
      </c>
      <c r="C1940" s="1099">
        <v>63581891</v>
      </c>
      <c r="D1940" s="1145"/>
      <c r="E1940" s="917"/>
      <c r="F1940" s="1313"/>
      <c r="G1940" s="1752" t="s">
        <v>7140</v>
      </c>
      <c r="H1940" s="1173"/>
      <c r="I1940" s="1122"/>
      <c r="J1940" s="1486"/>
      <c r="K1940" s="1400"/>
      <c r="L1940" s="703"/>
      <c r="M1940" s="708"/>
      <c r="N1940" s="166"/>
      <c r="P1940" s="166"/>
    </row>
    <row r="1941" spans="1:16" s="1311" customFormat="1" ht="13.2" customHeight="1">
      <c r="A1941" s="1483"/>
      <c r="B1941" s="1312" t="s">
        <v>7138</v>
      </c>
      <c r="C1941" s="1099">
        <v>69475826</v>
      </c>
      <c r="D1941" s="1145"/>
      <c r="E1941" s="917"/>
      <c r="F1941" s="1313"/>
      <c r="G1941" s="1752" t="s">
        <v>1003</v>
      </c>
      <c r="H1941" s="1756" t="s">
        <v>5244</v>
      </c>
      <c r="I1941" s="1122"/>
      <c r="J1941" s="1486"/>
      <c r="K1941" s="1400"/>
      <c r="L1941" s="703"/>
      <c r="M1941" s="708"/>
      <c r="N1941" s="166"/>
      <c r="P1941" s="166"/>
    </row>
    <row r="1942" spans="1:16" s="1311" customFormat="1" ht="13.2" customHeight="1">
      <c r="A1942" s="1483"/>
      <c r="B1942" s="1312" t="s">
        <v>7136</v>
      </c>
      <c r="C1942" s="1099">
        <v>97358651</v>
      </c>
      <c r="D1942" s="1145"/>
      <c r="E1942" s="917"/>
      <c r="F1942" s="1313"/>
      <c r="G1942" s="1752" t="s">
        <v>7137</v>
      </c>
      <c r="H1942" s="1173"/>
      <c r="I1942" s="1122"/>
      <c r="J1942" s="1486"/>
      <c r="K1942" s="1400"/>
      <c r="L1942" s="703"/>
      <c r="M1942" s="708"/>
      <c r="N1942" s="166"/>
      <c r="P1942" s="166"/>
    </row>
    <row r="1943" spans="1:16" s="1311" customFormat="1" ht="13.2" customHeight="1">
      <c r="A1943" s="1483"/>
      <c r="B1943" s="1312" t="s">
        <v>7134</v>
      </c>
      <c r="C1943" s="1099">
        <v>65055813</v>
      </c>
      <c r="D1943" s="1145"/>
      <c r="E1943" s="917"/>
      <c r="F1943" s="1313"/>
      <c r="G1943" s="1752" t="s">
        <v>7135</v>
      </c>
      <c r="H1943" s="1173"/>
      <c r="I1943" s="1122"/>
      <c r="J1943" s="1486"/>
      <c r="K1943" s="1400"/>
      <c r="L1943" s="703"/>
      <c r="M1943" s="708"/>
      <c r="N1943" s="166"/>
      <c r="P1943" s="166"/>
    </row>
    <row r="1944" spans="1:16" s="1311" customFormat="1" ht="13.2" customHeight="1">
      <c r="A1944" s="1483"/>
      <c r="B1944" s="1312" t="s">
        <v>7129</v>
      </c>
      <c r="C1944" s="1099">
        <v>72957766</v>
      </c>
      <c r="D1944" s="1145"/>
      <c r="E1944" s="917"/>
      <c r="F1944" s="1313"/>
      <c r="G1944" s="1752" t="s">
        <v>7130</v>
      </c>
      <c r="H1944" s="1173"/>
      <c r="I1944" s="1122"/>
      <c r="J1944" s="1486"/>
      <c r="K1944" s="1400"/>
      <c r="L1944" s="703"/>
      <c r="M1944" s="708"/>
      <c r="N1944" s="166"/>
      <c r="P1944" s="166"/>
    </row>
    <row r="1945" spans="1:16" s="1311" customFormat="1" ht="13.2" customHeight="1">
      <c r="A1945" s="1483"/>
      <c r="B1945" s="1312" t="s">
        <v>7127</v>
      </c>
      <c r="C1945" s="1099">
        <v>78214926</v>
      </c>
      <c r="D1945" s="1145"/>
      <c r="E1945" s="917"/>
      <c r="F1945" s="1313"/>
      <c r="G1945" s="1752" t="s">
        <v>7128</v>
      </c>
      <c r="H1945" s="1173"/>
      <c r="I1945" s="1122"/>
      <c r="J1945" s="1486"/>
      <c r="K1945" s="1400"/>
      <c r="L1945" s="703"/>
      <c r="M1945" s="708"/>
      <c r="N1945" s="166"/>
      <c r="P1945" s="166"/>
    </row>
    <row r="1946" spans="1:16" s="1311" customFormat="1" ht="13.2" customHeight="1">
      <c r="A1946" s="1483"/>
      <c r="B1946" s="1312" t="s">
        <v>7125</v>
      </c>
      <c r="C1946" s="1099">
        <v>12345678</v>
      </c>
      <c r="D1946" s="1145"/>
      <c r="E1946" s="917"/>
      <c r="F1946" s="1313"/>
      <c r="G1946" s="1752" t="s">
        <v>7126</v>
      </c>
      <c r="H1946" s="1173"/>
      <c r="I1946" s="1122"/>
      <c r="J1946" s="1486"/>
      <c r="K1946" s="1400"/>
      <c r="L1946" s="703"/>
      <c r="M1946" s="708"/>
      <c r="N1946" s="166"/>
      <c r="P1946" s="166"/>
    </row>
    <row r="1947" spans="1:16" s="1311" customFormat="1" ht="13.2" customHeight="1">
      <c r="A1947" s="1483"/>
      <c r="B1947" s="1312" t="s">
        <v>7123</v>
      </c>
      <c r="C1947" s="1099">
        <v>57625953</v>
      </c>
      <c r="D1947" s="1145"/>
      <c r="E1947" s="917"/>
      <c r="F1947" s="1313"/>
      <c r="G1947" s="1752" t="s">
        <v>7124</v>
      </c>
      <c r="H1947" s="1173"/>
      <c r="I1947" s="1122"/>
      <c r="J1947" s="1486"/>
      <c r="K1947" s="1400"/>
      <c r="L1947" s="703"/>
      <c r="M1947" s="708"/>
      <c r="N1947" s="166"/>
      <c r="P1947" s="166"/>
    </row>
    <row r="1948" spans="1:16" s="1311" customFormat="1" ht="13.2" customHeight="1">
      <c r="A1948" s="1483"/>
      <c r="B1948" s="1312" t="s">
        <v>7121</v>
      </c>
      <c r="C1948" s="1099">
        <v>36818122</v>
      </c>
      <c r="D1948" s="1145"/>
      <c r="E1948" s="917"/>
      <c r="F1948" s="1313"/>
      <c r="G1948" s="1752" t="s">
        <v>7122</v>
      </c>
      <c r="H1948" s="1173"/>
      <c r="I1948" s="1122"/>
      <c r="J1948" s="1486"/>
      <c r="K1948" s="1400"/>
      <c r="L1948" s="703"/>
      <c r="M1948" s="708"/>
      <c r="N1948" s="166"/>
      <c r="P1948" s="166"/>
    </row>
    <row r="1949" spans="1:16" s="1311" customFormat="1" ht="13.2" customHeight="1">
      <c r="A1949" s="1483"/>
      <c r="B1949" s="1312" t="s">
        <v>7015</v>
      </c>
      <c r="C1949" s="1099">
        <v>34178893</v>
      </c>
      <c r="D1949" s="1145"/>
      <c r="E1949" s="917"/>
      <c r="F1949" s="1313"/>
      <c r="G1949" s="1749" t="s">
        <v>7103</v>
      </c>
      <c r="H1949" s="1756" t="s">
        <v>7120</v>
      </c>
      <c r="I1949" s="1122"/>
      <c r="J1949" s="1486"/>
      <c r="K1949" s="1400"/>
      <c r="L1949" s="703"/>
      <c r="M1949" s="708"/>
      <c r="N1949" s="166"/>
      <c r="P1949" s="166"/>
    </row>
    <row r="1950" spans="1:16" s="1311" customFormat="1" ht="13.2" customHeight="1">
      <c r="A1950" s="1483"/>
      <c r="B1950" s="1312" t="s">
        <v>7048</v>
      </c>
      <c r="C1950" s="1099">
        <v>12929913</v>
      </c>
      <c r="D1950" s="1145"/>
      <c r="E1950" s="917"/>
      <c r="F1950" s="1313"/>
      <c r="G1950" s="1736" t="s">
        <v>7049</v>
      </c>
      <c r="H1950" s="1173"/>
      <c r="I1950" s="1122"/>
      <c r="J1950" s="1486"/>
      <c r="K1950" s="1400"/>
      <c r="L1950" s="703"/>
      <c r="M1950" s="708"/>
      <c r="N1950" s="166"/>
      <c r="P1950" s="166"/>
    </row>
    <row r="1951" spans="1:16" s="1311" customFormat="1" ht="13.2" customHeight="1">
      <c r="A1951" s="1483"/>
      <c r="B1951" s="1312" t="s">
        <v>7102</v>
      </c>
      <c r="C1951" s="1099">
        <v>33494054</v>
      </c>
      <c r="D1951" s="1145"/>
      <c r="E1951" s="917"/>
      <c r="F1951" s="1313"/>
      <c r="G1951" s="1749" t="s">
        <v>7103</v>
      </c>
      <c r="H1951" s="1756" t="s">
        <v>7115</v>
      </c>
      <c r="I1951" s="1122"/>
      <c r="J1951" s="1486"/>
      <c r="K1951" s="1400"/>
      <c r="L1951" s="703"/>
      <c r="M1951" s="708"/>
      <c r="N1951" s="166"/>
      <c r="P1951" s="166"/>
    </row>
    <row r="1952" spans="1:16" s="1311" customFormat="1" ht="13.2" customHeight="1">
      <c r="A1952" s="1483"/>
      <c r="B1952" s="1312" t="s">
        <v>7113</v>
      </c>
      <c r="C1952" s="1752">
        <v>84280096</v>
      </c>
      <c r="D1952" s="1145"/>
      <c r="E1952" s="917"/>
      <c r="F1952" s="1313"/>
      <c r="G1952" s="1752" t="s">
        <v>7114</v>
      </c>
      <c r="H1952" s="1173"/>
      <c r="I1952" s="1122"/>
      <c r="J1952" s="1486"/>
      <c r="K1952" s="1400"/>
      <c r="L1952" s="703"/>
      <c r="M1952" s="708"/>
      <c r="N1952" s="166"/>
      <c r="P1952" s="166"/>
    </row>
    <row r="1953" spans="1:16" s="1311" customFormat="1" ht="13.2" customHeight="1">
      <c r="A1953" s="1483"/>
      <c r="B1953" s="1312" t="s">
        <v>7111</v>
      </c>
      <c r="C1953" s="1099">
        <v>21007990</v>
      </c>
      <c r="D1953" s="1145"/>
      <c r="E1953" s="917"/>
      <c r="F1953" s="1313"/>
      <c r="G1953" s="1752" t="s">
        <v>7112</v>
      </c>
      <c r="H1953" s="1173"/>
      <c r="I1953" s="1122"/>
      <c r="J1953" s="1486"/>
      <c r="K1953" s="1400"/>
      <c r="L1953" s="703"/>
      <c r="M1953" s="708"/>
      <c r="N1953" s="166"/>
      <c r="P1953" s="166"/>
    </row>
    <row r="1954" spans="1:16" s="1311" customFormat="1" ht="13.2" customHeight="1">
      <c r="A1954" s="1483"/>
      <c r="B1954" s="1312" t="s">
        <v>7107</v>
      </c>
      <c r="C1954" s="1099">
        <v>55119188</v>
      </c>
      <c r="D1954" s="1145"/>
      <c r="E1954" s="917"/>
      <c r="F1954" s="1313"/>
      <c r="G1954" s="1749" t="s">
        <v>7108</v>
      </c>
      <c r="H1954" s="1173"/>
      <c r="I1954" s="1122"/>
      <c r="J1954" s="1486"/>
      <c r="K1954" s="1400"/>
      <c r="L1954" s="703"/>
      <c r="M1954" s="708"/>
      <c r="N1954" s="166"/>
      <c r="P1954" s="166"/>
    </row>
    <row r="1955" spans="1:16" s="1311" customFormat="1" ht="13.2" customHeight="1">
      <c r="A1955" s="1483"/>
      <c r="B1955" s="1312" t="s">
        <v>7046</v>
      </c>
      <c r="C1955" s="1099">
        <v>32821215</v>
      </c>
      <c r="D1955" s="1145"/>
      <c r="E1955" s="917"/>
      <c r="F1955" s="1313"/>
      <c r="G1955" s="1736" t="s">
        <v>5153</v>
      </c>
      <c r="H1955" s="1173"/>
      <c r="I1955" s="1122"/>
      <c r="J1955" s="1486"/>
      <c r="K1955" s="1400"/>
      <c r="L1955" s="703"/>
      <c r="M1955" s="708"/>
      <c r="N1955" s="166"/>
      <c r="P1955" s="166"/>
    </row>
    <row r="1956" spans="1:16" s="1311" customFormat="1" ht="13.2" customHeight="1">
      <c r="A1956" s="1483"/>
      <c r="B1956" s="1312" t="s">
        <v>7106</v>
      </c>
      <c r="C1956" s="1099">
        <v>61355897</v>
      </c>
      <c r="D1956" s="1145"/>
      <c r="E1956" s="917"/>
      <c r="F1956" s="1313"/>
      <c r="G1956" s="1749" t="s">
        <v>3659</v>
      </c>
      <c r="H1956" s="1173"/>
      <c r="I1956" s="1122"/>
      <c r="J1956" s="1486"/>
      <c r="K1956" s="1400"/>
      <c r="L1956" s="703"/>
      <c r="M1956" s="708"/>
      <c r="N1956" s="166"/>
      <c r="P1956" s="166"/>
    </row>
    <row r="1957" spans="1:16" s="1311" customFormat="1" ht="13.2" customHeight="1">
      <c r="A1957" s="1483"/>
      <c r="B1957" s="1312" t="s">
        <v>6956</v>
      </c>
      <c r="C1957" s="1099">
        <v>79092172</v>
      </c>
      <c r="D1957" s="1145"/>
      <c r="E1957" s="917"/>
      <c r="F1957" s="1313"/>
      <c r="G1957" s="1736" t="s">
        <v>4910</v>
      </c>
      <c r="H1957" s="1737" t="s">
        <v>7040</v>
      </c>
      <c r="I1957" s="1122"/>
      <c r="J1957" s="1486"/>
      <c r="K1957" s="1400"/>
      <c r="L1957" s="703"/>
      <c r="M1957" s="708"/>
      <c r="N1957" s="166"/>
      <c r="P1957" s="166"/>
    </row>
    <row r="1958" spans="1:16" s="1311" customFormat="1" ht="13.2" customHeight="1">
      <c r="A1958" s="1483"/>
      <c r="B1958" s="1312" t="s">
        <v>7077</v>
      </c>
      <c r="C1958" s="1099">
        <v>20826379</v>
      </c>
      <c r="D1958" s="1145"/>
      <c r="E1958" s="917"/>
      <c r="F1958" s="1313"/>
      <c r="G1958" s="1736" t="s">
        <v>4877</v>
      </c>
      <c r="H1958" s="1737" t="s">
        <v>7076</v>
      </c>
      <c r="I1958" s="1122"/>
      <c r="J1958" s="1486"/>
      <c r="K1958" s="1400"/>
      <c r="L1958" s="703"/>
      <c r="M1958" s="708"/>
      <c r="N1958" s="166"/>
      <c r="P1958" s="166"/>
    </row>
    <row r="1959" spans="1:16" s="1311" customFormat="1" ht="13.2" customHeight="1">
      <c r="A1959" s="1483"/>
      <c r="B1959" s="1312" t="s">
        <v>7075</v>
      </c>
      <c r="C1959" s="1099">
        <v>80482149</v>
      </c>
      <c r="D1959" s="1145"/>
      <c r="E1959" s="917"/>
      <c r="F1959" s="1313"/>
      <c r="G1959" s="1736" t="s">
        <v>4877</v>
      </c>
      <c r="H1959" s="1737" t="s">
        <v>7076</v>
      </c>
      <c r="I1959" s="1122"/>
      <c r="J1959" s="1486"/>
      <c r="K1959" s="1400"/>
      <c r="L1959" s="703"/>
      <c r="M1959" s="708"/>
      <c r="N1959" s="166"/>
      <c r="P1959" s="166"/>
    </row>
    <row r="1960" spans="1:16" s="1311" customFormat="1" ht="13.2" customHeight="1">
      <c r="A1960" s="1483"/>
      <c r="B1960" s="709"/>
      <c r="C1960" s="1082"/>
      <c r="D1960" s="1141"/>
      <c r="E1960" s="915"/>
      <c r="F1960" s="1310"/>
      <c r="G1960" s="1484"/>
      <c r="H1960" s="1160"/>
      <c r="I1960" s="1122"/>
      <c r="J1960" s="1486"/>
      <c r="K1960" s="1400"/>
      <c r="L1960" s="703"/>
      <c r="M1960" s="708"/>
      <c r="N1960" s="166"/>
      <c r="P1960" s="166"/>
    </row>
    <row r="1961" spans="1:16" s="1311" customFormat="1" ht="13.2" customHeight="1">
      <c r="A1961" s="1483"/>
      <c r="B1961" s="1312" t="s">
        <v>7104</v>
      </c>
      <c r="C1961" s="1099">
        <v>71712964</v>
      </c>
      <c r="D1961" s="1145"/>
      <c r="E1961" s="917"/>
      <c r="F1961" s="1313"/>
      <c r="G1961" s="1749" t="s">
        <v>7105</v>
      </c>
      <c r="H1961" s="1173"/>
      <c r="I1961" s="1122"/>
      <c r="J1961" s="1486"/>
      <c r="K1961" s="1400"/>
      <c r="L1961" s="703"/>
      <c r="M1961" s="708"/>
      <c r="N1961" s="166"/>
      <c r="P1961" s="166"/>
    </row>
    <row r="1962" spans="1:16" s="1311" customFormat="1" ht="13.2" customHeight="1">
      <c r="A1962" s="1483"/>
      <c r="B1962" s="1312" t="s">
        <v>7015</v>
      </c>
      <c r="C1962" s="1099">
        <v>34178893</v>
      </c>
      <c r="D1962" s="1145"/>
      <c r="E1962" s="917"/>
      <c r="F1962" s="1313"/>
      <c r="G1962" s="1749" t="s">
        <v>7103</v>
      </c>
      <c r="H1962" s="1173"/>
      <c r="I1962" s="1122"/>
      <c r="J1962" s="1486"/>
      <c r="K1962" s="1400"/>
      <c r="L1962" s="703"/>
      <c r="M1962" s="708"/>
      <c r="N1962" s="166"/>
      <c r="P1962" s="166"/>
    </row>
    <row r="1963" spans="1:16" s="1311" customFormat="1" ht="13.2" customHeight="1">
      <c r="A1963" s="1483"/>
      <c r="B1963" s="1312" t="s">
        <v>7099</v>
      </c>
      <c r="C1963" s="1099">
        <v>39391366</v>
      </c>
      <c r="D1963" s="1145"/>
      <c r="E1963" s="917"/>
      <c r="F1963" s="1313"/>
      <c r="G1963" s="1749" t="s">
        <v>7060</v>
      </c>
      <c r="H1963" s="1751" t="s">
        <v>7100</v>
      </c>
      <c r="I1963" s="1122"/>
      <c r="J1963" s="1486"/>
      <c r="K1963" s="1400"/>
      <c r="L1963" s="703"/>
      <c r="M1963" s="708"/>
      <c r="N1963" s="166"/>
      <c r="P1963" s="166"/>
    </row>
    <row r="1964" spans="1:16" s="1311" customFormat="1" ht="13.2" customHeight="1">
      <c r="A1964" s="1483"/>
      <c r="B1964" s="1312" t="s">
        <v>7098</v>
      </c>
      <c r="C1964" s="1099">
        <v>67399069</v>
      </c>
      <c r="D1964" s="1145"/>
      <c r="E1964" s="917"/>
      <c r="F1964" s="1313"/>
      <c r="G1964" s="1749" t="s">
        <v>4877</v>
      </c>
      <c r="H1964" s="1173"/>
      <c r="I1964" s="1122"/>
      <c r="J1964" s="1486"/>
      <c r="K1964" s="1400"/>
      <c r="L1964" s="703"/>
      <c r="M1964" s="708"/>
      <c r="N1964" s="166"/>
      <c r="P1964" s="166"/>
    </row>
    <row r="1965" spans="1:16" s="1311" customFormat="1" ht="13.2" customHeight="1">
      <c r="A1965" s="1483"/>
      <c r="B1965" s="1312" t="s">
        <v>7097</v>
      </c>
      <c r="C1965" s="1099">
        <v>71584427</v>
      </c>
      <c r="D1965" s="1145"/>
      <c r="E1965" s="917"/>
      <c r="F1965" s="1313"/>
      <c r="G1965" s="1749" t="s">
        <v>5709</v>
      </c>
      <c r="H1965" s="1173"/>
      <c r="I1965" s="1122"/>
      <c r="J1965" s="1486"/>
      <c r="K1965" s="1400"/>
      <c r="L1965" s="703"/>
      <c r="M1965" s="708"/>
      <c r="N1965" s="166"/>
      <c r="P1965" s="166"/>
    </row>
    <row r="1966" spans="1:16" s="1311" customFormat="1" ht="13.2" customHeight="1">
      <c r="A1966" s="1483"/>
      <c r="B1966" s="1312" t="s">
        <v>7096</v>
      </c>
      <c r="C1966" s="1099">
        <v>78270274</v>
      </c>
      <c r="D1966" s="1145"/>
      <c r="E1966" s="917"/>
      <c r="F1966" s="1313"/>
      <c r="G1966" s="1749" t="s">
        <v>5709</v>
      </c>
      <c r="H1966" s="1173"/>
      <c r="I1966" s="1122"/>
      <c r="J1966" s="1486"/>
      <c r="K1966" s="1400"/>
      <c r="L1966" s="703"/>
      <c r="M1966" s="708"/>
      <c r="N1966" s="166"/>
      <c r="P1966" s="166"/>
    </row>
    <row r="1967" spans="1:16" s="1311" customFormat="1" ht="13.2" customHeight="1">
      <c r="A1967" s="1483"/>
      <c r="B1967" s="1312" t="s">
        <v>7094</v>
      </c>
      <c r="C1967" s="1099">
        <v>29845220</v>
      </c>
      <c r="D1967" s="1145"/>
      <c r="E1967" s="917"/>
      <c r="F1967" s="1313"/>
      <c r="G1967" s="1749" t="s">
        <v>7095</v>
      </c>
      <c r="H1967" s="1173"/>
      <c r="I1967" s="1122"/>
      <c r="J1967" s="1486"/>
      <c r="K1967" s="1400"/>
      <c r="L1967" s="703"/>
      <c r="M1967" s="708"/>
      <c r="N1967" s="166"/>
      <c r="P1967" s="166"/>
    </row>
    <row r="1968" spans="1:16" s="1311" customFormat="1" ht="13.2" customHeight="1">
      <c r="A1968" s="1483"/>
      <c r="B1968" s="1312" t="s">
        <v>7086</v>
      </c>
      <c r="C1968" s="1099">
        <v>22844855</v>
      </c>
      <c r="D1968" s="1145"/>
      <c r="E1968" s="917"/>
      <c r="F1968" s="1313"/>
      <c r="G1968" s="1736" t="s">
        <v>4877</v>
      </c>
      <c r="H1968" s="1173"/>
      <c r="I1968" s="1122"/>
      <c r="J1968" s="1486"/>
      <c r="K1968" s="1400"/>
      <c r="L1968" s="703"/>
      <c r="M1968" s="708"/>
      <c r="N1968" s="166"/>
      <c r="P1968" s="166"/>
    </row>
    <row r="1969" spans="1:16" s="1311" customFormat="1" ht="13.2" customHeight="1">
      <c r="A1969" s="1483"/>
      <c r="B1969" s="1312" t="s">
        <v>7078</v>
      </c>
      <c r="C1969" s="1099">
        <v>68489493</v>
      </c>
      <c r="D1969" s="1145"/>
      <c r="E1969" s="917"/>
      <c r="F1969" s="1313"/>
      <c r="G1969" s="1736" t="s">
        <v>7079</v>
      </c>
      <c r="H1969" s="1173"/>
      <c r="I1969" s="1122"/>
      <c r="J1969" s="1486"/>
      <c r="K1969" s="1400"/>
      <c r="L1969" s="703"/>
      <c r="M1969" s="708"/>
      <c r="N1969" s="166"/>
      <c r="P1969" s="166"/>
    </row>
    <row r="1970" spans="1:16" s="1311" customFormat="1" ht="13.2" customHeight="1">
      <c r="A1970" s="1483"/>
      <c r="B1970" s="1312" t="s">
        <v>7073</v>
      </c>
      <c r="C1970" s="1099">
        <v>29081998</v>
      </c>
      <c r="D1970" s="1145"/>
      <c r="E1970" s="917"/>
      <c r="F1970" s="1313"/>
      <c r="G1970" s="1736" t="s">
        <v>7074</v>
      </c>
      <c r="H1970" s="1173"/>
      <c r="I1970" s="1122"/>
      <c r="J1970" s="1486"/>
      <c r="K1970" s="1400"/>
      <c r="L1970" s="703"/>
      <c r="M1970" s="708"/>
      <c r="N1970" s="166"/>
      <c r="P1970" s="166"/>
    </row>
    <row r="1971" spans="1:16" s="1311" customFormat="1" ht="13.2" customHeight="1">
      <c r="A1971" s="1483"/>
      <c r="B1971" s="729" t="s">
        <v>7080</v>
      </c>
      <c r="C1971" s="1080">
        <v>21509774</v>
      </c>
      <c r="D1971" s="1618"/>
      <c r="E1971" s="1057"/>
      <c r="F1971" s="730"/>
      <c r="G1971" s="1741" t="s">
        <v>7072</v>
      </c>
      <c r="H1971" s="1619"/>
      <c r="I1971" s="1122"/>
      <c r="J1971" s="1486"/>
      <c r="K1971" s="1400"/>
      <c r="L1971" s="703"/>
      <c r="M1971" s="708"/>
      <c r="N1971" s="166"/>
      <c r="P1971" s="166"/>
    </row>
    <row r="1972" spans="1:16" s="1311" customFormat="1" ht="13.2" customHeight="1">
      <c r="A1972" s="1483"/>
      <c r="B1972" s="729" t="s">
        <v>7071</v>
      </c>
      <c r="C1972" s="1080">
        <v>71670902</v>
      </c>
      <c r="D1972" s="1618"/>
      <c r="E1972" s="1057"/>
      <c r="F1972" s="730"/>
      <c r="G1972" s="1741" t="s">
        <v>7072</v>
      </c>
      <c r="H1972" s="1619"/>
      <c r="I1972" s="1122"/>
      <c r="J1972" s="1486"/>
      <c r="K1972" s="1400"/>
      <c r="L1972" s="703"/>
      <c r="M1972" s="708"/>
      <c r="N1972" s="166"/>
      <c r="P1972" s="166"/>
    </row>
    <row r="1973" spans="1:16" s="1311" customFormat="1" ht="13.2" customHeight="1">
      <c r="A1973" s="1483"/>
      <c r="B1973" s="729" t="s">
        <v>7069</v>
      </c>
      <c r="C1973" s="1080">
        <v>62679421</v>
      </c>
      <c r="D1973" s="1618"/>
      <c r="E1973" s="1057"/>
      <c r="F1973" s="730"/>
      <c r="G1973" s="1741" t="s">
        <v>7070</v>
      </c>
      <c r="H1973" s="1619"/>
      <c r="I1973" s="1122"/>
      <c r="J1973" s="1486"/>
      <c r="K1973" s="1400"/>
      <c r="L1973" s="703"/>
      <c r="M1973" s="708"/>
      <c r="N1973" s="166"/>
      <c r="P1973" s="166"/>
    </row>
    <row r="1974" spans="1:16" s="1311" customFormat="1" ht="13.2" customHeight="1">
      <c r="A1974" s="1483"/>
      <c r="B1974" s="729" t="s">
        <v>7063</v>
      </c>
      <c r="C1974" s="1080">
        <v>37044906</v>
      </c>
      <c r="D1974" s="1618"/>
      <c r="E1974" s="1057"/>
      <c r="F1974" s="730"/>
      <c r="G1974" s="1741" t="s">
        <v>7064</v>
      </c>
      <c r="H1974" s="1742" t="s">
        <v>7065</v>
      </c>
      <c r="I1974" s="1122"/>
      <c r="J1974" s="1486"/>
      <c r="K1974" s="1400"/>
      <c r="L1974" s="703"/>
      <c r="M1974" s="708"/>
      <c r="N1974" s="166"/>
      <c r="P1974" s="166"/>
    </row>
    <row r="1975" spans="1:16" s="1311" customFormat="1" ht="13.2" customHeight="1">
      <c r="A1975" s="1483"/>
      <c r="B1975" s="1312" t="s">
        <v>7059</v>
      </c>
      <c r="C1975" s="1099">
        <v>38629229</v>
      </c>
      <c r="D1975" s="1145"/>
      <c r="E1975" s="917"/>
      <c r="F1975" s="1313"/>
      <c r="G1975" s="1736" t="s">
        <v>7060</v>
      </c>
      <c r="H1975" s="1737" t="s">
        <v>7061</v>
      </c>
      <c r="I1975" s="1122"/>
      <c r="J1975" s="1486"/>
      <c r="K1975" s="1400"/>
      <c r="L1975" s="703"/>
      <c r="M1975" s="708"/>
      <c r="N1975" s="166"/>
      <c r="P1975" s="166"/>
    </row>
    <row r="1976" spans="1:16" s="1311" customFormat="1" ht="13.2" customHeight="1">
      <c r="A1976" s="1483"/>
      <c r="B1976" s="1312" t="s">
        <v>7056</v>
      </c>
      <c r="C1976" s="1099">
        <v>53144928</v>
      </c>
      <c r="D1976" s="1145"/>
      <c r="E1976" s="917"/>
      <c r="F1976" s="1313"/>
      <c r="G1976" s="1736" t="s">
        <v>7049</v>
      </c>
      <c r="H1976" s="1737" t="s">
        <v>7057</v>
      </c>
      <c r="I1976" s="1122"/>
      <c r="J1976" s="1486"/>
      <c r="K1976" s="1400"/>
      <c r="L1976" s="703"/>
      <c r="M1976" s="708"/>
      <c r="N1976" s="166"/>
      <c r="P1976" s="166"/>
    </row>
    <row r="1977" spans="1:16" s="1311" customFormat="1" ht="13.2" customHeight="1">
      <c r="A1977" s="1483"/>
      <c r="B1977" s="1312" t="s">
        <v>7051</v>
      </c>
      <c r="C1977" s="1099">
        <v>45364457</v>
      </c>
      <c r="D1977" s="1145"/>
      <c r="E1977" s="917"/>
      <c r="F1977" s="1313"/>
      <c r="G1977" s="1736" t="s">
        <v>7052</v>
      </c>
      <c r="H1977" s="1173"/>
      <c r="I1977" s="1122"/>
      <c r="J1977" s="1486"/>
      <c r="K1977" s="1400"/>
      <c r="L1977" s="703"/>
      <c r="M1977" s="708"/>
      <c r="N1977" s="166"/>
      <c r="P1977" s="166"/>
    </row>
    <row r="1978" spans="1:16" s="1311" customFormat="1" ht="13.2" customHeight="1">
      <c r="A1978" s="1483"/>
      <c r="B1978" s="709" t="s">
        <v>7048</v>
      </c>
      <c r="C1978" s="1082">
        <v>12929913</v>
      </c>
      <c r="D1978" s="1141"/>
      <c r="E1978" s="915"/>
      <c r="F1978" s="1310"/>
      <c r="G1978" s="1740" t="s">
        <v>7049</v>
      </c>
      <c r="H1978" s="1160"/>
      <c r="I1978" s="1122"/>
      <c r="J1978" s="1486"/>
      <c r="K1978" s="1400"/>
      <c r="L1978" s="703"/>
      <c r="M1978" s="708"/>
      <c r="N1978" s="166"/>
      <c r="P1978" s="166"/>
    </row>
    <row r="1979" spans="1:16" s="1311" customFormat="1" ht="13.2" customHeight="1">
      <c r="A1979" s="1483"/>
      <c r="B1979" s="1312" t="s">
        <v>7047</v>
      </c>
      <c r="C1979" s="1099">
        <v>89711075</v>
      </c>
      <c r="D1979" s="1145"/>
      <c r="E1979" s="917"/>
      <c r="F1979" s="1313"/>
      <c r="G1979" s="1736" t="s">
        <v>7050</v>
      </c>
      <c r="H1979" s="1173"/>
      <c r="I1979" s="1122"/>
      <c r="J1979" s="1486"/>
      <c r="K1979" s="1400"/>
      <c r="L1979" s="703"/>
      <c r="M1979" s="708"/>
      <c r="N1979" s="166"/>
      <c r="P1979" s="166"/>
    </row>
    <row r="1980" spans="1:16" s="1311" customFormat="1" ht="13.2" customHeight="1">
      <c r="A1980" s="1483"/>
      <c r="B1980" s="1312" t="s">
        <v>7046</v>
      </c>
      <c r="C1980" s="1099">
        <v>32821215</v>
      </c>
      <c r="D1980" s="1145"/>
      <c r="E1980" s="917"/>
      <c r="F1980" s="1313"/>
      <c r="G1980" s="1736" t="s">
        <v>5153</v>
      </c>
      <c r="H1980" s="1173"/>
      <c r="I1980" s="1122"/>
      <c r="J1980" s="1486"/>
      <c r="K1980" s="1400"/>
      <c r="L1980" s="703"/>
      <c r="M1980" s="708"/>
      <c r="N1980" s="166"/>
      <c r="P1980" s="166"/>
    </row>
    <row r="1981" spans="1:16" s="1311" customFormat="1" ht="13.2" customHeight="1">
      <c r="A1981" s="1483"/>
      <c r="B1981" s="1312" t="s">
        <v>7044</v>
      </c>
      <c r="C1981" s="1099">
        <v>2003</v>
      </c>
      <c r="D1981" s="1145"/>
      <c r="E1981" s="917"/>
      <c r="F1981" s="1313"/>
      <c r="G1981" s="1736" t="s">
        <v>4877</v>
      </c>
      <c r="H1981" s="1737" t="s">
        <v>7045</v>
      </c>
      <c r="I1981" s="1122"/>
      <c r="J1981" s="1486"/>
      <c r="K1981" s="1400"/>
      <c r="L1981" s="703"/>
      <c r="M1981" s="708"/>
      <c r="N1981" s="166"/>
      <c r="P1981" s="166"/>
    </row>
    <row r="1982" spans="1:16" s="1311" customFormat="1" ht="13.2" customHeight="1">
      <c r="A1982" s="1483"/>
      <c r="B1982" s="1312" t="s">
        <v>7043</v>
      </c>
      <c r="C1982" s="1099">
        <v>79122267</v>
      </c>
      <c r="D1982" s="1145"/>
      <c r="E1982" s="917"/>
      <c r="F1982" s="1313"/>
      <c r="G1982" s="1736" t="s">
        <v>7020</v>
      </c>
      <c r="H1982" s="1173"/>
      <c r="I1982" s="1122"/>
      <c r="J1982" s="1486"/>
      <c r="K1982" s="1400"/>
      <c r="L1982" s="703"/>
      <c r="M1982" s="708"/>
      <c r="N1982" s="166"/>
      <c r="P1982" s="166"/>
    </row>
    <row r="1983" spans="1:16" s="1311" customFormat="1" ht="13.2" customHeight="1">
      <c r="A1983" s="1483"/>
      <c r="B1983" s="1312" t="s">
        <v>7053</v>
      </c>
      <c r="C1983" s="1099">
        <v>84445454</v>
      </c>
      <c r="D1983" s="1145"/>
      <c r="E1983" s="917"/>
      <c r="F1983" s="1313"/>
      <c r="G1983" s="1736" t="s">
        <v>7055</v>
      </c>
      <c r="H1983" s="1737" t="s">
        <v>7054</v>
      </c>
      <c r="I1983" s="1122"/>
      <c r="J1983" s="1486"/>
      <c r="K1983" s="1400"/>
      <c r="L1983" s="703"/>
      <c r="M1983" s="708"/>
      <c r="N1983" s="166"/>
      <c r="P1983" s="166"/>
    </row>
    <row r="1984" spans="1:16" s="1311" customFormat="1" ht="13.2" customHeight="1">
      <c r="A1984" s="1483"/>
      <c r="B1984" s="1312" t="s">
        <v>7041</v>
      </c>
      <c r="C1984" s="1099">
        <v>65461206</v>
      </c>
      <c r="D1984" s="1145"/>
      <c r="E1984" s="917"/>
      <c r="F1984" s="1313"/>
      <c r="G1984" s="1736" t="s">
        <v>4877</v>
      </c>
      <c r="H1984" s="1173"/>
      <c r="I1984" s="1122"/>
      <c r="J1984" s="1486"/>
      <c r="K1984" s="1400"/>
      <c r="L1984" s="703"/>
      <c r="M1984" s="708"/>
      <c r="N1984" s="166"/>
      <c r="P1984" s="166"/>
    </row>
    <row r="1985" spans="1:16" s="1311" customFormat="1" ht="13.2" customHeight="1">
      <c r="A1985" s="1483"/>
      <c r="B1985" s="1312" t="s">
        <v>7019</v>
      </c>
      <c r="C1985" s="1716">
        <v>42897461</v>
      </c>
      <c r="D1985" s="1716"/>
      <c r="E1985" s="1716"/>
      <c r="F1985" s="1313"/>
      <c r="G1985" s="1716" t="s">
        <v>7020</v>
      </c>
      <c r="H1985" s="1717"/>
      <c r="I1985" s="1122"/>
      <c r="J1985" s="1486"/>
      <c r="K1985" s="1400"/>
      <c r="L1985" s="703"/>
      <c r="M1985" s="708"/>
      <c r="N1985" s="166"/>
      <c r="P1985" s="166"/>
    </row>
    <row r="1986" spans="1:16" s="1311" customFormat="1" ht="13.2" customHeight="1">
      <c r="A1986" s="1483"/>
      <c r="B1986" s="1312" t="s">
        <v>6956</v>
      </c>
      <c r="C1986" s="1099">
        <v>79092172</v>
      </c>
      <c r="D1986" s="1145"/>
      <c r="E1986" s="917"/>
      <c r="F1986" s="1313"/>
      <c r="G1986" s="1736" t="s">
        <v>4910</v>
      </c>
      <c r="H1986" s="1737" t="s">
        <v>7040</v>
      </c>
      <c r="I1986" s="1122"/>
      <c r="J1986" s="1486"/>
      <c r="K1986" s="1400"/>
      <c r="L1986" s="703"/>
      <c r="M1986" s="708"/>
      <c r="N1986" s="166"/>
      <c r="P1986" s="166"/>
    </row>
    <row r="1987" spans="1:16" s="1311" customFormat="1" ht="13.2" customHeight="1">
      <c r="A1987" s="1483"/>
      <c r="B1987" s="1312" t="s">
        <v>7038</v>
      </c>
      <c r="C1987" s="1099">
        <v>59785428</v>
      </c>
      <c r="D1987" s="1145"/>
      <c r="E1987" s="917"/>
      <c r="F1987" s="1313"/>
      <c r="G1987" s="1736" t="s">
        <v>7039</v>
      </c>
      <c r="H1987" s="1173"/>
      <c r="I1987" s="1122"/>
      <c r="J1987" s="1486"/>
      <c r="K1987" s="1400"/>
      <c r="L1987" s="703"/>
      <c r="M1987" s="708"/>
      <c r="N1987" s="166"/>
      <c r="P1987" s="166"/>
    </row>
    <row r="1988" spans="1:16" s="1311" customFormat="1" ht="13.2" customHeight="1">
      <c r="A1988" s="1483"/>
      <c r="B1988" s="1312" t="s">
        <v>7036</v>
      </c>
      <c r="C1988" s="1099">
        <v>94236794</v>
      </c>
      <c r="D1988" s="1145"/>
      <c r="E1988" s="917"/>
      <c r="F1988" s="1313"/>
      <c r="G1988" s="1736" t="s">
        <v>7037</v>
      </c>
      <c r="H1988" s="1173"/>
      <c r="I1988" s="1122"/>
      <c r="J1988" s="1486"/>
      <c r="K1988" s="1400"/>
      <c r="L1988" s="703"/>
      <c r="M1988" s="708"/>
      <c r="N1988" s="166"/>
      <c r="P1988" s="166"/>
    </row>
    <row r="1989" spans="1:16" s="1311" customFormat="1" ht="13.2" customHeight="1">
      <c r="A1989" s="1483"/>
      <c r="B1989" s="1312" t="s">
        <v>7033</v>
      </c>
      <c r="C1989" s="1099">
        <v>12780075</v>
      </c>
      <c r="D1989" s="1145"/>
      <c r="E1989" s="1736" t="s">
        <v>7035</v>
      </c>
      <c r="F1989" s="1313"/>
      <c r="G1989" s="1736" t="s">
        <v>7034</v>
      </c>
      <c r="H1989" s="1173"/>
      <c r="I1989" s="1122"/>
      <c r="J1989" s="1486"/>
      <c r="K1989" s="1400"/>
      <c r="L1989" s="703"/>
      <c r="M1989" s="708"/>
      <c r="N1989" s="166"/>
      <c r="P1989" s="166"/>
    </row>
    <row r="1990" spans="1:16" s="1311" customFormat="1" ht="13.2" customHeight="1">
      <c r="A1990" s="1483"/>
      <c r="B1990" s="1312" t="s">
        <v>4496</v>
      </c>
      <c r="C1990" s="1736">
        <v>35925886</v>
      </c>
      <c r="D1990" s="1736"/>
      <c r="E1990" s="1736"/>
      <c r="F1990" s="1313"/>
      <c r="G1990" s="1736" t="s">
        <v>5006</v>
      </c>
      <c r="H1990" s="1737"/>
      <c r="I1990" s="1122"/>
      <c r="J1990" s="1486"/>
      <c r="K1990" s="1400"/>
      <c r="L1990" s="703"/>
      <c r="M1990" s="708"/>
      <c r="N1990" s="166"/>
      <c r="P1990" s="166"/>
    </row>
    <row r="1991" spans="1:16" s="1311" customFormat="1" ht="13.2" customHeight="1">
      <c r="A1991" s="1483"/>
      <c r="B1991" s="1312" t="s">
        <v>7025</v>
      </c>
      <c r="C1991" s="1099">
        <v>15021998</v>
      </c>
      <c r="D1991" s="1145"/>
      <c r="E1991" s="917"/>
      <c r="F1991" s="1313"/>
      <c r="G1991" s="1716" t="s">
        <v>7026</v>
      </c>
      <c r="H1991" s="1173"/>
      <c r="I1991" s="1122"/>
      <c r="J1991" s="1486"/>
      <c r="K1991" s="1400"/>
      <c r="L1991" s="703"/>
      <c r="M1991" s="708"/>
      <c r="N1991" s="166"/>
      <c r="P1991" s="166"/>
    </row>
    <row r="1992" spans="1:16" s="1311" customFormat="1" ht="13.2" customHeight="1">
      <c r="A1992" s="1483"/>
      <c r="B1992" s="1312" t="s">
        <v>7024</v>
      </c>
      <c r="C1992" s="1099">
        <v>25041994</v>
      </c>
      <c r="D1992" s="1145"/>
      <c r="E1992" s="917"/>
      <c r="F1992" s="1313"/>
      <c r="G1992" s="1716" t="s">
        <v>6685</v>
      </c>
      <c r="H1992" s="1173"/>
      <c r="I1992" s="1122"/>
      <c r="J1992" s="1486"/>
      <c r="K1992" s="1400"/>
      <c r="L1992" s="703"/>
      <c r="M1992" s="708"/>
      <c r="N1992" s="166"/>
      <c r="P1992" s="166"/>
    </row>
    <row r="1993" spans="1:16" s="1311" customFormat="1" ht="13.2" customHeight="1">
      <c r="A1993" s="1483"/>
      <c r="B1993" s="1312" t="s">
        <v>7022</v>
      </c>
      <c r="C1993" s="1099">
        <v>42181853</v>
      </c>
      <c r="D1993" s="1145"/>
      <c r="E1993" s="917"/>
      <c r="F1993" s="1313"/>
      <c r="G1993" s="1716" t="s">
        <v>7023</v>
      </c>
      <c r="H1993" s="1173"/>
      <c r="I1993" s="1122"/>
      <c r="J1993" s="1486"/>
      <c r="K1993" s="1400"/>
      <c r="L1993" s="703"/>
      <c r="M1993" s="708"/>
      <c r="N1993" s="166"/>
      <c r="P1993" s="166"/>
    </row>
    <row r="1994" spans="1:16" s="1311" customFormat="1" ht="13.2" customHeight="1">
      <c r="A1994" s="1483"/>
      <c r="B1994" s="1312" t="s">
        <v>7021</v>
      </c>
      <c r="C1994" s="1099">
        <v>44739976</v>
      </c>
      <c r="D1994" s="1145"/>
      <c r="E1994" s="917"/>
      <c r="F1994" s="1313"/>
      <c r="G1994" s="1716" t="s">
        <v>5542</v>
      </c>
      <c r="H1994" s="1173"/>
      <c r="I1994" s="1122"/>
      <c r="J1994" s="1486"/>
      <c r="K1994" s="1400"/>
      <c r="L1994" s="703"/>
      <c r="M1994" s="708"/>
      <c r="N1994" s="166"/>
      <c r="P1994" s="166"/>
    </row>
    <row r="1995" spans="1:16" s="1311" customFormat="1" ht="13.2" customHeight="1">
      <c r="A1995" s="1483"/>
      <c r="B1995" s="1312" t="s">
        <v>6999</v>
      </c>
      <c r="C1995" s="1099">
        <v>66559798</v>
      </c>
      <c r="D1995" s="1145"/>
      <c r="E1995" s="917"/>
      <c r="F1995" s="1313"/>
      <c r="G1995" s="1716" t="s">
        <v>6997</v>
      </c>
      <c r="H1995" s="1717" t="s">
        <v>6998</v>
      </c>
      <c r="I1995" s="1122"/>
      <c r="J1995" s="1486"/>
      <c r="K1995" s="1400"/>
      <c r="L1995" s="703"/>
      <c r="M1995" s="708"/>
      <c r="N1995" s="166"/>
      <c r="P1995" s="166"/>
    </row>
    <row r="1996" spans="1:16" s="1311" customFormat="1" ht="13.2" customHeight="1">
      <c r="A1996" s="1483"/>
      <c r="B1996" s="1312" t="s">
        <v>7018</v>
      </c>
      <c r="C1996" s="1099">
        <v>68436785</v>
      </c>
      <c r="D1996" s="1145"/>
      <c r="E1996" s="917"/>
      <c r="F1996" s="1313"/>
      <c r="G1996" s="1716" t="s">
        <v>4877</v>
      </c>
      <c r="H1996" s="1173"/>
      <c r="I1996" s="1122"/>
      <c r="J1996" s="1486"/>
      <c r="K1996" s="1400"/>
      <c r="L1996" s="703"/>
      <c r="M1996" s="708"/>
      <c r="N1996" s="166"/>
      <c r="P1996" s="166"/>
    </row>
    <row r="1997" spans="1:16" s="1311" customFormat="1" ht="13.2" customHeight="1">
      <c r="A1997" s="1483"/>
      <c r="B1997" s="1312" t="s">
        <v>6768</v>
      </c>
      <c r="C1997" s="1099">
        <v>78158825</v>
      </c>
      <c r="D1997" s="1145"/>
      <c r="E1997" s="917"/>
      <c r="F1997" s="1313"/>
      <c r="G1997" s="1716" t="s">
        <v>7017</v>
      </c>
      <c r="H1997" s="1173"/>
      <c r="I1997" s="1122"/>
      <c r="J1997" s="1486"/>
      <c r="K1997" s="1400"/>
      <c r="L1997" s="703"/>
      <c r="M1997" s="708"/>
      <c r="N1997" s="166"/>
      <c r="P1997" s="166"/>
    </row>
    <row r="1998" spans="1:16" s="1311" customFormat="1" ht="13.2" customHeight="1">
      <c r="A1998" s="1483"/>
      <c r="B1998" s="1312" t="s">
        <v>7015</v>
      </c>
      <c r="C1998" s="1099">
        <v>34178893</v>
      </c>
      <c r="D1998" s="1145"/>
      <c r="E1998" s="917"/>
      <c r="F1998" s="1313"/>
      <c r="G1998" s="1716" t="s">
        <v>2215</v>
      </c>
      <c r="H1998" s="1717" t="s">
        <v>7016</v>
      </c>
      <c r="I1998" s="1122"/>
      <c r="J1998" s="1486"/>
      <c r="K1998" s="1400"/>
      <c r="L1998" s="703"/>
      <c r="M1998" s="708"/>
      <c r="N1998" s="166"/>
      <c r="P1998" s="166"/>
    </row>
    <row r="1999" spans="1:16" s="1311" customFormat="1" ht="13.2" customHeight="1">
      <c r="A1999" s="1483"/>
      <c r="B1999" s="1312" t="s">
        <v>7014</v>
      </c>
      <c r="C1999" s="1099">
        <v>48952566</v>
      </c>
      <c r="D1999" s="1145"/>
      <c r="E1999" s="917"/>
      <c r="F1999" s="1313"/>
      <c r="G1999" s="1486"/>
      <c r="H1999" s="1173"/>
      <c r="I1999" s="1122"/>
      <c r="J1999" s="1486"/>
      <c r="K1999" s="1400"/>
      <c r="L1999" s="703"/>
      <c r="M1999" s="708"/>
      <c r="N1999" s="166"/>
      <c r="P1999" s="166"/>
    </row>
    <row r="2000" spans="1:16" s="1311" customFormat="1" ht="13.2" customHeight="1">
      <c r="A2000" s="1483"/>
      <c r="B2000" s="709" t="s">
        <v>7013</v>
      </c>
      <c r="C2000" s="1082">
        <v>41464380</v>
      </c>
      <c r="D2000" s="1141"/>
      <c r="E2000" s="915"/>
      <c r="F2000" s="1310"/>
      <c r="G2000" s="1715" t="s">
        <v>4877</v>
      </c>
      <c r="H2000" s="1160"/>
      <c r="I2000" s="1122"/>
      <c r="J2000" s="1486"/>
      <c r="K2000" s="1400"/>
      <c r="L2000" s="703"/>
      <c r="M2000" s="708"/>
      <c r="N2000" s="166"/>
      <c r="P2000" s="166"/>
    </row>
    <row r="2001" spans="1:16" s="1311" customFormat="1" ht="13.2" customHeight="1">
      <c r="A2001" s="1483"/>
      <c r="B2001" s="1312" t="s">
        <v>7011</v>
      </c>
      <c r="C2001" s="1099">
        <v>37173627</v>
      </c>
      <c r="D2001" s="1145"/>
      <c r="E2001" s="917"/>
      <c r="F2001" s="1313"/>
      <c r="G2001" s="1716" t="s">
        <v>6685</v>
      </c>
      <c r="H2001" s="1717" t="s">
        <v>7012</v>
      </c>
      <c r="I2001" s="1122"/>
      <c r="J2001" s="1486"/>
      <c r="K2001" s="1400"/>
      <c r="L2001" s="703"/>
      <c r="M2001" s="708"/>
      <c r="N2001" s="166"/>
      <c r="P2001" s="166"/>
    </row>
    <row r="2002" spans="1:16" s="1311" customFormat="1" ht="13.2" customHeight="1">
      <c r="A2002" s="1483"/>
      <c r="B2002" s="1312" t="s">
        <v>7003</v>
      </c>
      <c r="C2002" s="1099">
        <v>18852079</v>
      </c>
      <c r="D2002" s="1145"/>
      <c r="E2002" s="917"/>
      <c r="F2002" s="1313"/>
      <c r="G2002" s="1716" t="s">
        <v>7004</v>
      </c>
      <c r="H2002" s="1717" t="s">
        <v>7005</v>
      </c>
      <c r="I2002" s="1122"/>
      <c r="J2002" s="1486"/>
      <c r="K2002" s="1400"/>
      <c r="L2002" s="703"/>
      <c r="M2002" s="708"/>
      <c r="N2002" s="166"/>
      <c r="P2002" s="166"/>
    </row>
    <row r="2003" spans="1:16" s="1311" customFormat="1" ht="13.2" customHeight="1">
      <c r="A2003" s="1483"/>
      <c r="B2003" s="1725" t="s">
        <v>7002</v>
      </c>
      <c r="C2003" s="1726"/>
      <c r="D2003" s="1727"/>
      <c r="E2003" s="1728"/>
      <c r="F2003" s="1729"/>
      <c r="G2003" s="1730"/>
      <c r="H2003" s="1731"/>
      <c r="I2003" s="1122"/>
      <c r="J2003" s="1486"/>
      <c r="K2003" s="1400"/>
      <c r="L2003" s="703"/>
      <c r="M2003" s="708"/>
      <c r="N2003" s="166"/>
      <c r="P2003" s="166"/>
    </row>
    <row r="2004" spans="1:16" s="1311" customFormat="1" ht="13.2" customHeight="1">
      <c r="A2004" s="1483"/>
      <c r="B2004" s="1312" t="s">
        <v>7000</v>
      </c>
      <c r="C2004" s="1099">
        <v>42338898</v>
      </c>
      <c r="D2004" s="1145"/>
      <c r="E2004" s="917"/>
      <c r="F2004" s="1313"/>
      <c r="G2004" s="1716" t="s">
        <v>7001</v>
      </c>
      <c r="H2004" s="1173"/>
      <c r="I2004" s="1122"/>
      <c r="J2004" s="1486"/>
      <c r="K2004" s="1400"/>
      <c r="L2004" s="703"/>
      <c r="M2004" s="708"/>
      <c r="N2004" s="166"/>
      <c r="P2004" s="166"/>
    </row>
    <row r="2005" spans="1:16" s="1311" customFormat="1" ht="13.2" customHeight="1">
      <c r="A2005" s="1483"/>
      <c r="B2005" s="1312" t="s">
        <v>6996</v>
      </c>
      <c r="C2005" s="1099">
        <v>26189072</v>
      </c>
      <c r="D2005" s="1145"/>
      <c r="E2005" s="917"/>
      <c r="F2005" s="1313"/>
      <c r="G2005" s="1716" t="s">
        <v>6997</v>
      </c>
      <c r="H2005" s="1717" t="s">
        <v>6998</v>
      </c>
      <c r="I2005" s="1122"/>
      <c r="J2005" s="1486"/>
      <c r="K2005" s="1400"/>
      <c r="L2005" s="703"/>
      <c r="M2005" s="708"/>
      <c r="N2005" s="166"/>
      <c r="P2005" s="166"/>
    </row>
    <row r="2006" spans="1:16" s="1311" customFormat="1" ht="13.2" customHeight="1">
      <c r="A2006" s="1483"/>
      <c r="B2006" s="709" t="s">
        <v>6994</v>
      </c>
      <c r="C2006" s="1082">
        <v>86834734</v>
      </c>
      <c r="D2006" s="1141"/>
      <c r="E2006" s="915"/>
      <c r="F2006" s="1310" t="s">
        <v>6977</v>
      </c>
      <c r="G2006" s="1715" t="s">
        <v>6995</v>
      </c>
      <c r="H2006" s="1160"/>
      <c r="I2006" s="1122"/>
      <c r="J2006" s="1486"/>
      <c r="K2006" s="1400"/>
      <c r="L2006" s="703"/>
      <c r="M2006" s="708"/>
      <c r="N2006" s="166"/>
      <c r="P2006" s="166"/>
    </row>
    <row r="2007" spans="1:16" s="1311" customFormat="1" ht="13.2" customHeight="1">
      <c r="A2007" s="1483"/>
      <c r="B2007" s="1312" t="s">
        <v>6990</v>
      </c>
      <c r="C2007" s="1099">
        <v>28888865</v>
      </c>
      <c r="D2007" s="1145"/>
      <c r="E2007" s="917"/>
      <c r="F2007" s="1313" t="s">
        <v>6991</v>
      </c>
      <c r="G2007" s="1716" t="s">
        <v>6992</v>
      </c>
      <c r="H2007" s="1173"/>
      <c r="I2007" s="1136"/>
      <c r="J2007" s="1486"/>
      <c r="K2007" s="1400"/>
      <c r="L2007" s="703"/>
      <c r="M2007" s="708"/>
      <c r="N2007" s="166"/>
      <c r="P2007" s="166"/>
    </row>
    <row r="2008" spans="1:16" s="1311" customFormat="1" ht="13.2" customHeight="1">
      <c r="A2008" s="1483"/>
      <c r="B2008" s="1312" t="s">
        <v>6987</v>
      </c>
      <c r="C2008" s="1099">
        <v>53391550</v>
      </c>
      <c r="D2008" s="1145"/>
      <c r="E2008" s="917"/>
      <c r="F2008" s="1313" t="s">
        <v>6988</v>
      </c>
      <c r="G2008" s="1716" t="s">
        <v>6993</v>
      </c>
      <c r="H2008" s="1173"/>
      <c r="I2008" s="1136"/>
      <c r="J2008" s="1486"/>
      <c r="K2008" s="1400"/>
      <c r="L2008" s="703"/>
      <c r="M2008" s="708"/>
      <c r="N2008" s="166"/>
      <c r="P2008" s="166"/>
    </row>
    <row r="2009" spans="1:16" s="1311" customFormat="1" ht="13.2" customHeight="1">
      <c r="A2009" s="1483"/>
      <c r="B2009" s="1312" t="s">
        <v>6985</v>
      </c>
      <c r="C2009" s="1099">
        <v>73975278</v>
      </c>
      <c r="D2009" s="1145"/>
      <c r="E2009" s="917"/>
      <c r="F2009" s="1313" t="s">
        <v>6986</v>
      </c>
      <c r="G2009" s="1716" t="s">
        <v>2959</v>
      </c>
      <c r="H2009" s="1173"/>
      <c r="I2009" s="1136"/>
      <c r="J2009" s="1486"/>
      <c r="K2009" s="1400"/>
      <c r="L2009" s="703"/>
      <c r="M2009" s="708"/>
      <c r="N2009" s="166"/>
      <c r="P2009" s="166"/>
    </row>
    <row r="2010" spans="1:16" s="1311" customFormat="1" ht="13.2" customHeight="1">
      <c r="A2010" s="1483"/>
      <c r="B2010" s="1312" t="s">
        <v>6981</v>
      </c>
      <c r="C2010" s="1099">
        <v>98983625</v>
      </c>
      <c r="D2010" s="1145"/>
      <c r="E2010" s="917"/>
      <c r="F2010" s="1313" t="s">
        <v>6982</v>
      </c>
      <c r="G2010" s="1716" t="s">
        <v>6983</v>
      </c>
      <c r="H2010" s="1173"/>
      <c r="I2010" s="1136"/>
      <c r="J2010" s="1486"/>
      <c r="K2010" s="1400"/>
      <c r="L2010" s="703"/>
      <c r="M2010" s="708"/>
      <c r="N2010" s="166"/>
      <c r="P2010" s="166"/>
    </row>
    <row r="2011" spans="1:16" s="1311" customFormat="1" ht="13.2" customHeight="1">
      <c r="A2011" s="1483"/>
      <c r="B2011" s="709" t="s">
        <v>1839</v>
      </c>
      <c r="C2011" s="1082">
        <v>12345678</v>
      </c>
      <c r="D2011" s="1141"/>
      <c r="E2011" s="915"/>
      <c r="F2011" s="1310" t="s">
        <v>6980</v>
      </c>
      <c r="G2011" s="1484"/>
      <c r="H2011" s="1160"/>
      <c r="I2011" s="1122"/>
      <c r="J2011" s="1683" t="s">
        <v>6928</v>
      </c>
      <c r="K2011" s="1400">
        <v>16</v>
      </c>
      <c r="L2011" s="703"/>
      <c r="M2011" s="708"/>
      <c r="N2011" s="166"/>
      <c r="P2011" s="166"/>
    </row>
    <row r="2012" spans="1:16" s="1311" customFormat="1" ht="13.2" customHeight="1">
      <c r="A2012" s="1483"/>
      <c r="B2012" s="709" t="s">
        <v>6979</v>
      </c>
      <c r="C2012" s="1082">
        <v>24503155</v>
      </c>
      <c r="D2012" s="1141"/>
      <c r="E2012" s="915"/>
      <c r="F2012" s="1310"/>
      <c r="G2012" s="1484"/>
      <c r="H2012" s="1160"/>
      <c r="I2012" s="1122"/>
      <c r="J2012" s="1683" t="s">
        <v>6929</v>
      </c>
      <c r="K2012" s="1400">
        <v>16</v>
      </c>
      <c r="L2012" s="703"/>
      <c r="M2012" s="708"/>
      <c r="N2012" s="166"/>
      <c r="P2012" s="166"/>
    </row>
    <row r="2013" spans="1:16" s="1311" customFormat="1" ht="13.2" customHeight="1">
      <c r="A2013" s="1483"/>
      <c r="B2013" s="1312" t="s">
        <v>6976</v>
      </c>
      <c r="C2013" s="1099">
        <v>66424946</v>
      </c>
      <c r="D2013" s="1145"/>
      <c r="E2013" s="917"/>
      <c r="F2013" s="1313" t="s">
        <v>2288</v>
      </c>
      <c r="G2013" s="1716" t="s">
        <v>6977</v>
      </c>
      <c r="H2013" s="1717" t="s">
        <v>6978</v>
      </c>
      <c r="I2013" s="1136"/>
      <c r="J2013" s="1683" t="s">
        <v>6930</v>
      </c>
      <c r="K2013" s="1400">
        <v>10</v>
      </c>
      <c r="L2013" s="703"/>
      <c r="M2013" s="708"/>
      <c r="N2013" s="166"/>
      <c r="P2013" s="166"/>
    </row>
    <row r="2014" spans="1:16" s="1311" customFormat="1" ht="13.2" customHeight="1">
      <c r="A2014" s="1483"/>
      <c r="B2014" s="1312" t="s">
        <v>6974</v>
      </c>
      <c r="C2014" s="1099">
        <v>46202491</v>
      </c>
      <c r="D2014" s="1145"/>
      <c r="E2014" s="917"/>
      <c r="F2014" s="1313" t="s">
        <v>1972</v>
      </c>
      <c r="G2014" s="1716" t="s">
        <v>6975</v>
      </c>
      <c r="H2014" s="1173"/>
      <c r="I2014" s="1136"/>
      <c r="J2014" s="1683" t="s">
        <v>6931</v>
      </c>
      <c r="K2014" s="1400">
        <v>10.199999999999999</v>
      </c>
      <c r="L2014" s="703"/>
      <c r="M2014" s="708"/>
      <c r="N2014" s="166"/>
      <c r="P2014" s="166"/>
    </row>
    <row r="2015" spans="1:16" s="1311" customFormat="1" ht="13.2" customHeight="1">
      <c r="A2015" s="1483"/>
      <c r="B2015" s="709" t="s">
        <v>6948</v>
      </c>
      <c r="C2015" s="1699">
        <v>11877339</v>
      </c>
      <c r="D2015" s="1141"/>
      <c r="E2015" s="915"/>
      <c r="F2015" s="1310" t="s">
        <v>2251</v>
      </c>
      <c r="G2015" s="1699" t="s">
        <v>6949</v>
      </c>
      <c r="H2015" s="1160"/>
      <c r="I2015" s="1122"/>
      <c r="J2015" s="1486"/>
      <c r="K2015" s="1400"/>
      <c r="L2015" s="703"/>
      <c r="M2015" s="708"/>
      <c r="N2015" s="166"/>
      <c r="P2015" s="166"/>
    </row>
    <row r="2016" spans="1:16" s="1311" customFormat="1" ht="13.2" customHeight="1">
      <c r="A2016" s="1483"/>
      <c r="B2016" s="1323" t="s">
        <v>6968</v>
      </c>
      <c r="C2016" s="1307">
        <v>58365813</v>
      </c>
      <c r="D2016" s="1307"/>
      <c r="E2016" s="1307"/>
      <c r="F2016" s="1466"/>
      <c r="G2016" s="1709" t="s">
        <v>6969</v>
      </c>
      <c r="H2016" s="1712" t="s">
        <v>6970</v>
      </c>
      <c r="I2016" s="1317"/>
      <c r="J2016" s="1486"/>
      <c r="K2016" s="1400"/>
      <c r="L2016" s="703"/>
      <c r="M2016" s="708"/>
      <c r="N2016" s="166"/>
      <c r="P2016" s="166"/>
    </row>
    <row r="2017" spans="1:16" s="1311" customFormat="1" ht="13.2" customHeight="1">
      <c r="A2017" s="1483"/>
      <c r="B2017" s="1323" t="s">
        <v>6966</v>
      </c>
      <c r="C2017" s="1307">
        <v>14476369</v>
      </c>
      <c r="D2017" s="1307"/>
      <c r="E2017" s="1307"/>
      <c r="F2017" s="1466"/>
      <c r="G2017" s="1709" t="s">
        <v>2306</v>
      </c>
      <c r="H2017" s="1712" t="s">
        <v>6967</v>
      </c>
      <c r="I2017" s="1317"/>
      <c r="J2017" s="1486"/>
      <c r="K2017" s="1400"/>
      <c r="L2017" s="703"/>
      <c r="M2017" s="708"/>
      <c r="N2017" s="166"/>
      <c r="P2017" s="166"/>
    </row>
    <row r="2018" spans="1:16" s="1311" customFormat="1" ht="13.2" customHeight="1">
      <c r="A2018" s="1483"/>
      <c r="B2018" s="1323" t="s">
        <v>6965</v>
      </c>
      <c r="C2018" s="1307">
        <v>84812275</v>
      </c>
      <c r="D2018" s="1307"/>
      <c r="E2018" s="1307"/>
      <c r="F2018" s="1466"/>
      <c r="G2018" s="1709" t="s">
        <v>2059</v>
      </c>
      <c r="H2018" s="1712" t="s">
        <v>6964</v>
      </c>
      <c r="I2018" s="1317"/>
      <c r="J2018" s="1486"/>
      <c r="K2018" s="1400"/>
      <c r="L2018" s="703"/>
      <c r="M2018" s="708"/>
      <c r="N2018" s="166"/>
      <c r="P2018" s="166"/>
    </row>
    <row r="2019" spans="1:16" s="1311" customFormat="1" ht="13.2" customHeight="1">
      <c r="A2019" s="1483"/>
      <c r="B2019" s="1323" t="s">
        <v>6962</v>
      </c>
      <c r="C2019" s="1307">
        <v>35321332</v>
      </c>
      <c r="D2019" s="1307"/>
      <c r="E2019" s="1307"/>
      <c r="F2019" s="1466"/>
      <c r="G2019" s="1709" t="s">
        <v>1009</v>
      </c>
      <c r="H2019" s="1712" t="s">
        <v>6963</v>
      </c>
      <c r="I2019" s="1317"/>
      <c r="J2019" s="1486"/>
      <c r="K2019" s="1400"/>
      <c r="L2019" s="703"/>
      <c r="M2019" s="708"/>
      <c r="N2019" s="166"/>
      <c r="P2019" s="166"/>
    </row>
    <row r="2020" spans="1:16" s="1311" customFormat="1" ht="13.2" customHeight="1">
      <c r="A2020" s="1483"/>
      <c r="B2020" s="1316" t="s">
        <v>6956</v>
      </c>
      <c r="C2020" s="1305">
        <v>79092172</v>
      </c>
      <c r="D2020" s="1305"/>
      <c r="E2020" s="1305"/>
      <c r="F2020" s="1463"/>
      <c r="G2020" s="1707" t="s">
        <v>6957</v>
      </c>
      <c r="H2020" s="1708" t="s">
        <v>6958</v>
      </c>
      <c r="I2020" s="1317"/>
      <c r="J2020" s="1486"/>
      <c r="K2020" s="1400"/>
      <c r="L2020" s="703"/>
      <c r="M2020" s="708"/>
      <c r="N2020" s="166"/>
      <c r="P2020" s="166"/>
    </row>
    <row r="2021" spans="1:16" s="1311" customFormat="1" ht="13.2" customHeight="1">
      <c r="A2021" s="1483"/>
      <c r="B2021" s="1323" t="s">
        <v>6951</v>
      </c>
      <c r="C2021" s="1307">
        <v>39218193</v>
      </c>
      <c r="D2021" s="1307"/>
      <c r="E2021" s="1307"/>
      <c r="F2021" s="1466"/>
      <c r="G2021" s="1709" t="s">
        <v>6952</v>
      </c>
      <c r="H2021" s="1610"/>
      <c r="I2021" s="1317"/>
      <c r="J2021" s="1486"/>
      <c r="K2021" s="1400"/>
      <c r="L2021" s="703"/>
      <c r="M2021" s="708"/>
      <c r="N2021" s="166"/>
      <c r="P2021" s="166"/>
    </row>
    <row r="2022" spans="1:16" s="1311" customFormat="1" ht="13.2" customHeight="1">
      <c r="A2022" s="1483"/>
      <c r="B2022" s="1408" t="s">
        <v>6946</v>
      </c>
      <c r="C2022" s="1409">
        <v>62560644</v>
      </c>
      <c r="D2022" s="1409"/>
      <c r="E2022" s="1409"/>
      <c r="F2022" s="1702"/>
      <c r="G2022" s="1703" t="s">
        <v>6947</v>
      </c>
      <c r="H2022" s="1704"/>
      <c r="I2022" s="1410"/>
      <c r="J2022" s="1486"/>
      <c r="K2022" s="1400"/>
      <c r="L2022" s="703"/>
      <c r="M2022" s="708"/>
      <c r="N2022" s="166"/>
      <c r="P2022" s="166"/>
    </row>
    <row r="2023" spans="1:16" s="1311" customFormat="1" ht="13.2" customHeight="1">
      <c r="A2023" s="1483"/>
      <c r="B2023" s="1323" t="s">
        <v>6942</v>
      </c>
      <c r="C2023" s="1307">
        <v>16348588</v>
      </c>
      <c r="D2023" s="1307"/>
      <c r="E2023" s="1307"/>
      <c r="F2023" s="1466"/>
      <c r="G2023" s="1700" t="s">
        <v>4877</v>
      </c>
      <c r="H2023" s="1701" t="s">
        <v>6943</v>
      </c>
      <c r="I2023" s="1326"/>
      <c r="J2023" s="1486"/>
      <c r="K2023" s="1400"/>
      <c r="L2023" s="703"/>
      <c r="M2023" s="708"/>
      <c r="N2023" s="166"/>
      <c r="P2023" s="166"/>
    </row>
    <row r="2024" spans="1:16" s="1311" customFormat="1" ht="13.2" customHeight="1">
      <c r="A2024" s="1483"/>
      <c r="B2024" s="1323" t="s">
        <v>6940</v>
      </c>
      <c r="C2024" s="1307">
        <v>57066060</v>
      </c>
      <c r="D2024" s="1307"/>
      <c r="E2024" s="1307"/>
      <c r="F2024" s="1466"/>
      <c r="G2024" s="1700" t="s">
        <v>1009</v>
      </c>
      <c r="H2024" s="1701" t="s">
        <v>6941</v>
      </c>
      <c r="I2024" s="1326"/>
      <c r="J2024" s="1486"/>
      <c r="K2024" s="1400"/>
      <c r="L2024" s="703"/>
      <c r="M2024" s="708"/>
      <c r="N2024" s="166"/>
      <c r="P2024" s="166"/>
    </row>
    <row r="2025" spans="1:16" s="1311" customFormat="1" ht="13.2" customHeight="1">
      <c r="A2025" s="1483"/>
      <c r="B2025" s="1316" t="s">
        <v>6924</v>
      </c>
      <c r="C2025" s="1305">
        <v>41901665</v>
      </c>
      <c r="D2025" s="1305"/>
      <c r="E2025" s="1305"/>
      <c r="F2025" s="1463"/>
      <c r="G2025" s="1659" t="s">
        <v>1996</v>
      </c>
      <c r="H2025" s="1660" t="s">
        <v>4505</v>
      </c>
      <c r="I2025" s="1317"/>
      <c r="J2025" s="1486"/>
      <c r="K2025" s="1400"/>
      <c r="L2025" s="703"/>
      <c r="M2025" s="708"/>
      <c r="N2025" s="166"/>
      <c r="P2025" s="166"/>
    </row>
    <row r="2026" spans="1:16" s="1311" customFormat="1" ht="13.2" customHeight="1">
      <c r="A2026" s="1483"/>
      <c r="B2026" s="1316" t="s">
        <v>6879</v>
      </c>
      <c r="C2026" s="1305">
        <v>41658702</v>
      </c>
      <c r="D2026" s="1305"/>
      <c r="E2026" s="1305"/>
      <c r="F2026" s="1463"/>
      <c r="G2026" s="1463"/>
      <c r="H2026" s="1468"/>
      <c r="I2026" s="1317"/>
      <c r="J2026" s="1486"/>
      <c r="K2026" s="1400"/>
      <c r="L2026" s="703"/>
      <c r="M2026" s="708"/>
      <c r="N2026" s="166"/>
      <c r="P2026" s="166"/>
    </row>
    <row r="2027" spans="1:16" s="1311" customFormat="1" ht="13.2" customHeight="1">
      <c r="A2027" s="1483"/>
      <c r="B2027" s="1312" t="s">
        <v>6921</v>
      </c>
      <c r="C2027" s="1099"/>
      <c r="D2027" s="1145"/>
      <c r="E2027" s="917"/>
      <c r="F2027" s="1313"/>
      <c r="G2027" s="1658" t="s">
        <v>6922</v>
      </c>
      <c r="H2027" s="1173"/>
      <c r="I2027" s="1122"/>
      <c r="J2027" s="1486"/>
      <c r="K2027" s="1400"/>
      <c r="L2027" s="703"/>
      <c r="M2027" s="708"/>
      <c r="N2027" s="166"/>
      <c r="P2027" s="166"/>
    </row>
    <row r="2028" spans="1:16" s="1311" customFormat="1" ht="13.2" customHeight="1">
      <c r="A2028" s="1483"/>
      <c r="B2028" s="1312" t="s">
        <v>6917</v>
      </c>
      <c r="C2028" s="1099">
        <v>73324685</v>
      </c>
      <c r="D2028" s="1145"/>
      <c r="E2028" s="917"/>
      <c r="F2028" s="1313"/>
      <c r="G2028" s="1658" t="s">
        <v>4877</v>
      </c>
      <c r="H2028" s="1173"/>
      <c r="I2028" s="1122"/>
      <c r="J2028" s="1486"/>
      <c r="K2028" s="1400"/>
      <c r="L2028" s="703"/>
      <c r="M2028" s="708"/>
      <c r="N2028" s="166"/>
      <c r="P2028" s="166"/>
    </row>
    <row r="2029" spans="1:16" s="1311" customFormat="1" ht="13.2" customHeight="1">
      <c r="A2029" s="1483"/>
      <c r="B2029" s="1312" t="s">
        <v>6909</v>
      </c>
      <c r="C2029" s="1099"/>
      <c r="D2029" s="1145"/>
      <c r="E2029" s="917"/>
      <c r="F2029" s="1313"/>
      <c r="G2029" s="1658" t="s">
        <v>6910</v>
      </c>
      <c r="H2029" s="1173"/>
      <c r="I2029" s="1122"/>
      <c r="J2029" s="1486"/>
      <c r="K2029" s="1400"/>
      <c r="L2029" s="703"/>
      <c r="M2029" s="708"/>
      <c r="N2029" s="166"/>
      <c r="P2029" s="166"/>
    </row>
    <row r="2030" spans="1:16" s="1311" customFormat="1" ht="13.2" customHeight="1">
      <c r="A2030" s="1483"/>
      <c r="B2030" s="1312" t="s">
        <v>6907</v>
      </c>
      <c r="C2030" s="1099">
        <v>58589217</v>
      </c>
      <c r="D2030" s="1145"/>
      <c r="E2030" s="917"/>
      <c r="F2030" s="1313"/>
      <c r="G2030" s="1646" t="s">
        <v>6908</v>
      </c>
      <c r="H2030" s="1173"/>
      <c r="I2030" s="1122"/>
      <c r="J2030" s="1486"/>
      <c r="K2030" s="1400"/>
      <c r="L2030" s="703"/>
      <c r="M2030" s="708"/>
      <c r="N2030" s="166"/>
      <c r="P2030" s="166"/>
    </row>
    <row r="2031" spans="1:16" s="1311" customFormat="1" ht="13.2" customHeight="1">
      <c r="A2031" s="1483"/>
      <c r="B2031" s="1312" t="s">
        <v>6905</v>
      </c>
      <c r="C2031" s="1099">
        <v>84354824</v>
      </c>
      <c r="D2031" s="1145"/>
      <c r="E2031" s="917"/>
      <c r="F2031" s="1313"/>
      <c r="G2031" s="1646" t="s">
        <v>6906</v>
      </c>
      <c r="H2031" s="1173"/>
      <c r="I2031" s="1122"/>
      <c r="J2031" s="1486"/>
      <c r="K2031" s="1400"/>
      <c r="L2031" s="703"/>
      <c r="M2031" s="708"/>
      <c r="N2031" s="166"/>
      <c r="P2031" s="166"/>
    </row>
    <row r="2032" spans="1:16" s="1311" customFormat="1" ht="13.2" customHeight="1">
      <c r="A2032" s="1483"/>
      <c r="B2032" s="709" t="s">
        <v>6904</v>
      </c>
      <c r="C2032" s="1082">
        <v>56409072</v>
      </c>
      <c r="D2032" s="1141"/>
      <c r="E2032" s="915"/>
      <c r="F2032" s="1310"/>
      <c r="G2032" s="1484"/>
      <c r="H2032" s="1160"/>
      <c r="I2032" s="1122"/>
      <c r="J2032" s="1486"/>
      <c r="K2032" s="1400"/>
      <c r="L2032" s="703"/>
      <c r="M2032" s="708"/>
      <c r="N2032" s="166"/>
      <c r="P2032" s="166"/>
    </row>
    <row r="2033" spans="1:16" s="1311" customFormat="1" ht="13.2" customHeight="1">
      <c r="A2033" s="1483"/>
      <c r="B2033" s="1312" t="s">
        <v>6902</v>
      </c>
      <c r="C2033" s="1099">
        <v>71261298</v>
      </c>
      <c r="D2033" s="1145"/>
      <c r="E2033" s="917"/>
      <c r="F2033" s="1313"/>
      <c r="G2033" s="1646" t="s">
        <v>6903</v>
      </c>
      <c r="H2033" s="1173"/>
      <c r="I2033" s="1122"/>
      <c r="J2033" s="1486"/>
      <c r="K2033" s="1400"/>
      <c r="L2033" s="703"/>
      <c r="M2033" s="708"/>
      <c r="N2033" s="166"/>
      <c r="P2033" s="166"/>
    </row>
    <row r="2034" spans="1:16" s="1311" customFormat="1" ht="13.2" customHeight="1">
      <c r="A2034" s="1483"/>
      <c r="B2034" s="729" t="s">
        <v>6900</v>
      </c>
      <c r="C2034" s="1080">
        <v>82257804</v>
      </c>
      <c r="D2034" s="1618"/>
      <c r="E2034" s="1057"/>
      <c r="F2034" s="730"/>
      <c r="G2034" s="1655" t="s">
        <v>6901</v>
      </c>
      <c r="H2034" s="1619"/>
      <c r="I2034" s="1122"/>
      <c r="J2034" s="1486"/>
      <c r="K2034" s="1400"/>
      <c r="L2034" s="703"/>
      <c r="M2034" s="708"/>
      <c r="N2034" s="166"/>
      <c r="P2034" s="166"/>
    </row>
    <row r="2035" spans="1:16" s="1311" customFormat="1" ht="13.2" customHeight="1">
      <c r="A2035" s="1483"/>
      <c r="B2035" s="1001" t="s">
        <v>6898</v>
      </c>
      <c r="C2035" s="1086">
        <v>65389455</v>
      </c>
      <c r="D2035" s="1168"/>
      <c r="E2035" s="1002"/>
      <c r="F2035" s="980"/>
      <c r="G2035" s="1714" t="s">
        <v>6899</v>
      </c>
      <c r="H2035" s="1498"/>
      <c r="I2035" s="1122"/>
      <c r="J2035" s="1486"/>
      <c r="K2035" s="1400"/>
      <c r="L2035" s="703"/>
      <c r="M2035" s="708"/>
      <c r="N2035" s="166"/>
      <c r="P2035" s="166"/>
    </row>
    <row r="2036" spans="1:16" s="1311" customFormat="1" ht="13.2" customHeight="1">
      <c r="A2036" s="1483"/>
      <c r="B2036" s="975" t="s">
        <v>6896</v>
      </c>
      <c r="C2036" s="1180">
        <v>43623379</v>
      </c>
      <c r="D2036" s="1165"/>
      <c r="E2036" s="977"/>
      <c r="F2036" s="976"/>
      <c r="G2036" s="1648" t="s">
        <v>6897</v>
      </c>
      <c r="H2036" s="1161"/>
      <c r="I2036" s="1122"/>
      <c r="J2036" s="1486"/>
      <c r="K2036" s="1400"/>
      <c r="L2036" s="703"/>
      <c r="M2036" s="708"/>
      <c r="N2036" s="166"/>
      <c r="P2036" s="166"/>
    </row>
    <row r="2037" spans="1:16" s="1311" customFormat="1" ht="13.2" customHeight="1">
      <c r="A2037" s="1483"/>
      <c r="B2037" s="729" t="s">
        <v>6893</v>
      </c>
      <c r="C2037" s="1080">
        <v>14277721</v>
      </c>
      <c r="D2037" s="1618"/>
      <c r="E2037" s="1057"/>
      <c r="F2037" s="730"/>
      <c r="G2037" s="1655" t="s">
        <v>4877</v>
      </c>
      <c r="H2037" s="1619"/>
      <c r="I2037" s="1122"/>
      <c r="J2037" s="1486"/>
      <c r="K2037" s="1400"/>
      <c r="L2037" s="703"/>
      <c r="M2037" s="708"/>
      <c r="N2037" s="166"/>
      <c r="P2037" s="166"/>
    </row>
    <row r="2038" spans="1:16" s="1311" customFormat="1" ht="13.2" customHeight="1">
      <c r="A2038" s="1483"/>
      <c r="B2038" s="1312" t="s">
        <v>6856</v>
      </c>
      <c r="C2038" s="1099">
        <v>27925671</v>
      </c>
      <c r="D2038" s="1145"/>
      <c r="E2038" s="917"/>
      <c r="F2038" s="1313"/>
      <c r="G2038" s="1642" t="s">
        <v>6857</v>
      </c>
      <c r="H2038" s="1645" t="s">
        <v>4598</v>
      </c>
      <c r="I2038" s="1122"/>
      <c r="J2038" s="1486"/>
      <c r="K2038" s="1400"/>
      <c r="L2038" s="703"/>
      <c r="M2038" s="708"/>
      <c r="N2038" s="166"/>
      <c r="P2038" s="166"/>
    </row>
    <row r="2039" spans="1:16" s="1311" customFormat="1" ht="13.2" customHeight="1">
      <c r="A2039" s="1483"/>
      <c r="B2039" s="1312" t="s">
        <v>6877</v>
      </c>
      <c r="C2039" s="1099">
        <v>77188159</v>
      </c>
      <c r="D2039" s="1145"/>
      <c r="E2039" s="917"/>
      <c r="F2039" s="1313"/>
      <c r="G2039" s="1642" t="s">
        <v>6878</v>
      </c>
      <c r="H2039" s="1173"/>
      <c r="I2039" s="1122"/>
      <c r="J2039" s="1486"/>
      <c r="K2039" s="1400"/>
      <c r="L2039" s="703"/>
      <c r="M2039" s="708"/>
      <c r="N2039" s="166"/>
      <c r="P2039" s="166"/>
    </row>
    <row r="2040" spans="1:16" s="1311" customFormat="1" ht="13.2" customHeight="1">
      <c r="A2040" s="1483"/>
      <c r="B2040" s="1312" t="s">
        <v>6871</v>
      </c>
      <c r="C2040" s="1099">
        <v>36709804</v>
      </c>
      <c r="D2040" s="1145"/>
      <c r="E2040" s="917"/>
      <c r="F2040" s="1313"/>
      <c r="G2040" s="1642" t="s">
        <v>4877</v>
      </c>
      <c r="H2040" s="1173"/>
      <c r="I2040" s="1122"/>
      <c r="J2040" s="1486"/>
      <c r="K2040" s="1400"/>
      <c r="L2040" s="703"/>
      <c r="M2040" s="708"/>
      <c r="N2040" s="166"/>
      <c r="P2040" s="166"/>
    </row>
    <row r="2041" spans="1:16" s="1311" customFormat="1" ht="13.2" customHeight="1">
      <c r="A2041" s="1483"/>
      <c r="B2041" s="1312" t="s">
        <v>6869</v>
      </c>
      <c r="C2041" s="1099">
        <v>52791549</v>
      </c>
      <c r="D2041" s="1145"/>
      <c r="E2041" s="917"/>
      <c r="F2041" s="1313"/>
      <c r="G2041" s="1642" t="s">
        <v>6870</v>
      </c>
      <c r="H2041" s="1173"/>
      <c r="I2041" s="1122"/>
      <c r="J2041" s="1486"/>
      <c r="K2041" s="1400"/>
      <c r="L2041" s="703"/>
      <c r="M2041" s="708"/>
      <c r="N2041" s="166"/>
      <c r="P2041" s="166"/>
    </row>
    <row r="2042" spans="1:16" s="1311" customFormat="1" ht="13.2" customHeight="1">
      <c r="A2042" s="1483"/>
      <c r="B2042" s="1312" t="s">
        <v>6867</v>
      </c>
      <c r="C2042" s="1099">
        <v>29331592</v>
      </c>
      <c r="D2042" s="1145"/>
      <c r="E2042" s="917"/>
      <c r="F2042" s="1313"/>
      <c r="G2042" s="1642" t="s">
        <v>6868</v>
      </c>
      <c r="H2042" s="1173"/>
      <c r="I2042" s="1122"/>
      <c r="J2042" s="1486"/>
      <c r="K2042" s="1400"/>
      <c r="L2042" s="703"/>
      <c r="M2042" s="708"/>
      <c r="N2042" s="166"/>
      <c r="P2042" s="166"/>
    </row>
    <row r="2043" spans="1:16" s="1311" customFormat="1" ht="13.2" customHeight="1">
      <c r="A2043" s="1483"/>
      <c r="B2043" s="1312" t="s">
        <v>6865</v>
      </c>
      <c r="C2043" s="1099">
        <v>19954407</v>
      </c>
      <c r="D2043" s="1145"/>
      <c r="E2043" s="917"/>
      <c r="F2043" s="1313"/>
      <c r="G2043" s="1642" t="s">
        <v>6866</v>
      </c>
      <c r="H2043" s="1173"/>
      <c r="I2043" s="1122"/>
      <c r="J2043" s="1486"/>
      <c r="K2043" s="1400"/>
      <c r="L2043" s="703"/>
      <c r="M2043" s="708"/>
      <c r="N2043" s="166"/>
      <c r="P2043" s="166"/>
    </row>
    <row r="2044" spans="1:16" s="1311" customFormat="1" ht="13.2" customHeight="1">
      <c r="A2044" s="1483"/>
      <c r="B2044" s="1312" t="s">
        <v>6863</v>
      </c>
      <c r="C2044" s="1099">
        <v>86064785</v>
      </c>
      <c r="D2044" s="1145"/>
      <c r="E2044" s="917"/>
      <c r="F2044" s="1313"/>
      <c r="G2044" s="1642" t="s">
        <v>6864</v>
      </c>
      <c r="H2044" s="1173"/>
      <c r="I2044" s="1122"/>
      <c r="J2044" s="1486"/>
      <c r="K2044" s="1400"/>
      <c r="L2044" s="703"/>
      <c r="M2044" s="708"/>
      <c r="N2044" s="166"/>
      <c r="P2044" s="166"/>
    </row>
    <row r="2045" spans="1:16" s="1311" customFormat="1" ht="13.2" customHeight="1">
      <c r="A2045" s="1483"/>
      <c r="B2045" s="1312" t="s">
        <v>6844</v>
      </c>
      <c r="C2045" s="1099">
        <v>51084721</v>
      </c>
      <c r="D2045" s="1145"/>
      <c r="E2045" s="917"/>
      <c r="F2045" s="1313"/>
      <c r="G2045" s="1632" t="s">
        <v>6861</v>
      </c>
      <c r="H2045" s="1173"/>
      <c r="I2045" s="1122"/>
      <c r="J2045" s="1486"/>
      <c r="K2045" s="1400"/>
      <c r="L2045" s="703"/>
      <c r="M2045" s="708"/>
      <c r="N2045" s="166"/>
      <c r="P2045" s="166"/>
    </row>
    <row r="2046" spans="1:16" s="1311" customFormat="1" ht="13.2" customHeight="1">
      <c r="A2046" s="1483"/>
      <c r="B2046" s="1312" t="s">
        <v>6860</v>
      </c>
      <c r="C2046" s="1099">
        <v>62823391</v>
      </c>
      <c r="D2046" s="1145"/>
      <c r="E2046" s="917"/>
      <c r="F2046" s="1313"/>
      <c r="G2046" s="1632" t="s">
        <v>5006</v>
      </c>
      <c r="H2046" s="1173"/>
      <c r="I2046" s="1122"/>
      <c r="J2046" s="1486"/>
      <c r="K2046" s="1400"/>
      <c r="L2046" s="703"/>
      <c r="M2046" s="708"/>
      <c r="N2046" s="166"/>
      <c r="P2046" s="166"/>
    </row>
    <row r="2047" spans="1:16" s="1311" customFormat="1" ht="13.2" customHeight="1">
      <c r="A2047" s="1483"/>
      <c r="B2047" s="1312" t="s">
        <v>6856</v>
      </c>
      <c r="C2047" s="1099">
        <v>27925671</v>
      </c>
      <c r="D2047" s="1145"/>
      <c r="E2047" s="917"/>
      <c r="F2047" s="1313"/>
      <c r="G2047" s="1632" t="s">
        <v>6857</v>
      </c>
      <c r="H2047" s="1173"/>
      <c r="I2047" s="1122"/>
      <c r="J2047" s="1486"/>
      <c r="K2047" s="1400"/>
      <c r="L2047" s="703"/>
      <c r="M2047" s="708"/>
      <c r="N2047" s="166"/>
      <c r="P2047" s="166"/>
    </row>
    <row r="2048" spans="1:16" s="1311" customFormat="1" ht="13.2" customHeight="1">
      <c r="A2048" s="1483"/>
      <c r="B2048" s="709" t="s">
        <v>6855</v>
      </c>
      <c r="C2048" s="1082">
        <v>14353258</v>
      </c>
      <c r="D2048" s="1141"/>
      <c r="E2048" s="915"/>
      <c r="F2048" s="1310"/>
      <c r="G2048" s="1631" t="s">
        <v>4877</v>
      </c>
      <c r="H2048" s="1160"/>
      <c r="I2048" s="1122"/>
      <c r="J2048" s="1486"/>
      <c r="K2048" s="1400"/>
      <c r="L2048" s="703"/>
      <c r="M2048" s="708"/>
      <c r="N2048" s="166"/>
      <c r="P2048" s="166"/>
    </row>
    <row r="2049" spans="1:16" s="1311" customFormat="1" ht="13.2" customHeight="1">
      <c r="A2049" s="1483"/>
      <c r="B2049" s="1312" t="s">
        <v>6842</v>
      </c>
      <c r="C2049" s="1099">
        <v>68766739</v>
      </c>
      <c r="D2049" s="1145"/>
      <c r="E2049" s="917"/>
      <c r="F2049" s="1313"/>
      <c r="G2049" s="1632" t="s">
        <v>6843</v>
      </c>
      <c r="H2049" s="1173"/>
      <c r="I2049" s="1122"/>
      <c r="J2049" s="1486"/>
      <c r="K2049" s="1400"/>
      <c r="L2049" s="703"/>
      <c r="M2049" s="708"/>
      <c r="N2049" s="166"/>
      <c r="P2049" s="166"/>
    </row>
    <row r="2050" spans="1:16" s="1311" customFormat="1" ht="13.2" customHeight="1">
      <c r="A2050" s="1483"/>
      <c r="B2050" s="1312" t="s">
        <v>6828</v>
      </c>
      <c r="C2050" s="1099">
        <v>72485848</v>
      </c>
      <c r="D2050" s="1145"/>
      <c r="E2050" s="917"/>
      <c r="F2050" s="1313"/>
      <c r="G2050" s="1632" t="s">
        <v>6829</v>
      </c>
      <c r="H2050" s="1173"/>
      <c r="I2050" s="1122"/>
      <c r="J2050" s="1486"/>
      <c r="K2050" s="1400"/>
      <c r="L2050" s="703"/>
      <c r="M2050" s="708"/>
      <c r="N2050" s="166"/>
      <c r="P2050" s="166"/>
    </row>
    <row r="2051" spans="1:16" s="1311" customFormat="1" ht="13.2" customHeight="1">
      <c r="A2051" s="1483"/>
      <c r="B2051" s="975" t="s">
        <v>6826</v>
      </c>
      <c r="C2051" s="1180">
        <v>54816932</v>
      </c>
      <c r="D2051" s="1165"/>
      <c r="E2051" s="977"/>
      <c r="F2051" s="976"/>
      <c r="G2051" s="1633" t="s">
        <v>6827</v>
      </c>
      <c r="H2051" s="1161"/>
      <c r="I2051" s="1122"/>
      <c r="J2051" s="1486"/>
      <c r="K2051" s="1400"/>
      <c r="L2051" s="703"/>
      <c r="M2051" s="708"/>
      <c r="N2051" s="166"/>
      <c r="P2051" s="166"/>
    </row>
    <row r="2052" spans="1:16" s="1311" customFormat="1" ht="13.2" customHeight="1">
      <c r="A2052" s="1483"/>
      <c r="B2052" s="1312" t="s">
        <v>6825</v>
      </c>
      <c r="C2052" s="1099">
        <v>55407585</v>
      </c>
      <c r="D2052" s="1145"/>
      <c r="E2052" s="917"/>
      <c r="F2052" s="1313" t="s">
        <v>6862</v>
      </c>
      <c r="G2052" s="1632" t="s">
        <v>6840</v>
      </c>
      <c r="H2052" s="1173"/>
      <c r="I2052" s="1122"/>
      <c r="J2052" s="1486"/>
      <c r="K2052" s="1400"/>
      <c r="L2052" s="703"/>
      <c r="M2052" s="708"/>
      <c r="N2052" s="166"/>
      <c r="P2052" s="166"/>
    </row>
    <row r="2053" spans="1:16" s="1311" customFormat="1" ht="13.2" customHeight="1">
      <c r="A2053" s="1483"/>
      <c r="B2053" s="1312" t="s">
        <v>6824</v>
      </c>
      <c r="C2053" s="1099">
        <v>97214906</v>
      </c>
      <c r="D2053" s="1145"/>
      <c r="E2053" s="917"/>
      <c r="F2053" s="1313"/>
      <c r="G2053" s="1632" t="s">
        <v>4877</v>
      </c>
      <c r="H2053" s="1173"/>
      <c r="I2053" s="1122"/>
      <c r="J2053" s="1486"/>
      <c r="K2053" s="1400"/>
      <c r="L2053" s="703"/>
      <c r="M2053" s="708"/>
      <c r="N2053" s="166"/>
      <c r="P2053" s="166"/>
    </row>
    <row r="2054" spans="1:16" s="1311" customFormat="1" ht="13.2" customHeight="1">
      <c r="A2054" s="1483"/>
      <c r="B2054" s="1312" t="s">
        <v>6822</v>
      </c>
      <c r="C2054" s="1099">
        <v>39009525</v>
      </c>
      <c r="D2054" s="1145"/>
      <c r="E2054" s="917"/>
      <c r="F2054" s="1313"/>
      <c r="G2054" s="1632" t="s">
        <v>6823</v>
      </c>
      <c r="H2054" s="1173"/>
      <c r="I2054" s="1122"/>
      <c r="J2054" s="1486"/>
      <c r="K2054" s="1400"/>
      <c r="L2054" s="703"/>
      <c r="M2054" s="708"/>
      <c r="N2054" s="166"/>
      <c r="P2054" s="166"/>
    </row>
    <row r="2055" spans="1:16" s="1311" customFormat="1" ht="13.2" customHeight="1">
      <c r="A2055" s="1483"/>
      <c r="B2055" s="1312" t="s">
        <v>6820</v>
      </c>
      <c r="C2055" s="1099">
        <v>30326231</v>
      </c>
      <c r="D2055" s="1145"/>
      <c r="E2055" s="917"/>
      <c r="F2055" s="1313"/>
      <c r="G2055" s="1632" t="s">
        <v>6821</v>
      </c>
      <c r="H2055" s="1173"/>
      <c r="I2055" s="1122"/>
      <c r="J2055" s="1486"/>
      <c r="K2055" s="1400"/>
      <c r="L2055" s="703"/>
      <c r="M2055" s="708"/>
      <c r="N2055" s="166"/>
      <c r="P2055" s="166"/>
    </row>
    <row r="2056" spans="1:16" s="1311" customFormat="1" ht="13.2" customHeight="1">
      <c r="A2056" s="1483"/>
      <c r="B2056" s="1312" t="s">
        <v>6818</v>
      </c>
      <c r="C2056" s="1099">
        <v>81443243</v>
      </c>
      <c r="D2056" s="1145"/>
      <c r="E2056" s="917"/>
      <c r="F2056" s="1313"/>
      <c r="G2056" s="1632" t="s">
        <v>6819</v>
      </c>
      <c r="H2056" s="1173"/>
      <c r="I2056" s="1122"/>
      <c r="J2056" s="1486"/>
      <c r="K2056" s="1400"/>
      <c r="L2056" s="703"/>
      <c r="M2056" s="708"/>
      <c r="N2056" s="166"/>
      <c r="P2056" s="166"/>
    </row>
    <row r="2057" spans="1:16" s="1311" customFormat="1" ht="13.2" customHeight="1">
      <c r="A2057" s="1483"/>
      <c r="B2057" s="1312" t="s">
        <v>6816</v>
      </c>
      <c r="C2057" s="1099">
        <v>90909090</v>
      </c>
      <c r="D2057" s="1145"/>
      <c r="E2057" s="917"/>
      <c r="F2057" s="1313"/>
      <c r="G2057" s="1632" t="s">
        <v>6817</v>
      </c>
      <c r="H2057" s="1173"/>
      <c r="I2057" s="1631" t="s">
        <v>6841</v>
      </c>
      <c r="J2057" s="1486"/>
      <c r="K2057" s="1400"/>
      <c r="L2057" s="703"/>
      <c r="M2057" s="708"/>
      <c r="N2057" s="166"/>
      <c r="P2057" s="166"/>
    </row>
    <row r="2058" spans="1:16" s="1311" customFormat="1" ht="13.2" customHeight="1">
      <c r="A2058" s="1483"/>
      <c r="B2058" s="1312" t="s">
        <v>6814</v>
      </c>
      <c r="C2058" s="1638" t="s">
        <v>6815</v>
      </c>
      <c r="D2058" s="1145"/>
      <c r="E2058" s="917"/>
      <c r="F2058" s="1313"/>
      <c r="G2058" s="1632" t="s">
        <v>4877</v>
      </c>
      <c r="H2058" s="1173"/>
      <c r="I2058" s="1122"/>
      <c r="J2058" s="1486"/>
      <c r="K2058" s="1400"/>
      <c r="L2058" s="703"/>
      <c r="M2058" s="708"/>
      <c r="N2058" s="166"/>
      <c r="P2058" s="166"/>
    </row>
    <row r="2059" spans="1:16" s="1311" customFormat="1" ht="13.2" customHeight="1">
      <c r="A2059" s="1483"/>
      <c r="B2059" s="1312" t="s">
        <v>6807</v>
      </c>
      <c r="C2059" s="1099">
        <v>52402466</v>
      </c>
      <c r="D2059" s="1145"/>
      <c r="E2059" s="917"/>
      <c r="F2059" s="1313"/>
      <c r="G2059" s="1632" t="s">
        <v>6808</v>
      </c>
      <c r="H2059" s="1173"/>
      <c r="I2059" s="1122"/>
      <c r="J2059" s="1486"/>
      <c r="K2059" s="1400"/>
      <c r="L2059" s="703"/>
      <c r="M2059" s="708"/>
      <c r="N2059" s="166"/>
      <c r="P2059" s="166"/>
    </row>
    <row r="2060" spans="1:16" s="1311" customFormat="1" ht="13.2" customHeight="1">
      <c r="A2060" s="1483"/>
      <c r="B2060" s="1312" t="s">
        <v>6732</v>
      </c>
      <c r="C2060" s="1099"/>
      <c r="D2060" s="1145"/>
      <c r="E2060" s="917"/>
      <c r="F2060" s="1313"/>
      <c r="G2060" s="1486"/>
      <c r="H2060" s="1173"/>
      <c r="I2060" s="1122"/>
      <c r="J2060" s="1486"/>
      <c r="K2060" s="1400"/>
      <c r="L2060" s="703"/>
      <c r="M2060" s="708"/>
      <c r="N2060" s="166"/>
      <c r="P2060" s="166"/>
    </row>
    <row r="2061" spans="1:16" s="1311" customFormat="1" ht="13.2" customHeight="1">
      <c r="A2061" s="1483"/>
      <c r="B2061" s="1312" t="s">
        <v>6804</v>
      </c>
      <c r="C2061" s="1099">
        <v>45046664</v>
      </c>
      <c r="D2061" s="1145"/>
      <c r="E2061" s="917"/>
      <c r="F2061" s="1313"/>
      <c r="G2061" s="1627" t="s">
        <v>6803</v>
      </c>
      <c r="H2061" s="1173"/>
      <c r="I2061" s="1122"/>
      <c r="J2061" s="1486"/>
      <c r="K2061" s="1400"/>
      <c r="L2061" s="703"/>
      <c r="M2061" s="708"/>
      <c r="N2061" s="166"/>
      <c r="P2061" s="166"/>
    </row>
    <row r="2062" spans="1:16" s="1311" customFormat="1" ht="13.2" customHeight="1">
      <c r="A2062" s="1483"/>
      <c r="B2062" s="1312" t="s">
        <v>6802</v>
      </c>
      <c r="C2062" s="1099">
        <v>24849583</v>
      </c>
      <c r="D2062" s="1145"/>
      <c r="E2062" s="917"/>
      <c r="F2062" s="1313"/>
      <c r="G2062" s="1627" t="s">
        <v>6803</v>
      </c>
      <c r="H2062" s="1173"/>
      <c r="I2062" s="1122"/>
      <c r="J2062" s="1486"/>
      <c r="K2062" s="1400"/>
      <c r="L2062" s="703"/>
      <c r="M2062" s="708"/>
      <c r="N2062" s="166"/>
      <c r="P2062" s="166"/>
    </row>
    <row r="2063" spans="1:16" s="1311" customFormat="1" ht="13.2" customHeight="1">
      <c r="A2063" s="1483"/>
      <c r="B2063" s="1312" t="s">
        <v>6798</v>
      </c>
      <c r="C2063" s="1099">
        <v>23596176</v>
      </c>
      <c r="D2063" s="1145"/>
      <c r="E2063" s="917"/>
      <c r="F2063" s="1313"/>
      <c r="G2063" s="1627" t="s">
        <v>6799</v>
      </c>
      <c r="H2063" s="1173"/>
      <c r="I2063" s="1122"/>
      <c r="J2063" s="1486"/>
      <c r="K2063" s="1400"/>
      <c r="L2063" s="703"/>
      <c r="M2063" s="708"/>
      <c r="N2063" s="166"/>
      <c r="P2063" s="166"/>
    </row>
    <row r="2064" spans="1:16" s="1311" customFormat="1" ht="13.2" customHeight="1">
      <c r="A2064" s="1483"/>
      <c r="B2064" s="1312" t="s">
        <v>6795</v>
      </c>
      <c r="C2064" s="1099">
        <v>85231083</v>
      </c>
      <c r="D2064" s="1145"/>
      <c r="E2064" s="917"/>
      <c r="F2064" s="1313"/>
      <c r="G2064" s="1486"/>
      <c r="H2064" s="1173"/>
      <c r="I2064" s="1122"/>
      <c r="J2064" s="1486"/>
      <c r="K2064" s="1400"/>
      <c r="L2064" s="703"/>
      <c r="M2064" s="708"/>
      <c r="N2064" s="166"/>
      <c r="P2064" s="166"/>
    </row>
    <row r="2065" spans="1:16" s="1311" customFormat="1" ht="13.2" customHeight="1">
      <c r="A2065" s="1483"/>
      <c r="B2065" s="1312" t="s">
        <v>6784</v>
      </c>
      <c r="C2065" s="1099">
        <v>17955994</v>
      </c>
      <c r="D2065" s="1145"/>
      <c r="E2065" s="917"/>
      <c r="F2065" s="1313"/>
      <c r="G2065" s="1627" t="s">
        <v>3262</v>
      </c>
      <c r="H2065" s="1173"/>
      <c r="I2065" s="1122"/>
      <c r="J2065" s="1486"/>
      <c r="K2065" s="1400"/>
      <c r="L2065" s="703"/>
      <c r="M2065" s="708"/>
      <c r="N2065" s="166"/>
      <c r="P2065" s="166"/>
    </row>
    <row r="2066" spans="1:16" s="1311" customFormat="1" ht="13.2" customHeight="1">
      <c r="A2066" s="1483"/>
      <c r="B2066" s="1312" t="s">
        <v>6782</v>
      </c>
      <c r="C2066" s="1099">
        <v>37521096</v>
      </c>
      <c r="D2066" s="1145"/>
      <c r="E2066" s="917"/>
      <c r="F2066" s="1313"/>
      <c r="G2066" s="1627" t="s">
        <v>6783</v>
      </c>
      <c r="H2066" s="1173"/>
      <c r="I2066" s="1122"/>
      <c r="J2066" s="1486"/>
      <c r="K2066" s="1400"/>
      <c r="L2066" s="703"/>
      <c r="M2066" s="708"/>
      <c r="N2066" s="166"/>
      <c r="P2066" s="166"/>
    </row>
    <row r="2067" spans="1:16" s="1311" customFormat="1" ht="13.2" customHeight="1">
      <c r="A2067" s="1483"/>
      <c r="B2067" s="1312" t="s">
        <v>6781</v>
      </c>
      <c r="C2067" s="1099">
        <v>33346009</v>
      </c>
      <c r="D2067" s="1145"/>
      <c r="E2067" s="917"/>
      <c r="F2067" s="1313"/>
      <c r="G2067" s="1627" t="s">
        <v>3868</v>
      </c>
      <c r="H2067" s="1173"/>
      <c r="I2067" s="1122"/>
      <c r="J2067" s="1486"/>
      <c r="K2067" s="1400"/>
      <c r="L2067" s="703"/>
      <c r="M2067" s="708"/>
      <c r="N2067" s="166"/>
      <c r="P2067" s="166"/>
    </row>
    <row r="2068" spans="1:16" s="1311" customFormat="1" ht="13.2" customHeight="1">
      <c r="A2068" s="1483"/>
      <c r="B2068" s="1312" t="s">
        <v>6780</v>
      </c>
      <c r="C2068" s="1099">
        <v>18915350</v>
      </c>
      <c r="D2068" s="1145"/>
      <c r="E2068" s="917"/>
      <c r="F2068" s="1313"/>
      <c r="G2068" s="1486"/>
      <c r="H2068" s="1173"/>
      <c r="I2068" s="1122"/>
      <c r="J2068" s="1486"/>
      <c r="K2068" s="1400"/>
      <c r="L2068" s="703"/>
      <c r="M2068" s="708"/>
      <c r="N2068" s="166"/>
      <c r="P2068" s="166"/>
    </row>
    <row r="2069" spans="1:16" s="1311" customFormat="1" ht="13.2" customHeight="1">
      <c r="A2069" s="1483"/>
      <c r="B2069" s="1312" t="s">
        <v>6777</v>
      </c>
      <c r="C2069" s="1099">
        <v>82582771</v>
      </c>
      <c r="D2069" s="1145"/>
      <c r="E2069" s="917"/>
      <c r="F2069" s="1313"/>
      <c r="G2069" s="1627" t="s">
        <v>6778</v>
      </c>
      <c r="H2069" s="1173"/>
      <c r="I2069" s="1122"/>
      <c r="J2069" s="1486"/>
      <c r="K2069" s="1400"/>
      <c r="L2069" s="703"/>
      <c r="M2069" s="708"/>
      <c r="N2069" s="166"/>
      <c r="P2069" s="166"/>
    </row>
    <row r="2070" spans="1:16" s="1311" customFormat="1" ht="13.2" customHeight="1">
      <c r="A2070" s="1483"/>
      <c r="B2070" s="1312" t="s">
        <v>6774</v>
      </c>
      <c r="C2070" s="1099">
        <v>16809650</v>
      </c>
      <c r="D2070" s="1145"/>
      <c r="E2070" s="917"/>
      <c r="F2070" s="1313"/>
      <c r="G2070" s="1627" t="s">
        <v>6775</v>
      </c>
      <c r="H2070" s="1173"/>
      <c r="I2070" s="1122"/>
      <c r="J2070" s="1486"/>
      <c r="K2070" s="1400"/>
      <c r="L2070" s="703"/>
      <c r="M2070" s="708"/>
      <c r="N2070" s="166"/>
      <c r="P2070" s="166"/>
    </row>
    <row r="2071" spans="1:16" s="1311" customFormat="1" ht="13.2" customHeight="1">
      <c r="A2071" s="1483"/>
      <c r="B2071" s="1312" t="s">
        <v>6772</v>
      </c>
      <c r="C2071" s="1099">
        <v>97804947</v>
      </c>
      <c r="D2071" s="1145"/>
      <c r="E2071" s="917"/>
      <c r="F2071" s="1313"/>
      <c r="G2071" s="1620" t="s">
        <v>6773</v>
      </c>
      <c r="H2071" s="1173"/>
      <c r="I2071" s="1122"/>
      <c r="J2071" s="1486"/>
      <c r="K2071" s="1400"/>
      <c r="L2071" s="703"/>
      <c r="M2071" s="708"/>
      <c r="N2071" s="166"/>
      <c r="P2071" s="166"/>
    </row>
    <row r="2072" spans="1:16" s="1311" customFormat="1" ht="13.2" customHeight="1">
      <c r="A2072" s="1483"/>
      <c r="B2072" s="1312" t="s">
        <v>6769</v>
      </c>
      <c r="C2072" s="1099">
        <v>22334455</v>
      </c>
      <c r="D2072" s="1145"/>
      <c r="E2072" s="917"/>
      <c r="F2072" s="1313"/>
      <c r="G2072" s="1620" t="s">
        <v>6770</v>
      </c>
      <c r="H2072" s="1173"/>
      <c r="I2072" s="1122"/>
      <c r="J2072" s="1486"/>
      <c r="K2072" s="1400"/>
      <c r="L2072" s="703"/>
      <c r="M2072" s="708"/>
      <c r="N2072" s="166"/>
      <c r="P2072" s="166"/>
    </row>
    <row r="2073" spans="1:16" s="1311" customFormat="1" ht="13.2" customHeight="1">
      <c r="A2073" s="1483"/>
      <c r="B2073" s="1312" t="s">
        <v>6757</v>
      </c>
      <c r="C2073" s="1099">
        <v>27824528</v>
      </c>
      <c r="D2073" s="1145"/>
      <c r="E2073" s="917"/>
      <c r="F2073" s="1313"/>
      <c r="G2073" s="1620" t="s">
        <v>4877</v>
      </c>
      <c r="H2073" s="1173"/>
      <c r="I2073" s="1122"/>
      <c r="J2073" s="1486"/>
      <c r="K2073" s="1400"/>
      <c r="L2073" s="703"/>
      <c r="M2073" s="708"/>
      <c r="N2073" s="166"/>
      <c r="P2073" s="166"/>
    </row>
    <row r="2074" spans="1:16" s="1311" customFormat="1" ht="13.2" customHeight="1">
      <c r="A2074" s="1483"/>
      <c r="B2074" s="1312" t="s">
        <v>6756</v>
      </c>
      <c r="C2074" s="1099">
        <v>32525696</v>
      </c>
      <c r="D2074" s="1145"/>
      <c r="E2074" s="917"/>
      <c r="F2074" s="1313"/>
      <c r="G2074" s="1486"/>
      <c r="H2074" s="1173"/>
      <c r="I2074" s="1122"/>
      <c r="J2074" s="1486"/>
      <c r="K2074" s="1400"/>
      <c r="L2074" s="703"/>
      <c r="M2074" s="708"/>
      <c r="N2074" s="166"/>
      <c r="P2074" s="166"/>
    </row>
    <row r="2075" spans="1:16" s="1311" customFormat="1" ht="13.2" customHeight="1">
      <c r="A2075" s="1483"/>
      <c r="B2075" s="1312" t="s">
        <v>6754</v>
      </c>
      <c r="C2075" s="1099">
        <v>80934839</v>
      </c>
      <c r="D2075" s="1145"/>
      <c r="E2075" s="917"/>
      <c r="F2075" s="1313"/>
      <c r="G2075" s="1620" t="s">
        <v>6755</v>
      </c>
      <c r="H2075" s="1173"/>
      <c r="I2075" s="1122"/>
      <c r="J2075" s="1486"/>
      <c r="K2075" s="1400"/>
      <c r="L2075" s="703"/>
      <c r="M2075" s="708"/>
      <c r="N2075" s="166"/>
      <c r="P2075" s="166"/>
    </row>
    <row r="2076" spans="1:16" s="1311" customFormat="1" ht="13.2" customHeight="1">
      <c r="A2076" s="1483"/>
      <c r="B2076" s="1312" t="s">
        <v>6750</v>
      </c>
      <c r="C2076" s="1099">
        <v>28170409</v>
      </c>
      <c r="D2076" s="1145"/>
      <c r="E2076" s="917"/>
      <c r="F2076" s="1313"/>
      <c r="G2076" s="1620" t="s">
        <v>6753</v>
      </c>
      <c r="H2076" s="1173"/>
      <c r="I2076" s="1122"/>
      <c r="J2076" s="1486"/>
      <c r="K2076" s="1400"/>
      <c r="L2076" s="703"/>
      <c r="M2076" s="708"/>
      <c r="N2076" s="166"/>
      <c r="P2076" s="166"/>
    </row>
    <row r="2077" spans="1:16" s="1311" customFormat="1" ht="13.2" customHeight="1">
      <c r="A2077" s="1483"/>
      <c r="B2077" s="975" t="s">
        <v>6746</v>
      </c>
      <c r="C2077" s="1180">
        <v>59680173</v>
      </c>
      <c r="D2077" s="1165"/>
      <c r="E2077" s="977"/>
      <c r="F2077" s="976"/>
      <c r="G2077" s="1621" t="s">
        <v>6747</v>
      </c>
      <c r="H2077" s="1161"/>
      <c r="I2077" s="1122"/>
      <c r="J2077" s="1486"/>
      <c r="K2077" s="1400"/>
      <c r="L2077" s="703"/>
      <c r="M2077" s="708"/>
      <c r="N2077" s="166"/>
      <c r="P2077" s="166"/>
    </row>
    <row r="2078" spans="1:16" s="1311" customFormat="1" ht="13.2" customHeight="1">
      <c r="A2078" s="1483"/>
      <c r="B2078" s="1312" t="s">
        <v>6745</v>
      </c>
      <c r="C2078" s="1099">
        <v>56823414</v>
      </c>
      <c r="D2078" s="1145"/>
      <c r="E2078" s="917"/>
      <c r="F2078" s="1313"/>
      <c r="G2078" s="1620" t="s">
        <v>6433</v>
      </c>
      <c r="H2078" s="1173"/>
      <c r="I2078" s="1122"/>
      <c r="J2078" s="1486"/>
      <c r="K2078" s="1400"/>
      <c r="L2078" s="703"/>
      <c r="M2078" s="708"/>
      <c r="N2078" s="166"/>
      <c r="P2078" s="166"/>
    </row>
    <row r="2079" spans="1:16" s="1311" customFormat="1" ht="13.2" customHeight="1">
      <c r="A2079" s="1483"/>
      <c r="B2079" s="1312" t="s">
        <v>6744</v>
      </c>
      <c r="C2079" s="1099">
        <v>64034797</v>
      </c>
      <c r="D2079" s="1145"/>
      <c r="E2079" s="917"/>
      <c r="F2079" s="1313"/>
      <c r="G2079" s="1620" t="s">
        <v>6433</v>
      </c>
      <c r="H2079" s="1173"/>
      <c r="I2079" s="1122"/>
      <c r="J2079" s="1486"/>
      <c r="K2079" s="1400"/>
      <c r="L2079" s="703"/>
      <c r="M2079" s="708"/>
      <c r="N2079" s="166"/>
      <c r="P2079" s="166"/>
    </row>
    <row r="2080" spans="1:16" s="1311" customFormat="1" ht="13.2" customHeight="1">
      <c r="A2080" s="1483"/>
      <c r="B2080" s="1312" t="s">
        <v>6743</v>
      </c>
      <c r="C2080" s="1099">
        <v>62829073</v>
      </c>
      <c r="D2080" s="1145"/>
      <c r="E2080" s="917"/>
      <c r="F2080" s="1313"/>
      <c r="G2080" s="1620" t="s">
        <v>5542</v>
      </c>
      <c r="H2080" s="1173"/>
      <c r="I2080" s="1122"/>
      <c r="J2080" s="1486"/>
      <c r="K2080" s="1400"/>
      <c r="L2080" s="703"/>
      <c r="M2080" s="708"/>
      <c r="N2080" s="166"/>
      <c r="P2080" s="166"/>
    </row>
    <row r="2081" spans="1:16" s="1311" customFormat="1" ht="13.2" customHeight="1">
      <c r="A2081" s="1483"/>
      <c r="B2081" s="1312" t="s">
        <v>6738</v>
      </c>
      <c r="C2081" s="1099">
        <v>50880675</v>
      </c>
      <c r="D2081" s="1145"/>
      <c r="E2081" s="917"/>
      <c r="F2081" s="1313"/>
      <c r="G2081" s="1620" t="s">
        <v>6739</v>
      </c>
      <c r="H2081" s="1173"/>
      <c r="I2081" s="1122"/>
      <c r="J2081" s="1486"/>
      <c r="K2081" s="1400"/>
      <c r="L2081" s="703"/>
      <c r="M2081" s="708"/>
      <c r="N2081" s="166"/>
      <c r="P2081" s="166"/>
    </row>
    <row r="2082" spans="1:16" s="1311" customFormat="1" ht="13.2" customHeight="1">
      <c r="A2082" s="1483"/>
      <c r="B2082" s="1312" t="s">
        <v>6737</v>
      </c>
      <c r="C2082" s="1099">
        <v>43876451</v>
      </c>
      <c r="D2082" s="1145"/>
      <c r="E2082" s="917"/>
      <c r="F2082" s="1313"/>
      <c r="G2082" s="1620" t="s">
        <v>5709</v>
      </c>
      <c r="H2082" s="1173"/>
      <c r="I2082" s="1122"/>
      <c r="J2082" s="1486"/>
      <c r="K2082" s="1400"/>
      <c r="L2082" s="703"/>
      <c r="M2082" s="708"/>
      <c r="N2082" s="166"/>
      <c r="P2082" s="166"/>
    </row>
    <row r="2083" spans="1:16" s="1311" customFormat="1" ht="13.2" customHeight="1">
      <c r="A2083" s="1483"/>
      <c r="B2083" s="1312" t="s">
        <v>6734</v>
      </c>
      <c r="C2083" s="1099">
        <v>36979242</v>
      </c>
      <c r="D2083" s="1145"/>
      <c r="E2083" s="917"/>
      <c r="F2083" s="1313"/>
      <c r="G2083" s="1620" t="s">
        <v>6735</v>
      </c>
      <c r="H2083" s="1173"/>
      <c r="I2083" s="1122"/>
      <c r="J2083" s="1486"/>
      <c r="K2083" s="1400"/>
      <c r="L2083" s="703"/>
      <c r="M2083" s="708"/>
      <c r="N2083" s="166"/>
      <c r="P2083" s="166"/>
    </row>
    <row r="2084" spans="1:16" s="1311" customFormat="1" ht="13.2" customHeight="1">
      <c r="A2084" s="1483"/>
      <c r="B2084" s="1312" t="s">
        <v>6733</v>
      </c>
      <c r="C2084" s="1099">
        <v>52192169</v>
      </c>
      <c r="D2084" s="1145"/>
      <c r="E2084" s="917"/>
      <c r="F2084" s="1313"/>
      <c r="G2084" s="1620" t="s">
        <v>6736</v>
      </c>
      <c r="H2084" s="1173"/>
      <c r="I2084" s="1122"/>
      <c r="J2084" s="1486"/>
      <c r="K2084" s="1400"/>
      <c r="L2084" s="703"/>
      <c r="M2084" s="708"/>
      <c r="N2084" s="166"/>
      <c r="P2084" s="166"/>
    </row>
    <row r="2085" spans="1:16" s="1311" customFormat="1" ht="13.2" customHeight="1">
      <c r="A2085" s="1483"/>
      <c r="B2085" s="1312" t="s">
        <v>6732</v>
      </c>
      <c r="C2085" s="1099"/>
      <c r="D2085" s="1145"/>
      <c r="E2085" s="917"/>
      <c r="F2085" s="1313"/>
      <c r="G2085" s="1486"/>
      <c r="H2085" s="1173"/>
      <c r="I2085" s="1122"/>
      <c r="J2085" s="1486"/>
      <c r="K2085" s="1400"/>
      <c r="L2085" s="703"/>
      <c r="M2085" s="708"/>
      <c r="N2085" s="166"/>
      <c r="P2085" s="166"/>
    </row>
    <row r="2086" spans="1:16" s="1311" customFormat="1" ht="13.2" customHeight="1">
      <c r="A2086" s="1483"/>
      <c r="B2086" s="1312" t="s">
        <v>6726</v>
      </c>
      <c r="C2086" s="1099">
        <v>65255152</v>
      </c>
      <c r="D2086" s="1145"/>
      <c r="E2086" s="917"/>
      <c r="F2086" s="1313"/>
      <c r="G2086" s="1620" t="s">
        <v>6727</v>
      </c>
      <c r="H2086" s="1173"/>
      <c r="I2086" s="1122"/>
      <c r="J2086" s="1486"/>
      <c r="K2086" s="1400"/>
      <c r="L2086" s="703"/>
      <c r="M2086" s="708"/>
      <c r="N2086" s="166"/>
      <c r="P2086" s="166"/>
    </row>
    <row r="2087" spans="1:16" s="1311" customFormat="1" ht="13.2" customHeight="1">
      <c r="A2087" s="1483"/>
      <c r="B2087" s="1312" t="s">
        <v>6723</v>
      </c>
      <c r="C2087" s="1099">
        <v>41620891</v>
      </c>
      <c r="D2087" s="1145"/>
      <c r="E2087" s="917"/>
      <c r="F2087" s="1313"/>
      <c r="G2087" s="1604" t="s">
        <v>6724</v>
      </c>
      <c r="H2087" s="1173"/>
      <c r="I2087" s="1122"/>
      <c r="J2087" s="1486"/>
      <c r="K2087" s="1400"/>
      <c r="L2087" s="703"/>
      <c r="M2087" s="708"/>
      <c r="N2087" s="166"/>
      <c r="P2087" s="166"/>
    </row>
    <row r="2088" spans="1:16" s="1311" customFormat="1" ht="13.2" customHeight="1">
      <c r="A2088" s="1483"/>
      <c r="B2088" s="1312" t="s">
        <v>6717</v>
      </c>
      <c r="C2088" s="1099">
        <v>90642072</v>
      </c>
      <c r="D2088" s="1145"/>
      <c r="E2088" s="917"/>
      <c r="F2088" s="1313"/>
      <c r="G2088" s="1604" t="s">
        <v>4877</v>
      </c>
      <c r="H2088" s="1610" t="s">
        <v>6718</v>
      </c>
      <c r="I2088" s="1122"/>
      <c r="J2088" s="1486"/>
      <c r="K2088" s="1400"/>
      <c r="L2088" s="703"/>
      <c r="M2088" s="708"/>
      <c r="N2088" s="166"/>
      <c r="P2088" s="166"/>
    </row>
    <row r="2089" spans="1:16" s="1311" customFormat="1" ht="13.2" customHeight="1">
      <c r="A2089" s="1483"/>
      <c r="B2089" s="1312" t="s">
        <v>6708</v>
      </c>
      <c r="C2089" s="1099">
        <v>12022003</v>
      </c>
      <c r="D2089" s="1145"/>
      <c r="E2089" s="917"/>
      <c r="F2089" s="1313"/>
      <c r="G2089" s="1486"/>
      <c r="H2089" s="1173"/>
      <c r="I2089" s="1122"/>
      <c r="J2089" s="1486"/>
      <c r="K2089" s="1400"/>
      <c r="L2089" s="703"/>
      <c r="M2089" s="708"/>
      <c r="N2089" s="166"/>
      <c r="P2089" s="166"/>
    </row>
    <row r="2090" spans="1:16" s="1311" customFormat="1" ht="13.2" customHeight="1">
      <c r="A2090" s="1483"/>
      <c r="B2090" s="1312" t="s">
        <v>6702</v>
      </c>
      <c r="C2090" s="1099">
        <v>58973016</v>
      </c>
      <c r="D2090" s="1145"/>
      <c r="E2090" s="917"/>
      <c r="F2090" s="1313"/>
      <c r="G2090" s="1604" t="s">
        <v>6703</v>
      </c>
      <c r="H2090" s="1173"/>
      <c r="I2090" s="1122"/>
      <c r="J2090" s="1486"/>
      <c r="K2090" s="1400"/>
      <c r="L2090" s="703"/>
      <c r="M2090" s="708"/>
      <c r="N2090" s="166"/>
      <c r="P2090" s="166"/>
    </row>
    <row r="2091" spans="1:16" s="1311" customFormat="1" ht="13.2" customHeight="1">
      <c r="A2091" s="1483"/>
      <c r="B2091" s="961" t="s">
        <v>6700</v>
      </c>
      <c r="C2091" s="1078">
        <v>93239789</v>
      </c>
      <c r="D2091" s="1265"/>
      <c r="E2091" s="968"/>
      <c r="F2091" s="962"/>
      <c r="G2091" s="1606" t="s">
        <v>6701</v>
      </c>
      <c r="H2091" s="1607"/>
      <c r="I2091" s="1122"/>
      <c r="J2091" s="1486"/>
      <c r="K2091" s="1400"/>
      <c r="L2091" s="703"/>
      <c r="M2091" s="708"/>
      <c r="N2091" s="166"/>
      <c r="P2091" s="166"/>
    </row>
    <row r="2092" spans="1:16" s="1311" customFormat="1" ht="13.2" customHeight="1">
      <c r="A2092" s="1483"/>
      <c r="B2092" s="1312" t="s">
        <v>6698</v>
      </c>
      <c r="C2092" s="1099">
        <v>57774371</v>
      </c>
      <c r="D2092" s="1145"/>
      <c r="E2092" s="917"/>
      <c r="F2092" s="1313"/>
      <c r="G2092" s="1604" t="s">
        <v>6699</v>
      </c>
      <c r="H2092" s="1173"/>
      <c r="I2092" s="1122"/>
      <c r="J2092" s="1486"/>
      <c r="K2092" s="1400"/>
      <c r="L2092" s="703"/>
      <c r="M2092" s="708"/>
      <c r="N2092" s="166"/>
      <c r="P2092" s="166"/>
    </row>
    <row r="2093" spans="1:16" s="1311" customFormat="1" ht="13.2" customHeight="1">
      <c r="A2093" s="1483"/>
      <c r="B2093" s="1312" t="s">
        <v>6696</v>
      </c>
      <c r="C2093" s="1099">
        <v>74512212</v>
      </c>
      <c r="D2093" s="1145"/>
      <c r="E2093" s="917"/>
      <c r="F2093" s="1313"/>
      <c r="G2093" s="1604" t="s">
        <v>4877</v>
      </c>
      <c r="H2093" s="1173"/>
      <c r="I2093" s="1122"/>
      <c r="J2093" s="1486"/>
      <c r="K2093" s="1400"/>
      <c r="L2093" s="703"/>
      <c r="M2093" s="708"/>
      <c r="N2093" s="166"/>
      <c r="P2093" s="166"/>
    </row>
    <row r="2094" spans="1:16" s="1311" customFormat="1" ht="13.2" customHeight="1">
      <c r="A2094" s="1483"/>
      <c r="B2094" s="1312" t="s">
        <v>6526</v>
      </c>
      <c r="C2094" s="1099">
        <v>94058445</v>
      </c>
      <c r="D2094" s="1145"/>
      <c r="E2094" s="917"/>
      <c r="F2094" s="1313"/>
      <c r="G2094" s="1563" t="s">
        <v>6527</v>
      </c>
      <c r="H2094" s="1173"/>
      <c r="I2094" s="1122"/>
      <c r="J2094" s="1486"/>
      <c r="K2094" s="1400"/>
      <c r="L2094" s="703"/>
      <c r="M2094" s="708"/>
      <c r="N2094" s="166"/>
      <c r="P2094" s="166"/>
    </row>
    <row r="2095" spans="1:16" s="1311" customFormat="1" ht="13.2" customHeight="1">
      <c r="A2095" s="1483"/>
      <c r="B2095" s="1312" t="s">
        <v>6695</v>
      </c>
      <c r="C2095" s="1099">
        <v>25588984</v>
      </c>
      <c r="D2095" s="1145"/>
      <c r="E2095" s="917"/>
      <c r="F2095" s="1313"/>
      <c r="G2095" s="1604" t="s">
        <v>6147</v>
      </c>
      <c r="H2095" s="1173"/>
      <c r="I2095" s="1122"/>
      <c r="J2095" s="1486"/>
      <c r="K2095" s="1400"/>
      <c r="L2095" s="703"/>
      <c r="M2095" s="708"/>
      <c r="N2095" s="166"/>
      <c r="P2095" s="166"/>
    </row>
    <row r="2096" spans="1:16" s="1311" customFormat="1" ht="13.2" customHeight="1">
      <c r="A2096" s="1483"/>
      <c r="B2096" s="1312" t="s">
        <v>6693</v>
      </c>
      <c r="C2096" s="1099">
        <v>15202024</v>
      </c>
      <c r="D2096" s="1145"/>
      <c r="E2096" s="917"/>
      <c r="F2096" s="1313"/>
      <c r="G2096" s="1604" t="s">
        <v>6694</v>
      </c>
      <c r="H2096" s="1173"/>
      <c r="I2096" s="1122"/>
      <c r="J2096" s="1486"/>
      <c r="K2096" s="1400"/>
      <c r="L2096" s="703"/>
      <c r="M2096" s="708"/>
      <c r="N2096" s="166"/>
      <c r="P2096" s="166"/>
    </row>
    <row r="2097" spans="1:16" s="1311" customFormat="1" ht="13.2" customHeight="1">
      <c r="A2097" s="1483"/>
      <c r="B2097" s="1312" t="s">
        <v>6691</v>
      </c>
      <c r="C2097" s="1099">
        <v>73823479</v>
      </c>
      <c r="D2097" s="1145"/>
      <c r="E2097" s="917"/>
      <c r="F2097" s="1313"/>
      <c r="G2097" s="1604" t="s">
        <v>6692</v>
      </c>
      <c r="H2097" s="1173"/>
      <c r="I2097" s="1122"/>
      <c r="J2097" s="1486"/>
      <c r="K2097" s="1400"/>
      <c r="L2097" s="703"/>
      <c r="M2097" s="708"/>
      <c r="N2097" s="166"/>
      <c r="P2097" s="166"/>
    </row>
    <row r="2098" spans="1:16" s="1311" customFormat="1" ht="13.2" customHeight="1">
      <c r="A2098" s="1483"/>
      <c r="B2098" s="1312" t="s">
        <v>6689</v>
      </c>
      <c r="C2098" s="1099">
        <v>60513390</v>
      </c>
      <c r="D2098" s="1145"/>
      <c r="E2098" s="917"/>
      <c r="F2098" s="1313"/>
      <c r="G2098" s="1604" t="s">
        <v>6690</v>
      </c>
      <c r="H2098" s="1173"/>
      <c r="I2098" s="1122"/>
      <c r="J2098" s="1486"/>
      <c r="K2098" s="1400"/>
      <c r="L2098" s="703"/>
      <c r="M2098" s="708"/>
      <c r="N2098" s="166"/>
      <c r="P2098" s="166"/>
    </row>
    <row r="2099" spans="1:16" s="1311" customFormat="1" ht="13.2" customHeight="1">
      <c r="A2099" s="1483"/>
      <c r="B2099" s="1312" t="s">
        <v>6686</v>
      </c>
      <c r="C2099" s="1099">
        <v>99905038</v>
      </c>
      <c r="D2099" s="1145"/>
      <c r="E2099" s="917"/>
      <c r="F2099" s="1313"/>
      <c r="G2099" s="1604" t="s">
        <v>6687</v>
      </c>
      <c r="H2099" s="1173"/>
      <c r="I2099" s="1122"/>
      <c r="J2099" s="1486"/>
      <c r="K2099" s="1400"/>
      <c r="L2099" s="703"/>
      <c r="M2099" s="708"/>
      <c r="N2099" s="166"/>
      <c r="P2099" s="166"/>
    </row>
    <row r="2100" spans="1:16" s="1311" customFormat="1" ht="13.2" customHeight="1">
      <c r="A2100" s="1483"/>
      <c r="B2100" s="1312" t="s">
        <v>6684</v>
      </c>
      <c r="C2100" s="1099">
        <v>41741906</v>
      </c>
      <c r="D2100" s="1145"/>
      <c r="E2100" s="917"/>
      <c r="F2100" s="1313"/>
      <c r="G2100" s="1604" t="s">
        <v>6685</v>
      </c>
      <c r="H2100" s="1173"/>
      <c r="I2100" s="1122"/>
      <c r="J2100" s="1486"/>
      <c r="K2100" s="1400"/>
      <c r="L2100" s="703"/>
      <c r="M2100" s="708"/>
      <c r="N2100" s="166"/>
      <c r="P2100" s="166"/>
    </row>
    <row r="2101" spans="1:16" s="1311" customFormat="1" ht="13.2" customHeight="1">
      <c r="A2101" s="1483"/>
      <c r="B2101" s="1312" t="s">
        <v>6683</v>
      </c>
      <c r="C2101" s="1099"/>
      <c r="D2101" s="1145"/>
      <c r="E2101" s="917"/>
      <c r="F2101" s="1313"/>
      <c r="G2101" s="1486"/>
      <c r="H2101" s="1173"/>
      <c r="I2101" s="1122"/>
      <c r="J2101" s="1486"/>
      <c r="K2101" s="1400"/>
      <c r="L2101" s="703"/>
      <c r="M2101" s="708"/>
      <c r="N2101" s="166"/>
      <c r="P2101" s="166"/>
    </row>
    <row r="2102" spans="1:16" s="1311" customFormat="1" ht="13.2" customHeight="1">
      <c r="A2102" s="1483"/>
      <c r="B2102" s="1312" t="s">
        <v>6681</v>
      </c>
      <c r="C2102" s="1099">
        <v>10911632</v>
      </c>
      <c r="D2102" s="1145"/>
      <c r="E2102" s="917"/>
      <c r="F2102" s="1313"/>
      <c r="G2102" s="1604" t="s">
        <v>6682</v>
      </c>
      <c r="H2102" s="1173"/>
      <c r="I2102" s="1122"/>
      <c r="J2102" s="1486"/>
      <c r="K2102" s="1400"/>
      <c r="L2102" s="703"/>
      <c r="M2102" s="708"/>
      <c r="N2102" s="166"/>
      <c r="P2102" s="166"/>
    </row>
    <row r="2103" spans="1:16" s="1311" customFormat="1" ht="13.2" customHeight="1">
      <c r="A2103" s="1483"/>
      <c r="B2103" s="1312" t="s">
        <v>6678</v>
      </c>
      <c r="C2103" s="1099">
        <v>23735220</v>
      </c>
      <c r="D2103" s="1145"/>
      <c r="E2103" s="917"/>
      <c r="F2103" s="1313"/>
      <c r="G2103" s="1604" t="s">
        <v>6679</v>
      </c>
      <c r="H2103" s="1173"/>
      <c r="I2103" s="1122"/>
      <c r="J2103" s="1486"/>
      <c r="K2103" s="1400"/>
      <c r="L2103" s="703"/>
      <c r="M2103" s="708"/>
      <c r="N2103" s="166"/>
      <c r="P2103" s="166"/>
    </row>
    <row r="2104" spans="1:16" s="1311" customFormat="1" ht="13.2" customHeight="1">
      <c r="A2104" s="1483"/>
      <c r="B2104" s="1312" t="s">
        <v>6676</v>
      </c>
      <c r="C2104" s="1099">
        <v>46570467</v>
      </c>
      <c r="D2104" s="1145"/>
      <c r="E2104" s="917"/>
      <c r="F2104" s="1313"/>
      <c r="G2104" s="1604" t="s">
        <v>4877</v>
      </c>
      <c r="H2104" s="1173"/>
      <c r="I2104" s="1122"/>
      <c r="J2104" s="1486"/>
      <c r="K2104" s="1400"/>
      <c r="L2104" s="703"/>
      <c r="M2104" s="708"/>
      <c r="N2104" s="166"/>
      <c r="P2104" s="166"/>
    </row>
    <row r="2105" spans="1:16" s="1311" customFormat="1" ht="13.2" customHeight="1">
      <c r="A2105" s="1483"/>
      <c r="B2105" s="1312" t="s">
        <v>6675</v>
      </c>
      <c r="C2105" s="1099">
        <v>42063214</v>
      </c>
      <c r="D2105" s="1145"/>
      <c r="E2105" s="917"/>
      <c r="F2105" s="1313"/>
      <c r="G2105" s="1604" t="s">
        <v>5153</v>
      </c>
      <c r="H2105" s="1173"/>
      <c r="I2105" s="1122"/>
      <c r="J2105" s="1486"/>
      <c r="K2105" s="1400"/>
      <c r="L2105" s="703"/>
      <c r="M2105" s="708"/>
      <c r="N2105" s="166"/>
      <c r="P2105" s="166"/>
    </row>
    <row r="2106" spans="1:16" s="1311" customFormat="1" ht="13.2" customHeight="1">
      <c r="A2106" s="1483"/>
      <c r="B2106" s="1312" t="s">
        <v>6674</v>
      </c>
      <c r="C2106" s="1099">
        <v>62511990</v>
      </c>
      <c r="D2106" s="1145"/>
      <c r="E2106" s="917"/>
      <c r="F2106" s="1313"/>
      <c r="G2106" s="1604" t="s">
        <v>6673</v>
      </c>
      <c r="H2106" s="1173"/>
      <c r="I2106" s="1122"/>
      <c r="J2106" s="1486"/>
      <c r="K2106" s="1400"/>
      <c r="L2106" s="703"/>
      <c r="M2106" s="708"/>
      <c r="N2106" s="166"/>
      <c r="P2106" s="166"/>
    </row>
    <row r="2107" spans="1:16" s="1311" customFormat="1" ht="13.2" customHeight="1">
      <c r="A2107" s="1483"/>
      <c r="B2107" s="1312" t="s">
        <v>6672</v>
      </c>
      <c r="C2107" s="1099">
        <v>34827893</v>
      </c>
      <c r="D2107" s="1145"/>
      <c r="E2107" s="917"/>
      <c r="F2107" s="1313"/>
      <c r="G2107" s="1604" t="s">
        <v>6673</v>
      </c>
      <c r="H2107" s="1173"/>
      <c r="I2107" s="1122"/>
      <c r="J2107" s="1486"/>
      <c r="K2107" s="1400"/>
      <c r="L2107" s="703"/>
      <c r="M2107" s="708"/>
      <c r="N2107" s="166"/>
      <c r="P2107" s="166"/>
    </row>
    <row r="2108" spans="1:16" s="1311" customFormat="1" ht="13.2" customHeight="1">
      <c r="A2108" s="1483"/>
      <c r="B2108" s="1312" t="s">
        <v>6671</v>
      </c>
      <c r="C2108" s="1099">
        <v>36707189</v>
      </c>
      <c r="D2108" s="1145"/>
      <c r="E2108" s="917"/>
      <c r="F2108" s="1313"/>
      <c r="G2108" s="1604" t="s">
        <v>5006</v>
      </c>
      <c r="H2108" s="1173"/>
      <c r="I2108" s="1122"/>
      <c r="J2108" s="1486"/>
      <c r="K2108" s="1400"/>
      <c r="L2108" s="703"/>
      <c r="M2108" s="708"/>
      <c r="N2108" s="166"/>
      <c r="P2108" s="166"/>
    </row>
    <row r="2109" spans="1:16" s="1311" customFormat="1" ht="13.2" customHeight="1">
      <c r="A2109" s="1483"/>
      <c r="B2109" s="1312" t="s">
        <v>6668</v>
      </c>
      <c r="C2109" s="1099">
        <v>93703719</v>
      </c>
      <c r="D2109" s="1145"/>
      <c r="E2109" s="917"/>
      <c r="F2109" s="1313"/>
      <c r="G2109" s="1598" t="s">
        <v>6669</v>
      </c>
      <c r="H2109" s="1173"/>
      <c r="I2109" s="1122"/>
      <c r="J2109" s="1486"/>
      <c r="K2109" s="1400"/>
      <c r="L2109" s="703"/>
      <c r="M2109" s="708"/>
      <c r="N2109" s="166"/>
      <c r="P2109" s="166"/>
    </row>
    <row r="2110" spans="1:16" s="1311" customFormat="1" ht="13.2" customHeight="1">
      <c r="A2110" s="1483"/>
      <c r="B2110" s="1312" t="s">
        <v>6663</v>
      </c>
      <c r="C2110" s="1099">
        <v>21677973</v>
      </c>
      <c r="D2110" s="1145"/>
      <c r="E2110" s="917"/>
      <c r="F2110" s="1313"/>
      <c r="G2110" s="1598" t="s">
        <v>6664</v>
      </c>
      <c r="H2110" s="1173"/>
      <c r="I2110" s="1122"/>
      <c r="J2110" s="1486"/>
      <c r="K2110" s="1400"/>
      <c r="L2110" s="703"/>
      <c r="M2110" s="708"/>
      <c r="N2110" s="166"/>
      <c r="P2110" s="166"/>
    </row>
    <row r="2111" spans="1:16" s="1311" customFormat="1" ht="13.2" customHeight="1">
      <c r="A2111" s="1483"/>
      <c r="B2111" s="1312" t="s">
        <v>6659</v>
      </c>
      <c r="C2111" s="1099">
        <v>99046454</v>
      </c>
      <c r="D2111" s="1145"/>
      <c r="E2111" s="917"/>
      <c r="F2111" s="1313"/>
      <c r="G2111" s="1598" t="s">
        <v>6660</v>
      </c>
      <c r="H2111" s="1173"/>
      <c r="I2111" s="1122"/>
      <c r="J2111" s="1486"/>
      <c r="K2111" s="1400"/>
      <c r="L2111" s="703"/>
      <c r="M2111" s="708"/>
      <c r="N2111" s="166"/>
      <c r="P2111" s="166"/>
    </row>
    <row r="2112" spans="1:16" s="1311" customFormat="1" ht="13.2" customHeight="1">
      <c r="A2112" s="1483"/>
      <c r="B2112" s="1312" t="s">
        <v>6658</v>
      </c>
      <c r="C2112" s="1099">
        <v>55369043</v>
      </c>
      <c r="D2112" s="1145"/>
      <c r="E2112" s="917"/>
      <c r="F2112" s="1313"/>
      <c r="G2112" s="1598" t="s">
        <v>6657</v>
      </c>
      <c r="H2112" s="1173"/>
      <c r="I2112" s="1122"/>
      <c r="J2112" s="1486"/>
      <c r="K2112" s="1400"/>
      <c r="L2112" s="703"/>
      <c r="M2112" s="708"/>
      <c r="N2112" s="166"/>
      <c r="P2112" s="166"/>
    </row>
    <row r="2113" spans="1:16" s="1311" customFormat="1" ht="13.2" customHeight="1">
      <c r="A2113" s="1483"/>
      <c r="B2113" s="1312" t="s">
        <v>6656</v>
      </c>
      <c r="C2113" s="1099">
        <v>75533892</v>
      </c>
      <c r="D2113" s="1145"/>
      <c r="E2113" s="917"/>
      <c r="F2113" s="1313"/>
      <c r="G2113" s="1598" t="s">
        <v>6657</v>
      </c>
      <c r="H2113" s="1173"/>
      <c r="I2113" s="1122"/>
      <c r="J2113" s="1486"/>
      <c r="K2113" s="1400"/>
      <c r="L2113" s="703"/>
      <c r="M2113" s="708"/>
      <c r="N2113" s="166"/>
      <c r="P2113" s="166"/>
    </row>
    <row r="2114" spans="1:16" s="1311" customFormat="1" ht="13.2" customHeight="1">
      <c r="A2114" s="1483"/>
      <c r="B2114" s="1312" t="s">
        <v>6654</v>
      </c>
      <c r="C2114" s="1099">
        <v>75386582</v>
      </c>
      <c r="D2114" s="1145"/>
      <c r="E2114" s="917"/>
      <c r="F2114" s="1313"/>
      <c r="G2114" s="1598" t="s">
        <v>6655</v>
      </c>
      <c r="H2114" s="1173"/>
      <c r="I2114" s="1122"/>
      <c r="J2114" s="1486"/>
      <c r="K2114" s="1400"/>
      <c r="L2114" s="703"/>
      <c r="M2114" s="708"/>
      <c r="N2114" s="166"/>
      <c r="P2114" s="166"/>
    </row>
    <row r="2115" spans="1:16" s="1311" customFormat="1" ht="13.2" customHeight="1">
      <c r="A2115" s="1483"/>
      <c r="B2115" s="1312" t="s">
        <v>6651</v>
      </c>
      <c r="C2115" s="1099">
        <v>94220301</v>
      </c>
      <c r="D2115" s="1145"/>
      <c r="E2115" s="917"/>
      <c r="F2115" s="1313"/>
      <c r="G2115" s="1598" t="s">
        <v>6661</v>
      </c>
      <c r="H2115" s="1173"/>
      <c r="I2115" s="1122"/>
      <c r="J2115" s="1486"/>
      <c r="K2115" s="1400"/>
      <c r="L2115" s="703"/>
      <c r="M2115" s="708"/>
      <c r="N2115" s="166"/>
      <c r="P2115" s="166"/>
    </row>
    <row r="2116" spans="1:16" s="1311" customFormat="1" ht="13.2" customHeight="1">
      <c r="A2116" s="1483"/>
      <c r="B2116" s="1312" t="s">
        <v>6649</v>
      </c>
      <c r="C2116" s="1099">
        <v>10356763</v>
      </c>
      <c r="D2116" s="1145"/>
      <c r="E2116" s="917"/>
      <c r="F2116" s="1313"/>
      <c r="G2116" s="1598" t="s">
        <v>6650</v>
      </c>
      <c r="H2116" s="1173"/>
      <c r="I2116" s="1122"/>
      <c r="J2116" s="1486"/>
      <c r="K2116" s="1400"/>
      <c r="L2116" s="703"/>
      <c r="M2116" s="708"/>
      <c r="N2116" s="166"/>
      <c r="P2116" s="166"/>
    </row>
    <row r="2117" spans="1:16" s="1311" customFormat="1" ht="13.2" customHeight="1">
      <c r="A2117" s="1483"/>
      <c r="B2117" s="1312" t="s">
        <v>6647</v>
      </c>
      <c r="C2117" s="1099">
        <v>12739237</v>
      </c>
      <c r="D2117" s="1145"/>
      <c r="E2117" s="917"/>
      <c r="F2117" s="1313"/>
      <c r="G2117" s="1598" t="s">
        <v>6648</v>
      </c>
      <c r="H2117" s="1173"/>
      <c r="I2117" s="1122"/>
      <c r="J2117" s="1486"/>
      <c r="K2117" s="1400"/>
      <c r="L2117" s="703"/>
      <c r="M2117" s="708"/>
      <c r="N2117" s="166"/>
      <c r="P2117" s="166"/>
    </row>
    <row r="2118" spans="1:16" s="1311" customFormat="1" ht="13.2" customHeight="1">
      <c r="A2118" s="1483"/>
      <c r="B2118" s="1312" t="s">
        <v>6644</v>
      </c>
      <c r="C2118" s="1099">
        <v>79371311</v>
      </c>
      <c r="D2118" s="1145"/>
      <c r="E2118" s="917"/>
      <c r="F2118" s="1313"/>
      <c r="G2118" s="1598" t="s">
        <v>6645</v>
      </c>
      <c r="H2118" s="1173"/>
      <c r="I2118" s="1122"/>
      <c r="J2118" s="1486"/>
      <c r="K2118" s="1400"/>
      <c r="L2118" s="703"/>
      <c r="M2118" s="708"/>
      <c r="N2118" s="166"/>
      <c r="P2118" s="166"/>
    </row>
    <row r="2119" spans="1:16" s="1311" customFormat="1" ht="13.2" customHeight="1">
      <c r="A2119" s="1483"/>
      <c r="B2119" s="1312" t="s">
        <v>6642</v>
      </c>
      <c r="C2119" s="1099">
        <v>86461798</v>
      </c>
      <c r="D2119" s="1145"/>
      <c r="E2119" s="917"/>
      <c r="F2119" s="1313"/>
      <c r="G2119" s="1598" t="s">
        <v>6643</v>
      </c>
      <c r="H2119" s="1173"/>
      <c r="I2119" s="1122"/>
      <c r="J2119" s="1486"/>
      <c r="K2119" s="1400"/>
      <c r="L2119" s="703"/>
      <c r="M2119" s="708"/>
      <c r="N2119" s="166"/>
      <c r="P2119" s="166"/>
    </row>
    <row r="2120" spans="1:16" s="1311" customFormat="1" ht="13.2" customHeight="1">
      <c r="A2120" s="1483"/>
      <c r="B2120" s="1312" t="s">
        <v>6640</v>
      </c>
      <c r="C2120" s="1099">
        <v>48921673</v>
      </c>
      <c r="D2120" s="1145"/>
      <c r="E2120" s="917"/>
      <c r="F2120" s="1313"/>
      <c r="G2120" s="1598" t="s">
        <v>6641</v>
      </c>
      <c r="H2120" s="1173"/>
      <c r="I2120" s="1122"/>
      <c r="J2120" s="1486"/>
      <c r="K2120" s="1400"/>
      <c r="L2120" s="703"/>
      <c r="M2120" s="708"/>
      <c r="N2120" s="166"/>
      <c r="P2120" s="166"/>
    </row>
    <row r="2121" spans="1:16" s="1311" customFormat="1" ht="13.2" customHeight="1">
      <c r="A2121" s="1483"/>
      <c r="B2121" s="1312" t="s">
        <v>6627</v>
      </c>
      <c r="C2121" s="1099">
        <v>11456867</v>
      </c>
      <c r="D2121" s="1145"/>
      <c r="E2121" s="917"/>
      <c r="F2121" s="1313"/>
      <c r="G2121" s="1589" t="s">
        <v>6628</v>
      </c>
      <c r="H2121" s="1173"/>
      <c r="I2121" s="1122"/>
      <c r="J2121" s="1486"/>
      <c r="K2121" s="1400"/>
      <c r="L2121" s="703"/>
      <c r="M2121" s="708"/>
      <c r="N2121" s="166"/>
      <c r="P2121" s="166"/>
    </row>
    <row r="2122" spans="1:16" s="1311" customFormat="1" ht="13.2" customHeight="1">
      <c r="A2122" s="1483"/>
      <c r="B2122" s="1312" t="s">
        <v>6619</v>
      </c>
      <c r="C2122" s="1099">
        <v>41122009</v>
      </c>
      <c r="D2122" s="1145"/>
      <c r="E2122" s="917"/>
      <c r="F2122" s="1313"/>
      <c r="G2122" s="1589" t="s">
        <v>6620</v>
      </c>
      <c r="H2122" s="1173"/>
      <c r="I2122" s="1122"/>
      <c r="J2122" s="1486"/>
      <c r="K2122" s="1400"/>
      <c r="L2122" s="703"/>
      <c r="M2122" s="708"/>
      <c r="N2122" s="166"/>
      <c r="P2122" s="166"/>
    </row>
    <row r="2123" spans="1:16" s="1311" customFormat="1" ht="13.2" customHeight="1">
      <c r="A2123" s="1483"/>
      <c r="B2123" s="1312" t="s">
        <v>6611</v>
      </c>
      <c r="C2123" s="1099">
        <v>86985697</v>
      </c>
      <c r="D2123" s="1145"/>
      <c r="E2123" s="917"/>
      <c r="F2123" s="1313"/>
      <c r="G2123" s="1589" t="s">
        <v>6621</v>
      </c>
      <c r="H2123" s="1173"/>
      <c r="I2123" s="1122"/>
      <c r="J2123" s="1486"/>
      <c r="K2123" s="1400"/>
      <c r="L2123" s="703"/>
      <c r="M2123" s="708"/>
      <c r="N2123" s="166"/>
      <c r="P2123" s="166"/>
    </row>
    <row r="2124" spans="1:16" s="1311" customFormat="1" ht="13.2" customHeight="1">
      <c r="A2124" s="1483"/>
      <c r="B2124" s="1312" t="s">
        <v>6605</v>
      </c>
      <c r="C2124" s="1099">
        <v>91025259</v>
      </c>
      <c r="D2124" s="1145"/>
      <c r="E2124" s="917"/>
      <c r="F2124" s="1313"/>
      <c r="G2124" s="1583" t="s">
        <v>6606</v>
      </c>
      <c r="H2124" s="1173"/>
      <c r="I2124" s="1122"/>
      <c r="J2124" s="1486"/>
      <c r="K2124" s="1400"/>
      <c r="L2124" s="703"/>
      <c r="M2124" s="708"/>
      <c r="N2124" s="166"/>
      <c r="P2124" s="166"/>
    </row>
    <row r="2125" spans="1:16" s="1311" customFormat="1" ht="13.2" customHeight="1">
      <c r="A2125" s="1483"/>
      <c r="B2125" s="1312" t="s">
        <v>6603</v>
      </c>
      <c r="C2125" s="1099">
        <v>91171724</v>
      </c>
      <c r="D2125" s="1145"/>
      <c r="E2125" s="917"/>
      <c r="F2125" s="1313"/>
      <c r="G2125" s="1583" t="s">
        <v>6604</v>
      </c>
      <c r="H2125" s="1173"/>
      <c r="I2125" s="1122"/>
      <c r="J2125" s="1486"/>
      <c r="K2125" s="1400"/>
      <c r="L2125" s="703"/>
      <c r="M2125" s="708"/>
      <c r="N2125" s="166"/>
      <c r="P2125" s="166"/>
    </row>
    <row r="2126" spans="1:16" s="1311" customFormat="1" ht="13.2" customHeight="1">
      <c r="A2126" s="1483"/>
      <c r="B2126" s="1312" t="s">
        <v>6601</v>
      </c>
      <c r="C2126" s="1099">
        <v>29294611</v>
      </c>
      <c r="D2126" s="1145"/>
      <c r="E2126" s="917"/>
      <c r="F2126" s="1313"/>
      <c r="G2126" s="1583" t="s">
        <v>6602</v>
      </c>
      <c r="H2126" s="1173"/>
      <c r="I2126" s="1122"/>
      <c r="J2126" s="1486"/>
      <c r="K2126" s="1400"/>
      <c r="L2126" s="703"/>
      <c r="M2126" s="708"/>
      <c r="N2126" s="166"/>
      <c r="P2126" s="166"/>
    </row>
    <row r="2127" spans="1:16" s="1311" customFormat="1" ht="13.2" customHeight="1">
      <c r="A2127" s="1483"/>
      <c r="B2127" s="1312" t="s">
        <v>6596</v>
      </c>
      <c r="C2127" s="1099"/>
      <c r="D2127" s="1145"/>
      <c r="E2127" s="917"/>
      <c r="F2127" s="1313"/>
      <c r="G2127" s="1583" t="s">
        <v>6597</v>
      </c>
      <c r="H2127" s="1173"/>
      <c r="I2127" s="1122"/>
      <c r="J2127" s="1486"/>
      <c r="K2127" s="1400"/>
      <c r="L2127" s="703"/>
      <c r="M2127" s="708"/>
      <c r="N2127" s="166"/>
      <c r="P2127" s="166"/>
    </row>
    <row r="2128" spans="1:16" s="1311" customFormat="1" ht="13.2" customHeight="1">
      <c r="A2128" s="1483"/>
      <c r="B2128" s="1312" t="s">
        <v>6593</v>
      </c>
      <c r="C2128" s="1099">
        <v>90286859</v>
      </c>
      <c r="D2128" s="1145"/>
      <c r="E2128" s="917"/>
      <c r="F2128" s="1313"/>
      <c r="G2128" s="1583" t="s">
        <v>6594</v>
      </c>
      <c r="H2128" s="1173"/>
      <c r="I2128" s="1122"/>
      <c r="J2128" s="1486"/>
      <c r="K2128" s="1400"/>
      <c r="L2128" s="703"/>
      <c r="M2128" s="708"/>
      <c r="N2128" s="166"/>
      <c r="P2128" s="166"/>
    </row>
    <row r="2129" spans="1:16" s="1311" customFormat="1" ht="13.2" customHeight="1">
      <c r="A2129" s="1483"/>
      <c r="B2129" s="1312" t="s">
        <v>6592</v>
      </c>
      <c r="C2129" s="1099">
        <v>11449028</v>
      </c>
      <c r="D2129" s="1145"/>
      <c r="E2129" s="917"/>
      <c r="F2129" s="1313"/>
      <c r="G2129" s="1583" t="s">
        <v>6591</v>
      </c>
      <c r="H2129" s="1173"/>
      <c r="I2129" s="1122"/>
      <c r="J2129" s="1486"/>
      <c r="K2129" s="1400"/>
      <c r="L2129" s="703"/>
      <c r="M2129" s="708"/>
      <c r="N2129" s="166"/>
      <c r="P2129" s="166"/>
    </row>
    <row r="2130" spans="1:16" s="1311" customFormat="1" ht="13.2" customHeight="1">
      <c r="A2130" s="1483"/>
      <c r="B2130" s="1312" t="s">
        <v>6590</v>
      </c>
      <c r="C2130" s="1099">
        <v>40504955</v>
      </c>
      <c r="D2130" s="1145"/>
      <c r="E2130" s="917"/>
      <c r="F2130" s="1313"/>
      <c r="G2130" s="1583" t="s">
        <v>6591</v>
      </c>
      <c r="H2130" s="1173"/>
      <c r="I2130" s="1122"/>
      <c r="J2130" s="1486"/>
      <c r="K2130" s="1400"/>
      <c r="L2130" s="703"/>
      <c r="M2130" s="708"/>
      <c r="N2130" s="166"/>
      <c r="P2130" s="166"/>
    </row>
    <row r="2131" spans="1:16" s="1311" customFormat="1" ht="13.2" customHeight="1">
      <c r="A2131" s="1483"/>
      <c r="B2131" s="1312" t="s">
        <v>6588</v>
      </c>
      <c r="C2131" s="1099">
        <v>62364924</v>
      </c>
      <c r="D2131" s="1145"/>
      <c r="E2131" s="917"/>
      <c r="F2131" s="1313"/>
      <c r="G2131" s="1583" t="s">
        <v>6589</v>
      </c>
      <c r="H2131" s="1173"/>
      <c r="I2131" s="1122"/>
      <c r="J2131" s="1486"/>
      <c r="K2131" s="1400"/>
      <c r="L2131" s="703"/>
      <c r="M2131" s="708"/>
      <c r="N2131" s="166"/>
      <c r="P2131" s="166"/>
    </row>
    <row r="2132" spans="1:16" s="1311" customFormat="1" ht="13.2" customHeight="1">
      <c r="A2132" s="1483"/>
      <c r="B2132" s="1312" t="s">
        <v>6581</v>
      </c>
      <c r="C2132" s="1099">
        <v>34613372</v>
      </c>
      <c r="D2132" s="1145"/>
      <c r="E2132" s="917"/>
      <c r="F2132" s="1313"/>
      <c r="G2132" s="1581" t="s">
        <v>6582</v>
      </c>
      <c r="H2132" s="1173"/>
      <c r="I2132" s="1122"/>
      <c r="J2132" s="1486"/>
      <c r="K2132" s="1400"/>
      <c r="L2132" s="703"/>
      <c r="M2132" s="708"/>
      <c r="N2132" s="166"/>
      <c r="P2132" s="166"/>
    </row>
    <row r="2133" spans="1:16" s="1311" customFormat="1" ht="13.2" customHeight="1">
      <c r="A2133" s="1483"/>
      <c r="B2133" s="1312" t="s">
        <v>6578</v>
      </c>
      <c r="C2133" s="1099">
        <v>65614058</v>
      </c>
      <c r="D2133" s="1145"/>
      <c r="E2133" s="917"/>
      <c r="F2133" s="1313"/>
      <c r="G2133" s="1581" t="s">
        <v>6579</v>
      </c>
      <c r="H2133" s="1173"/>
      <c r="I2133" s="1122"/>
      <c r="J2133" s="1486"/>
      <c r="K2133" s="1400"/>
      <c r="L2133" s="703"/>
      <c r="M2133" s="708"/>
      <c r="N2133" s="166"/>
      <c r="P2133" s="166"/>
    </row>
    <row r="2134" spans="1:16" s="1311" customFormat="1" ht="13.2" customHeight="1">
      <c r="A2134" s="1483"/>
      <c r="B2134" s="975" t="s">
        <v>6572</v>
      </c>
      <c r="C2134" s="1180">
        <v>82016191</v>
      </c>
      <c r="D2134" s="1165"/>
      <c r="E2134" s="977"/>
      <c r="F2134" s="976"/>
      <c r="G2134" s="1579" t="s">
        <v>6573</v>
      </c>
      <c r="H2134" s="1161"/>
      <c r="I2134" s="1122"/>
      <c r="J2134" s="1486"/>
      <c r="K2134" s="1400"/>
      <c r="L2134" s="703"/>
      <c r="M2134" s="708"/>
      <c r="N2134" s="166"/>
      <c r="P2134" s="166"/>
    </row>
    <row r="2135" spans="1:16" s="1311" customFormat="1" ht="13.2" customHeight="1">
      <c r="A2135" s="1483"/>
      <c r="B2135" s="1312" t="s">
        <v>6571</v>
      </c>
      <c r="C2135" s="1099">
        <v>41378523</v>
      </c>
      <c r="D2135" s="1145"/>
      <c r="E2135" s="917"/>
      <c r="F2135" s="1313"/>
      <c r="G2135" s="1578" t="s">
        <v>6569</v>
      </c>
      <c r="H2135" s="1173"/>
      <c r="I2135" s="1122"/>
      <c r="J2135" s="1486"/>
      <c r="K2135" s="1400"/>
      <c r="L2135" s="703"/>
      <c r="M2135" s="708"/>
      <c r="N2135" s="166"/>
      <c r="P2135" s="166"/>
    </row>
    <row r="2136" spans="1:16" s="1311" customFormat="1" ht="13.2" customHeight="1">
      <c r="A2136" s="1483"/>
      <c r="B2136" s="1312" t="s">
        <v>6568</v>
      </c>
      <c r="C2136" s="1099">
        <v>87518474</v>
      </c>
      <c r="D2136" s="1145"/>
      <c r="E2136" s="917"/>
      <c r="F2136" s="1313"/>
      <c r="G2136" s="1578" t="s">
        <v>6569</v>
      </c>
      <c r="H2136" s="1173"/>
      <c r="I2136" s="1122"/>
      <c r="J2136" s="1486"/>
      <c r="K2136" s="1400"/>
      <c r="L2136" s="703"/>
      <c r="M2136" s="708"/>
      <c r="N2136" s="166"/>
      <c r="P2136" s="166"/>
    </row>
    <row r="2137" spans="1:16" s="1311" customFormat="1" ht="13.2" customHeight="1">
      <c r="A2137" s="1483"/>
      <c r="B2137" s="709" t="s">
        <v>6563</v>
      </c>
      <c r="C2137" s="1082">
        <v>44469800</v>
      </c>
      <c r="D2137" s="1141"/>
      <c r="E2137" s="915"/>
      <c r="F2137" s="1310"/>
      <c r="G2137" s="1580" t="s">
        <v>6564</v>
      </c>
      <c r="H2137" s="1160"/>
      <c r="I2137" s="1122"/>
      <c r="J2137" s="1486"/>
      <c r="K2137" s="1400"/>
      <c r="L2137" s="703"/>
      <c r="M2137" s="708"/>
      <c r="N2137" s="166"/>
      <c r="P2137" s="166"/>
    </row>
    <row r="2138" spans="1:16" s="1311" customFormat="1" ht="13.2" customHeight="1">
      <c r="A2138" s="1483"/>
      <c r="B2138" s="1312" t="s">
        <v>6561</v>
      </c>
      <c r="C2138" s="1099">
        <v>16877736</v>
      </c>
      <c r="D2138" s="1145"/>
      <c r="E2138" s="917"/>
      <c r="F2138" s="1313"/>
      <c r="G2138" s="1578" t="s">
        <v>6565</v>
      </c>
      <c r="H2138" s="1173"/>
      <c r="I2138" s="1122"/>
      <c r="J2138" s="1486"/>
      <c r="K2138" s="1400"/>
      <c r="L2138" s="703"/>
      <c r="M2138" s="708"/>
      <c r="N2138" s="166"/>
      <c r="P2138" s="166"/>
    </row>
    <row r="2139" spans="1:16" s="1311" customFormat="1" ht="13.2" customHeight="1">
      <c r="A2139" s="1483"/>
      <c r="B2139" s="1312" t="s">
        <v>6552</v>
      </c>
      <c r="C2139" s="1099">
        <v>33649371</v>
      </c>
      <c r="D2139" s="1145"/>
      <c r="E2139" s="917"/>
      <c r="F2139" s="1313"/>
      <c r="G2139" s="1578" t="s">
        <v>122</v>
      </c>
      <c r="H2139" s="1173"/>
      <c r="I2139" s="1122"/>
      <c r="J2139" s="1486"/>
      <c r="K2139" s="1400"/>
      <c r="L2139" s="703"/>
      <c r="M2139" s="708"/>
      <c r="N2139" s="166"/>
      <c r="P2139" s="166"/>
    </row>
    <row r="2140" spans="1:16" s="1311" customFormat="1" ht="13.2" customHeight="1">
      <c r="A2140" s="1483"/>
      <c r="B2140" s="1312" t="s">
        <v>6311</v>
      </c>
      <c r="C2140" s="1099">
        <v>82065987</v>
      </c>
      <c r="D2140" s="1145"/>
      <c r="E2140" s="917"/>
      <c r="F2140" s="1313"/>
      <c r="G2140" s="1496" t="s">
        <v>1006</v>
      </c>
      <c r="H2140" s="1572" t="s">
        <v>6312</v>
      </c>
      <c r="I2140" s="1122"/>
      <c r="J2140" s="1486"/>
      <c r="K2140" s="1400"/>
      <c r="L2140" s="703"/>
      <c r="M2140" s="708"/>
      <c r="N2140" s="166"/>
      <c r="P2140" s="166"/>
    </row>
    <row r="2141" spans="1:16" s="1311" customFormat="1" ht="13.2" customHeight="1">
      <c r="A2141" s="1483"/>
      <c r="B2141" s="1312" t="s">
        <v>6549</v>
      </c>
      <c r="C2141" s="1099">
        <v>27225036</v>
      </c>
      <c r="D2141" s="1145"/>
      <c r="E2141" s="917"/>
      <c r="F2141" s="1313"/>
      <c r="G2141" s="1571" t="s">
        <v>6548</v>
      </c>
      <c r="H2141" s="1173"/>
      <c r="I2141" s="1122"/>
      <c r="J2141" s="1486"/>
      <c r="K2141" s="1400"/>
      <c r="L2141" s="703"/>
      <c r="M2141" s="708"/>
      <c r="N2141" s="166"/>
      <c r="P2141" s="166"/>
    </row>
    <row r="2142" spans="1:16" s="1311" customFormat="1" ht="13.2" customHeight="1">
      <c r="A2142" s="1483"/>
      <c r="B2142" s="1312" t="s">
        <v>6547</v>
      </c>
      <c r="C2142" s="1099">
        <v>25414692</v>
      </c>
      <c r="D2142" s="1145"/>
      <c r="E2142" s="917"/>
      <c r="F2142" s="1313"/>
      <c r="G2142" s="1571" t="s">
        <v>6548</v>
      </c>
      <c r="H2142" s="1173"/>
      <c r="I2142" s="1122"/>
      <c r="J2142" s="1486"/>
      <c r="K2142" s="1400"/>
      <c r="L2142" s="703"/>
      <c r="M2142" s="708"/>
      <c r="N2142" s="166"/>
      <c r="P2142" s="166"/>
    </row>
    <row r="2143" spans="1:16" s="1311" customFormat="1" ht="13.2" customHeight="1">
      <c r="A2143" s="1483"/>
      <c r="B2143" s="1312" t="s">
        <v>6543</v>
      </c>
      <c r="C2143" s="1099">
        <v>81206112</v>
      </c>
      <c r="D2143" s="1145"/>
      <c r="E2143" s="917"/>
      <c r="F2143" s="1313"/>
      <c r="G2143" s="1571" t="s">
        <v>6544</v>
      </c>
      <c r="H2143" s="1173"/>
      <c r="I2143" s="1122"/>
      <c r="J2143" s="1486"/>
      <c r="K2143" s="1400"/>
      <c r="L2143" s="703"/>
      <c r="M2143" s="708"/>
      <c r="N2143" s="166"/>
      <c r="P2143" s="166"/>
    </row>
    <row r="2144" spans="1:16" s="1311" customFormat="1" ht="13.2" customHeight="1">
      <c r="A2144" s="1483"/>
      <c r="B2144" s="1312" t="s">
        <v>6541</v>
      </c>
      <c r="C2144" s="1099">
        <v>92416652</v>
      </c>
      <c r="D2144" s="1145"/>
      <c r="E2144" s="917"/>
      <c r="F2144" s="1313"/>
      <c r="G2144" s="1571" t="s">
        <v>6542</v>
      </c>
      <c r="H2144" s="1572" t="s">
        <v>6545</v>
      </c>
      <c r="I2144" s="1122"/>
      <c r="J2144" s="1486"/>
      <c r="K2144" s="1400"/>
      <c r="L2144" s="703"/>
      <c r="M2144" s="708"/>
      <c r="N2144" s="166"/>
      <c r="P2144" s="166"/>
    </row>
    <row r="2145" spans="1:16" s="1311" customFormat="1" ht="13.2" customHeight="1">
      <c r="A2145" s="1483"/>
      <c r="B2145" s="1312" t="s">
        <v>6533</v>
      </c>
      <c r="C2145" s="1099">
        <v>11152773</v>
      </c>
      <c r="D2145" s="1145"/>
      <c r="E2145" s="917"/>
      <c r="F2145" s="1313"/>
      <c r="G2145" s="1576" t="s">
        <v>6553</v>
      </c>
      <c r="H2145" s="1173"/>
      <c r="I2145" s="1122"/>
      <c r="J2145" s="1486"/>
      <c r="K2145" s="1400"/>
      <c r="L2145" s="703"/>
      <c r="M2145" s="708"/>
      <c r="N2145" s="166"/>
      <c r="P2145" s="166"/>
    </row>
    <row r="2146" spans="1:16" s="1311" customFormat="1" ht="13.2" customHeight="1">
      <c r="A2146" s="1483"/>
      <c r="B2146" s="1312" t="s">
        <v>6530</v>
      </c>
      <c r="C2146" s="1099">
        <v>94545864</v>
      </c>
      <c r="D2146" s="1145"/>
      <c r="E2146" s="917"/>
      <c r="F2146" s="1313"/>
      <c r="G2146" s="1563" t="s">
        <v>6531</v>
      </c>
      <c r="H2146" s="1173"/>
      <c r="I2146" s="1122"/>
      <c r="J2146" s="1486"/>
      <c r="K2146" s="1400"/>
      <c r="L2146" s="703"/>
      <c r="M2146" s="708"/>
      <c r="N2146" s="166"/>
      <c r="P2146" s="166"/>
    </row>
    <row r="2147" spans="1:16" s="1311" customFormat="1" ht="13.2" customHeight="1">
      <c r="A2147" s="1483"/>
      <c r="B2147" s="975" t="s">
        <v>6526</v>
      </c>
      <c r="C2147" s="1180">
        <v>94058445</v>
      </c>
      <c r="D2147" s="1165"/>
      <c r="E2147" s="977"/>
      <c r="F2147" s="976"/>
      <c r="G2147" s="1596" t="s">
        <v>6527</v>
      </c>
      <c r="H2147" s="1161"/>
      <c r="I2147" s="1122"/>
      <c r="J2147" s="1486"/>
      <c r="K2147" s="1400"/>
      <c r="L2147" s="703"/>
      <c r="M2147" s="708"/>
      <c r="N2147" s="166"/>
      <c r="P2147" s="166"/>
    </row>
    <row r="2148" spans="1:16" s="1311" customFormat="1" ht="13.2" customHeight="1">
      <c r="A2148" s="1483"/>
      <c r="B2148" s="1312" t="s">
        <v>6517</v>
      </c>
      <c r="C2148" s="1099">
        <v>37090542</v>
      </c>
      <c r="D2148" s="1145"/>
      <c r="E2148" s="917"/>
      <c r="F2148" s="1313"/>
      <c r="G2148" s="1563" t="s">
        <v>6433</v>
      </c>
      <c r="H2148" s="1173"/>
      <c r="I2148" s="1122"/>
      <c r="J2148" s="1486"/>
      <c r="K2148" s="1400"/>
      <c r="L2148" s="703"/>
      <c r="M2148" s="708"/>
      <c r="N2148" s="166"/>
      <c r="P2148" s="166"/>
    </row>
    <row r="2149" spans="1:16" s="1311" customFormat="1" ht="13.2" customHeight="1">
      <c r="A2149" s="1483"/>
      <c r="B2149" s="1312" t="s">
        <v>6512</v>
      </c>
      <c r="C2149" s="1099"/>
      <c r="D2149" s="1145"/>
      <c r="E2149" s="917"/>
      <c r="F2149" s="1313"/>
      <c r="G2149" s="1563" t="s">
        <v>6513</v>
      </c>
      <c r="H2149" s="1173"/>
      <c r="I2149" s="1122"/>
      <c r="J2149" s="1486"/>
      <c r="K2149" s="1400"/>
      <c r="L2149" s="703"/>
      <c r="M2149" s="708"/>
      <c r="N2149" s="166"/>
      <c r="P2149" s="166"/>
    </row>
    <row r="2150" spans="1:16" s="1311" customFormat="1" ht="13.2" customHeight="1">
      <c r="A2150" s="1483"/>
      <c r="B2150" s="1312" t="s">
        <v>6504</v>
      </c>
      <c r="C2150" s="1099">
        <v>12345678</v>
      </c>
      <c r="D2150" s="1145"/>
      <c r="E2150" s="917"/>
      <c r="F2150" s="1313"/>
      <c r="G2150" s="1563" t="s">
        <v>6505</v>
      </c>
      <c r="H2150" s="1173"/>
      <c r="I2150" s="1122"/>
      <c r="J2150" s="1486"/>
      <c r="K2150" s="1400"/>
      <c r="L2150" s="703"/>
      <c r="M2150" s="708"/>
      <c r="N2150" s="166"/>
      <c r="P2150" s="166"/>
    </row>
    <row r="2151" spans="1:16" s="1311" customFormat="1" ht="13.2" customHeight="1">
      <c r="A2151" s="1483"/>
      <c r="B2151" s="1312" t="s">
        <v>6502</v>
      </c>
      <c r="C2151" s="1099">
        <v>74265124</v>
      </c>
      <c r="D2151" s="1145"/>
      <c r="E2151" s="917"/>
      <c r="F2151" s="1313"/>
      <c r="G2151" s="1559" t="s">
        <v>6345</v>
      </c>
      <c r="H2151" s="1173"/>
      <c r="I2151" s="1122"/>
      <c r="J2151" s="1486"/>
      <c r="K2151" s="1400"/>
      <c r="L2151" s="703"/>
      <c r="M2151" s="708"/>
      <c r="N2151" s="166"/>
      <c r="P2151" s="166"/>
    </row>
    <row r="2152" spans="1:16" s="1311" customFormat="1" ht="13.2" customHeight="1">
      <c r="A2152" s="1483"/>
      <c r="B2152" s="1312" t="s">
        <v>6495</v>
      </c>
      <c r="C2152" s="1099">
        <v>95026368</v>
      </c>
      <c r="D2152" s="1145"/>
      <c r="E2152" s="917"/>
      <c r="F2152" s="1313"/>
      <c r="G2152" s="1559" t="s">
        <v>6496</v>
      </c>
      <c r="H2152" s="1173"/>
      <c r="I2152" s="1122"/>
      <c r="J2152" s="1486"/>
      <c r="K2152" s="1400"/>
      <c r="L2152" s="703"/>
      <c r="M2152" s="708"/>
      <c r="N2152" s="166"/>
      <c r="P2152" s="166"/>
    </row>
    <row r="2153" spans="1:16" s="1311" customFormat="1" ht="13.2" customHeight="1">
      <c r="A2153" s="1483"/>
      <c r="B2153" s="1312" t="s">
        <v>6344</v>
      </c>
      <c r="C2153" s="1099">
        <v>32705502</v>
      </c>
      <c r="D2153" s="1145"/>
      <c r="E2153" s="917"/>
      <c r="F2153" s="1313"/>
      <c r="G2153" s="1504" t="s">
        <v>6345</v>
      </c>
      <c r="H2153" s="1173"/>
      <c r="I2153" s="1122"/>
      <c r="J2153" s="1486"/>
      <c r="K2153" s="1400"/>
      <c r="L2153" s="703"/>
      <c r="M2153" s="708"/>
      <c r="N2153" s="166"/>
      <c r="P2153" s="166"/>
    </row>
    <row r="2154" spans="1:16" s="1311" customFormat="1" ht="13.2" customHeight="1">
      <c r="A2154" s="1483"/>
      <c r="B2154" s="1312" t="s">
        <v>6493</v>
      </c>
      <c r="C2154" s="1099">
        <v>19743947</v>
      </c>
      <c r="D2154" s="1145"/>
      <c r="E2154" s="917"/>
      <c r="F2154" s="1313"/>
      <c r="G2154" s="1559" t="s">
        <v>4877</v>
      </c>
      <c r="H2154" s="1173"/>
      <c r="I2154" s="1122"/>
      <c r="J2154" s="1486"/>
      <c r="K2154" s="1400"/>
      <c r="L2154" s="703"/>
      <c r="M2154" s="708"/>
      <c r="N2154" s="166"/>
      <c r="P2154" s="166"/>
    </row>
    <row r="2155" spans="1:16" s="1311" customFormat="1" ht="13.2" customHeight="1">
      <c r="A2155" s="1483"/>
      <c r="B2155" s="1312" t="s">
        <v>6490</v>
      </c>
      <c r="C2155" s="1099">
        <v>30102005</v>
      </c>
      <c r="D2155" s="1145"/>
      <c r="E2155" s="917"/>
      <c r="F2155" s="1313"/>
      <c r="G2155" s="1559" t="s">
        <v>6433</v>
      </c>
      <c r="H2155" s="1568" t="s">
        <v>6494</v>
      </c>
      <c r="I2155" s="1122"/>
      <c r="J2155" s="1486"/>
      <c r="K2155" s="1400"/>
      <c r="L2155" s="703"/>
      <c r="M2155" s="708"/>
      <c r="N2155" s="166"/>
      <c r="P2155" s="166"/>
    </row>
    <row r="2156" spans="1:16" s="1311" customFormat="1" ht="13.2" customHeight="1">
      <c r="A2156" s="1483"/>
      <c r="B2156" s="1312" t="s">
        <v>6472</v>
      </c>
      <c r="C2156" s="1099">
        <v>91282713</v>
      </c>
      <c r="D2156" s="1145"/>
      <c r="E2156" s="917"/>
      <c r="F2156" s="1313"/>
      <c r="G2156" s="1556" t="s">
        <v>3262</v>
      </c>
      <c r="H2156" s="1558" t="s">
        <v>6473</v>
      </c>
      <c r="I2156" s="1122"/>
      <c r="J2156" s="1486"/>
      <c r="K2156" s="1400"/>
      <c r="L2156" s="703"/>
      <c r="M2156" s="708"/>
      <c r="N2156" s="166"/>
      <c r="P2156" s="166"/>
    </row>
    <row r="2157" spans="1:16" s="1311" customFormat="1" ht="13.2" customHeight="1">
      <c r="A2157" s="1483"/>
      <c r="B2157" s="1312" t="s">
        <v>6456</v>
      </c>
      <c r="C2157" s="1099">
        <v>43776471</v>
      </c>
      <c r="D2157" s="1145"/>
      <c r="E2157" s="917"/>
      <c r="F2157" s="1313"/>
      <c r="G2157" s="1546" t="s">
        <v>6457</v>
      </c>
      <c r="H2157" s="1173"/>
      <c r="I2157" s="1122"/>
      <c r="J2157" s="1486"/>
      <c r="K2157" s="1400"/>
      <c r="L2157" s="703"/>
      <c r="M2157" s="708"/>
      <c r="N2157" s="166"/>
      <c r="P2157" s="166"/>
    </row>
    <row r="2158" spans="1:16" s="1311" customFormat="1" ht="13.2" customHeight="1">
      <c r="A2158" s="1483"/>
      <c r="B2158" s="1312" t="s">
        <v>6453</v>
      </c>
      <c r="C2158" s="1099">
        <v>92921401</v>
      </c>
      <c r="D2158" s="1145"/>
      <c r="E2158" s="917"/>
      <c r="F2158" s="1313"/>
      <c r="G2158" s="1546" t="s">
        <v>6454</v>
      </c>
      <c r="H2158" s="1173"/>
      <c r="I2158" s="1122"/>
      <c r="J2158" s="1486"/>
      <c r="K2158" s="1400"/>
      <c r="L2158" s="703"/>
      <c r="M2158" s="708"/>
      <c r="N2158" s="166"/>
      <c r="P2158" s="166"/>
    </row>
    <row r="2159" spans="1:16" s="1311" customFormat="1" ht="13.2" customHeight="1">
      <c r="A2159" s="1483"/>
      <c r="B2159" s="1312" t="s">
        <v>6451</v>
      </c>
      <c r="C2159" s="1099">
        <v>14966127</v>
      </c>
      <c r="D2159" s="1145"/>
      <c r="E2159" s="917"/>
      <c r="F2159" s="1313"/>
      <c r="G2159" s="1546" t="s">
        <v>6452</v>
      </c>
      <c r="H2159" s="1173"/>
      <c r="I2159" s="1122"/>
      <c r="J2159" s="1486"/>
      <c r="K2159" s="1400"/>
      <c r="L2159" s="703"/>
      <c r="M2159" s="708"/>
      <c r="N2159" s="166"/>
      <c r="P2159" s="166"/>
    </row>
    <row r="2160" spans="1:16" s="1311" customFormat="1" ht="13.2" customHeight="1">
      <c r="A2160" s="1483"/>
      <c r="B2160" s="1312" t="s">
        <v>6441</v>
      </c>
      <c r="C2160" s="1099">
        <v>86449866</v>
      </c>
      <c r="D2160" s="1145"/>
      <c r="E2160" s="917"/>
      <c r="F2160" s="1313"/>
      <c r="G2160" s="1546" t="s">
        <v>6442</v>
      </c>
      <c r="H2160" s="1173"/>
      <c r="I2160" s="1122"/>
      <c r="J2160" s="1486"/>
      <c r="K2160" s="1400"/>
      <c r="L2160" s="703"/>
      <c r="M2160" s="708"/>
      <c r="N2160" s="166"/>
      <c r="P2160" s="166"/>
    </row>
    <row r="2161" spans="1:16" s="1311" customFormat="1" ht="13.2" customHeight="1">
      <c r="A2161" s="1483"/>
      <c r="B2161" s="1312" t="s">
        <v>6434</v>
      </c>
      <c r="C2161" s="1099">
        <v>72179842</v>
      </c>
      <c r="D2161" s="1145"/>
      <c r="E2161" s="917"/>
      <c r="F2161" s="1313"/>
      <c r="G2161" s="1528" t="s">
        <v>6435</v>
      </c>
      <c r="H2161" s="1173"/>
      <c r="I2161" s="1122"/>
      <c r="J2161" s="1486"/>
      <c r="K2161" s="1400"/>
      <c r="L2161" s="703"/>
      <c r="M2161" s="708"/>
      <c r="N2161" s="166"/>
      <c r="P2161" s="166"/>
    </row>
    <row r="2162" spans="1:16" s="1311" customFormat="1" ht="13.2" customHeight="1">
      <c r="A2162" s="1483"/>
      <c r="B2162" s="1312" t="s">
        <v>6432</v>
      </c>
      <c r="C2162" s="1099">
        <v>24717124</v>
      </c>
      <c r="D2162" s="1145"/>
      <c r="E2162" s="917"/>
      <c r="F2162" s="1313"/>
      <c r="G2162" s="1528" t="s">
        <v>6433</v>
      </c>
      <c r="H2162" s="1173"/>
      <c r="I2162" s="1122"/>
      <c r="J2162" s="1486"/>
      <c r="K2162" s="1400"/>
      <c r="L2162" s="703"/>
      <c r="M2162" s="708"/>
      <c r="N2162" s="166"/>
      <c r="P2162" s="166"/>
    </row>
    <row r="2163" spans="1:16" s="1311" customFormat="1" ht="13.2" customHeight="1">
      <c r="A2163" s="1483"/>
      <c r="B2163" s="1312" t="s">
        <v>6429</v>
      </c>
      <c r="C2163" s="1099">
        <v>98683230</v>
      </c>
      <c r="D2163" s="1145"/>
      <c r="E2163" s="917"/>
      <c r="F2163" s="1313"/>
      <c r="G2163" s="1528" t="s">
        <v>6430</v>
      </c>
      <c r="H2163" s="1173"/>
      <c r="I2163" s="1122"/>
      <c r="J2163" s="1486"/>
      <c r="K2163" s="1400"/>
      <c r="L2163" s="703"/>
      <c r="M2163" s="708"/>
      <c r="N2163" s="166"/>
      <c r="P2163" s="166"/>
    </row>
    <row r="2164" spans="1:16" s="1311" customFormat="1" ht="13.2" customHeight="1">
      <c r="A2164" s="1483"/>
      <c r="B2164" s="1312" t="s">
        <v>6423</v>
      </c>
      <c r="C2164" s="1099">
        <v>57425060</v>
      </c>
      <c r="D2164" s="1145"/>
      <c r="E2164" s="917"/>
      <c r="F2164" s="1313"/>
      <c r="G2164" s="1528" t="s">
        <v>6424</v>
      </c>
      <c r="H2164" s="1173"/>
      <c r="I2164" s="1122"/>
      <c r="J2164" s="1486"/>
      <c r="K2164" s="1400"/>
      <c r="L2164" s="703"/>
      <c r="M2164" s="708"/>
      <c r="N2164" s="166"/>
      <c r="P2164" s="166"/>
    </row>
    <row r="2165" spans="1:16" s="1311" customFormat="1" ht="13.2" customHeight="1">
      <c r="A2165" s="1483"/>
      <c r="B2165" s="1312" t="s">
        <v>6418</v>
      </c>
      <c r="C2165" s="1099">
        <v>77605630</v>
      </c>
      <c r="D2165" s="1145"/>
      <c r="E2165" s="917"/>
      <c r="F2165" s="1313"/>
      <c r="G2165" s="1528" t="s">
        <v>6419</v>
      </c>
      <c r="H2165" s="1173"/>
      <c r="I2165" s="1122"/>
      <c r="J2165" s="1486"/>
      <c r="K2165" s="1400"/>
      <c r="L2165" s="703"/>
      <c r="M2165" s="708"/>
      <c r="N2165" s="166"/>
      <c r="P2165" s="166"/>
    </row>
    <row r="2166" spans="1:16" s="1311" customFormat="1" ht="13.2" customHeight="1">
      <c r="A2166" s="1483"/>
      <c r="B2166" s="1312" t="s">
        <v>6036</v>
      </c>
      <c r="C2166" s="1099">
        <v>26338494</v>
      </c>
      <c r="D2166" s="1145"/>
      <c r="E2166" s="917"/>
      <c r="F2166" s="1313"/>
      <c r="G2166" s="1528" t="s">
        <v>6416</v>
      </c>
      <c r="H2166" s="1173"/>
      <c r="I2166" s="1122"/>
      <c r="J2166" s="1486"/>
      <c r="K2166" s="1400"/>
      <c r="L2166" s="703"/>
      <c r="M2166" s="708"/>
      <c r="N2166" s="166"/>
      <c r="P2166" s="166"/>
    </row>
    <row r="2167" spans="1:16" s="1311" customFormat="1" ht="13.2" customHeight="1">
      <c r="A2167" s="1483"/>
      <c r="B2167" s="1312" t="s">
        <v>6414</v>
      </c>
      <c r="C2167" s="1099">
        <v>67937808</v>
      </c>
      <c r="D2167" s="1145"/>
      <c r="E2167" s="917"/>
      <c r="F2167" s="1313"/>
      <c r="G2167" s="1528" t="s">
        <v>6415</v>
      </c>
      <c r="H2167" s="1173"/>
      <c r="I2167" s="1122"/>
      <c r="J2167" s="1486"/>
      <c r="K2167" s="1400"/>
      <c r="L2167" s="703"/>
      <c r="M2167" s="708"/>
      <c r="N2167" s="166"/>
      <c r="P2167" s="166"/>
    </row>
    <row r="2168" spans="1:16" s="1311" customFormat="1" ht="13.2" customHeight="1">
      <c r="A2168" s="1483"/>
      <c r="B2168" s="1312" t="s">
        <v>6412</v>
      </c>
      <c r="C2168" s="1099"/>
      <c r="D2168" s="1145"/>
      <c r="E2168" s="917"/>
      <c r="F2168" s="1313"/>
      <c r="G2168" s="1528" t="s">
        <v>6413</v>
      </c>
      <c r="H2168" s="1539" t="s">
        <v>122</v>
      </c>
      <c r="I2168" s="1122"/>
      <c r="J2168" s="1486"/>
      <c r="K2168" s="1400"/>
      <c r="L2168" s="703"/>
      <c r="M2168" s="708"/>
      <c r="N2168" s="166"/>
      <c r="P2168" s="166"/>
    </row>
    <row r="2169" spans="1:16" s="1311" customFormat="1" ht="13.2" customHeight="1">
      <c r="A2169" s="1483"/>
      <c r="B2169" s="1312" t="s">
        <v>6389</v>
      </c>
      <c r="C2169" s="1099">
        <v>49691474</v>
      </c>
      <c r="D2169" s="1145"/>
      <c r="E2169" s="917"/>
      <c r="F2169" s="1313"/>
      <c r="G2169" s="1520" t="s">
        <v>6390</v>
      </c>
      <c r="H2169" s="1173"/>
      <c r="I2169" s="1122"/>
      <c r="J2169" s="1486"/>
      <c r="K2169" s="1400"/>
      <c r="L2169" s="703"/>
      <c r="M2169" s="708"/>
      <c r="N2169" s="166"/>
      <c r="P2169" s="166"/>
    </row>
    <row r="2170" spans="1:16" s="1311" customFormat="1" ht="13.2" customHeight="1">
      <c r="A2170" s="1483"/>
      <c r="B2170" s="1312" t="s">
        <v>6385</v>
      </c>
      <c r="C2170" s="1099">
        <v>73525385</v>
      </c>
      <c r="D2170" s="1145"/>
      <c r="E2170" s="917"/>
      <c r="F2170" s="1313"/>
      <c r="G2170" s="1510" t="s">
        <v>6386</v>
      </c>
      <c r="H2170" s="1173"/>
      <c r="I2170" s="1122"/>
      <c r="J2170" s="1486"/>
      <c r="K2170" s="1400"/>
      <c r="L2170" s="703"/>
      <c r="M2170" s="708"/>
      <c r="N2170" s="166"/>
      <c r="P2170" s="166"/>
    </row>
    <row r="2171" spans="1:16" s="1311" customFormat="1" ht="13.2" customHeight="1">
      <c r="A2171" s="1483"/>
      <c r="B2171" s="1312" t="s">
        <v>6384</v>
      </c>
      <c r="C2171" s="1099">
        <v>41369052</v>
      </c>
      <c r="D2171" s="1145"/>
      <c r="E2171" s="917"/>
      <c r="F2171" s="1313"/>
      <c r="G2171" s="1510" t="s">
        <v>4390</v>
      </c>
      <c r="H2171" s="1173"/>
      <c r="I2171" s="1122"/>
      <c r="J2171" s="1486"/>
      <c r="K2171" s="1400"/>
      <c r="L2171" s="703"/>
      <c r="M2171" s="708"/>
      <c r="N2171" s="166"/>
      <c r="P2171" s="166"/>
    </row>
    <row r="2172" spans="1:16" s="1311" customFormat="1" ht="13.2" customHeight="1">
      <c r="A2172" s="1483"/>
      <c r="B2172" s="975" t="s">
        <v>6372</v>
      </c>
      <c r="C2172" s="1180">
        <v>97581947</v>
      </c>
      <c r="D2172" s="1165"/>
      <c r="E2172" s="977"/>
      <c r="F2172" s="976"/>
      <c r="G2172" s="1511" t="s">
        <v>2306</v>
      </c>
      <c r="H2172" s="1161"/>
      <c r="I2172" s="1122"/>
      <c r="J2172" s="1486"/>
      <c r="K2172" s="1400"/>
      <c r="L2172" s="703"/>
      <c r="M2172" s="708"/>
      <c r="N2172" s="166"/>
      <c r="P2172" s="166"/>
    </row>
    <row r="2173" spans="1:16" s="1311" customFormat="1" ht="13.2" customHeight="1">
      <c r="A2173" s="1483"/>
      <c r="B2173" s="1312" t="s">
        <v>6371</v>
      </c>
      <c r="C2173" s="1099">
        <v>52127995</v>
      </c>
      <c r="D2173" s="1145"/>
      <c r="E2173" s="917"/>
      <c r="F2173" s="1313"/>
      <c r="G2173" s="1510" t="s">
        <v>6383</v>
      </c>
      <c r="H2173" s="1173"/>
      <c r="I2173" s="1122"/>
      <c r="J2173" s="1486"/>
      <c r="K2173" s="1400"/>
      <c r="L2173" s="703"/>
      <c r="M2173" s="708"/>
      <c r="N2173" s="166"/>
      <c r="P2173" s="166"/>
    </row>
    <row r="2174" spans="1:16" s="1311" customFormat="1" ht="13.2" customHeight="1">
      <c r="A2174" s="1483"/>
      <c r="B2174" s="975" t="s">
        <v>6369</v>
      </c>
      <c r="C2174" s="1180">
        <v>53821240</v>
      </c>
      <c r="D2174" s="1165"/>
      <c r="E2174" s="977"/>
      <c r="F2174" s="976"/>
      <c r="G2174" s="1511" t="s">
        <v>6370</v>
      </c>
      <c r="H2174" s="1161"/>
      <c r="I2174" s="1122"/>
      <c r="J2174" s="1486"/>
      <c r="K2174" s="1400"/>
      <c r="L2174" s="703"/>
      <c r="M2174" s="708"/>
      <c r="N2174" s="166"/>
      <c r="P2174" s="166"/>
    </row>
    <row r="2175" spans="1:16" s="1311" customFormat="1" ht="13.2" customHeight="1">
      <c r="A2175" s="1483"/>
      <c r="B2175" s="1312" t="s">
        <v>6365</v>
      </c>
      <c r="C2175" s="1099">
        <v>89505240</v>
      </c>
      <c r="D2175" s="1145"/>
      <c r="E2175" s="917"/>
      <c r="F2175" s="1313"/>
      <c r="G2175" s="1510" t="s">
        <v>6366</v>
      </c>
      <c r="H2175" s="1173"/>
      <c r="I2175" s="1122"/>
      <c r="J2175" s="1486"/>
      <c r="K2175" s="1400"/>
      <c r="L2175" s="703"/>
      <c r="M2175" s="708"/>
      <c r="N2175" s="166"/>
      <c r="P2175" s="166"/>
    </row>
    <row r="2176" spans="1:16" s="1311" customFormat="1" ht="13.2" customHeight="1">
      <c r="A2176" s="1483"/>
      <c r="B2176" s="1312" t="s">
        <v>6364</v>
      </c>
      <c r="C2176" s="1099">
        <v>46901497</v>
      </c>
      <c r="D2176" s="1145"/>
      <c r="E2176" s="917"/>
      <c r="F2176" s="1313"/>
      <c r="G2176" s="1486"/>
      <c r="H2176" s="1173"/>
      <c r="I2176" s="1122"/>
      <c r="J2176" s="1486"/>
      <c r="K2176" s="1400"/>
      <c r="L2176" s="703"/>
      <c r="M2176" s="708"/>
      <c r="N2176" s="166"/>
      <c r="P2176" s="166"/>
    </row>
    <row r="2177" spans="1:16" s="1311" customFormat="1" ht="13.2" customHeight="1">
      <c r="A2177" s="1483"/>
      <c r="B2177" s="1312" t="s">
        <v>6359</v>
      </c>
      <c r="C2177" s="1099">
        <v>90780808</v>
      </c>
      <c r="D2177" s="1145"/>
      <c r="E2177" s="917"/>
      <c r="F2177" s="1313" t="s">
        <v>6361</v>
      </c>
      <c r="G2177" s="1510" t="s">
        <v>6360</v>
      </c>
      <c r="H2177" s="1173"/>
      <c r="I2177" s="1122"/>
      <c r="J2177" s="1486"/>
      <c r="K2177" s="1400"/>
      <c r="L2177" s="703"/>
      <c r="M2177" s="708"/>
      <c r="N2177" s="166"/>
      <c r="P2177" s="166"/>
    </row>
    <row r="2178" spans="1:16" s="1311" customFormat="1" ht="13.2" customHeight="1">
      <c r="A2178" s="1483"/>
      <c r="B2178" s="1312" t="s">
        <v>6354</v>
      </c>
      <c r="C2178" s="1099">
        <v>56267796</v>
      </c>
      <c r="D2178" s="1145"/>
      <c r="E2178" s="917"/>
      <c r="F2178" s="1313"/>
      <c r="G2178" s="1510" t="s">
        <v>6355</v>
      </c>
      <c r="H2178" s="1173"/>
      <c r="I2178" s="1122"/>
      <c r="J2178" s="1486"/>
      <c r="K2178" s="1400"/>
      <c r="L2178" s="703"/>
      <c r="M2178" s="708"/>
      <c r="N2178" s="166"/>
      <c r="P2178" s="166"/>
    </row>
    <row r="2179" spans="1:16" s="1311" customFormat="1" ht="13.2" customHeight="1">
      <c r="A2179" s="1483"/>
      <c r="B2179" s="1312" t="s">
        <v>6344</v>
      </c>
      <c r="C2179" s="1099">
        <v>32705502</v>
      </c>
      <c r="D2179" s="1145"/>
      <c r="E2179" s="917"/>
      <c r="F2179" s="1313"/>
      <c r="G2179" s="1504" t="s">
        <v>6345</v>
      </c>
      <c r="H2179" s="1173"/>
      <c r="I2179" s="1122"/>
      <c r="J2179" s="1486"/>
      <c r="K2179" s="1400"/>
      <c r="L2179" s="703"/>
      <c r="M2179" s="708"/>
      <c r="N2179" s="166"/>
      <c r="P2179" s="166"/>
    </row>
    <row r="2180" spans="1:16" s="1311" customFormat="1" ht="13.2" customHeight="1">
      <c r="A2180" s="1483"/>
      <c r="B2180" s="1312" t="s">
        <v>6341</v>
      </c>
      <c r="C2180" s="1099">
        <v>48729710</v>
      </c>
      <c r="D2180" s="1145"/>
      <c r="E2180" s="917"/>
      <c r="F2180" s="1313"/>
      <c r="G2180" s="1504" t="s">
        <v>6342</v>
      </c>
      <c r="H2180" s="1173"/>
      <c r="I2180" s="1122"/>
      <c r="J2180" s="1486"/>
      <c r="K2180" s="1400"/>
      <c r="L2180" s="703"/>
      <c r="M2180" s="708"/>
      <c r="N2180" s="166"/>
      <c r="P2180" s="166"/>
    </row>
    <row r="2181" spans="1:16" s="1311" customFormat="1" ht="13.2" customHeight="1">
      <c r="A2181" s="1483"/>
      <c r="B2181" s="1312" t="s">
        <v>6336</v>
      </c>
      <c r="C2181" s="1099">
        <v>14806801</v>
      </c>
      <c r="D2181" s="1145"/>
      <c r="E2181" s="917"/>
      <c r="F2181" s="1313"/>
      <c r="G2181" s="1504" t="s">
        <v>6337</v>
      </c>
      <c r="H2181" s="1173"/>
      <c r="I2181" s="1122"/>
      <c r="J2181" s="1486"/>
      <c r="K2181" s="1400"/>
      <c r="L2181" s="703"/>
      <c r="M2181" s="708"/>
      <c r="N2181" s="166"/>
      <c r="P2181" s="166"/>
    </row>
    <row r="2182" spans="1:16" s="1311" customFormat="1" ht="13.2" customHeight="1">
      <c r="A2182" s="1483"/>
      <c r="B2182" s="1312" t="s">
        <v>6335</v>
      </c>
      <c r="C2182" s="1099">
        <v>99475816</v>
      </c>
      <c r="D2182" s="1145"/>
      <c r="E2182" s="917"/>
      <c r="F2182" s="1313"/>
      <c r="G2182" s="1504" t="s">
        <v>6338</v>
      </c>
      <c r="H2182" s="1173"/>
      <c r="I2182" s="1122"/>
      <c r="J2182" s="1486"/>
      <c r="K2182" s="1400"/>
      <c r="L2182" s="703"/>
      <c r="M2182" s="708"/>
      <c r="N2182" s="166"/>
      <c r="P2182" s="166"/>
    </row>
    <row r="2183" spans="1:16" s="1311" customFormat="1" ht="13.2" customHeight="1">
      <c r="A2183" s="1483"/>
      <c r="B2183" s="1312" t="s">
        <v>6332</v>
      </c>
      <c r="C2183" s="1099">
        <v>93123460</v>
      </c>
      <c r="D2183" s="1145"/>
      <c r="E2183" s="917"/>
      <c r="F2183" s="1313"/>
      <c r="G2183" s="1504" t="s">
        <v>6333</v>
      </c>
      <c r="H2183" s="1173"/>
      <c r="I2183" s="1122"/>
      <c r="J2183" s="1486"/>
      <c r="K2183" s="1400"/>
      <c r="L2183" s="703"/>
      <c r="M2183" s="708"/>
      <c r="N2183" s="166"/>
      <c r="P2183" s="166"/>
    </row>
    <row r="2184" spans="1:16" s="1311" customFormat="1" ht="13.2" customHeight="1">
      <c r="A2184" s="1483"/>
      <c r="B2184" s="1312" t="s">
        <v>6328</v>
      </c>
      <c r="C2184" s="1099">
        <v>32619856</v>
      </c>
      <c r="D2184" s="1145"/>
      <c r="E2184" s="917"/>
      <c r="F2184" s="1313"/>
      <c r="G2184" s="1504" t="s">
        <v>6329</v>
      </c>
      <c r="H2184" s="1173"/>
      <c r="I2184" s="1122"/>
      <c r="J2184" s="1486"/>
      <c r="K2184" s="1400"/>
      <c r="L2184" s="703"/>
      <c r="M2184" s="708"/>
      <c r="N2184" s="166"/>
      <c r="P2184" s="166"/>
    </row>
    <row r="2185" spans="1:16" s="1311" customFormat="1" ht="13.2" customHeight="1">
      <c r="A2185" s="1483"/>
      <c r="B2185" s="1312" t="s">
        <v>6326</v>
      </c>
      <c r="C2185" s="1099">
        <v>14560208</v>
      </c>
      <c r="D2185" s="1145"/>
      <c r="E2185" s="917"/>
      <c r="F2185" s="1313"/>
      <c r="G2185" s="1504" t="s">
        <v>6325</v>
      </c>
      <c r="H2185" s="1173"/>
      <c r="I2185" s="1122"/>
      <c r="J2185" s="1486"/>
      <c r="K2185" s="1400"/>
      <c r="L2185" s="703"/>
      <c r="M2185" s="708"/>
      <c r="N2185" s="166"/>
      <c r="P2185" s="166"/>
    </row>
    <row r="2186" spans="1:16" s="1311" customFormat="1" ht="13.2" customHeight="1">
      <c r="A2186" s="1483"/>
      <c r="B2186" s="1312" t="s">
        <v>6324</v>
      </c>
      <c r="C2186" s="1099">
        <v>84773827</v>
      </c>
      <c r="D2186" s="1145"/>
      <c r="E2186" s="917"/>
      <c r="F2186" s="1313"/>
      <c r="G2186" s="1504" t="s">
        <v>6325</v>
      </c>
      <c r="H2186" s="1173"/>
      <c r="I2186" s="1122"/>
      <c r="J2186" s="1486"/>
      <c r="K2186" s="1400"/>
      <c r="L2186" s="703"/>
      <c r="M2186" s="708"/>
      <c r="N2186" s="166"/>
      <c r="P2186" s="166"/>
    </row>
    <row r="2187" spans="1:16" s="1311" customFormat="1" ht="13.2" customHeight="1">
      <c r="A2187" s="1483"/>
      <c r="B2187" s="1312" t="s">
        <v>6322</v>
      </c>
      <c r="C2187" s="1099">
        <v>50223475</v>
      </c>
      <c r="D2187" s="1145"/>
      <c r="E2187" s="917"/>
      <c r="F2187" s="1313"/>
      <c r="G2187" s="1504" t="s">
        <v>6323</v>
      </c>
      <c r="H2187" s="1173"/>
      <c r="I2187" s="1122"/>
      <c r="J2187" s="1486"/>
      <c r="K2187" s="1400"/>
      <c r="L2187" s="703"/>
      <c r="M2187" s="708"/>
      <c r="N2187" s="166"/>
      <c r="P2187" s="166"/>
    </row>
    <row r="2188" spans="1:16" s="1311" customFormat="1" ht="13.2" customHeight="1">
      <c r="A2188" s="1483"/>
      <c r="B2188" s="1312" t="s">
        <v>6315</v>
      </c>
      <c r="C2188" s="1099">
        <v>19861986</v>
      </c>
      <c r="D2188" s="1145"/>
      <c r="E2188" s="917"/>
      <c r="F2188" s="1313"/>
      <c r="G2188" s="1496" t="s">
        <v>6316</v>
      </c>
      <c r="H2188" s="1502" t="s">
        <v>4877</v>
      </c>
      <c r="I2188" s="1136"/>
      <c r="J2188" s="1486"/>
      <c r="K2188" s="1400"/>
      <c r="L2188" s="703"/>
      <c r="M2188" s="708"/>
      <c r="N2188" s="166"/>
      <c r="P2188" s="166"/>
    </row>
    <row r="2189" spans="1:16" s="1311" customFormat="1" ht="13.2" customHeight="1">
      <c r="A2189" s="1483"/>
      <c r="B2189" s="709" t="s">
        <v>6311</v>
      </c>
      <c r="C2189" s="1082">
        <v>82065987</v>
      </c>
      <c r="D2189" s="1141"/>
      <c r="E2189" s="915"/>
      <c r="F2189" s="1310"/>
      <c r="G2189" s="1493" t="s">
        <v>1006</v>
      </c>
      <c r="H2189" s="1574" t="s">
        <v>6312</v>
      </c>
      <c r="I2189" s="1122"/>
      <c r="J2189" s="1486"/>
      <c r="K2189" s="1400"/>
      <c r="L2189" s="703"/>
      <c r="M2189" s="708"/>
      <c r="N2189" s="166"/>
      <c r="P2189" s="166"/>
    </row>
    <row r="2190" spans="1:16" s="1311" customFormat="1" ht="13.2" customHeight="1">
      <c r="A2190" s="1483"/>
      <c r="B2190" s="1312" t="s">
        <v>6308</v>
      </c>
      <c r="C2190" s="1099">
        <v>79167635</v>
      </c>
      <c r="D2190" s="1145"/>
      <c r="E2190" s="917"/>
      <c r="F2190" s="1313"/>
      <c r="G2190" s="1496" t="s">
        <v>6309</v>
      </c>
      <c r="H2190" s="1502" t="s">
        <v>6310</v>
      </c>
      <c r="I2190" s="1136"/>
      <c r="J2190" s="1486"/>
      <c r="K2190" s="1400"/>
      <c r="L2190" s="703"/>
      <c r="M2190" s="708"/>
      <c r="N2190" s="166"/>
      <c r="P2190" s="166"/>
    </row>
    <row r="2191" spans="1:16" s="1311" customFormat="1" ht="13.2" customHeight="1">
      <c r="A2191" s="1483"/>
      <c r="B2191" s="709" t="s">
        <v>6300</v>
      </c>
      <c r="C2191" s="1082">
        <v>49203892</v>
      </c>
      <c r="D2191" s="1141"/>
      <c r="E2191" s="915"/>
      <c r="F2191" s="1310"/>
      <c r="G2191" s="1484"/>
      <c r="H2191" s="1160"/>
      <c r="I2191" s="1122"/>
      <c r="J2191" s="1486"/>
      <c r="K2191" s="1400"/>
      <c r="L2191" s="703"/>
      <c r="M2191" s="708"/>
      <c r="N2191" s="166"/>
      <c r="P2191" s="166"/>
    </row>
    <row r="2192" spans="1:16" s="1311" customFormat="1" ht="13.2" customHeight="1">
      <c r="A2192" s="1483"/>
      <c r="B2192" s="1312" t="s">
        <v>6295</v>
      </c>
      <c r="C2192" s="1099">
        <v>49996209</v>
      </c>
      <c r="D2192" s="1145"/>
      <c r="E2192" s="917"/>
      <c r="F2192" s="1313"/>
      <c r="G2192" s="1496" t="s">
        <v>6296</v>
      </c>
      <c r="H2192" s="1173"/>
      <c r="I2192" s="1136"/>
      <c r="J2192" s="1486"/>
      <c r="K2192" s="1400"/>
      <c r="L2192" s="703"/>
      <c r="M2192" s="708"/>
      <c r="N2192" s="166"/>
      <c r="P2192" s="166"/>
    </row>
    <row r="2193" spans="1:16" s="1311" customFormat="1" ht="13.2" customHeight="1">
      <c r="A2193" s="1483"/>
      <c r="B2193" s="1312" t="s">
        <v>6284</v>
      </c>
      <c r="C2193" s="1099">
        <v>79479825</v>
      </c>
      <c r="D2193" s="1145"/>
      <c r="E2193" s="917"/>
      <c r="F2193" s="1313"/>
      <c r="G2193" s="1262"/>
      <c r="H2193" s="1173"/>
      <c r="I2193" s="1136"/>
      <c r="J2193" s="1486"/>
      <c r="K2193" s="1400"/>
      <c r="L2193" s="703"/>
      <c r="M2193" s="708"/>
      <c r="N2193" s="166"/>
      <c r="P2193" s="166"/>
    </row>
    <row r="2194" spans="1:16" s="1311" customFormat="1" ht="13.2" customHeight="1">
      <c r="A2194" s="1483"/>
      <c r="B2194" s="1001" t="s">
        <v>6282</v>
      </c>
      <c r="C2194" s="1086"/>
      <c r="D2194" s="1168"/>
      <c r="E2194" s="1002"/>
      <c r="F2194" s="980"/>
      <c r="G2194" s="1497"/>
      <c r="H2194" s="1498"/>
      <c r="I2194" s="1174"/>
      <c r="J2194" s="1486"/>
      <c r="K2194" s="1400"/>
      <c r="L2194" s="703"/>
      <c r="M2194" s="708"/>
      <c r="N2194" s="166"/>
      <c r="P2194" s="166"/>
    </row>
    <row r="2195" spans="1:16" s="1311" customFormat="1" ht="13.2" customHeight="1">
      <c r="A2195" s="1483"/>
      <c r="B2195" s="1312" t="s">
        <v>6256</v>
      </c>
      <c r="C2195" s="1099">
        <v>41824442</v>
      </c>
      <c r="D2195" s="1145"/>
      <c r="E2195" s="917"/>
      <c r="F2195" s="1313"/>
      <c r="G2195" s="1496" t="s">
        <v>6257</v>
      </c>
      <c r="H2195" s="1173"/>
      <c r="I2195" s="1136"/>
      <c r="J2195" s="1486"/>
      <c r="K2195" s="1400"/>
      <c r="L2195" s="703"/>
      <c r="M2195" s="708"/>
      <c r="N2195" s="166"/>
      <c r="P2195" s="166"/>
    </row>
    <row r="2196" spans="1:16" s="1311" customFormat="1" ht="13.2" customHeight="1">
      <c r="A2196" s="1483"/>
      <c r="B2196" s="1312" t="s">
        <v>6249</v>
      </c>
      <c r="C2196" s="1099">
        <v>47084927</v>
      </c>
      <c r="D2196" s="1145"/>
      <c r="E2196" s="917"/>
      <c r="F2196" s="1313"/>
      <c r="G2196" s="1494" t="s">
        <v>6251</v>
      </c>
      <c r="H2196" s="1173"/>
      <c r="I2196" s="1136"/>
      <c r="J2196" s="1486"/>
      <c r="K2196" s="1400"/>
      <c r="L2196" s="703"/>
      <c r="M2196" s="708"/>
      <c r="N2196" s="166"/>
      <c r="P2196" s="166"/>
    </row>
    <row r="2197" spans="1:16" s="1311" customFormat="1" ht="13.2" customHeight="1">
      <c r="A2197" s="1483"/>
      <c r="B2197" s="1312" t="s">
        <v>6242</v>
      </c>
      <c r="C2197" s="1099">
        <v>31780508</v>
      </c>
      <c r="D2197" s="1145"/>
      <c r="E2197" s="917"/>
      <c r="F2197" s="1313"/>
      <c r="G2197" s="1494" t="s">
        <v>910</v>
      </c>
      <c r="H2197" s="1173"/>
      <c r="I2197" s="1136"/>
      <c r="J2197" s="1486"/>
      <c r="K2197" s="1400"/>
      <c r="L2197" s="703"/>
      <c r="M2197" s="708"/>
      <c r="N2197" s="166"/>
      <c r="P2197" s="166"/>
    </row>
    <row r="2198" spans="1:16" s="1311" customFormat="1" ht="13.2" customHeight="1">
      <c r="A2198" s="1483"/>
      <c r="B2198" s="1312" t="s">
        <v>6180</v>
      </c>
      <c r="C2198" s="1099">
        <v>41754749</v>
      </c>
      <c r="D2198" s="1145"/>
      <c r="E2198" s="917"/>
      <c r="F2198" s="1313"/>
      <c r="G2198" s="1494" t="s">
        <v>6250</v>
      </c>
      <c r="H2198" s="1173"/>
      <c r="I2198" s="1136"/>
      <c r="J2198" s="1486"/>
      <c r="K2198" s="1400"/>
      <c r="L2198" s="703"/>
      <c r="M2198" s="708"/>
      <c r="N2198" s="166"/>
      <c r="P2198" s="166"/>
    </row>
    <row r="2199" spans="1:16" s="1311" customFormat="1" ht="13.2" customHeight="1">
      <c r="A2199" s="1473"/>
      <c r="B2199" s="1323" t="s">
        <v>6227</v>
      </c>
      <c r="C2199" s="1307">
        <v>98838963</v>
      </c>
      <c r="D2199" s="1307"/>
      <c r="E2199" s="1307"/>
      <c r="F2199" s="1466"/>
      <c r="G2199" s="1466"/>
      <c r="H2199" s="1469"/>
      <c r="I2199" s="1326"/>
      <c r="J2199" s="1466"/>
      <c r="K2199" s="1400"/>
      <c r="L2199" s="703"/>
      <c r="M2199" s="708"/>
      <c r="N2199" s="166"/>
      <c r="P2199" s="166"/>
    </row>
    <row r="2200" spans="1:16" s="1311" customFormat="1" ht="13.2" customHeight="1">
      <c r="A2200" s="1473"/>
      <c r="B2200" s="1458" t="s">
        <v>6186</v>
      </c>
      <c r="C2200" s="1459">
        <v>84402548</v>
      </c>
      <c r="D2200" s="1459"/>
      <c r="E2200" s="1459"/>
      <c r="F2200" s="1465"/>
      <c r="G2200" s="1465" t="s">
        <v>6187</v>
      </c>
      <c r="H2200" s="1467"/>
      <c r="I2200" s="1460"/>
      <c r="J2200" s="1466"/>
      <c r="K2200" s="1400"/>
      <c r="L2200" s="703"/>
      <c r="M2200" s="708"/>
      <c r="N2200" s="166"/>
      <c r="P2200" s="166"/>
    </row>
    <row r="2201" spans="1:16" s="1311" customFormat="1" ht="13.2" customHeight="1">
      <c r="A2201" s="1473"/>
      <c r="B2201" s="1316" t="s">
        <v>6183</v>
      </c>
      <c r="C2201" s="1305">
        <v>30313421</v>
      </c>
      <c r="D2201" s="1305"/>
      <c r="E2201" s="1305"/>
      <c r="F2201" s="1463"/>
      <c r="G2201" s="1463" t="s">
        <v>6184</v>
      </c>
      <c r="H2201" s="1468"/>
      <c r="I2201" s="1317"/>
      <c r="J2201" s="1466"/>
      <c r="K2201" s="1400"/>
      <c r="L2201" s="703"/>
      <c r="M2201" s="708"/>
      <c r="N2201" s="166"/>
      <c r="P2201" s="166"/>
    </row>
    <row r="2202" spans="1:16" s="1311" customFormat="1" ht="13.2" customHeight="1">
      <c r="A2202" s="1473"/>
      <c r="B2202" s="1316" t="s">
        <v>6182</v>
      </c>
      <c r="C2202" s="1305">
        <v>40781205</v>
      </c>
      <c r="D2202" s="1305"/>
      <c r="E2202" s="1305"/>
      <c r="F2202" s="1463"/>
      <c r="G2202" s="1463" t="s">
        <v>5709</v>
      </c>
      <c r="H2202" s="1468"/>
      <c r="I2202" s="1317"/>
      <c r="J2202" s="1466"/>
      <c r="K2202" s="1400"/>
      <c r="L2202" s="703"/>
      <c r="M2202" s="708"/>
      <c r="N2202" s="166"/>
      <c r="P2202" s="166"/>
    </row>
    <row r="2203" spans="1:16" s="1311" customFormat="1" ht="13.2" customHeight="1">
      <c r="A2203" s="1473"/>
      <c r="B2203" s="1316" t="s">
        <v>6180</v>
      </c>
      <c r="C2203" s="1305">
        <v>41754749</v>
      </c>
      <c r="D2203" s="1305"/>
      <c r="E2203" s="1305"/>
      <c r="F2203" s="1463"/>
      <c r="G2203" s="1463" t="s">
        <v>6181</v>
      </c>
      <c r="H2203" s="1468"/>
      <c r="I2203" s="1317"/>
      <c r="J2203" s="1466"/>
      <c r="K2203" s="1400"/>
      <c r="L2203" s="703"/>
      <c r="M2203" s="708"/>
      <c r="N2203" s="166"/>
      <c r="P2203" s="166"/>
    </row>
    <row r="2204" spans="1:16" s="1311" customFormat="1" ht="13.2" customHeight="1">
      <c r="A2204" s="1473"/>
      <c r="B2204" s="1323" t="s">
        <v>6179</v>
      </c>
      <c r="C2204" s="1307">
        <v>19741974</v>
      </c>
      <c r="D2204" s="1307"/>
      <c r="E2204" s="1307"/>
      <c r="F2204" s="1466"/>
      <c r="G2204" s="1466"/>
      <c r="H2204" s="1469" t="s">
        <v>4910</v>
      </c>
      <c r="I2204" s="1326"/>
      <c r="J2204" s="1466"/>
      <c r="K2204" s="1400"/>
      <c r="L2204" s="703"/>
      <c r="M2204" s="708"/>
      <c r="N2204" s="166"/>
      <c r="P2204" s="166"/>
    </row>
    <row r="2205" spans="1:16" s="1311" customFormat="1">
      <c r="A2205" s="1473"/>
      <c r="B2205" s="1316" t="s">
        <v>6177</v>
      </c>
      <c r="C2205" s="1305">
        <v>20044614</v>
      </c>
      <c r="D2205" s="1463" t="s">
        <v>6178</v>
      </c>
      <c r="E2205" s="1305"/>
      <c r="F2205" s="1463"/>
      <c r="G2205" s="1463"/>
      <c r="H2205" s="1468"/>
      <c r="I2205" s="1317"/>
      <c r="J2205" s="1466"/>
      <c r="K2205" s="1400"/>
      <c r="L2205" s="703"/>
      <c r="M2205" s="708"/>
      <c r="N2205" s="166"/>
      <c r="P2205" s="166"/>
    </row>
    <row r="2206" spans="1:16" s="1311" customFormat="1">
      <c r="A2206" s="1473"/>
      <c r="B2206" s="1323" t="s">
        <v>6174</v>
      </c>
      <c r="C2206" s="1307">
        <v>11465014</v>
      </c>
      <c r="D2206" s="1307"/>
      <c r="E2206" s="1307"/>
      <c r="F2206" s="1466"/>
      <c r="G2206" s="1466" t="s">
        <v>2793</v>
      </c>
      <c r="H2206" s="1469"/>
      <c r="I2206" s="1326"/>
      <c r="J2206" s="1466"/>
      <c r="K2206" s="1400"/>
      <c r="L2206" s="703"/>
      <c r="M2206" s="708"/>
      <c r="N2206" s="166"/>
      <c r="P2206" s="166"/>
    </row>
    <row r="2207" spans="1:16" s="1311" customFormat="1">
      <c r="A2207" s="1473"/>
      <c r="B2207" s="1323" t="s">
        <v>6166</v>
      </c>
      <c r="C2207" s="1307">
        <v>419</v>
      </c>
      <c r="D2207" s="1307"/>
      <c r="E2207" s="1307"/>
      <c r="F2207" s="1466"/>
      <c r="G2207" s="1466" t="s">
        <v>6167</v>
      </c>
      <c r="H2207" s="1469"/>
      <c r="I2207" s="1326"/>
      <c r="J2207" s="1466"/>
      <c r="K2207" s="1400"/>
      <c r="L2207" s="703"/>
      <c r="M2207" s="708"/>
      <c r="N2207" s="166"/>
      <c r="P2207" s="166"/>
    </row>
    <row r="2208" spans="1:16" s="1311" customFormat="1">
      <c r="A2208" s="1473"/>
      <c r="B2208" s="1323" t="s">
        <v>6164</v>
      </c>
      <c r="C2208" s="1307"/>
      <c r="D2208" s="1307"/>
      <c r="E2208" s="1307"/>
      <c r="F2208" s="1466"/>
      <c r="G2208" s="1466"/>
      <c r="H2208" s="1469"/>
      <c r="I2208" s="1326"/>
      <c r="J2208" s="1466"/>
      <c r="K2208" s="1400"/>
      <c r="L2208" s="703"/>
      <c r="M2208" s="708"/>
      <c r="N2208" s="166"/>
      <c r="P2208" s="166"/>
    </row>
    <row r="2209" spans="1:16" s="1311" customFormat="1">
      <c r="A2209" s="1473"/>
      <c r="B2209" s="1323" t="s">
        <v>6162</v>
      </c>
      <c r="C2209" s="1307">
        <v>82918588</v>
      </c>
      <c r="D2209" s="1307"/>
      <c r="E2209" s="1307"/>
      <c r="F2209" s="1466"/>
      <c r="G2209" s="1466" t="s">
        <v>6163</v>
      </c>
      <c r="H2209" s="1469"/>
      <c r="I2209" s="1326"/>
      <c r="J2209" s="1466"/>
      <c r="K2209" s="1400"/>
      <c r="L2209" s="703"/>
      <c r="M2209" s="708"/>
      <c r="N2209" s="166"/>
      <c r="P2209" s="166"/>
    </row>
    <row r="2210" spans="1:16" s="1311" customFormat="1">
      <c r="A2210" s="1473"/>
      <c r="B2210" s="1323" t="s">
        <v>6160</v>
      </c>
      <c r="C2210" s="1307">
        <v>99224896</v>
      </c>
      <c r="D2210" s="1307"/>
      <c r="E2210" s="1307"/>
      <c r="F2210" s="1313"/>
      <c r="G2210" s="1466" t="s">
        <v>6161</v>
      </c>
      <c r="H2210" s="1469"/>
      <c r="I2210" s="1326"/>
      <c r="J2210" s="1466"/>
      <c r="K2210" s="1400"/>
      <c r="L2210" s="703"/>
      <c r="M2210" s="708"/>
      <c r="N2210" s="166"/>
      <c r="P2210" s="166"/>
    </row>
    <row r="2211" spans="1:16" s="1311" customFormat="1">
      <c r="A2211" s="1473"/>
      <c r="B2211" s="1323" t="s">
        <v>6157</v>
      </c>
      <c r="C2211" s="1307">
        <v>61550488</v>
      </c>
      <c r="D2211" s="1307"/>
      <c r="E2211" s="1307"/>
      <c r="F2211" s="1313"/>
      <c r="G2211" s="1466" t="s">
        <v>6158</v>
      </c>
      <c r="H2211" s="1469"/>
      <c r="I2211" s="1326"/>
      <c r="J2211" s="1466"/>
      <c r="K2211" s="1400"/>
      <c r="L2211" s="703"/>
      <c r="M2211" s="708"/>
      <c r="N2211" s="166"/>
      <c r="P2211" s="166"/>
    </row>
    <row r="2212" spans="1:16" s="1311" customFormat="1">
      <c r="A2212" s="1473"/>
      <c r="B2212" s="1316" t="s">
        <v>6154</v>
      </c>
      <c r="C2212" s="1305">
        <v>81334138</v>
      </c>
      <c r="D2212" s="1305"/>
      <c r="E2212" s="1305"/>
      <c r="F2212" s="1310"/>
      <c r="G2212" s="1463"/>
      <c r="H2212" s="1468"/>
      <c r="I2212" s="1317"/>
      <c r="J2212" s="1466"/>
      <c r="K2212" s="1400"/>
      <c r="L2212" s="703"/>
      <c r="M2212" s="708"/>
      <c r="N2212" s="166"/>
      <c r="P2212" s="166"/>
    </row>
    <row r="2213" spans="1:16" s="1311" customFormat="1">
      <c r="A2213" s="1473"/>
      <c r="B2213" s="1323" t="s">
        <v>6153</v>
      </c>
      <c r="C2213" s="1307"/>
      <c r="D2213" s="1307"/>
      <c r="E2213" s="1307"/>
      <c r="F2213" s="1313"/>
      <c r="G2213" s="1466" t="s">
        <v>4877</v>
      </c>
      <c r="H2213" s="1469"/>
      <c r="I2213" s="1326"/>
      <c r="J2213" s="1466"/>
      <c r="K2213" s="1400"/>
      <c r="L2213" s="703"/>
      <c r="M2213" s="708"/>
      <c r="N2213" s="166"/>
      <c r="P2213" s="166"/>
    </row>
    <row r="2214" spans="1:16" s="1311" customFormat="1">
      <c r="A2214" s="1473"/>
      <c r="B2214" s="1323" t="s">
        <v>6152</v>
      </c>
      <c r="C2214" s="1307">
        <v>11111111</v>
      </c>
      <c r="D2214" s="1307"/>
      <c r="E2214" s="1307"/>
      <c r="F2214" s="1313"/>
      <c r="G2214" s="1466" t="s">
        <v>4877</v>
      </c>
      <c r="H2214" s="1469"/>
      <c r="I2214" s="1326"/>
      <c r="J2214" s="1466"/>
      <c r="K2214" s="1400"/>
      <c r="L2214" s="703"/>
      <c r="M2214" s="708"/>
      <c r="N2214" s="166"/>
      <c r="P2214" s="166"/>
    </row>
    <row r="2215" spans="1:16" s="1311" customFormat="1">
      <c r="A2215" s="1473"/>
      <c r="B2215" s="1323" t="s">
        <v>6148</v>
      </c>
      <c r="C2215" s="1307">
        <v>51295276</v>
      </c>
      <c r="D2215" s="1307"/>
      <c r="E2215" s="1307"/>
      <c r="F2215" s="1313"/>
      <c r="G2215" s="1466"/>
      <c r="H2215" s="1469" t="s">
        <v>6149</v>
      </c>
      <c r="I2215" s="1326"/>
      <c r="J2215" s="1466"/>
      <c r="K2215" s="1400"/>
      <c r="L2215" s="703"/>
      <c r="M2215" s="708"/>
      <c r="N2215" s="166"/>
      <c r="P2215" s="166"/>
    </row>
    <row r="2216" spans="1:16" s="1311" customFormat="1">
      <c r="A2216" s="1473"/>
      <c r="B2216" s="1323" t="s">
        <v>6146</v>
      </c>
      <c r="C2216" s="1307">
        <v>12345678</v>
      </c>
      <c r="D2216" s="1307"/>
      <c r="E2216" s="1307"/>
      <c r="F2216" s="1313"/>
      <c r="G2216" s="1466"/>
      <c r="H2216" s="1469" t="s">
        <v>6147</v>
      </c>
      <c r="I2216" s="1326"/>
      <c r="J2216" s="1466"/>
      <c r="K2216" s="1400"/>
      <c r="L2216" s="703"/>
      <c r="M2216" s="708"/>
      <c r="N2216" s="166"/>
      <c r="P2216" s="166"/>
    </row>
    <row r="2217" spans="1:16" s="1311" customFormat="1">
      <c r="A2217" s="1473"/>
      <c r="B2217" s="1323" t="s">
        <v>6036</v>
      </c>
      <c r="C2217" s="1307"/>
      <c r="D2217" s="1307"/>
      <c r="E2217" s="1307"/>
      <c r="F2217" s="1313"/>
      <c r="G2217" s="1466" t="s">
        <v>6143</v>
      </c>
      <c r="H2217" s="1469"/>
      <c r="I2217" s="1326"/>
      <c r="J2217" s="1466"/>
      <c r="K2217" s="1400"/>
      <c r="L2217" s="703"/>
      <c r="M2217" s="708"/>
      <c r="N2217" s="166"/>
      <c r="P2217" s="166"/>
    </row>
    <row r="2218" spans="1:16" s="1311" customFormat="1">
      <c r="A2218" s="1462"/>
      <c r="B2218" s="1323" t="s">
        <v>6140</v>
      </c>
      <c r="C2218" s="1307">
        <v>98683533</v>
      </c>
      <c r="D2218" s="1307"/>
      <c r="E2218" s="1307"/>
      <c r="F2218" s="1313"/>
      <c r="G2218" s="1466" t="s">
        <v>6141</v>
      </c>
      <c r="H2218" s="1469" t="s">
        <v>6142</v>
      </c>
      <c r="I2218" s="1326"/>
      <c r="J2218" s="1461"/>
      <c r="K2218" s="1400"/>
      <c r="L2218" s="703"/>
      <c r="M2218" s="708"/>
      <c r="N2218" s="166"/>
      <c r="P2218" s="166"/>
    </row>
    <row r="2219" spans="1:16" s="1311" customFormat="1">
      <c r="A2219" s="1454"/>
      <c r="B2219" s="1316" t="s">
        <v>6130</v>
      </c>
      <c r="C2219" s="1305"/>
      <c r="D2219" s="1305"/>
      <c r="E2219" s="1305"/>
      <c r="F2219" s="1310"/>
      <c r="G2219" s="1434"/>
      <c r="H2219" s="1435"/>
      <c r="I2219" s="1317"/>
      <c r="J2219" s="1424"/>
      <c r="K2219" s="1400"/>
      <c r="L2219" s="703"/>
      <c r="M2219" s="708"/>
      <c r="N2219" s="166"/>
      <c r="P2219" s="166"/>
    </row>
    <row r="2220" spans="1:16" s="1311" customFormat="1">
      <c r="A2220" s="1433"/>
      <c r="B2220" s="1323" t="s">
        <v>6127</v>
      </c>
      <c r="C2220" s="1307"/>
      <c r="D2220" s="1307"/>
      <c r="E2220" s="1307"/>
      <c r="F2220" s="1313"/>
      <c r="G2220" s="1424"/>
      <c r="H2220" s="1438"/>
      <c r="I2220" s="1326"/>
      <c r="J2220" s="1424"/>
      <c r="K2220" s="1400"/>
      <c r="L2220" s="703"/>
      <c r="M2220" s="708"/>
      <c r="N2220" s="166"/>
      <c r="P2220" s="166"/>
    </row>
    <row r="2221" spans="1:16" s="1311" customFormat="1">
      <c r="A2221" s="1414"/>
      <c r="B2221" s="1323" t="s">
        <v>6092</v>
      </c>
      <c r="C2221" s="1307">
        <v>56401299</v>
      </c>
      <c r="D2221" s="1307"/>
      <c r="E2221" s="1307"/>
      <c r="F2221" s="1313"/>
      <c r="G2221" s="1455"/>
      <c r="H2221" s="1456"/>
      <c r="I2221" s="1326"/>
      <c r="J2221" s="1417"/>
      <c r="K2221" s="1400"/>
      <c r="L2221" s="703"/>
      <c r="M2221" s="708"/>
      <c r="N2221" s="166"/>
      <c r="P2221" s="166"/>
    </row>
    <row r="2222" spans="1:16" s="1311" customFormat="1">
      <c r="A2222" s="1399"/>
      <c r="B2222" s="1323" t="s">
        <v>6063</v>
      </c>
      <c r="C2222" s="1307">
        <v>31706056</v>
      </c>
      <c r="D2222" s="1307"/>
      <c r="E2222" s="1307"/>
      <c r="F2222" s="1313"/>
      <c r="G2222" s="1395"/>
      <c r="H2222" s="1438" t="s">
        <v>6064</v>
      </c>
      <c r="I2222" s="1326"/>
      <c r="J2222" s="1401"/>
      <c r="K2222" s="1400"/>
      <c r="L2222" s="703"/>
      <c r="M2222" s="708"/>
      <c r="N2222" s="166"/>
      <c r="P2222" s="166"/>
    </row>
    <row r="2223" spans="1:16" s="1311" customFormat="1">
      <c r="A2223" s="1399"/>
      <c r="B2223" s="1316" t="s">
        <v>6036</v>
      </c>
      <c r="C2223" s="1305"/>
      <c r="D2223" s="1305"/>
      <c r="E2223" s="1305"/>
      <c r="F2223" s="1310"/>
      <c r="G2223" s="1400"/>
      <c r="H2223" s="1394"/>
      <c r="I2223" s="1317"/>
      <c r="J2223" s="1401"/>
      <c r="K2223" s="1400"/>
      <c r="L2223" s="703"/>
      <c r="M2223" s="708"/>
      <c r="N2223" s="166"/>
      <c r="P2223" s="166"/>
    </row>
    <row r="2224" spans="1:16" s="1311" customFormat="1">
      <c r="A2224" s="1407"/>
      <c r="B2224" s="1323" t="s">
        <v>6000</v>
      </c>
      <c r="C2224" s="1307">
        <v>61811124</v>
      </c>
      <c r="D2224" s="1307"/>
      <c r="E2224" s="1307"/>
      <c r="F2224" s="1313"/>
      <c r="G2224" s="1395"/>
      <c r="H2224" s="1406" t="s">
        <v>6001</v>
      </c>
      <c r="I2224" s="1326"/>
      <c r="J2224" s="1401"/>
      <c r="K2224" s="1400"/>
      <c r="L2224" s="703"/>
      <c r="M2224" s="708"/>
      <c r="N2224" s="166"/>
      <c r="P2224" s="166"/>
    </row>
    <row r="2225" spans="1:16" s="1311" customFormat="1">
      <c r="A2225" s="1399"/>
      <c r="B2225" s="1323" t="s">
        <v>5982</v>
      </c>
      <c r="C2225" s="1307">
        <v>58226723</v>
      </c>
      <c r="D2225" s="1307"/>
      <c r="E2225" s="1307"/>
      <c r="F2225" s="1313"/>
      <c r="G2225" s="1395" t="s">
        <v>617</v>
      </c>
      <c r="H2225" s="1406" t="s">
        <v>5981</v>
      </c>
      <c r="I2225" s="1326"/>
      <c r="J2225" s="1401"/>
      <c r="K2225" s="1400"/>
      <c r="L2225" s="703"/>
      <c r="M2225" s="708"/>
      <c r="N2225" s="166"/>
      <c r="P2225" s="166"/>
    </row>
    <row r="2226" spans="1:16" s="1311" customFormat="1">
      <c r="A2226" s="1399"/>
      <c r="B2226" s="1323" t="s">
        <v>5980</v>
      </c>
      <c r="C2226" s="1307"/>
      <c r="D2226" s="1307"/>
      <c r="E2226" s="1307"/>
      <c r="F2226" s="1313"/>
      <c r="G2226" s="1395" t="s">
        <v>617</v>
      </c>
      <c r="H2226" s="1406" t="s">
        <v>5981</v>
      </c>
      <c r="I2226" s="1326"/>
      <c r="J2226" s="1401"/>
      <c r="K2226" s="1400"/>
      <c r="L2226" s="703"/>
      <c r="M2226" s="708"/>
      <c r="N2226" s="166"/>
      <c r="P2226" s="166"/>
    </row>
    <row r="2227" spans="1:16" s="1311" customFormat="1">
      <c r="A2227" s="1399"/>
      <c r="B2227" s="1316" t="s">
        <v>4110</v>
      </c>
      <c r="C2227" s="1305">
        <v>12345678</v>
      </c>
      <c r="D2227" s="1305"/>
      <c r="E2227" s="1305"/>
      <c r="F2227" s="1310"/>
      <c r="G2227" s="1400"/>
      <c r="H2227" s="1394"/>
      <c r="I2227" s="1317"/>
      <c r="J2227" s="1401"/>
      <c r="K2227" s="1400"/>
      <c r="L2227" s="703"/>
      <c r="M2227" s="708"/>
      <c r="N2227" s="166"/>
      <c r="P2227" s="166"/>
    </row>
    <row r="2228" spans="1:16" s="1311" customFormat="1">
      <c r="A2228" s="1399"/>
      <c r="B2228" s="1316"/>
      <c r="C2228" s="1305"/>
      <c r="D2228" s="1305"/>
      <c r="E2228" s="1305"/>
      <c r="F2228" s="1310"/>
      <c r="G2228" s="1400"/>
      <c r="H2228" s="1394"/>
      <c r="I2228" s="1317"/>
      <c r="J2228" s="1401"/>
      <c r="K2228" s="1400"/>
      <c r="L2228" s="703"/>
      <c r="M2228" s="708"/>
      <c r="N2228" s="166"/>
      <c r="P2228" s="166"/>
    </row>
    <row r="2229" spans="1:16" s="1311" customFormat="1">
      <c r="A2229" s="1399"/>
      <c r="B2229" s="1323" t="s">
        <v>5975</v>
      </c>
      <c r="C2229" s="1307">
        <v>40413957</v>
      </c>
      <c r="D2229" s="1307"/>
      <c r="E2229" s="1307"/>
      <c r="F2229" s="1313"/>
      <c r="G2229" s="1395" t="s">
        <v>5976</v>
      </c>
      <c r="H2229" s="1406"/>
      <c r="I2229" s="1326"/>
      <c r="J2229" s="1401"/>
      <c r="K2229" s="1400"/>
      <c r="L2229" s="703"/>
      <c r="M2229" s="708"/>
      <c r="N2229" s="166"/>
      <c r="P2229" s="166"/>
    </row>
    <row r="2230" spans="1:16" s="1311" customFormat="1">
      <c r="A2230" s="1399"/>
      <c r="B2230" s="1323" t="s">
        <v>5969</v>
      </c>
      <c r="C2230" s="1307">
        <v>73288748</v>
      </c>
      <c r="D2230" s="1307"/>
      <c r="E2230" s="1307"/>
      <c r="F2230" s="1313"/>
      <c r="G2230" s="1395"/>
      <c r="H2230" s="1406" t="s">
        <v>5970</v>
      </c>
      <c r="I2230" s="1326"/>
      <c r="J2230" s="1401"/>
      <c r="K2230" s="1383"/>
      <c r="L2230" s="703"/>
      <c r="M2230" s="708"/>
      <c r="N2230" s="166"/>
      <c r="P2230" s="166"/>
    </row>
    <row r="2231" spans="1:16" s="1311" customFormat="1">
      <c r="A2231" s="1399"/>
      <c r="B2231" s="1323" t="s">
        <v>5965</v>
      </c>
      <c r="C2231" s="1307">
        <v>9313</v>
      </c>
      <c r="D2231" s="1307"/>
      <c r="E2231" s="1307"/>
      <c r="F2231" s="1313"/>
      <c r="G2231" s="1395"/>
      <c r="H2231" s="1406"/>
      <c r="I2231" s="1326"/>
      <c r="J2231" s="1401"/>
      <c r="K2231" s="1383"/>
      <c r="L2231" s="703"/>
      <c r="M2231" s="708"/>
      <c r="N2231" s="166"/>
      <c r="P2231" s="166"/>
    </row>
    <row r="2232" spans="1:16" s="1311" customFormat="1">
      <c r="A2232" s="1387"/>
      <c r="B2232" s="1323" t="s">
        <v>5949</v>
      </c>
      <c r="C2232" s="1307">
        <v>37368892</v>
      </c>
      <c r="D2232" s="1307"/>
      <c r="E2232" s="1307"/>
      <c r="F2232" s="1313"/>
      <c r="G2232" s="1395" t="s">
        <v>2554</v>
      </c>
      <c r="H2232" s="1406" t="s">
        <v>4877</v>
      </c>
      <c r="I2232" s="1326"/>
      <c r="J2232" s="1380"/>
      <c r="K2232" s="1383"/>
      <c r="L2232" s="703"/>
      <c r="M2232" s="708"/>
      <c r="N2232" s="166"/>
      <c r="P2232" s="166"/>
    </row>
    <row r="2233" spans="1:16" s="1311" customFormat="1">
      <c r="A2233" s="1387"/>
      <c r="B2233" s="1323" t="s">
        <v>5940</v>
      </c>
      <c r="C2233" s="1307"/>
      <c r="D2233" s="1307"/>
      <c r="E2233" s="1307"/>
      <c r="F2233" s="1313"/>
      <c r="G2233" s="1395" t="s">
        <v>5941</v>
      </c>
      <c r="H2233" s="1386"/>
      <c r="I2233" s="1326"/>
      <c r="J2233" s="1380"/>
      <c r="K2233" s="1383"/>
      <c r="L2233" s="703"/>
      <c r="M2233" s="708"/>
      <c r="N2233" s="166"/>
      <c r="P2233" s="166"/>
    </row>
    <row r="2234" spans="1:16" s="1311" customFormat="1">
      <c r="A2234" s="1382"/>
      <c r="B2234" s="1323" t="s">
        <v>5903</v>
      </c>
      <c r="C2234" s="1307">
        <v>41241560</v>
      </c>
      <c r="D2234" s="1307"/>
      <c r="E2234" s="1307"/>
      <c r="F2234" s="1313"/>
      <c r="G2234" s="1391" t="s">
        <v>5904</v>
      </c>
      <c r="H2234" s="1386"/>
      <c r="I2234" s="1326"/>
      <c r="J2234" s="1380"/>
      <c r="K2234" s="1383"/>
      <c r="L2234" s="703"/>
      <c r="M2234" s="708"/>
      <c r="N2234" s="166"/>
      <c r="P2234" s="166"/>
    </row>
    <row r="2235" spans="1:16" s="1311" customFormat="1">
      <c r="A2235" s="1363"/>
      <c r="B2235" s="1323" t="s">
        <v>5898</v>
      </c>
      <c r="C2235" s="1307">
        <v>88518172</v>
      </c>
      <c r="D2235" s="1307"/>
      <c r="E2235" s="1307"/>
      <c r="F2235" s="1313"/>
      <c r="G2235" s="1391" t="s">
        <v>4877</v>
      </c>
      <c r="H2235" s="1392" t="s">
        <v>5899</v>
      </c>
      <c r="I2235" s="1326"/>
      <c r="J2235" s="1365"/>
      <c r="K2235" s="703"/>
      <c r="L2235" s="703"/>
      <c r="M2235" s="708"/>
      <c r="N2235" s="166"/>
      <c r="P2235" s="166"/>
    </row>
    <row r="2236" spans="1:16" s="1311" customFormat="1">
      <c r="A2236" s="1363"/>
      <c r="B2236" s="1323" t="s">
        <v>5881</v>
      </c>
      <c r="C2236" s="1307">
        <v>40004655</v>
      </c>
      <c r="D2236" s="1307"/>
      <c r="E2236" s="1307"/>
      <c r="F2236" s="1313"/>
      <c r="G2236" s="1368"/>
      <c r="H2236" s="1386" t="s">
        <v>5882</v>
      </c>
      <c r="I2236" s="1326"/>
      <c r="J2236" s="1365"/>
      <c r="K2236" s="703"/>
      <c r="L2236" s="703"/>
      <c r="M2236" s="708"/>
      <c r="N2236" s="166"/>
      <c r="P2236" s="166"/>
    </row>
    <row r="2237" spans="1:16" s="1311" customFormat="1">
      <c r="A2237" s="1363"/>
      <c r="B2237" s="1323" t="s">
        <v>5848</v>
      </c>
      <c r="C2237" s="1375">
        <v>86068537</v>
      </c>
      <c r="D2237" s="1375"/>
      <c r="E2237" s="1375"/>
      <c r="F2237" s="1313"/>
      <c r="G2237" s="1375" t="s">
        <v>2073</v>
      </c>
      <c r="H2237" s="1376"/>
      <c r="I2237" s="1377"/>
      <c r="J2237" s="1349"/>
      <c r="K2237" s="703"/>
      <c r="L2237" s="703"/>
      <c r="M2237" s="708"/>
      <c r="N2237" s="166"/>
      <c r="P2237" s="166"/>
    </row>
    <row r="2238" spans="1:16" s="1311" customFormat="1">
      <c r="A2238" s="1363"/>
      <c r="B2238" s="1323" t="s">
        <v>5843</v>
      </c>
      <c r="C2238" s="1307">
        <v>39645262</v>
      </c>
      <c r="D2238" s="1307"/>
      <c r="E2238" s="1307"/>
      <c r="F2238" s="1313"/>
      <c r="G2238" s="1368"/>
      <c r="H2238" s="1367" t="s">
        <v>5844</v>
      </c>
      <c r="I2238" s="1326"/>
      <c r="J2238" s="1349"/>
      <c r="K2238" s="703"/>
      <c r="L2238" s="703"/>
      <c r="M2238" s="708"/>
      <c r="N2238" s="166"/>
      <c r="P2238" s="166"/>
    </row>
    <row r="2239" spans="1:16" s="1311" customFormat="1">
      <c r="A2239" s="1363"/>
      <c r="B2239" s="1323" t="s">
        <v>5829</v>
      </c>
      <c r="C2239" s="1307">
        <v>11001887</v>
      </c>
      <c r="D2239" s="1307"/>
      <c r="E2239" s="1307"/>
      <c r="F2239" s="1313"/>
      <c r="G2239" s="1368"/>
      <c r="H2239" s="1367"/>
      <c r="I2239" s="1326"/>
      <c r="J2239" s="1349"/>
      <c r="K2239" s="703"/>
      <c r="L2239" s="703"/>
      <c r="M2239" s="708"/>
      <c r="N2239" s="166"/>
      <c r="P2239" s="166"/>
    </row>
    <row r="2240" spans="1:16" s="1311" customFormat="1">
      <c r="A2240" s="1363"/>
      <c r="B2240" s="1323" t="s">
        <v>5827</v>
      </c>
      <c r="C2240" s="1307">
        <v>78228322</v>
      </c>
      <c r="D2240" s="1307"/>
      <c r="E2240" s="1307"/>
      <c r="F2240" s="1313"/>
      <c r="G2240" s="1368"/>
      <c r="H2240" s="1367" t="s">
        <v>5828</v>
      </c>
      <c r="I2240" s="1326">
        <v>0</v>
      </c>
      <c r="J2240" s="1349"/>
      <c r="K2240" s="703"/>
      <c r="L2240" s="703"/>
      <c r="M2240" s="708"/>
      <c r="N2240" s="166"/>
      <c r="P2240" s="166"/>
    </row>
    <row r="2241" spans="1:16" s="1311" customFormat="1">
      <c r="A2241" s="1363"/>
      <c r="B2241" s="1323" t="s">
        <v>5825</v>
      </c>
      <c r="C2241" s="1307"/>
      <c r="D2241" s="1307"/>
      <c r="E2241" s="1307"/>
      <c r="F2241" s="1313"/>
      <c r="G2241" s="1368"/>
      <c r="H2241" s="1325"/>
      <c r="I2241" s="1326"/>
      <c r="J2241" s="1349"/>
      <c r="K2241" s="703"/>
      <c r="L2241" s="703"/>
      <c r="M2241" s="708"/>
      <c r="N2241" s="166"/>
      <c r="P2241" s="166"/>
    </row>
    <row r="2242" spans="1:16" s="1311" customFormat="1">
      <c r="A2242" s="1363"/>
      <c r="B2242" s="1323" t="s">
        <v>5824</v>
      </c>
      <c r="C2242" s="1307"/>
      <c r="D2242" s="1307"/>
      <c r="E2242" s="1307"/>
      <c r="F2242" s="1313"/>
      <c r="G2242" s="1368"/>
      <c r="H2242" s="1325"/>
      <c r="I2242" s="1326"/>
      <c r="J2242" s="1349"/>
      <c r="K2242" s="703"/>
      <c r="L2242" s="703"/>
      <c r="M2242" s="708"/>
      <c r="N2242" s="166"/>
      <c r="P2242" s="166"/>
    </row>
    <row r="2243" spans="1:16" s="1311" customFormat="1">
      <c r="A2243" s="1363"/>
      <c r="B2243" s="1323" t="s">
        <v>5724</v>
      </c>
      <c r="C2243" s="1307"/>
      <c r="D2243" s="1307"/>
      <c r="E2243" s="1307"/>
      <c r="F2243" s="1313"/>
      <c r="G2243" s="1351"/>
      <c r="H2243" s="1367" t="s">
        <v>5823</v>
      </c>
      <c r="I2243" s="1326"/>
      <c r="J2243" s="1349"/>
      <c r="K2243" s="703"/>
      <c r="L2243" s="703"/>
      <c r="M2243" s="708"/>
      <c r="N2243" s="166"/>
      <c r="P2243" s="166"/>
    </row>
    <row r="2244" spans="1:16" s="1311" customFormat="1">
      <c r="A2244" s="1363"/>
      <c r="B2244" s="1316" t="s">
        <v>5816</v>
      </c>
      <c r="C2244" s="1305">
        <v>75633985</v>
      </c>
      <c r="D2244" s="1305"/>
      <c r="E2244" s="1305"/>
      <c r="F2244" s="1310"/>
      <c r="G2244" s="1362" t="s">
        <v>2251</v>
      </c>
      <c r="H2244" s="1364" t="s">
        <v>5817</v>
      </c>
      <c r="I2244" s="1317"/>
      <c r="J2244" s="1349"/>
      <c r="K2244" s="703"/>
      <c r="L2244" s="703"/>
      <c r="M2244" s="708"/>
      <c r="N2244" s="166"/>
      <c r="P2244" s="166"/>
    </row>
    <row r="2245" spans="1:16" s="1311" customFormat="1">
      <c r="A2245" s="1346"/>
      <c r="B2245" s="1323" t="s">
        <v>5802</v>
      </c>
      <c r="C2245" s="1307">
        <v>47016762</v>
      </c>
      <c r="D2245" s="1307"/>
      <c r="E2245" s="1307"/>
      <c r="F2245" s="1313"/>
      <c r="G2245" s="1368" t="s">
        <v>736</v>
      </c>
      <c r="H2245" s="1359"/>
      <c r="I2245" s="1326"/>
      <c r="J2245" s="1349"/>
      <c r="K2245" s="703"/>
      <c r="L2245" s="703"/>
      <c r="M2245" s="708"/>
      <c r="N2245" s="166"/>
      <c r="P2245" s="166"/>
    </row>
    <row r="2246" spans="1:16" s="1311" customFormat="1">
      <c r="A2246" s="1346"/>
      <c r="B2246" s="1323" t="s">
        <v>5748</v>
      </c>
      <c r="C2246" s="1307">
        <v>17273705</v>
      </c>
      <c r="D2246" s="1307"/>
      <c r="E2246" s="1307"/>
      <c r="F2246" s="1313"/>
      <c r="G2246" s="1351"/>
      <c r="H2246" s="1367" t="s">
        <v>5749</v>
      </c>
      <c r="I2246" s="1326"/>
      <c r="J2246" s="1349"/>
      <c r="K2246" s="703"/>
      <c r="L2246" s="703"/>
      <c r="M2246" s="708"/>
      <c r="N2246" s="166"/>
      <c r="P2246" s="166"/>
    </row>
    <row r="2247" spans="1:16" s="1311" customFormat="1">
      <c r="A2247" s="1346"/>
      <c r="B2247" s="1323" t="s">
        <v>5746</v>
      </c>
      <c r="C2247" s="1307">
        <v>74556854</v>
      </c>
      <c r="D2247" s="1307"/>
      <c r="E2247" s="1307"/>
      <c r="F2247" s="1313"/>
      <c r="G2247" s="1351"/>
      <c r="H2247" s="1359"/>
      <c r="I2247" s="1326"/>
      <c r="J2247" s="1349"/>
      <c r="K2247" s="703"/>
      <c r="L2247" s="703"/>
      <c r="M2247" s="708"/>
      <c r="N2247" s="166"/>
      <c r="P2247" s="166"/>
    </row>
    <row r="2248" spans="1:16" s="1311" customFormat="1">
      <c r="A2248" s="1346"/>
      <c r="B2248" s="1323" t="s">
        <v>5743</v>
      </c>
      <c r="C2248" s="1307"/>
      <c r="D2248" s="1307"/>
      <c r="E2248" s="1307"/>
      <c r="F2248" s="1313"/>
      <c r="G2248" s="1351"/>
      <c r="H2248" s="1367" t="s">
        <v>5744</v>
      </c>
      <c r="I2248" s="1326"/>
      <c r="J2248" s="1341"/>
      <c r="K2248" s="703"/>
      <c r="L2248" s="703"/>
      <c r="M2248" s="708"/>
      <c r="N2248" s="166"/>
      <c r="P2248" s="166"/>
    </row>
    <row r="2249" spans="1:16" s="1311" customFormat="1">
      <c r="A2249" s="1346"/>
      <c r="B2249" s="1323" t="s">
        <v>5726</v>
      </c>
      <c r="C2249" s="1307"/>
      <c r="D2249" s="1307"/>
      <c r="E2249" s="1307"/>
      <c r="F2249" s="1313"/>
      <c r="G2249" s="1337"/>
      <c r="H2249" s="1335"/>
      <c r="I2249" s="1326"/>
      <c r="J2249" s="1341"/>
      <c r="K2249" s="703"/>
      <c r="L2249" s="703"/>
      <c r="M2249" s="708"/>
      <c r="N2249" s="166"/>
      <c r="P2249" s="166"/>
    </row>
    <row r="2250" spans="1:16" s="1311" customFormat="1">
      <c r="A2250" s="1346"/>
      <c r="B2250" s="1323" t="s">
        <v>5724</v>
      </c>
      <c r="C2250" s="1307"/>
      <c r="D2250" s="1307"/>
      <c r="E2250" s="1307"/>
      <c r="F2250" s="1313"/>
      <c r="G2250" s="1351" t="s">
        <v>3693</v>
      </c>
      <c r="H2250" s="1359" t="s">
        <v>5725</v>
      </c>
      <c r="I2250" s="1326"/>
      <c r="J2250" s="1341"/>
      <c r="K2250" s="703"/>
      <c r="L2250" s="703"/>
      <c r="M2250" s="708"/>
      <c r="N2250" s="166"/>
      <c r="P2250" s="166"/>
    </row>
    <row r="2251" spans="1:16" s="1311" customFormat="1">
      <c r="A2251" s="1339"/>
      <c r="B2251" s="1323" t="s">
        <v>5714</v>
      </c>
      <c r="C2251" s="1307"/>
      <c r="D2251" s="1307"/>
      <c r="E2251" s="1307"/>
      <c r="F2251" s="1313"/>
      <c r="G2251" s="1351" t="s">
        <v>2005</v>
      </c>
      <c r="H2251" s="1359" t="s">
        <v>5715</v>
      </c>
      <c r="I2251" s="1326"/>
      <c r="J2251" s="1341"/>
      <c r="K2251" s="703"/>
      <c r="L2251" s="703"/>
      <c r="M2251" s="708"/>
      <c r="N2251" s="166"/>
      <c r="P2251" s="166"/>
    </row>
    <row r="2252" spans="1:16" s="1311" customFormat="1">
      <c r="A2252" s="1339"/>
      <c r="B2252" s="1323" t="s">
        <v>5708</v>
      </c>
      <c r="C2252" s="1307"/>
      <c r="D2252" s="1307"/>
      <c r="E2252" s="1307"/>
      <c r="F2252" s="1313"/>
      <c r="G2252" s="1351" t="s">
        <v>4363</v>
      </c>
      <c r="H2252" s="1359" t="s">
        <v>5709</v>
      </c>
      <c r="I2252" s="1326"/>
      <c r="J2252" s="1341"/>
      <c r="K2252" s="703"/>
      <c r="L2252" s="703"/>
      <c r="M2252" s="708"/>
      <c r="N2252" s="166"/>
      <c r="P2252" s="166"/>
    </row>
    <row r="2253" spans="1:16" s="1311" customFormat="1">
      <c r="A2253" s="1339"/>
      <c r="B2253" s="1323" t="s">
        <v>5705</v>
      </c>
      <c r="C2253" s="1307"/>
      <c r="D2253" s="1307"/>
      <c r="E2253" s="1307"/>
      <c r="F2253" s="1313"/>
      <c r="G2253" s="1351" t="s">
        <v>5706</v>
      </c>
      <c r="H2253" s="1335"/>
      <c r="I2253" s="1326"/>
      <c r="J2253" s="1341"/>
      <c r="K2253" s="703"/>
      <c r="L2253" s="703"/>
      <c r="M2253" s="708"/>
      <c r="N2253" s="166"/>
      <c r="P2253" s="166"/>
    </row>
    <row r="2254" spans="1:16" s="1311" customFormat="1">
      <c r="A2254" s="1339"/>
      <c r="B2254" s="1323" t="s">
        <v>5631</v>
      </c>
      <c r="C2254" s="1307">
        <v>75968232</v>
      </c>
      <c r="D2254" s="1307"/>
      <c r="E2254" s="1307"/>
      <c r="F2254" s="1313"/>
      <c r="G2254" s="1337" t="s">
        <v>5632</v>
      </c>
      <c r="H2254" s="1335" t="s">
        <v>5633</v>
      </c>
      <c r="I2254" s="1326"/>
      <c r="J2254" s="1341"/>
      <c r="K2254" s="703"/>
      <c r="L2254" s="703"/>
      <c r="M2254" s="708"/>
      <c r="N2254" s="166"/>
      <c r="P2254" s="166"/>
    </row>
    <row r="2255" spans="1:16" s="1311" customFormat="1">
      <c r="A2255" s="1339"/>
      <c r="B2255" s="1316" t="s">
        <v>5628</v>
      </c>
      <c r="C2255" s="1305">
        <v>99598846</v>
      </c>
      <c r="D2255" s="1305"/>
      <c r="E2255" s="1305"/>
      <c r="F2255" s="1310"/>
      <c r="G2255" s="1340" t="s">
        <v>4598</v>
      </c>
      <c r="H2255" s="1334" t="s">
        <v>5629</v>
      </c>
      <c r="I2255" s="1317"/>
      <c r="J2255" s="1341"/>
      <c r="K2255" s="703"/>
      <c r="L2255" s="703"/>
      <c r="M2255" s="708"/>
      <c r="N2255" s="166"/>
      <c r="P2255" s="166"/>
    </row>
    <row r="2256" spans="1:16" s="1311" customFormat="1">
      <c r="A2256" s="1319"/>
      <c r="B2256" s="1323" t="s">
        <v>5626</v>
      </c>
      <c r="C2256" s="1307">
        <v>16467637</v>
      </c>
      <c r="D2256" s="1307"/>
      <c r="E2256" s="1307"/>
      <c r="F2256" s="1313"/>
      <c r="G2256" s="1337" t="s">
        <v>2124</v>
      </c>
      <c r="H2256" s="1335" t="s">
        <v>5627</v>
      </c>
      <c r="I2256" s="1336"/>
      <c r="J2256" s="1274"/>
      <c r="K2256" s="703"/>
      <c r="L2256" s="703"/>
      <c r="M2256" s="708"/>
      <c r="N2256" s="166"/>
      <c r="P2256" s="166"/>
    </row>
    <row r="2257" spans="1:16" s="1311" customFormat="1">
      <c r="A2257" s="1306"/>
      <c r="B2257" s="1323" t="s">
        <v>5612</v>
      </c>
      <c r="C2257" s="1307">
        <v>44145027</v>
      </c>
      <c r="D2257" s="1307"/>
      <c r="E2257" s="1307"/>
      <c r="F2257" s="1313"/>
      <c r="G2257" s="1307"/>
      <c r="H2257" s="1335" t="s">
        <v>5613</v>
      </c>
      <c r="I2257" s="1336"/>
      <c r="J2257" s="1274"/>
      <c r="K2257" s="703"/>
      <c r="L2257" s="703"/>
      <c r="M2257" s="708"/>
      <c r="N2257" s="166"/>
      <c r="P2257" s="166"/>
    </row>
    <row r="2258" spans="1:16" s="711" customFormat="1">
      <c r="A2258" s="1291"/>
      <c r="B2258" s="709" t="s">
        <v>5606</v>
      </c>
      <c r="C2258" s="1268">
        <v>88432794</v>
      </c>
      <c r="D2258" s="1268"/>
      <c r="E2258" s="1268"/>
      <c r="F2258" s="710"/>
      <c r="G2258" s="1292"/>
      <c r="H2258" s="1334" t="s">
        <v>5611</v>
      </c>
      <c r="I2258" s="1268"/>
      <c r="J2258" s="1274"/>
      <c r="K2258" s="703"/>
      <c r="L2258" s="703"/>
      <c r="M2258" s="708"/>
      <c r="N2258" s="166"/>
      <c r="P2258" s="166"/>
    </row>
    <row r="2259" spans="1:16" s="711" customFormat="1">
      <c r="A2259" s="1291"/>
      <c r="B2259" s="717" t="s">
        <v>5544</v>
      </c>
      <c r="C2259" s="1270">
        <v>24165959</v>
      </c>
      <c r="D2259" s="1270"/>
      <c r="E2259" s="1270"/>
      <c r="F2259" s="724"/>
      <c r="G2259" s="1293" t="s">
        <v>5356</v>
      </c>
      <c r="H2259" s="1298" t="s">
        <v>5277</v>
      </c>
      <c r="I2259" s="1270"/>
      <c r="J2259" s="1274"/>
      <c r="K2259" s="703"/>
      <c r="L2259" s="703"/>
      <c r="M2259" s="708"/>
      <c r="N2259" s="166"/>
      <c r="P2259" s="166"/>
    </row>
    <row r="2260" spans="1:16" s="711" customFormat="1">
      <c r="A2260" s="1291"/>
      <c r="B2260" s="717" t="s">
        <v>5543</v>
      </c>
      <c r="C2260" s="1270">
        <v>46668915</v>
      </c>
      <c r="D2260" s="1270"/>
      <c r="E2260" s="1270"/>
      <c r="F2260" s="724"/>
      <c r="G2260" s="1293" t="s">
        <v>5356</v>
      </c>
      <c r="H2260" s="1298" t="s">
        <v>5542</v>
      </c>
      <c r="I2260" s="1270"/>
      <c r="J2260" s="1274"/>
      <c r="K2260" s="703"/>
      <c r="L2260" s="703"/>
      <c r="M2260" s="708"/>
      <c r="N2260" s="166"/>
      <c r="P2260" s="166"/>
    </row>
    <row r="2261" spans="1:16" s="711" customFormat="1">
      <c r="A2261" s="1291"/>
      <c r="B2261" s="717" t="s">
        <v>5541</v>
      </c>
      <c r="C2261" s="1270">
        <v>44616439</v>
      </c>
      <c r="D2261" s="1270"/>
      <c r="E2261" s="1270"/>
      <c r="F2261" s="724"/>
      <c r="G2261" s="1293" t="s">
        <v>5356</v>
      </c>
      <c r="H2261" s="1298" t="s">
        <v>5542</v>
      </c>
      <c r="I2261" s="1270"/>
      <c r="J2261" s="1274"/>
      <c r="K2261" s="703"/>
      <c r="L2261" s="703"/>
      <c r="M2261" s="708"/>
      <c r="N2261" s="166"/>
      <c r="P2261" s="166"/>
    </row>
    <row r="2262" spans="1:16" s="711" customFormat="1">
      <c r="A2262" s="1291"/>
      <c r="B2262" s="717" t="s">
        <v>5540</v>
      </c>
      <c r="C2262" s="1270">
        <v>40315189</v>
      </c>
      <c r="D2262" s="1270"/>
      <c r="E2262" s="1270"/>
      <c r="F2262" s="724"/>
      <c r="G2262" s="1293" t="s">
        <v>5356</v>
      </c>
      <c r="H2262" s="1298" t="s">
        <v>4877</v>
      </c>
      <c r="I2262" s="1270"/>
      <c r="J2262" s="1274"/>
      <c r="K2262" s="703"/>
      <c r="L2262" s="703"/>
      <c r="M2262" s="708"/>
      <c r="N2262" s="166"/>
      <c r="P2262" s="166"/>
    </row>
    <row r="2263" spans="1:16" s="711" customFormat="1">
      <c r="A2263" s="1291"/>
      <c r="B2263" s="717" t="s">
        <v>5537</v>
      </c>
      <c r="C2263" s="1270"/>
      <c r="D2263" s="1270"/>
      <c r="E2263" s="1270"/>
      <c r="F2263" s="724"/>
      <c r="G2263" s="1293" t="s">
        <v>5538</v>
      </c>
      <c r="H2263" s="1298" t="s">
        <v>5539</v>
      </c>
      <c r="I2263" s="1270"/>
      <c r="J2263" s="1274"/>
      <c r="K2263" s="703"/>
      <c r="L2263" s="703"/>
      <c r="M2263" s="708"/>
      <c r="N2263" s="166"/>
      <c r="P2263" s="166"/>
    </row>
    <row r="2264" spans="1:16" s="711" customFormat="1">
      <c r="A2264" s="1282"/>
      <c r="B2264" s="717" t="s">
        <v>5521</v>
      </c>
      <c r="C2264" s="1270">
        <v>43976578</v>
      </c>
      <c r="D2264" s="1270"/>
      <c r="E2264" s="1270"/>
      <c r="F2264" s="724"/>
      <c r="G2264" s="1287"/>
      <c r="H2264" s="1298" t="s">
        <v>5522</v>
      </c>
      <c r="I2264" s="1270"/>
      <c r="J2264" s="1274"/>
      <c r="K2264" s="703"/>
      <c r="L2264" s="703"/>
      <c r="M2264" s="708"/>
      <c r="N2264" s="166"/>
      <c r="P2264" s="166"/>
    </row>
    <row r="2265" spans="1:16" s="711" customFormat="1">
      <c r="A2265" s="1282"/>
      <c r="B2265" s="717" t="s">
        <v>5517</v>
      </c>
      <c r="C2265" s="1270"/>
      <c r="D2265" s="1270"/>
      <c r="E2265" s="1270"/>
      <c r="F2265" s="724"/>
      <c r="G2265" s="1287"/>
      <c r="H2265" s="1298" t="s">
        <v>5518</v>
      </c>
      <c r="I2265" s="1270"/>
      <c r="J2265" s="1274"/>
      <c r="K2265" s="703"/>
      <c r="L2265" s="703"/>
      <c r="M2265" s="708"/>
      <c r="N2265" s="166"/>
      <c r="P2265" s="166"/>
    </row>
    <row r="2266" spans="1:16" s="711" customFormat="1">
      <c r="A2266" s="1273"/>
      <c r="B2266" s="729" t="s">
        <v>5493</v>
      </c>
      <c r="C2266" s="1269">
        <v>66786154</v>
      </c>
      <c r="D2266" s="1269"/>
      <c r="E2266" s="1269"/>
      <c r="F2266" s="730"/>
      <c r="G2266" s="1269"/>
      <c r="H2266" s="1286" t="s">
        <v>5494</v>
      </c>
      <c r="I2266" s="1269"/>
      <c r="J2266" s="1274"/>
      <c r="K2266" s="703"/>
      <c r="L2266" s="703"/>
      <c r="M2266" s="708"/>
      <c r="N2266" s="166"/>
      <c r="P2266" s="166"/>
    </row>
    <row r="2267" spans="1:16" s="711" customFormat="1">
      <c r="A2267" s="1273"/>
      <c r="B2267" s="717" t="s">
        <v>5447</v>
      </c>
      <c r="C2267" s="1270">
        <v>71170863</v>
      </c>
      <c r="D2267" s="1270"/>
      <c r="E2267" s="1270"/>
      <c r="F2267" s="724"/>
      <c r="G2267" s="1270" t="s">
        <v>5448</v>
      </c>
      <c r="H2267" s="1271" t="s">
        <v>5449</v>
      </c>
      <c r="I2267" s="1270"/>
      <c r="J2267" s="1274"/>
      <c r="K2267" s="703"/>
      <c r="L2267" s="703"/>
      <c r="M2267" s="708"/>
      <c r="N2267" s="166"/>
      <c r="P2267" s="166"/>
    </row>
    <row r="2268" spans="1:16" s="711" customFormat="1">
      <c r="A2268" s="1273"/>
      <c r="B2268" s="961" t="s">
        <v>5444</v>
      </c>
      <c r="C2268" s="1295">
        <v>23098312</v>
      </c>
      <c r="D2268" s="1295"/>
      <c r="E2268" s="1295"/>
      <c r="F2268" s="962"/>
      <c r="G2268" s="1295" t="s">
        <v>5445</v>
      </c>
      <c r="H2268" s="1296" t="s">
        <v>5446</v>
      </c>
      <c r="I2268" s="1295"/>
      <c r="J2268" s="1274"/>
      <c r="K2268" s="703"/>
      <c r="L2268" s="703"/>
      <c r="M2268" s="708"/>
      <c r="N2268" s="166"/>
      <c r="P2268" s="166"/>
    </row>
    <row r="2269" spans="1:16" s="711" customFormat="1">
      <c r="A2269" s="1273"/>
      <c r="B2269" s="717" t="s">
        <v>5421</v>
      </c>
      <c r="C2269" s="1270">
        <v>93240883</v>
      </c>
      <c r="D2269" s="1270"/>
      <c r="E2269" s="1270"/>
      <c r="F2269" s="724"/>
      <c r="G2269" s="1270" t="s">
        <v>1006</v>
      </c>
      <c r="H2269" s="1271" t="s">
        <v>5422</v>
      </c>
      <c r="I2269" s="1270"/>
      <c r="J2269" s="1274"/>
      <c r="K2269" s="703"/>
      <c r="L2269" s="703"/>
      <c r="M2269" s="708"/>
      <c r="N2269" s="166"/>
      <c r="P2269" s="166"/>
    </row>
    <row r="2270" spans="1:16" s="711" customFormat="1">
      <c r="A2270" s="1255"/>
      <c r="B2270" s="717" t="s">
        <v>5413</v>
      </c>
      <c r="C2270" s="1099">
        <v>50193775</v>
      </c>
      <c r="D2270" s="1145"/>
      <c r="E2270" s="917"/>
      <c r="F2270" s="724"/>
      <c r="G2270" s="1270" t="s">
        <v>1032</v>
      </c>
      <c r="H2270" s="1271" t="s">
        <v>5414</v>
      </c>
      <c r="I2270" s="1201"/>
      <c r="J2270" s="1256"/>
      <c r="K2270" s="703"/>
      <c r="L2270" s="703"/>
      <c r="M2270" s="708"/>
      <c r="N2270" s="166"/>
      <c r="P2270" s="166"/>
    </row>
    <row r="2271" spans="1:16" s="711" customFormat="1">
      <c r="A2271" s="1255"/>
      <c r="B2271" s="717" t="s">
        <v>5404</v>
      </c>
      <c r="C2271" s="1099"/>
      <c r="D2271" s="1145"/>
      <c r="E2271" s="917"/>
      <c r="F2271" s="724"/>
      <c r="G2271" s="1270" t="s">
        <v>2000</v>
      </c>
      <c r="H2271" s="1271" t="s">
        <v>5405</v>
      </c>
      <c r="I2271" s="1201"/>
      <c r="J2271" s="1256"/>
      <c r="K2271" s="703"/>
      <c r="L2271" s="703"/>
      <c r="M2271" s="708"/>
      <c r="N2271" s="166"/>
      <c r="P2271" s="166"/>
    </row>
    <row r="2272" spans="1:16" s="711" customFormat="1">
      <c r="A2272" s="1255"/>
      <c r="B2272" s="717" t="s">
        <v>5389</v>
      </c>
      <c r="C2272" s="1099">
        <v>15438933</v>
      </c>
      <c r="D2272" s="1145"/>
      <c r="E2272" s="917"/>
      <c r="F2272" s="724"/>
      <c r="G2272" s="1262"/>
      <c r="H2272" s="1271" t="s">
        <v>5390</v>
      </c>
      <c r="I2272" s="1201"/>
      <c r="J2272" s="1256"/>
      <c r="K2272" s="703"/>
      <c r="L2272" s="703"/>
      <c r="M2272" s="708"/>
      <c r="N2272" s="166"/>
      <c r="P2272" s="166"/>
    </row>
    <row r="2273" spans="1:16" s="711" customFormat="1">
      <c r="A2273" s="1246"/>
      <c r="B2273" s="717" t="s">
        <v>5386</v>
      </c>
      <c r="C2273" s="1099">
        <v>60341700</v>
      </c>
      <c r="D2273" s="1145"/>
      <c r="E2273" s="917"/>
      <c r="F2273" s="724"/>
      <c r="G2273" s="1270" t="s">
        <v>4598</v>
      </c>
      <c r="H2273" s="1271" t="s">
        <v>5387</v>
      </c>
      <c r="I2273" s="1201"/>
      <c r="J2273" s="1197"/>
      <c r="K2273" s="703"/>
      <c r="L2273" s="703"/>
      <c r="M2273" s="708"/>
      <c r="N2273" s="166"/>
      <c r="P2273" s="166"/>
    </row>
    <row r="2274" spans="1:16" s="711" customFormat="1">
      <c r="A2274" s="1234"/>
      <c r="B2274" s="717" t="s">
        <v>5370</v>
      </c>
      <c r="C2274" s="1099">
        <v>17175155</v>
      </c>
      <c r="D2274" s="1145"/>
      <c r="E2274" s="917"/>
      <c r="F2274" s="724"/>
      <c r="G2274" s="1262" t="s">
        <v>4598</v>
      </c>
      <c r="H2274" s="1263" t="s">
        <v>3702</v>
      </c>
      <c r="I2274" s="1201"/>
      <c r="J2274" s="1197"/>
      <c r="K2274" s="703"/>
      <c r="L2274" s="703"/>
      <c r="M2274" s="708"/>
      <c r="N2274" s="166"/>
      <c r="P2274" s="166"/>
    </row>
    <row r="2275" spans="1:16" s="711" customFormat="1">
      <c r="A2275" s="1234"/>
      <c r="B2275" s="717" t="s">
        <v>5355</v>
      </c>
      <c r="C2275" s="1099">
        <v>24159179</v>
      </c>
      <c r="D2275" s="1145"/>
      <c r="E2275" s="917"/>
      <c r="F2275" s="724"/>
      <c r="G2275" s="1244" t="s">
        <v>5356</v>
      </c>
      <c r="H2275" s="1238"/>
      <c r="I2275" s="1201">
        <v>32.6</v>
      </c>
      <c r="J2275" s="1197"/>
      <c r="K2275" s="703"/>
      <c r="L2275" s="703"/>
      <c r="M2275" s="708"/>
      <c r="N2275" s="166"/>
      <c r="P2275" s="166"/>
    </row>
    <row r="2276" spans="1:16" s="711" customFormat="1">
      <c r="A2276" s="1234"/>
      <c r="B2276" s="717" t="s">
        <v>5360</v>
      </c>
      <c r="C2276" s="1099">
        <v>11111111</v>
      </c>
      <c r="D2276" s="1145"/>
      <c r="E2276" s="917"/>
      <c r="F2276" s="724"/>
      <c r="G2276" s="1244" t="s">
        <v>4332</v>
      </c>
      <c r="H2276" s="1264" t="s">
        <v>5352</v>
      </c>
      <c r="I2276" s="1201">
        <v>27</v>
      </c>
      <c r="J2276" s="1197"/>
      <c r="K2276" s="703"/>
      <c r="L2276" s="703"/>
      <c r="M2276" s="708"/>
      <c r="N2276" s="166"/>
      <c r="P2276" s="166"/>
    </row>
    <row r="2277" spans="1:16" s="711" customFormat="1">
      <c r="A2277" s="1234"/>
      <c r="B2277" s="709"/>
      <c r="C2277" s="1082"/>
      <c r="D2277" s="1141"/>
      <c r="E2277" s="915"/>
      <c r="F2277" s="710"/>
      <c r="G2277" s="1229"/>
      <c r="H2277" s="1236"/>
      <c r="I2277" s="1193"/>
      <c r="J2277" s="1197"/>
      <c r="K2277" s="703"/>
      <c r="L2277" s="703"/>
      <c r="M2277" s="708"/>
      <c r="N2277" s="166"/>
      <c r="P2277" s="166"/>
    </row>
    <row r="2278" spans="1:16" s="711" customFormat="1">
      <c r="A2278" s="1234"/>
      <c r="B2278" s="717" t="s">
        <v>5342</v>
      </c>
      <c r="C2278" s="1099">
        <v>63602316</v>
      </c>
      <c r="D2278" s="1145"/>
      <c r="E2278" s="917"/>
      <c r="F2278" s="724"/>
      <c r="G2278" s="1230" t="s">
        <v>3958</v>
      </c>
      <c r="H2278" s="1238" t="s">
        <v>5343</v>
      </c>
      <c r="I2278" s="1201"/>
      <c r="J2278" s="1197"/>
      <c r="K2278" s="703"/>
      <c r="L2278" s="703"/>
      <c r="M2278" s="708"/>
      <c r="N2278" s="166"/>
      <c r="P2278" s="166"/>
    </row>
    <row r="2279" spans="1:16" s="711" customFormat="1">
      <c r="A2279" s="1234"/>
      <c r="B2279" s="717" t="s">
        <v>5334</v>
      </c>
      <c r="C2279" s="1099">
        <v>47097683</v>
      </c>
      <c r="D2279" s="1145"/>
      <c r="E2279" s="917"/>
      <c r="F2279" s="724"/>
      <c r="G2279" s="1230" t="s">
        <v>617</v>
      </c>
      <c r="H2279" s="1238" t="s">
        <v>5335</v>
      </c>
      <c r="I2279" s="1201"/>
      <c r="J2279" s="1197"/>
      <c r="K2279" s="703"/>
      <c r="L2279" s="703"/>
      <c r="M2279" s="708"/>
      <c r="N2279" s="166"/>
      <c r="P2279" s="166"/>
    </row>
    <row r="2280" spans="1:16" s="711" customFormat="1">
      <c r="A2280" s="1218"/>
      <c r="B2280" s="717" t="s">
        <v>5328</v>
      </c>
      <c r="C2280" s="1099">
        <v>10018238</v>
      </c>
      <c r="D2280" s="1145"/>
      <c r="E2280" s="917"/>
      <c r="F2280" s="724"/>
      <c r="G2280" s="1230" t="s">
        <v>2102</v>
      </c>
      <c r="H2280" s="1238" t="s">
        <v>5329</v>
      </c>
      <c r="I2280" s="1201"/>
      <c r="J2280" s="1197"/>
      <c r="K2280" s="703"/>
      <c r="L2280" s="703"/>
      <c r="M2280" s="708"/>
      <c r="N2280" s="166"/>
      <c r="P2280" s="166"/>
    </row>
    <row r="2281" spans="1:16" s="711" customFormat="1">
      <c r="A2281" s="1218"/>
      <c r="B2281" s="717" t="s">
        <v>5288</v>
      </c>
      <c r="C2281" s="1099">
        <v>87362051</v>
      </c>
      <c r="D2281" s="1145"/>
      <c r="E2281" s="917"/>
      <c r="F2281" s="724"/>
      <c r="G2281" s="1211" t="s">
        <v>988</v>
      </c>
      <c r="H2281" s="1212" t="s">
        <v>5289</v>
      </c>
      <c r="I2281" s="1201"/>
      <c r="J2281" s="1197"/>
      <c r="K2281" s="703"/>
      <c r="L2281" s="703"/>
      <c r="M2281" s="708"/>
      <c r="N2281" s="166"/>
      <c r="P2281" s="166"/>
    </row>
    <row r="2282" spans="1:16" s="711" customFormat="1">
      <c r="A2282" s="1218"/>
      <c r="B2282" s="717" t="s">
        <v>5286</v>
      </c>
      <c r="C2282" s="1099">
        <v>43848244</v>
      </c>
      <c r="D2282" s="1145"/>
      <c r="E2282" s="917"/>
      <c r="F2282" s="724"/>
      <c r="G2282" s="1211" t="s">
        <v>2554</v>
      </c>
      <c r="H2282" s="1212" t="s">
        <v>5287</v>
      </c>
      <c r="I2282" s="1201"/>
      <c r="J2282" s="1197"/>
      <c r="K2282" s="703"/>
      <c r="L2282" s="703"/>
      <c r="M2282" s="708"/>
      <c r="N2282" s="166"/>
      <c r="P2282" s="166"/>
    </row>
    <row r="2283" spans="1:16" s="711" customFormat="1">
      <c r="A2283" s="1218"/>
      <c r="B2283" s="717" t="s">
        <v>5284</v>
      </c>
      <c r="C2283" s="1099">
        <v>46279182</v>
      </c>
      <c r="D2283" s="1145"/>
      <c r="E2283" s="917"/>
      <c r="F2283" s="724"/>
      <c r="G2283" s="1211" t="s">
        <v>667</v>
      </c>
      <c r="H2283" s="1212" t="s">
        <v>5102</v>
      </c>
      <c r="I2283" s="1201"/>
      <c r="J2283" s="1197"/>
      <c r="K2283" s="703"/>
      <c r="L2283" s="703"/>
      <c r="M2283" s="708"/>
      <c r="N2283" s="166"/>
      <c r="P2283" s="166"/>
    </row>
    <row r="2284" spans="1:16" s="711" customFormat="1">
      <c r="A2284" s="1218"/>
      <c r="B2284" s="717" t="s">
        <v>5276</v>
      </c>
      <c r="C2284" s="1099">
        <v>41443568</v>
      </c>
      <c r="D2284" s="1145"/>
      <c r="E2284" s="917"/>
      <c r="F2284" s="724"/>
      <c r="G2284" s="1211" t="s">
        <v>713</v>
      </c>
      <c r="H2284" s="1212" t="s">
        <v>5277</v>
      </c>
      <c r="I2284" s="1201"/>
      <c r="J2284" s="1197"/>
      <c r="K2284" s="703"/>
      <c r="L2284" s="703"/>
      <c r="M2284" s="708"/>
      <c r="N2284" s="166"/>
      <c r="P2284" s="166"/>
    </row>
    <row r="2285" spans="1:16" s="711" customFormat="1">
      <c r="A2285" s="1218"/>
      <c r="B2285" s="717" t="s">
        <v>5265</v>
      </c>
      <c r="C2285" s="1099"/>
      <c r="D2285" s="1145"/>
      <c r="E2285" s="917"/>
      <c r="F2285" s="724"/>
      <c r="G2285" s="1211" t="s">
        <v>2187</v>
      </c>
      <c r="H2285" s="1212" t="s">
        <v>5266</v>
      </c>
      <c r="I2285" s="1201"/>
      <c r="J2285" s="1197"/>
      <c r="K2285" s="703"/>
      <c r="L2285" s="703"/>
      <c r="M2285" s="708"/>
      <c r="N2285" s="166"/>
      <c r="P2285" s="166"/>
    </row>
    <row r="2286" spans="1:16" s="711" customFormat="1">
      <c r="A2286" s="1218"/>
      <c r="B2286" s="717" t="s">
        <v>5246</v>
      </c>
      <c r="C2286" s="1099"/>
      <c r="D2286" s="1145"/>
      <c r="E2286" s="917"/>
      <c r="F2286" s="724"/>
      <c r="G2286" s="1211" t="s">
        <v>667</v>
      </c>
      <c r="H2286" s="1212" t="s">
        <v>5247</v>
      </c>
      <c r="I2286" s="1201"/>
      <c r="J2286" s="1197"/>
      <c r="K2286" s="703"/>
      <c r="L2286" s="703"/>
      <c r="M2286" s="708"/>
      <c r="N2286" s="166"/>
      <c r="P2286" s="166"/>
    </row>
    <row r="2287" spans="1:16" s="711" customFormat="1">
      <c r="A2287" s="1196"/>
      <c r="B2287" s="717" t="s">
        <v>5243</v>
      </c>
      <c r="C2287" s="1099">
        <v>30692295</v>
      </c>
      <c r="D2287" s="1145"/>
      <c r="E2287" s="917"/>
      <c r="F2287" s="724"/>
      <c r="G2287" s="1211" t="s">
        <v>5244</v>
      </c>
      <c r="H2287" s="1212" t="s">
        <v>5245</v>
      </c>
      <c r="I2287" s="1201"/>
      <c r="J2287" s="1197"/>
      <c r="K2287" s="703"/>
      <c r="L2287" s="703"/>
      <c r="M2287" s="708"/>
      <c r="N2287" s="166"/>
      <c r="P2287" s="166"/>
    </row>
    <row r="2288" spans="1:16" s="711" customFormat="1">
      <c r="A2288" s="1196"/>
      <c r="B2288" s="717" t="s">
        <v>5229</v>
      </c>
      <c r="C2288" s="1099"/>
      <c r="D2288" s="1145"/>
      <c r="E2288" s="917"/>
      <c r="F2288" s="724"/>
      <c r="G2288" s="1211" t="s">
        <v>5059</v>
      </c>
      <c r="H2288" s="1212" t="s">
        <v>5230</v>
      </c>
      <c r="I2288" s="1201"/>
      <c r="J2288" s="1197"/>
      <c r="K2288" s="703"/>
      <c r="L2288" s="703"/>
      <c r="M2288" s="708"/>
      <c r="N2288" s="166"/>
      <c r="P2288" s="166"/>
    </row>
    <row r="2289" spans="1:16" s="711" customFormat="1">
      <c r="A2289" s="1196"/>
      <c r="B2289" s="717" t="s">
        <v>5214</v>
      </c>
      <c r="C2289" s="1099"/>
      <c r="D2289" s="1145"/>
      <c r="E2289" s="917"/>
      <c r="F2289" s="724"/>
      <c r="G2289" s="1201" t="s">
        <v>2554</v>
      </c>
      <c r="H2289" s="1198" t="s">
        <v>5215</v>
      </c>
      <c r="I2289" s="1136"/>
      <c r="J2289" s="1184"/>
      <c r="K2289" s="703"/>
      <c r="L2289" s="703"/>
      <c r="M2289" s="708"/>
      <c r="N2289" s="166"/>
      <c r="P2289" s="166"/>
    </row>
    <row r="2290" spans="1:16" s="711" customFormat="1">
      <c r="A2290" s="1196"/>
      <c r="B2290" s="717" t="s">
        <v>5204</v>
      </c>
      <c r="C2290" s="1099">
        <v>83771884</v>
      </c>
      <c r="D2290" s="1145"/>
      <c r="E2290" s="917"/>
      <c r="F2290" s="724"/>
      <c r="G2290" s="1201"/>
      <c r="H2290" s="1198" t="s">
        <v>5205</v>
      </c>
      <c r="I2290" s="1136"/>
      <c r="J2290" s="1184"/>
      <c r="K2290" s="703"/>
      <c r="L2290" s="703"/>
      <c r="M2290" s="708"/>
      <c r="N2290" s="166"/>
      <c r="P2290" s="166"/>
    </row>
    <row r="2291" spans="1:16" s="711" customFormat="1">
      <c r="A2291" s="1196"/>
      <c r="B2291" s="717" t="s">
        <v>5202</v>
      </c>
      <c r="C2291" s="1099"/>
      <c r="D2291" s="1145"/>
      <c r="E2291" s="917"/>
      <c r="F2291" s="724"/>
      <c r="G2291" s="1201" t="s">
        <v>4363</v>
      </c>
      <c r="H2291" s="1198" t="s">
        <v>5153</v>
      </c>
      <c r="I2291" s="1136"/>
      <c r="J2291" s="1184"/>
      <c r="K2291" s="703"/>
      <c r="L2291" s="703"/>
      <c r="M2291" s="708"/>
      <c r="N2291" s="166"/>
      <c r="P2291" s="166"/>
    </row>
    <row r="2292" spans="1:16" s="711" customFormat="1">
      <c r="A2292" s="1196"/>
      <c r="B2292" s="717" t="s">
        <v>5198</v>
      </c>
      <c r="C2292" s="1099"/>
      <c r="D2292" s="1145"/>
      <c r="E2292" s="917"/>
      <c r="F2292" s="724"/>
      <c r="G2292" s="1201" t="s">
        <v>4598</v>
      </c>
      <c r="H2292" s="1198" t="s">
        <v>5199</v>
      </c>
      <c r="I2292" s="1136"/>
      <c r="J2292" s="1184"/>
      <c r="K2292" s="703"/>
      <c r="L2292" s="703"/>
      <c r="M2292" s="708"/>
      <c r="N2292" s="166"/>
      <c r="P2292" s="166"/>
    </row>
    <row r="2293" spans="1:16" s="711" customFormat="1">
      <c r="A2293" s="1196"/>
      <c r="B2293" s="717" t="s">
        <v>5196</v>
      </c>
      <c r="C2293" s="1099"/>
      <c r="D2293" s="1145"/>
      <c r="E2293" s="917"/>
      <c r="F2293" s="724"/>
      <c r="G2293" s="1201" t="s">
        <v>4598</v>
      </c>
      <c r="H2293" s="1198" t="s">
        <v>5197</v>
      </c>
      <c r="I2293" s="1136"/>
      <c r="J2293" s="1184"/>
      <c r="K2293" s="703"/>
      <c r="L2293" s="703"/>
      <c r="M2293" s="708"/>
      <c r="N2293" s="166"/>
      <c r="P2293" s="166"/>
    </row>
    <row r="2294" spans="1:16" s="711" customFormat="1">
      <c r="A2294" s="1196"/>
      <c r="B2294" s="717" t="s">
        <v>5195</v>
      </c>
      <c r="C2294" s="1099">
        <v>14977887</v>
      </c>
      <c r="D2294" s="1145"/>
      <c r="E2294" s="917"/>
      <c r="F2294" s="724"/>
      <c r="G2294" s="1201" t="s">
        <v>736</v>
      </c>
      <c r="H2294" s="1198" t="s">
        <v>4910</v>
      </c>
      <c r="I2294" s="1136"/>
      <c r="J2294" s="1184"/>
      <c r="K2294" s="703"/>
      <c r="L2294" s="703"/>
      <c r="M2294" s="708"/>
      <c r="N2294" s="166"/>
      <c r="P2294" s="166"/>
    </row>
    <row r="2295" spans="1:16" s="711" customFormat="1">
      <c r="A2295" s="1196"/>
      <c r="B2295" s="717" t="s">
        <v>5188</v>
      </c>
      <c r="C2295" s="1099">
        <v>19583250</v>
      </c>
      <c r="D2295" s="1145"/>
      <c r="E2295" s="917"/>
      <c r="F2295" s="724"/>
      <c r="G2295" s="1201" t="s">
        <v>2251</v>
      </c>
      <c r="H2295" s="1198" t="s">
        <v>5189</v>
      </c>
      <c r="I2295" s="1136"/>
      <c r="J2295" s="1184"/>
      <c r="K2295" s="703"/>
      <c r="L2295" s="703"/>
      <c r="M2295" s="708"/>
      <c r="N2295" s="166"/>
      <c r="P2295" s="166"/>
    </row>
    <row r="2296" spans="1:16" s="711" customFormat="1">
      <c r="A2296" s="1196"/>
      <c r="B2296" s="717" t="s">
        <v>5180</v>
      </c>
      <c r="C2296" s="1099">
        <v>30165023</v>
      </c>
      <c r="D2296" s="1145"/>
      <c r="E2296" s="917"/>
      <c r="F2296" s="724"/>
      <c r="G2296" s="1201" t="s">
        <v>5181</v>
      </c>
      <c r="H2296" s="1198" t="s">
        <v>5182</v>
      </c>
      <c r="I2296" s="1136"/>
      <c r="J2296" s="1184"/>
      <c r="K2296" s="703"/>
      <c r="L2296" s="703"/>
      <c r="M2296" s="708"/>
      <c r="N2296" s="166"/>
      <c r="P2296" s="166"/>
    </row>
    <row r="2297" spans="1:16" s="711" customFormat="1">
      <c r="A2297" s="1196"/>
      <c r="B2297" s="717" t="s">
        <v>5178</v>
      </c>
      <c r="C2297" s="1099">
        <v>12345678</v>
      </c>
      <c r="D2297" s="1145"/>
      <c r="E2297" s="917"/>
      <c r="F2297" s="724"/>
      <c r="G2297" s="1201" t="s">
        <v>1971</v>
      </c>
      <c r="H2297" s="1198" t="s">
        <v>5179</v>
      </c>
      <c r="I2297" s="1136"/>
      <c r="J2297" s="1184"/>
      <c r="K2297" s="703"/>
      <c r="L2297" s="703"/>
      <c r="M2297" s="708"/>
      <c r="N2297" s="166"/>
      <c r="P2297" s="166"/>
    </row>
    <row r="2298" spans="1:16" s="711" customFormat="1">
      <c r="A2298" s="1196"/>
      <c r="B2298" s="717" t="s">
        <v>5176</v>
      </c>
      <c r="C2298" s="1099"/>
      <c r="D2298" s="1145"/>
      <c r="E2298" s="917"/>
      <c r="F2298" s="724"/>
      <c r="G2298" s="1201" t="s">
        <v>2554</v>
      </c>
      <c r="H2298" s="1198" t="s">
        <v>5177</v>
      </c>
      <c r="I2298" s="1136"/>
      <c r="J2298" s="1184"/>
      <c r="K2298" s="703"/>
      <c r="L2298" s="703"/>
      <c r="M2298" s="708"/>
      <c r="N2298" s="166"/>
      <c r="P2298" s="166"/>
    </row>
    <row r="2299" spans="1:16" s="711" customFormat="1">
      <c r="A2299" s="1196"/>
      <c r="B2299" s="717" t="s">
        <v>5174</v>
      </c>
      <c r="C2299" s="1099">
        <v>87596326</v>
      </c>
      <c r="D2299" s="1145"/>
      <c r="E2299" s="917"/>
      <c r="F2299" s="724"/>
      <c r="G2299" s="1201" t="s">
        <v>3312</v>
      </c>
      <c r="H2299" s="1198" t="s">
        <v>5175</v>
      </c>
      <c r="I2299" s="1136"/>
      <c r="J2299" s="1184"/>
      <c r="K2299" s="703"/>
      <c r="L2299" s="703"/>
      <c r="M2299" s="708"/>
      <c r="N2299" s="166"/>
      <c r="P2299" s="166"/>
    </row>
    <row r="2300" spans="1:16" s="711" customFormat="1">
      <c r="A2300" s="1196"/>
      <c r="B2300" s="717" t="s">
        <v>5173</v>
      </c>
      <c r="C2300" s="1099">
        <v>68727664</v>
      </c>
      <c r="D2300" s="1145"/>
      <c r="E2300" s="917"/>
      <c r="F2300" s="724"/>
      <c r="G2300" s="1201" t="s">
        <v>1009</v>
      </c>
      <c r="H2300" s="1198" t="s">
        <v>5171</v>
      </c>
      <c r="I2300" s="1136"/>
      <c r="J2300" s="1184"/>
      <c r="K2300" s="703"/>
      <c r="L2300" s="703"/>
      <c r="M2300" s="708"/>
      <c r="N2300" s="166"/>
      <c r="P2300" s="166"/>
    </row>
    <row r="2301" spans="1:16" s="711" customFormat="1">
      <c r="A2301" s="1196"/>
      <c r="B2301" s="717" t="s">
        <v>5172</v>
      </c>
      <c r="C2301" s="1099">
        <v>10605885</v>
      </c>
      <c r="D2301" s="1145"/>
      <c r="E2301" s="917"/>
      <c r="F2301" s="724"/>
      <c r="G2301" s="1201" t="s">
        <v>1009</v>
      </c>
      <c r="H2301" s="1198" t="s">
        <v>5171</v>
      </c>
      <c r="I2301" s="1136"/>
      <c r="J2301" s="1184"/>
      <c r="K2301" s="703"/>
      <c r="L2301" s="703"/>
      <c r="M2301" s="708"/>
      <c r="N2301" s="166"/>
      <c r="P2301" s="166"/>
    </row>
    <row r="2302" spans="1:16" s="711" customFormat="1">
      <c r="A2302" s="1196"/>
      <c r="B2302" s="717" t="s">
        <v>5170</v>
      </c>
      <c r="C2302" s="1099">
        <v>17084471</v>
      </c>
      <c r="D2302" s="1145"/>
      <c r="E2302" s="917"/>
      <c r="F2302" s="724"/>
      <c r="G2302" s="1201" t="s">
        <v>1009</v>
      </c>
      <c r="H2302" s="1198" t="s">
        <v>5171</v>
      </c>
      <c r="I2302" s="1136"/>
      <c r="J2302" s="1184"/>
      <c r="K2302" s="703"/>
      <c r="L2302" s="703"/>
      <c r="M2302" s="708"/>
      <c r="N2302" s="166"/>
      <c r="P2302" s="166"/>
    </row>
    <row r="2303" spans="1:16" s="711" customFormat="1">
      <c r="A2303" s="1196">
        <v>1</v>
      </c>
      <c r="B2303" s="717" t="s">
        <v>5168</v>
      </c>
      <c r="C2303" s="1099">
        <v>39369464</v>
      </c>
      <c r="D2303" s="1145"/>
      <c r="E2303" s="917"/>
      <c r="F2303" s="724"/>
      <c r="G2303" s="1201" t="s">
        <v>1009</v>
      </c>
      <c r="H2303" s="1198" t="s">
        <v>5169</v>
      </c>
      <c r="I2303" s="1136"/>
      <c r="J2303" s="1184"/>
      <c r="K2303" s="703"/>
      <c r="L2303" s="703"/>
      <c r="M2303" s="708"/>
      <c r="N2303" s="166"/>
      <c r="P2303" s="166"/>
    </row>
    <row r="2304" spans="1:16" s="711" customFormat="1">
      <c r="A2304" s="1196"/>
      <c r="B2304" s="717" t="s">
        <v>5158</v>
      </c>
      <c r="C2304" s="1099">
        <v>20687739</v>
      </c>
      <c r="D2304" s="1145"/>
      <c r="E2304" s="917"/>
      <c r="F2304" s="724"/>
      <c r="G2304" s="1201" t="s">
        <v>4431</v>
      </c>
      <c r="H2304" s="1198" t="s">
        <v>5159</v>
      </c>
      <c r="I2304" s="1136"/>
      <c r="J2304" s="1184"/>
      <c r="K2304" s="703"/>
      <c r="L2304" s="703"/>
      <c r="M2304" s="708"/>
      <c r="N2304" s="166"/>
      <c r="P2304" s="166"/>
    </row>
    <row r="2305" spans="1:16" s="711" customFormat="1">
      <c r="A2305" s="1196"/>
      <c r="B2305" s="717" t="s">
        <v>5154</v>
      </c>
      <c r="C2305" s="1099"/>
      <c r="D2305" s="1145"/>
      <c r="E2305" s="917"/>
      <c r="F2305" s="724"/>
      <c r="G2305" s="1201" t="s">
        <v>2073</v>
      </c>
      <c r="H2305" s="1198" t="s">
        <v>5030</v>
      </c>
      <c r="I2305" s="1136"/>
      <c r="J2305" s="1184"/>
      <c r="K2305" s="703"/>
      <c r="L2305" s="703"/>
      <c r="M2305" s="708"/>
      <c r="N2305" s="166"/>
      <c r="P2305" s="166"/>
    </row>
    <row r="2306" spans="1:16" s="711" customFormat="1">
      <c r="A2306" s="1178"/>
      <c r="B2306" s="929" t="s">
        <v>5152</v>
      </c>
      <c r="C2306" s="931">
        <v>60438600</v>
      </c>
      <c r="D2306" s="931"/>
      <c r="E2306" s="931"/>
      <c r="F2306" s="931"/>
      <c r="G2306" s="931" t="s">
        <v>1972</v>
      </c>
      <c r="H2306" s="1207" t="s">
        <v>5153</v>
      </c>
      <c r="I2306" s="931"/>
      <c r="J2306" s="1184"/>
      <c r="K2306" s="703"/>
      <c r="L2306" s="703"/>
      <c r="M2306" s="708"/>
      <c r="N2306" s="166"/>
      <c r="P2306" s="166"/>
    </row>
    <row r="2307" spans="1:16" s="711" customFormat="1">
      <c r="A2307" s="1178"/>
      <c r="B2307" s="717" t="s">
        <v>5131</v>
      </c>
      <c r="C2307" s="1099">
        <v>48706982</v>
      </c>
      <c r="D2307" s="1145"/>
      <c r="E2307" s="917"/>
      <c r="F2307" s="724"/>
      <c r="G2307" s="1186" t="s">
        <v>713</v>
      </c>
      <c r="H2307" s="1187" t="s">
        <v>5132</v>
      </c>
      <c r="I2307" s="1136"/>
      <c r="J2307" s="1184"/>
      <c r="K2307" s="703"/>
      <c r="L2307" s="703"/>
      <c r="M2307" s="708"/>
      <c r="N2307" s="166"/>
      <c r="P2307" s="166"/>
    </row>
    <row r="2308" spans="1:16" s="711" customFormat="1">
      <c r="A2308" s="1178"/>
      <c r="B2308" s="717" t="s">
        <v>5123</v>
      </c>
      <c r="C2308" s="1099">
        <v>99626674</v>
      </c>
      <c r="D2308" s="1145"/>
      <c r="E2308" s="917"/>
      <c r="F2308" s="724"/>
      <c r="G2308" s="1186" t="s">
        <v>2288</v>
      </c>
      <c r="H2308" s="1187" t="s">
        <v>4877</v>
      </c>
      <c r="I2308" s="1136"/>
      <c r="J2308" s="1184"/>
      <c r="K2308" s="703"/>
      <c r="L2308" s="703"/>
      <c r="M2308" s="708"/>
      <c r="N2308" s="166"/>
      <c r="P2308" s="166"/>
    </row>
    <row r="2309" spans="1:16" s="711" customFormat="1">
      <c r="A2309" s="1178"/>
      <c r="B2309" s="717" t="s">
        <v>5122</v>
      </c>
      <c r="C2309" s="1099">
        <v>30625526</v>
      </c>
      <c r="D2309" s="1145"/>
      <c r="E2309" s="917"/>
      <c r="F2309" s="724"/>
      <c r="G2309" s="1186" t="s">
        <v>2073</v>
      </c>
      <c r="H2309" s="1198" t="s">
        <v>5140</v>
      </c>
      <c r="I2309" s="1136"/>
      <c r="J2309" s="1184"/>
      <c r="K2309" s="703"/>
      <c r="L2309" s="703"/>
      <c r="M2309" s="708"/>
      <c r="N2309" s="166"/>
      <c r="P2309" s="166"/>
    </row>
    <row r="2310" spans="1:16" s="711" customFormat="1" ht="26.4">
      <c r="A2310" s="1178"/>
      <c r="B2310" s="717" t="s">
        <v>5120</v>
      </c>
      <c r="C2310" s="1099">
        <v>30879644</v>
      </c>
      <c r="D2310" s="1145"/>
      <c r="E2310" s="917"/>
      <c r="F2310" s="724"/>
      <c r="G2310" s="1186" t="s">
        <v>1032</v>
      </c>
      <c r="H2310" s="1187" t="s">
        <v>3262</v>
      </c>
      <c r="I2310" s="1136"/>
      <c r="J2310" s="1184"/>
      <c r="K2310" s="703"/>
      <c r="L2310" s="703"/>
      <c r="M2310" s="708"/>
      <c r="N2310" s="166"/>
      <c r="P2310" s="166"/>
    </row>
    <row r="2311" spans="1:16" s="711" customFormat="1">
      <c r="A2311" s="1178"/>
      <c r="B2311" s="717" t="s">
        <v>5119</v>
      </c>
      <c r="C2311" s="1099">
        <v>31524950</v>
      </c>
      <c r="D2311" s="1145"/>
      <c r="E2311" s="917"/>
      <c r="F2311" s="724"/>
      <c r="G2311" s="1186" t="s">
        <v>1032</v>
      </c>
      <c r="H2311" s="1187" t="s">
        <v>5121</v>
      </c>
      <c r="I2311" s="1136"/>
      <c r="J2311" s="1184"/>
      <c r="K2311" s="703"/>
      <c r="L2311" s="703"/>
      <c r="M2311" s="708"/>
      <c r="N2311" s="166"/>
      <c r="P2311" s="166"/>
    </row>
    <row r="2312" spans="1:16" s="711" customFormat="1">
      <c r="A2312" s="1178"/>
      <c r="B2312" s="717" t="s">
        <v>5117</v>
      </c>
      <c r="C2312" s="1099">
        <v>73457763</v>
      </c>
      <c r="D2312" s="1145"/>
      <c r="E2312" s="917"/>
      <c r="F2312" s="724"/>
      <c r="G2312" s="1186" t="s">
        <v>1009</v>
      </c>
      <c r="H2312" s="1187" t="s">
        <v>5118</v>
      </c>
      <c r="I2312" s="1136"/>
      <c r="J2312" s="1163"/>
      <c r="K2312" s="703"/>
      <c r="L2312" s="703"/>
      <c r="M2312" s="708"/>
      <c r="N2312" s="166"/>
      <c r="P2312" s="166"/>
    </row>
    <row r="2313" spans="1:16" s="711" customFormat="1">
      <c r="A2313" s="1178"/>
      <c r="B2313" s="717" t="s">
        <v>5111</v>
      </c>
      <c r="C2313" s="1099">
        <v>71771299</v>
      </c>
      <c r="D2313" s="1145"/>
      <c r="E2313" s="917"/>
      <c r="F2313" s="724"/>
      <c r="G2313" s="1176" t="s">
        <v>2651</v>
      </c>
      <c r="H2313" s="1177" t="s">
        <v>5112</v>
      </c>
      <c r="I2313" s="1136"/>
      <c r="J2313" s="1163"/>
      <c r="K2313" s="703"/>
      <c r="L2313" s="703"/>
      <c r="M2313" s="708"/>
      <c r="N2313" s="166"/>
      <c r="P2313" s="166"/>
    </row>
    <row r="2314" spans="1:16" s="711" customFormat="1">
      <c r="A2314" s="1178"/>
      <c r="B2314" s="717" t="s">
        <v>5109</v>
      </c>
      <c r="C2314" s="1099">
        <v>54663283</v>
      </c>
      <c r="D2314" s="1145"/>
      <c r="E2314" s="917"/>
      <c r="F2314" s="724"/>
      <c r="G2314" s="1176" t="s">
        <v>2312</v>
      </c>
      <c r="H2314" s="1177" t="s">
        <v>5110</v>
      </c>
      <c r="I2314" s="1136"/>
      <c r="J2314" s="1163"/>
      <c r="K2314" s="703"/>
      <c r="L2314" s="703"/>
      <c r="M2314" s="708"/>
      <c r="N2314" s="166"/>
      <c r="P2314" s="166"/>
    </row>
    <row r="2315" spans="1:16" s="711" customFormat="1">
      <c r="A2315" s="1178"/>
      <c r="B2315" s="717" t="s">
        <v>5107</v>
      </c>
      <c r="C2315" s="1099">
        <v>16670311</v>
      </c>
      <c r="D2315" s="1145"/>
      <c r="E2315" s="917"/>
      <c r="F2315" s="724"/>
      <c r="G2315" s="1176" t="s">
        <v>2215</v>
      </c>
      <c r="H2315" s="1177" t="s">
        <v>5108</v>
      </c>
      <c r="I2315" s="1136"/>
      <c r="J2315" s="1163"/>
      <c r="K2315" s="703"/>
      <c r="L2315" s="703"/>
      <c r="M2315" s="708"/>
      <c r="N2315" s="166"/>
      <c r="P2315" s="166"/>
    </row>
    <row r="2316" spans="1:16" s="711" customFormat="1">
      <c r="A2316" s="1162"/>
      <c r="B2316" s="717" t="s">
        <v>5104</v>
      </c>
      <c r="C2316" s="1099">
        <v>14709969</v>
      </c>
      <c r="D2316" s="1145"/>
      <c r="E2316" s="917"/>
      <c r="F2316" s="724"/>
      <c r="G2316" s="1176" t="s">
        <v>713</v>
      </c>
      <c r="H2316" s="1177" t="s">
        <v>5105</v>
      </c>
      <c r="I2316" s="1136"/>
      <c r="J2316" s="1163"/>
      <c r="K2316" s="703"/>
      <c r="L2316" s="703"/>
      <c r="M2316" s="708"/>
      <c r="N2316" s="166"/>
      <c r="P2316" s="166"/>
    </row>
    <row r="2317" spans="1:16" s="711" customFormat="1">
      <c r="A2317" s="1162"/>
      <c r="B2317" s="717" t="s">
        <v>5101</v>
      </c>
      <c r="C2317" s="1099">
        <v>49428442</v>
      </c>
      <c r="D2317" s="1145"/>
      <c r="E2317" s="917"/>
      <c r="F2317" s="724"/>
      <c r="G2317" s="1176" t="s">
        <v>2215</v>
      </c>
      <c r="H2317" s="1177" t="s">
        <v>5102</v>
      </c>
      <c r="I2317" s="1136"/>
      <c r="J2317" s="1163"/>
      <c r="K2317" s="703"/>
      <c r="L2317" s="703"/>
      <c r="M2317" s="708"/>
      <c r="N2317" s="166"/>
      <c r="P2317" s="166"/>
    </row>
    <row r="2318" spans="1:16" s="711" customFormat="1">
      <c r="A2318" s="1162"/>
      <c r="B2318" s="717" t="s">
        <v>4804</v>
      </c>
      <c r="C2318" s="1176" t="s">
        <v>4859</v>
      </c>
      <c r="D2318" s="1145"/>
      <c r="E2318" s="917"/>
      <c r="F2318" s="724"/>
      <c r="G2318" s="1176" t="s">
        <v>4363</v>
      </c>
      <c r="H2318" s="1177" t="s">
        <v>5100</v>
      </c>
      <c r="I2318" s="1136"/>
      <c r="J2318" s="1163"/>
      <c r="K2318" s="703"/>
      <c r="L2318" s="703"/>
      <c r="M2318" s="708"/>
      <c r="N2318" s="166"/>
      <c r="P2318" s="166"/>
    </row>
    <row r="2319" spans="1:16" s="711" customFormat="1" ht="13.2" customHeight="1">
      <c r="A2319" s="1162"/>
      <c r="B2319" s="709" t="s">
        <v>5088</v>
      </c>
      <c r="C2319" s="1082">
        <v>11111111</v>
      </c>
      <c r="D2319" s="1141"/>
      <c r="E2319" s="915"/>
      <c r="F2319" s="710"/>
      <c r="G2319" s="1172" t="s">
        <v>4332</v>
      </c>
      <c r="H2319" s="1160"/>
      <c r="I2319" s="1122"/>
      <c r="J2319" s="1163"/>
      <c r="K2319" s="703"/>
      <c r="L2319" s="703"/>
      <c r="M2319" s="708"/>
      <c r="N2319" s="166"/>
      <c r="P2319" s="166"/>
    </row>
    <row r="2320" spans="1:16" s="711" customFormat="1" ht="13.2" customHeight="1">
      <c r="A2320" s="1162"/>
      <c r="B2320" s="975" t="s">
        <v>5087</v>
      </c>
      <c r="C2320" s="1180">
        <v>11111111</v>
      </c>
      <c r="D2320" s="1165"/>
      <c r="E2320" s="977"/>
      <c r="F2320" s="976"/>
      <c r="G2320" s="1181" t="s">
        <v>4332</v>
      </c>
      <c r="H2320" s="1161"/>
      <c r="I2320" s="1133"/>
      <c r="J2320" s="1163"/>
      <c r="K2320" s="703"/>
      <c r="L2320" s="703"/>
      <c r="M2320" s="708"/>
      <c r="N2320" s="166"/>
      <c r="P2320" s="166"/>
    </row>
    <row r="2321" spans="1:16" s="711" customFormat="1" ht="13.2" customHeight="1">
      <c r="A2321" s="1162"/>
      <c r="B2321" s="709" t="s">
        <v>5086</v>
      </c>
      <c r="C2321" s="1082">
        <v>11111111</v>
      </c>
      <c r="D2321" s="1141"/>
      <c r="E2321" s="915"/>
      <c r="F2321" s="710"/>
      <c r="G2321" s="1172" t="s">
        <v>4332</v>
      </c>
      <c r="H2321" s="1160"/>
      <c r="I2321" s="1122"/>
      <c r="J2321" s="1163"/>
      <c r="K2321" s="703"/>
      <c r="L2321" s="703"/>
      <c r="M2321" s="708"/>
      <c r="N2321" s="166"/>
      <c r="P2321" s="166"/>
    </row>
    <row r="2322" spans="1:16" s="711" customFormat="1" ht="13.2" customHeight="1">
      <c r="A2322" s="1162"/>
      <c r="B2322" s="717" t="s">
        <v>5085</v>
      </c>
      <c r="C2322" s="1099">
        <v>26418437</v>
      </c>
      <c r="D2322" s="1145"/>
      <c r="E2322" s="917"/>
      <c r="F2322" s="724"/>
      <c r="G2322" s="1176" t="s">
        <v>4332</v>
      </c>
      <c r="H2322" s="1173"/>
      <c r="I2322" s="1136"/>
      <c r="J2322" s="1163"/>
      <c r="K2322" s="703"/>
      <c r="L2322" s="703"/>
      <c r="M2322" s="708"/>
      <c r="N2322" s="166"/>
      <c r="P2322" s="166"/>
    </row>
    <row r="2323" spans="1:16" s="711" customFormat="1" ht="13.2" customHeight="1">
      <c r="A2323" s="1162"/>
      <c r="B2323" s="709" t="s">
        <v>5084</v>
      </c>
      <c r="C2323" s="1082">
        <v>11111111</v>
      </c>
      <c r="D2323" s="1141"/>
      <c r="E2323" s="915"/>
      <c r="F2323" s="710"/>
      <c r="G2323" s="1172" t="s">
        <v>4332</v>
      </c>
      <c r="H2323" s="1160"/>
      <c r="I2323" s="1122"/>
      <c r="J2323" s="1163"/>
      <c r="K2323" s="703"/>
      <c r="L2323" s="703"/>
      <c r="M2323" s="708"/>
      <c r="N2323" s="166"/>
      <c r="P2323" s="166"/>
    </row>
    <row r="2324" spans="1:16" s="711" customFormat="1" ht="13.2" customHeight="1">
      <c r="A2324" s="1162"/>
      <c r="B2324" s="717" t="s">
        <v>5082</v>
      </c>
      <c r="C2324" s="1099">
        <v>11111111</v>
      </c>
      <c r="D2324" s="1145"/>
      <c r="E2324" s="917"/>
      <c r="F2324" s="724"/>
      <c r="G2324" s="1176" t="s">
        <v>5083</v>
      </c>
      <c r="H2324" s="1173"/>
      <c r="I2324" s="1136"/>
      <c r="J2324" s="1163"/>
      <c r="K2324" s="703"/>
      <c r="L2324" s="703"/>
      <c r="M2324" s="708"/>
      <c r="N2324" s="166"/>
      <c r="P2324" s="166"/>
    </row>
    <row r="2325" spans="1:16" s="711" customFormat="1" ht="13.2" customHeight="1">
      <c r="A2325" s="1162"/>
      <c r="B2325" s="717" t="s">
        <v>5357</v>
      </c>
      <c r="C2325" s="1099">
        <v>11111111</v>
      </c>
      <c r="D2325" s="1145"/>
      <c r="E2325" s="917"/>
      <c r="F2325" s="724"/>
      <c r="G2325" s="1244" t="s">
        <v>4332</v>
      </c>
      <c r="H2325" s="1173"/>
      <c r="I2325" s="1136"/>
      <c r="J2325" s="1163"/>
      <c r="K2325" s="703"/>
      <c r="L2325" s="703"/>
      <c r="M2325" s="708"/>
      <c r="N2325" s="166"/>
      <c r="P2325" s="166"/>
    </row>
    <row r="2326" spans="1:16" s="711" customFormat="1" ht="13.2" customHeight="1">
      <c r="A2326" s="1162"/>
      <c r="B2326" s="1018" t="s">
        <v>5379</v>
      </c>
      <c r="C2326" s="1257">
        <v>11111111</v>
      </c>
      <c r="D2326" s="1258"/>
      <c r="E2326" s="1020"/>
      <c r="F2326" s="1019"/>
      <c r="G2326" s="1259" t="s">
        <v>4332</v>
      </c>
      <c r="H2326" s="1260"/>
      <c r="I2326" s="1261"/>
      <c r="J2326" s="1163"/>
      <c r="K2326" s="703"/>
      <c r="L2326" s="703"/>
      <c r="M2326" s="708"/>
      <c r="N2326" s="166"/>
      <c r="P2326" s="166"/>
    </row>
    <row r="2327" spans="1:16" s="711" customFormat="1" ht="13.2" customHeight="1">
      <c r="A2327" s="1162"/>
      <c r="B2327" s="709" t="s">
        <v>5380</v>
      </c>
      <c r="C2327" s="1082">
        <v>11111111</v>
      </c>
      <c r="D2327" s="1141"/>
      <c r="E2327" s="915"/>
      <c r="F2327" s="710"/>
      <c r="G2327" s="1253" t="s">
        <v>4332</v>
      </c>
      <c r="H2327" s="1160"/>
      <c r="I2327" s="1122"/>
      <c r="J2327" s="1163"/>
      <c r="K2327" s="703"/>
      <c r="L2327" s="703"/>
      <c r="M2327" s="708"/>
      <c r="N2327" s="166"/>
      <c r="P2327" s="166"/>
    </row>
    <row r="2328" spans="1:16" s="711" customFormat="1" ht="13.2" customHeight="1">
      <c r="A2328" s="1162"/>
      <c r="B2328" s="709" t="s">
        <v>5381</v>
      </c>
      <c r="C2328" s="1082">
        <v>44572296</v>
      </c>
      <c r="D2328" s="1141"/>
      <c r="E2328" s="915"/>
      <c r="F2328" s="710"/>
      <c r="G2328" s="1253" t="s">
        <v>2317</v>
      </c>
      <c r="H2328" s="1160"/>
      <c r="I2328" s="1122"/>
      <c r="J2328" s="1163"/>
      <c r="K2328" s="703"/>
      <c r="L2328" s="703"/>
      <c r="M2328" s="708"/>
      <c r="N2328" s="166"/>
      <c r="P2328" s="166"/>
    </row>
    <row r="2329" spans="1:16" s="711" customFormat="1" ht="13.2" customHeight="1">
      <c r="A2329" s="1162"/>
      <c r="B2329" s="709" t="s">
        <v>5385</v>
      </c>
      <c r="C2329" s="1082">
        <v>60632771</v>
      </c>
      <c r="D2329" s="1141"/>
      <c r="E2329" s="915"/>
      <c r="F2329" s="710"/>
      <c r="G2329" s="1268" t="s">
        <v>2317</v>
      </c>
      <c r="H2329" s="1160"/>
      <c r="I2329" s="1122"/>
      <c r="J2329" s="1163"/>
      <c r="K2329" s="703"/>
      <c r="L2329" s="703"/>
      <c r="M2329" s="708"/>
      <c r="N2329" s="166"/>
      <c r="P2329" s="166"/>
    </row>
    <row r="2330" spans="1:16" s="711" customFormat="1" ht="13.2" customHeight="1">
      <c r="A2330" s="1162"/>
      <c r="B2330" s="709" t="s">
        <v>5399</v>
      </c>
      <c r="C2330" s="1082">
        <v>11111111</v>
      </c>
      <c r="D2330" s="1141"/>
      <c r="E2330" s="915"/>
      <c r="F2330" s="710"/>
      <c r="G2330" s="1268" t="s">
        <v>2317</v>
      </c>
      <c r="H2330" s="1160"/>
      <c r="I2330" s="1122"/>
      <c r="J2330" s="1163"/>
      <c r="K2330" s="703"/>
      <c r="L2330" s="703"/>
      <c r="M2330" s="708"/>
      <c r="N2330" s="166"/>
      <c r="P2330" s="166"/>
    </row>
    <row r="2331" spans="1:16" s="711" customFormat="1" ht="13.2" customHeight="1">
      <c r="A2331" s="1162"/>
      <c r="B2331" s="1312" t="s">
        <v>5693</v>
      </c>
      <c r="C2331" s="1099">
        <v>50319592</v>
      </c>
      <c r="D2331" s="1145"/>
      <c r="E2331" s="917"/>
      <c r="F2331" s="1313"/>
      <c r="G2331" s="1351" t="s">
        <v>2317</v>
      </c>
      <c r="H2331" s="1173"/>
      <c r="I2331" s="1136"/>
      <c r="J2331" s="1163"/>
      <c r="K2331" s="703"/>
      <c r="L2331" s="703"/>
      <c r="M2331" s="708"/>
      <c r="N2331" s="166"/>
      <c r="P2331" s="166"/>
    </row>
    <row r="2332" spans="1:16" s="711" customFormat="1" ht="13.2" customHeight="1">
      <c r="A2332" s="1162"/>
      <c r="B2332" s="709"/>
      <c r="C2332" s="1082"/>
      <c r="D2332" s="1141"/>
      <c r="E2332" s="915"/>
      <c r="F2332" s="710"/>
      <c r="G2332" s="1253"/>
      <c r="H2332" s="1160"/>
      <c r="I2332" s="1122"/>
      <c r="J2332" s="1163"/>
      <c r="K2332" s="703"/>
      <c r="L2332" s="703"/>
      <c r="M2332" s="708"/>
      <c r="N2332" s="166"/>
      <c r="P2332" s="166"/>
    </row>
    <row r="2333" spans="1:16" s="711" customFormat="1" ht="13.2" customHeight="1">
      <c r="A2333" s="1162"/>
      <c r="B2333" s="709"/>
      <c r="C2333" s="1082"/>
      <c r="D2333" s="1141"/>
      <c r="E2333" s="915"/>
      <c r="F2333" s="710"/>
      <c r="G2333" s="1172"/>
      <c r="H2333" s="1160"/>
      <c r="I2333" s="1122"/>
      <c r="J2333" s="1163"/>
      <c r="K2333" s="703"/>
      <c r="L2333" s="703"/>
      <c r="M2333" s="708"/>
      <c r="N2333" s="166"/>
      <c r="P2333" s="166"/>
    </row>
    <row r="2334" spans="1:16" s="711" customFormat="1" ht="13.2" customHeight="1">
      <c r="A2334" s="1162"/>
      <c r="B2334" s="1001" t="s">
        <v>5080</v>
      </c>
      <c r="C2334" s="1086"/>
      <c r="D2334" s="1168"/>
      <c r="E2334" s="1002"/>
      <c r="F2334" s="980"/>
      <c r="G2334" s="1179" t="s">
        <v>736</v>
      </c>
      <c r="H2334" s="1183" t="s">
        <v>5081</v>
      </c>
      <c r="I2334" s="1174"/>
      <c r="J2334" s="1163"/>
      <c r="K2334" s="703"/>
      <c r="L2334" s="703"/>
      <c r="M2334" s="708"/>
      <c r="N2334" s="166"/>
      <c r="P2334" s="166"/>
    </row>
    <row r="2335" spans="1:16" s="711" customFormat="1" ht="13.2" customHeight="1">
      <c r="A2335" s="1162"/>
      <c r="B2335" s="717" t="s">
        <v>5078</v>
      </c>
      <c r="C2335" s="1099"/>
      <c r="D2335" s="1145"/>
      <c r="E2335" s="917"/>
      <c r="F2335" s="724"/>
      <c r="G2335" s="1176" t="s">
        <v>4363</v>
      </c>
      <c r="H2335" s="1177" t="s">
        <v>5079</v>
      </c>
      <c r="I2335" s="1136"/>
      <c r="J2335" s="1163"/>
      <c r="K2335" s="703"/>
      <c r="L2335" s="703"/>
      <c r="M2335" s="708"/>
      <c r="N2335" s="166"/>
      <c r="P2335" s="166"/>
    </row>
    <row r="2336" spans="1:16" s="711" customFormat="1" ht="13.2" customHeight="1">
      <c r="A2336" s="1162"/>
      <c r="B2336" s="717" t="s">
        <v>5065</v>
      </c>
      <c r="C2336" s="1099"/>
      <c r="D2336" s="1145"/>
      <c r="E2336" s="917"/>
      <c r="F2336" s="724"/>
      <c r="G2336" s="1176" t="s">
        <v>1006</v>
      </c>
      <c r="H2336" s="1177" t="s">
        <v>5077</v>
      </c>
      <c r="I2336" s="1136"/>
      <c r="J2336" s="1163"/>
      <c r="K2336" s="703"/>
      <c r="L2336" s="703"/>
      <c r="M2336" s="708"/>
      <c r="N2336" s="166"/>
      <c r="P2336" s="166"/>
    </row>
    <row r="2337" spans="1:16" s="711" customFormat="1" ht="13.2" customHeight="1">
      <c r="A2337" s="1162"/>
      <c r="B2337" s="717" t="s">
        <v>5076</v>
      </c>
      <c r="C2337" s="1099"/>
      <c r="D2337" s="1145"/>
      <c r="E2337" s="917"/>
      <c r="F2337" s="724"/>
      <c r="G2337" s="1176" t="s">
        <v>1006</v>
      </c>
      <c r="H2337" s="1177" t="s">
        <v>4877</v>
      </c>
      <c r="I2337" s="1136"/>
      <c r="J2337" s="1163"/>
      <c r="K2337" s="703"/>
      <c r="L2337" s="703"/>
      <c r="M2337" s="708"/>
      <c r="N2337" s="166"/>
      <c r="P2337" s="166"/>
    </row>
    <row r="2338" spans="1:16" s="711" customFormat="1" ht="13.2" customHeight="1">
      <c r="A2338" s="1154"/>
      <c r="B2338" s="717" t="s">
        <v>5074</v>
      </c>
      <c r="C2338" s="1099">
        <v>32115820</v>
      </c>
      <c r="D2338" s="1145"/>
      <c r="E2338" s="917"/>
      <c r="F2338" s="724"/>
      <c r="G2338" s="1176" t="s">
        <v>2187</v>
      </c>
      <c r="H2338" s="1177" t="s">
        <v>5075</v>
      </c>
      <c r="I2338" s="1136"/>
      <c r="J2338" s="1163"/>
      <c r="K2338" s="703"/>
      <c r="L2338" s="703"/>
      <c r="M2338" s="708"/>
      <c r="N2338" s="166"/>
      <c r="P2338" s="166"/>
    </row>
    <row r="2339" spans="1:16" s="711" customFormat="1" ht="13.2" customHeight="1">
      <c r="A2339" s="1154"/>
      <c r="B2339" s="717" t="s">
        <v>5058</v>
      </c>
      <c r="C2339" s="1099">
        <v>69887813</v>
      </c>
      <c r="D2339" s="1145"/>
      <c r="E2339" s="917"/>
      <c r="F2339" s="724"/>
      <c r="G2339" s="1159" t="s">
        <v>5059</v>
      </c>
      <c r="H2339" s="1173" t="s">
        <v>5060</v>
      </c>
      <c r="I2339" s="1136"/>
      <c r="J2339" s="1155"/>
      <c r="K2339" s="703"/>
      <c r="L2339" s="703"/>
      <c r="M2339" s="708"/>
      <c r="N2339" s="166"/>
      <c r="P2339" s="166"/>
    </row>
    <row r="2340" spans="1:16" s="711" customFormat="1" ht="13.2" customHeight="1">
      <c r="A2340" s="1154"/>
      <c r="B2340" s="717" t="s">
        <v>5054</v>
      </c>
      <c r="C2340" s="1099"/>
      <c r="D2340" s="1145"/>
      <c r="E2340" s="917"/>
      <c r="F2340" s="724"/>
      <c r="G2340" s="1159" t="s">
        <v>713</v>
      </c>
      <c r="H2340" s="1173" t="s">
        <v>5055</v>
      </c>
      <c r="I2340" s="1136"/>
      <c r="J2340" s="1155"/>
      <c r="K2340" s="703"/>
      <c r="L2340" s="703"/>
      <c r="M2340" s="708"/>
      <c r="N2340" s="166"/>
      <c r="P2340" s="166"/>
    </row>
    <row r="2341" spans="1:16" s="711" customFormat="1" ht="13.2" customHeight="1">
      <c r="A2341" s="1154"/>
      <c r="B2341" s="717" t="s">
        <v>5050</v>
      </c>
      <c r="C2341" s="1099">
        <v>42292542</v>
      </c>
      <c r="D2341" s="1145"/>
      <c r="E2341" s="917"/>
      <c r="F2341" s="724"/>
      <c r="G2341" s="1159" t="s">
        <v>5051</v>
      </c>
      <c r="H2341" s="1157"/>
      <c r="I2341" s="1136"/>
      <c r="J2341" s="1155"/>
      <c r="K2341" s="703"/>
      <c r="L2341" s="703"/>
      <c r="M2341" s="708"/>
      <c r="N2341" s="166"/>
      <c r="P2341" s="166"/>
    </row>
    <row r="2342" spans="1:16" s="711" customFormat="1" ht="13.2" customHeight="1">
      <c r="A2342" s="1154"/>
      <c r="B2342" s="717" t="s">
        <v>5047</v>
      </c>
      <c r="C2342" s="1099">
        <v>59084257</v>
      </c>
      <c r="D2342" s="1145"/>
      <c r="E2342" s="917"/>
      <c r="F2342" s="724"/>
      <c r="G2342" s="1156" t="s">
        <v>5048</v>
      </c>
      <c r="H2342" s="1177" t="s">
        <v>5113</v>
      </c>
      <c r="I2342" s="1136"/>
      <c r="J2342" s="1155"/>
      <c r="K2342" s="703"/>
      <c r="L2342" s="703"/>
      <c r="M2342" s="708"/>
      <c r="N2342" s="166"/>
      <c r="P2342" s="166"/>
    </row>
    <row r="2343" spans="1:16" s="711" customFormat="1" ht="13.2" customHeight="1">
      <c r="A2343" s="1154"/>
      <c r="B2343" s="717" t="s">
        <v>5046</v>
      </c>
      <c r="C2343" s="1099">
        <v>12345678</v>
      </c>
      <c r="D2343" s="1145"/>
      <c r="E2343" s="917"/>
      <c r="F2343" s="724"/>
      <c r="G2343" s="1156" t="s">
        <v>4951</v>
      </c>
      <c r="H2343" s="1157" t="s">
        <v>744</v>
      </c>
      <c r="I2343" s="1136"/>
      <c r="J2343" s="1155"/>
      <c r="K2343" s="703"/>
      <c r="L2343" s="703"/>
      <c r="M2343" s="708"/>
      <c r="N2343" s="166"/>
      <c r="P2343" s="166"/>
    </row>
    <row r="2344" spans="1:16" s="711" customFormat="1" ht="13.2" customHeight="1">
      <c r="A2344" s="1147"/>
      <c r="B2344" s="717" t="s">
        <v>5044</v>
      </c>
      <c r="C2344" s="1099">
        <v>26405694</v>
      </c>
      <c r="D2344" s="1145"/>
      <c r="E2344" s="917"/>
      <c r="F2344" s="724"/>
      <c r="G2344" s="1156" t="s">
        <v>1199</v>
      </c>
      <c r="H2344" s="1157" t="s">
        <v>5045</v>
      </c>
      <c r="I2344" s="1136"/>
      <c r="J2344" s="1122"/>
      <c r="K2344" s="703"/>
      <c r="L2344" s="703"/>
      <c r="M2344" s="708"/>
      <c r="N2344" s="166"/>
      <c r="P2344" s="166"/>
    </row>
    <row r="2345" spans="1:16" s="711" customFormat="1" ht="13.2" customHeight="1">
      <c r="A2345" s="1147"/>
      <c r="B2345" s="717" t="s">
        <v>5034</v>
      </c>
      <c r="C2345" s="1099"/>
      <c r="D2345" s="1145"/>
      <c r="E2345" s="917"/>
      <c r="F2345" s="724"/>
      <c r="G2345" s="1156" t="s">
        <v>1032</v>
      </c>
      <c r="H2345" s="1157" t="s">
        <v>5035</v>
      </c>
      <c r="I2345" s="1136"/>
      <c r="J2345" s="1122"/>
      <c r="K2345" s="703"/>
      <c r="L2345" s="703"/>
      <c r="M2345" s="708"/>
      <c r="N2345" s="166"/>
      <c r="P2345" s="166"/>
    </row>
    <row r="2346" spans="1:16" s="711" customFormat="1" ht="13.2" customHeight="1">
      <c r="A2346" s="1147"/>
      <c r="B2346" s="717" t="s">
        <v>5028</v>
      </c>
      <c r="C2346" s="1099">
        <v>52814821</v>
      </c>
      <c r="D2346" s="1145"/>
      <c r="E2346" s="917"/>
      <c r="F2346" s="724"/>
      <c r="G2346" s="1156" t="s">
        <v>5029</v>
      </c>
      <c r="H2346" s="1157" t="s">
        <v>5030</v>
      </c>
      <c r="I2346" s="1136"/>
      <c r="J2346" s="1122"/>
      <c r="K2346" s="703"/>
      <c r="L2346" s="703"/>
      <c r="M2346" s="708"/>
      <c r="N2346" s="166"/>
      <c r="P2346" s="166"/>
    </row>
    <row r="2347" spans="1:16" s="711" customFormat="1" ht="13.2" customHeight="1">
      <c r="A2347" s="1147"/>
      <c r="B2347" s="717" t="s">
        <v>5026</v>
      </c>
      <c r="C2347" s="1099">
        <v>82510829</v>
      </c>
      <c r="D2347" s="1145"/>
      <c r="E2347" s="917"/>
      <c r="F2347" s="724"/>
      <c r="G2347" s="1156" t="s">
        <v>4967</v>
      </c>
      <c r="H2347" s="1157" t="s">
        <v>5027</v>
      </c>
      <c r="I2347" s="1136"/>
      <c r="J2347" s="1122"/>
      <c r="K2347" s="703"/>
      <c r="L2347" s="703"/>
      <c r="M2347" s="708"/>
      <c r="N2347" s="166"/>
      <c r="P2347" s="166"/>
    </row>
    <row r="2348" spans="1:16" s="711" customFormat="1" ht="13.2" customHeight="1">
      <c r="A2348" s="1147"/>
      <c r="B2348" s="717" t="s">
        <v>5022</v>
      </c>
      <c r="C2348" s="1156">
        <v>74805867</v>
      </c>
      <c r="D2348" s="1156"/>
      <c r="E2348" s="1156"/>
      <c r="F2348" s="724"/>
      <c r="G2348" s="1156" t="s">
        <v>5023</v>
      </c>
      <c r="H2348" s="1157" t="s">
        <v>5024</v>
      </c>
      <c r="I2348" s="1156"/>
      <c r="J2348" s="1122"/>
      <c r="K2348" s="703"/>
      <c r="L2348" s="703"/>
      <c r="M2348" s="708"/>
      <c r="N2348" s="166"/>
      <c r="P2348" s="166"/>
    </row>
    <row r="2349" spans="1:16" s="711" customFormat="1" ht="13.2" customHeight="1">
      <c r="A2349" s="1128"/>
      <c r="B2349" s="717" t="s">
        <v>5020</v>
      </c>
      <c r="C2349" s="1099">
        <v>19144523</v>
      </c>
      <c r="D2349" s="1089"/>
      <c r="E2349" s="917"/>
      <c r="F2349" s="724"/>
      <c r="G2349" s="1156" t="s">
        <v>2187</v>
      </c>
      <c r="H2349" s="1157" t="s">
        <v>5021</v>
      </c>
      <c r="I2349" s="1136"/>
      <c r="J2349" s="1122"/>
      <c r="K2349" s="703"/>
      <c r="L2349" s="703"/>
      <c r="M2349" s="708"/>
      <c r="N2349" s="166"/>
      <c r="P2349" s="166"/>
    </row>
    <row r="2350" spans="1:16" s="711" customFormat="1" ht="13.2" customHeight="1">
      <c r="A2350" s="1128"/>
      <c r="B2350" s="717" t="s">
        <v>5011</v>
      </c>
      <c r="C2350" s="1099">
        <v>33820944</v>
      </c>
      <c r="D2350" s="1089"/>
      <c r="E2350" s="917"/>
      <c r="F2350" s="724"/>
      <c r="G2350" s="1145" t="s">
        <v>1972</v>
      </c>
      <c r="H2350" s="1146" t="s">
        <v>5012</v>
      </c>
      <c r="I2350" s="1136"/>
      <c r="J2350" s="1122"/>
      <c r="K2350" s="703"/>
      <c r="L2350" s="703"/>
      <c r="M2350" s="708"/>
      <c r="N2350" s="166"/>
      <c r="P2350" s="166"/>
    </row>
    <row r="2351" spans="1:16" s="711" customFormat="1" ht="13.2" customHeight="1">
      <c r="A2351" s="1128"/>
      <c r="B2351" s="717" t="s">
        <v>5005</v>
      </c>
      <c r="C2351" s="1099">
        <v>66895738</v>
      </c>
      <c r="D2351" s="1089"/>
      <c r="E2351" s="917"/>
      <c r="F2351" s="724"/>
      <c r="G2351" s="1145" t="s">
        <v>713</v>
      </c>
      <c r="H2351" s="1146" t="s">
        <v>5006</v>
      </c>
      <c r="I2351" s="1136"/>
      <c r="J2351" s="1122"/>
      <c r="K2351" s="703"/>
      <c r="L2351" s="703"/>
      <c r="M2351" s="708"/>
      <c r="N2351" s="166"/>
      <c r="P2351" s="166"/>
    </row>
    <row r="2352" spans="1:16" s="711" customFormat="1" ht="13.2" customHeight="1">
      <c r="A2352" s="1128"/>
      <c r="B2352" s="717" t="s">
        <v>5003</v>
      </c>
      <c r="C2352" s="1099">
        <v>21574051</v>
      </c>
      <c r="D2352" s="1089"/>
      <c r="E2352" s="917"/>
      <c r="F2352" s="724"/>
      <c r="G2352" s="1145" t="s">
        <v>713</v>
      </c>
      <c r="H2352" s="1146" t="s">
        <v>5004</v>
      </c>
      <c r="I2352" s="1136"/>
      <c r="J2352" s="1122"/>
      <c r="K2352" s="703"/>
      <c r="L2352" s="703"/>
      <c r="M2352" s="708"/>
      <c r="N2352" s="166"/>
      <c r="P2352" s="166"/>
    </row>
    <row r="2353" spans="1:16" s="711" customFormat="1" ht="13.2" customHeight="1">
      <c r="A2353" s="1128"/>
      <c r="B2353" s="717" t="s">
        <v>5002</v>
      </c>
      <c r="C2353" s="1099"/>
      <c r="D2353" s="1089"/>
      <c r="E2353" s="917"/>
      <c r="F2353" s="724"/>
      <c r="G2353" s="1145" t="s">
        <v>2288</v>
      </c>
      <c r="H2353" s="1157" t="s">
        <v>5018</v>
      </c>
      <c r="I2353" s="705"/>
      <c r="J2353" s="1122"/>
      <c r="K2353" s="703"/>
      <c r="L2353" s="703"/>
      <c r="M2353" s="708"/>
      <c r="N2353" s="166"/>
      <c r="P2353" s="166"/>
    </row>
    <row r="2354" spans="1:16" s="711" customFormat="1" ht="13.2" customHeight="1">
      <c r="A2354" s="1128"/>
      <c r="B2354" s="709" t="s">
        <v>4998</v>
      </c>
      <c r="C2354" s="1082">
        <v>35142966</v>
      </c>
      <c r="D2354" s="1068"/>
      <c r="E2354" s="915"/>
      <c r="F2354" s="710"/>
      <c r="G2354" s="1122" t="s">
        <v>736</v>
      </c>
      <c r="H2354" s="1127"/>
      <c r="I2354" s="703"/>
      <c r="J2354" s="1122"/>
      <c r="K2354" s="703"/>
      <c r="L2354" s="703"/>
      <c r="M2354" s="708"/>
      <c r="N2354" s="166"/>
      <c r="P2354" s="166"/>
    </row>
    <row r="2355" spans="1:16" s="711" customFormat="1" ht="13.2" customHeight="1">
      <c r="A2355" s="1128"/>
      <c r="B2355" s="717" t="s">
        <v>4997</v>
      </c>
      <c r="C2355" s="1099">
        <v>36552110</v>
      </c>
      <c r="D2355" s="1089"/>
      <c r="E2355" s="917"/>
      <c r="F2355" s="724"/>
      <c r="G2355" s="1136" t="s">
        <v>1921</v>
      </c>
      <c r="H2355" s="1157" t="s">
        <v>5025</v>
      </c>
      <c r="I2355" s="705"/>
      <c r="J2355" s="1122"/>
      <c r="K2355" s="703"/>
      <c r="L2355" s="703"/>
      <c r="M2355" s="708"/>
      <c r="N2355" s="166"/>
      <c r="P2355" s="166"/>
    </row>
    <row r="2356" spans="1:16" s="711" customFormat="1" ht="13.2" customHeight="1">
      <c r="A2356" s="1128"/>
      <c r="B2356" s="717" t="s">
        <v>4970</v>
      </c>
      <c r="C2356" s="1099"/>
      <c r="D2356" s="1089"/>
      <c r="E2356" s="917"/>
      <c r="F2356" s="724"/>
      <c r="G2356" s="1136" t="s">
        <v>4971</v>
      </c>
      <c r="H2356" s="1137" t="s">
        <v>4972</v>
      </c>
      <c r="I2356" s="705"/>
      <c r="J2356" s="1122"/>
      <c r="K2356" s="703"/>
      <c r="L2356" s="703"/>
      <c r="M2356" s="708"/>
      <c r="N2356" s="166"/>
      <c r="P2356" s="166"/>
    </row>
    <row r="2357" spans="1:16" s="711" customFormat="1" ht="13.2" customHeight="1">
      <c r="A2357" s="1128"/>
      <c r="B2357" s="717" t="s">
        <v>4968</v>
      </c>
      <c r="C2357" s="1099">
        <v>57165284</v>
      </c>
      <c r="D2357" s="1089"/>
      <c r="E2357" s="917"/>
      <c r="F2357" s="724"/>
      <c r="G2357" s="1136" t="s">
        <v>4967</v>
      </c>
      <c r="H2357" s="1137" t="s">
        <v>4969</v>
      </c>
      <c r="I2357" s="705"/>
      <c r="J2357" s="1122"/>
      <c r="K2357" s="703"/>
      <c r="L2357" s="703"/>
      <c r="M2357" s="708"/>
      <c r="N2357" s="166"/>
      <c r="P2357" s="166"/>
    </row>
    <row r="2358" spans="1:16" s="711" customFormat="1" ht="13.2" customHeight="1">
      <c r="A2358" s="1128"/>
      <c r="B2358" s="717" t="s">
        <v>4966</v>
      </c>
      <c r="C2358" s="1099"/>
      <c r="D2358" s="1089"/>
      <c r="E2358" s="917"/>
      <c r="F2358" s="724"/>
      <c r="G2358" s="1136" t="s">
        <v>4967</v>
      </c>
      <c r="H2358" s="1137"/>
      <c r="I2358" s="705"/>
      <c r="J2358" s="1122"/>
      <c r="K2358" s="703"/>
      <c r="L2358" s="703"/>
      <c r="M2358" s="708"/>
      <c r="N2358" s="166"/>
      <c r="P2358" s="166"/>
    </row>
    <row r="2359" spans="1:16" s="711" customFormat="1" ht="13.2" customHeight="1">
      <c r="A2359" s="1128"/>
      <c r="B2359" s="717" t="s">
        <v>4954</v>
      </c>
      <c r="C2359" s="1099"/>
      <c r="D2359" s="1089"/>
      <c r="E2359" s="917"/>
      <c r="F2359" s="724"/>
      <c r="G2359" s="1136" t="s">
        <v>1921</v>
      </c>
      <c r="H2359" s="1137" t="s">
        <v>4955</v>
      </c>
      <c r="I2359" s="705"/>
      <c r="J2359" s="1122"/>
      <c r="K2359" s="703"/>
      <c r="L2359" s="703"/>
      <c r="M2359" s="708"/>
      <c r="N2359" s="166"/>
      <c r="P2359" s="166"/>
    </row>
    <row r="2360" spans="1:16" s="711" customFormat="1" ht="13.2" customHeight="1">
      <c r="A2360" s="1128"/>
      <c r="B2360" s="717" t="s">
        <v>4950</v>
      </c>
      <c r="C2360" s="1099">
        <v>12345678</v>
      </c>
      <c r="D2360" s="1089"/>
      <c r="E2360" s="917"/>
      <c r="F2360" s="724"/>
      <c r="G2360" s="1136" t="s">
        <v>4951</v>
      </c>
      <c r="H2360" s="1137" t="s">
        <v>4952</v>
      </c>
      <c r="I2360" s="705"/>
      <c r="J2360" s="1122"/>
      <c r="K2360" s="703"/>
      <c r="L2360" s="703"/>
      <c r="M2360" s="708"/>
      <c r="N2360" s="166"/>
      <c r="P2360" s="166"/>
    </row>
    <row r="2361" spans="1:16" s="711" customFormat="1" ht="13.2" customHeight="1">
      <c r="A2361" s="1128"/>
      <c r="B2361" s="709" t="s">
        <v>4934</v>
      </c>
      <c r="C2361" s="1122" t="s">
        <v>4935</v>
      </c>
      <c r="D2361" s="1068"/>
      <c r="E2361" s="915"/>
      <c r="F2361" s="710"/>
      <c r="G2361" s="1122"/>
      <c r="H2361" s="1127"/>
      <c r="I2361" s="703"/>
      <c r="J2361" s="1122"/>
      <c r="K2361" s="703"/>
      <c r="L2361" s="703"/>
      <c r="M2361" s="708"/>
      <c r="N2361" s="166"/>
      <c r="P2361" s="166"/>
    </row>
    <row r="2362" spans="1:16" s="711" customFormat="1" ht="13.2" customHeight="1">
      <c r="A2362" s="1116"/>
      <c r="B2362" s="717" t="s">
        <v>4932</v>
      </c>
      <c r="C2362" s="1099">
        <v>96279456</v>
      </c>
      <c r="D2362" s="1089"/>
      <c r="E2362" s="917"/>
      <c r="F2362" s="724"/>
      <c r="G2362" s="1136" t="s">
        <v>2124</v>
      </c>
      <c r="H2362" s="1137" t="s">
        <v>4933</v>
      </c>
      <c r="I2362" s="705"/>
      <c r="J2362" s="1113"/>
      <c r="K2362" s="703"/>
      <c r="L2362" s="703"/>
      <c r="M2362" s="708"/>
      <c r="N2362" s="166"/>
      <c r="P2362" s="166"/>
    </row>
    <row r="2363" spans="1:16" s="711" customFormat="1" ht="13.2" customHeight="1">
      <c r="A2363" s="1116"/>
      <c r="B2363" s="717" t="s">
        <v>4875</v>
      </c>
      <c r="C2363" s="1099"/>
      <c r="D2363" s="1089"/>
      <c r="E2363" s="917"/>
      <c r="F2363" s="724"/>
      <c r="G2363" s="1136" t="s">
        <v>2115</v>
      </c>
      <c r="H2363" s="1137" t="s">
        <v>4931</v>
      </c>
      <c r="I2363" s="705"/>
      <c r="J2363" s="1113"/>
      <c r="K2363" s="703"/>
      <c r="L2363" s="703"/>
      <c r="M2363" s="708"/>
      <c r="N2363" s="166"/>
      <c r="P2363" s="166"/>
    </row>
    <row r="2364" spans="1:16" s="711" customFormat="1" ht="13.2" customHeight="1">
      <c r="A2364" s="1116"/>
      <c r="B2364" s="717" t="s">
        <v>4909</v>
      </c>
      <c r="C2364" s="1099"/>
      <c r="D2364" s="1089"/>
      <c r="E2364" s="917"/>
      <c r="F2364" s="724"/>
      <c r="G2364" s="1136" t="s">
        <v>1972</v>
      </c>
      <c r="H2364" s="1137" t="s">
        <v>4910</v>
      </c>
      <c r="I2364" s="705"/>
      <c r="J2364" s="1113"/>
      <c r="K2364" s="703"/>
      <c r="L2364" s="703"/>
      <c r="M2364" s="708"/>
      <c r="N2364" s="166"/>
      <c r="P2364" s="166"/>
    </row>
    <row r="2365" spans="1:16" s="711" customFormat="1" ht="13.2" customHeight="1">
      <c r="A2365" s="1116"/>
      <c r="B2365" s="717" t="s">
        <v>4907</v>
      </c>
      <c r="C2365" s="1099">
        <v>96718560</v>
      </c>
      <c r="D2365" s="1089"/>
      <c r="E2365" s="917"/>
      <c r="F2365" s="724"/>
      <c r="G2365" s="1136" t="s">
        <v>1972</v>
      </c>
      <c r="H2365" s="1137" t="s">
        <v>4908</v>
      </c>
      <c r="I2365" s="705"/>
      <c r="J2365" s="1113"/>
      <c r="K2365" s="703"/>
      <c r="L2365" s="703"/>
      <c r="M2365" s="708"/>
      <c r="N2365" s="166"/>
      <c r="P2365" s="166"/>
    </row>
    <row r="2366" spans="1:16" s="711" customFormat="1" ht="13.2" customHeight="1">
      <c r="A2366" s="1116"/>
      <c r="B2366" s="717" t="s">
        <v>4904</v>
      </c>
      <c r="C2366" s="1099">
        <v>67767682</v>
      </c>
      <c r="D2366" s="1089"/>
      <c r="E2366" s="917"/>
      <c r="F2366" s="724"/>
      <c r="G2366" s="1136" t="s">
        <v>4905</v>
      </c>
      <c r="H2366" s="1137" t="s">
        <v>4906</v>
      </c>
      <c r="I2366" s="705"/>
      <c r="J2366" s="1113"/>
      <c r="K2366" s="703"/>
      <c r="L2366" s="703"/>
      <c r="M2366" s="708"/>
      <c r="N2366" s="166"/>
      <c r="P2366" s="166"/>
    </row>
    <row r="2367" spans="1:16" s="711" customFormat="1" ht="13.2" customHeight="1">
      <c r="A2367" s="1116"/>
      <c r="B2367" s="717" t="s">
        <v>4896</v>
      </c>
      <c r="C2367" s="1099">
        <v>87073751</v>
      </c>
      <c r="D2367" s="1089"/>
      <c r="E2367" s="917"/>
      <c r="F2367" s="724"/>
      <c r="G2367" s="1124" t="s">
        <v>1989</v>
      </c>
      <c r="H2367" s="1125" t="s">
        <v>4897</v>
      </c>
      <c r="I2367" s="705"/>
      <c r="J2367" s="1113"/>
      <c r="K2367" s="703"/>
      <c r="L2367" s="703"/>
      <c r="M2367" s="708"/>
      <c r="N2367" s="166"/>
      <c r="P2367" s="166"/>
    </row>
    <row r="2368" spans="1:16" s="711" customFormat="1" ht="13.2" customHeight="1">
      <c r="A2368" s="1116"/>
      <c r="B2368" s="717" t="s">
        <v>4879</v>
      </c>
      <c r="C2368" s="1099">
        <v>90909090</v>
      </c>
      <c r="D2368" s="1089"/>
      <c r="E2368" s="917"/>
      <c r="F2368" s="724"/>
      <c r="G2368" s="1118" t="s">
        <v>3878</v>
      </c>
      <c r="H2368" s="1119" t="s">
        <v>4880</v>
      </c>
      <c r="I2368" s="705"/>
      <c r="J2368" s="1113"/>
      <c r="K2368" s="703"/>
      <c r="L2368" s="703"/>
      <c r="M2368" s="708"/>
      <c r="N2368" s="166"/>
      <c r="P2368" s="166"/>
    </row>
    <row r="2369" spans="1:16" s="711" customFormat="1" ht="13.2" customHeight="1">
      <c r="A2369" s="1116"/>
      <c r="B2369" s="717" t="s">
        <v>4876</v>
      </c>
      <c r="C2369" s="1099">
        <v>19482555</v>
      </c>
      <c r="D2369" s="1089"/>
      <c r="E2369" s="917"/>
      <c r="F2369" s="724"/>
      <c r="G2369" s="1118" t="s">
        <v>2651</v>
      </c>
      <c r="H2369" s="1119" t="s">
        <v>4877</v>
      </c>
      <c r="I2369" s="705"/>
      <c r="J2369" s="1113"/>
      <c r="K2369" s="703"/>
      <c r="L2369" s="703"/>
      <c r="M2369" s="708"/>
      <c r="N2369" s="166"/>
      <c r="P2369" s="166"/>
    </row>
    <row r="2370" spans="1:16" s="711" customFormat="1" ht="13.2" customHeight="1">
      <c r="A2370" s="1116"/>
      <c r="B2370" s="717" t="s">
        <v>4873</v>
      </c>
      <c r="C2370" s="1099">
        <v>38203550</v>
      </c>
      <c r="D2370" s="1089"/>
      <c r="E2370" s="917"/>
      <c r="F2370" s="724"/>
      <c r="G2370" s="1118" t="s">
        <v>2251</v>
      </c>
      <c r="H2370" s="1119" t="s">
        <v>4874</v>
      </c>
      <c r="I2370" s="705"/>
      <c r="J2370" s="1082"/>
      <c r="K2370" s="703"/>
      <c r="L2370" s="703"/>
      <c r="M2370" s="708"/>
      <c r="N2370" s="166"/>
      <c r="P2370" s="166"/>
    </row>
    <row r="2371" spans="1:16" s="711" customFormat="1" ht="13.2" customHeight="1">
      <c r="A2371" s="1116"/>
      <c r="B2371" s="717" t="s">
        <v>4871</v>
      </c>
      <c r="C2371" s="1099">
        <v>65346998</v>
      </c>
      <c r="D2371" s="1089"/>
      <c r="E2371" s="917"/>
      <c r="F2371" s="724"/>
      <c r="G2371" s="1118" t="s">
        <v>1971</v>
      </c>
      <c r="H2371" s="1119" t="s">
        <v>4872</v>
      </c>
      <c r="I2371" s="705"/>
      <c r="J2371" s="1082"/>
      <c r="K2371" s="703"/>
      <c r="L2371" s="703"/>
      <c r="M2371" s="708"/>
      <c r="N2371" s="166"/>
      <c r="P2371" s="166"/>
    </row>
    <row r="2372" spans="1:16" s="711" customFormat="1" ht="13.2" customHeight="1">
      <c r="A2372" s="1116"/>
      <c r="B2372" s="717" t="s">
        <v>4870</v>
      </c>
      <c r="C2372" s="1099">
        <v>36701364</v>
      </c>
      <c r="D2372" s="1089"/>
      <c r="E2372" s="917"/>
      <c r="F2372" s="724"/>
      <c r="G2372" s="1099"/>
      <c r="H2372" s="1100"/>
      <c r="I2372" s="705"/>
      <c r="J2372" s="1082"/>
      <c r="K2372" s="703"/>
      <c r="L2372" s="703"/>
      <c r="M2372" s="708"/>
      <c r="N2372" s="166"/>
      <c r="P2372" s="166"/>
    </row>
    <row r="2373" spans="1:16" s="711" customFormat="1" ht="13.2" customHeight="1">
      <c r="A2373" s="1081"/>
      <c r="B2373" s="717" t="s">
        <v>4868</v>
      </c>
      <c r="C2373" s="1099">
        <v>39669403</v>
      </c>
      <c r="D2373" s="1089"/>
      <c r="E2373" s="917"/>
      <c r="F2373" s="724"/>
      <c r="G2373" s="1118" t="s">
        <v>2000</v>
      </c>
      <c r="H2373" s="1119" t="s">
        <v>4869</v>
      </c>
      <c r="I2373" s="705"/>
      <c r="J2373" s="1082"/>
      <c r="K2373" s="703"/>
      <c r="L2373" s="703"/>
      <c r="M2373" s="708"/>
      <c r="N2373" s="166"/>
      <c r="P2373" s="166"/>
    </row>
    <row r="2374" spans="1:16" s="711" customFormat="1" ht="13.2" customHeight="1">
      <c r="A2374" s="1081"/>
      <c r="B2374" s="717" t="s">
        <v>4861</v>
      </c>
      <c r="C2374" s="1099">
        <v>76745971</v>
      </c>
      <c r="D2374" s="1089"/>
      <c r="E2374" s="917"/>
      <c r="F2374" s="724"/>
      <c r="G2374" s="1118" t="s">
        <v>4507</v>
      </c>
      <c r="H2374" s="1119" t="s">
        <v>4860</v>
      </c>
      <c r="I2374" s="705"/>
      <c r="J2374" s="1082"/>
      <c r="K2374" s="703"/>
      <c r="L2374" s="703"/>
      <c r="M2374" s="708"/>
      <c r="N2374" s="166"/>
      <c r="P2374" s="166"/>
    </row>
    <row r="2375" spans="1:16" s="711" customFormat="1" ht="13.2" customHeight="1">
      <c r="A2375" s="1081"/>
      <c r="B2375" s="717" t="s">
        <v>4506</v>
      </c>
      <c r="C2375" s="1118" t="s">
        <v>4859</v>
      </c>
      <c r="D2375" s="1089"/>
      <c r="E2375" s="917"/>
      <c r="F2375" s="724"/>
      <c r="G2375" s="1118" t="s">
        <v>4507</v>
      </c>
      <c r="H2375" s="1119" t="s">
        <v>4860</v>
      </c>
      <c r="I2375" s="705"/>
      <c r="J2375" s="1082"/>
      <c r="K2375" s="703"/>
      <c r="L2375" s="703"/>
      <c r="M2375" s="708"/>
      <c r="N2375" s="166"/>
      <c r="P2375" s="166"/>
    </row>
    <row r="2376" spans="1:16" s="711" customFormat="1" ht="13.2" customHeight="1">
      <c r="A2376" s="1081"/>
      <c r="B2376" s="717" t="s">
        <v>4857</v>
      </c>
      <c r="C2376" s="1099">
        <v>17940011</v>
      </c>
      <c r="D2376" s="1089"/>
      <c r="E2376" s="917"/>
      <c r="F2376" s="724"/>
      <c r="G2376" s="1099" t="s">
        <v>2288</v>
      </c>
      <c r="H2376" s="1100" t="s">
        <v>4858</v>
      </c>
      <c r="I2376" s="705"/>
      <c r="J2376" s="1466" t="s">
        <v>6191</v>
      </c>
      <c r="K2376" s="703"/>
      <c r="L2376" s="703"/>
      <c r="M2376" s="708"/>
      <c r="N2376" s="166"/>
      <c r="P2376" s="166"/>
    </row>
    <row r="2377" spans="1:16" s="711" customFormat="1" ht="13.2" customHeight="1">
      <c r="A2377" s="1081"/>
      <c r="B2377" s="717" t="s">
        <v>4856</v>
      </c>
      <c r="C2377" s="1099"/>
      <c r="D2377" s="1089"/>
      <c r="E2377" s="917"/>
      <c r="F2377" s="724"/>
      <c r="G2377" s="1099" t="s">
        <v>1006</v>
      </c>
      <c r="H2377" s="1119" t="s">
        <v>4878</v>
      </c>
      <c r="I2377" s="705"/>
      <c r="J2377" s="1082"/>
      <c r="K2377" s="703"/>
      <c r="L2377" s="703"/>
      <c r="M2377" s="708"/>
      <c r="N2377" s="166"/>
      <c r="P2377" s="166"/>
    </row>
    <row r="2378" spans="1:16" s="711" customFormat="1" ht="13.2" customHeight="1">
      <c r="A2378" s="1081"/>
      <c r="B2378" s="717" t="s">
        <v>4850</v>
      </c>
      <c r="C2378" s="1099">
        <v>22985772</v>
      </c>
      <c r="D2378" s="1089">
        <v>1</v>
      </c>
      <c r="E2378" s="917"/>
      <c r="F2378" s="724"/>
      <c r="G2378" s="1099"/>
      <c r="H2378" s="1100"/>
      <c r="I2378" s="705"/>
      <c r="J2378" s="1082"/>
      <c r="K2378" s="703"/>
      <c r="L2378" s="703"/>
      <c r="M2378" s="708"/>
      <c r="N2378" s="166"/>
      <c r="P2378" s="166"/>
    </row>
    <row r="2379" spans="1:16" s="711" customFormat="1" ht="13.2" customHeight="1">
      <c r="A2379" s="1081"/>
      <c r="B2379" s="717" t="s">
        <v>4849</v>
      </c>
      <c r="C2379" s="1112" t="s">
        <v>4851</v>
      </c>
      <c r="D2379" s="1089">
        <v>1</v>
      </c>
      <c r="E2379" s="917"/>
      <c r="F2379" s="724"/>
      <c r="G2379" s="1099" t="s">
        <v>2012</v>
      </c>
      <c r="H2379" s="1100" t="s">
        <v>4682</v>
      </c>
      <c r="I2379" s="705"/>
      <c r="J2379" s="1082"/>
      <c r="K2379" s="703"/>
      <c r="L2379" s="703"/>
      <c r="M2379" s="708"/>
      <c r="N2379" s="166"/>
      <c r="P2379" s="166"/>
    </row>
    <row r="2380" spans="1:16" s="711" customFormat="1" ht="13.2" customHeight="1">
      <c r="A2380" s="1081"/>
      <c r="B2380" s="717" t="s">
        <v>4848</v>
      </c>
      <c r="C2380" s="1099">
        <v>11160702</v>
      </c>
      <c r="D2380" s="1089"/>
      <c r="E2380" s="917"/>
      <c r="F2380" s="724"/>
      <c r="G2380" s="1099" t="s">
        <v>667</v>
      </c>
      <c r="H2380" s="1100" t="s">
        <v>4022</v>
      </c>
      <c r="I2380" s="705"/>
      <c r="J2380" s="1082"/>
      <c r="K2380" s="703"/>
      <c r="L2380" s="703"/>
      <c r="M2380" s="708"/>
      <c r="N2380" s="166"/>
      <c r="P2380" s="166"/>
    </row>
    <row r="2381" spans="1:16" s="711" customFormat="1" ht="13.2" customHeight="1">
      <c r="A2381" s="1081"/>
      <c r="B2381" s="717" t="s">
        <v>4843</v>
      </c>
      <c r="C2381" s="1099">
        <v>45948548</v>
      </c>
      <c r="D2381" s="1089"/>
      <c r="E2381" s="917"/>
      <c r="F2381" s="724"/>
      <c r="G2381" s="1099" t="s">
        <v>4844</v>
      </c>
      <c r="H2381" s="1100" t="s">
        <v>4845</v>
      </c>
      <c r="I2381" s="705"/>
      <c r="J2381" s="1082"/>
      <c r="K2381" s="703"/>
      <c r="L2381" s="703"/>
      <c r="M2381" s="708"/>
      <c r="N2381" s="166"/>
      <c r="P2381" s="166"/>
    </row>
    <row r="2382" spans="1:16" s="711" customFormat="1" ht="13.2" customHeight="1">
      <c r="A2382" s="1081"/>
      <c r="B2382" s="717" t="s">
        <v>4811</v>
      </c>
      <c r="C2382" s="1099">
        <v>75159468</v>
      </c>
      <c r="D2382" s="1089"/>
      <c r="E2382" s="917"/>
      <c r="F2382" s="724"/>
      <c r="G2382" s="1099" t="s">
        <v>2612</v>
      </c>
      <c r="H2382" s="1100" t="s">
        <v>4812</v>
      </c>
      <c r="I2382" s="705"/>
      <c r="J2382" s="1082"/>
      <c r="K2382" s="703"/>
      <c r="L2382" s="703"/>
      <c r="M2382" s="708"/>
      <c r="N2382" s="166"/>
      <c r="P2382" s="166"/>
    </row>
    <row r="2383" spans="1:16" s="711" customFormat="1" ht="13.2" customHeight="1">
      <c r="A2383" s="1081"/>
      <c r="B2383" s="717" t="s">
        <v>4810</v>
      </c>
      <c r="C2383" s="1099"/>
      <c r="D2383" s="1089">
        <v>1</v>
      </c>
      <c r="E2383" s="917"/>
      <c r="F2383" s="724"/>
      <c r="G2383" s="1099" t="s">
        <v>3878</v>
      </c>
      <c r="H2383" s="1100" t="s">
        <v>4426</v>
      </c>
      <c r="I2383" s="705"/>
      <c r="J2383" s="1082"/>
      <c r="K2383" s="703"/>
      <c r="L2383" s="703"/>
      <c r="M2383" s="708"/>
      <c r="N2383" s="166"/>
      <c r="P2383" s="166"/>
    </row>
    <row r="2384" spans="1:16" s="711" customFormat="1" ht="13.2" customHeight="1">
      <c r="A2384" s="1081"/>
      <c r="B2384" s="717" t="s">
        <v>4807</v>
      </c>
      <c r="C2384" s="1099">
        <v>45752518</v>
      </c>
      <c r="D2384" s="1089"/>
      <c r="E2384" s="917"/>
      <c r="F2384" s="724"/>
      <c r="G2384" s="1099" t="s">
        <v>2478</v>
      </c>
      <c r="H2384" s="1100" t="s">
        <v>4682</v>
      </c>
      <c r="I2384" s="705"/>
      <c r="J2384" s="1082"/>
      <c r="K2384" s="703"/>
      <c r="L2384" s="703"/>
      <c r="M2384" s="708"/>
      <c r="N2384" s="166"/>
      <c r="P2384" s="166"/>
    </row>
    <row r="2385" spans="1:16" s="711" customFormat="1" ht="13.2" customHeight="1">
      <c r="A2385" s="1071"/>
      <c r="B2385" s="717" t="s">
        <v>4786</v>
      </c>
      <c r="C2385" s="724">
        <v>47564464</v>
      </c>
      <c r="D2385" s="1089"/>
      <c r="E2385" s="917"/>
      <c r="F2385" s="724"/>
      <c r="G2385" s="1099" t="s">
        <v>736</v>
      </c>
      <c r="H2385" s="1100" t="s">
        <v>4787</v>
      </c>
      <c r="I2385" s="705"/>
      <c r="J2385" s="1068"/>
      <c r="K2385" s="703"/>
      <c r="L2385" s="703"/>
      <c r="M2385" s="708"/>
      <c r="N2385" s="166"/>
      <c r="P2385" s="166"/>
    </row>
    <row r="2386" spans="1:16" s="711" customFormat="1" ht="13.2" customHeight="1">
      <c r="A2386" s="1071"/>
      <c r="B2386" s="717" t="s">
        <v>4410</v>
      </c>
      <c r="C2386" s="724">
        <v>33293922</v>
      </c>
      <c r="D2386" s="724"/>
      <c r="E2386" s="724"/>
      <c r="F2386" s="724"/>
      <c r="G2386" s="893" t="s">
        <v>1972</v>
      </c>
      <c r="H2386" s="1099" t="s">
        <v>4682</v>
      </c>
      <c r="I2386" s="705"/>
      <c r="J2386" s="1068"/>
      <c r="K2386" s="703"/>
      <c r="L2386" s="703"/>
      <c r="M2386" s="708"/>
      <c r="N2386" s="166"/>
      <c r="P2386" s="166"/>
    </row>
    <row r="2387" spans="1:16" s="711" customFormat="1" ht="13.2" customHeight="1">
      <c r="A2387" s="1071"/>
      <c r="B2387" s="961" t="s">
        <v>4776</v>
      </c>
      <c r="C2387" s="730"/>
      <c r="D2387" s="1070"/>
      <c r="E2387" s="1057"/>
      <c r="F2387" s="730"/>
      <c r="G2387" s="1080" t="s">
        <v>1989</v>
      </c>
      <c r="H2387" s="1084" t="s">
        <v>4777</v>
      </c>
      <c r="I2387" s="706"/>
      <c r="J2387" s="1068"/>
      <c r="K2387" s="703"/>
      <c r="L2387" s="703"/>
      <c r="M2387" s="708"/>
      <c r="N2387" s="166"/>
      <c r="P2387" s="166"/>
    </row>
    <row r="2388" spans="1:16" s="711" customFormat="1" ht="13.2" customHeight="1">
      <c r="A2388" s="1071"/>
      <c r="B2388" s="717" t="s">
        <v>4774</v>
      </c>
      <c r="C2388" s="724">
        <v>45999965</v>
      </c>
      <c r="D2388" s="1089"/>
      <c r="E2388" s="917"/>
      <c r="F2388" s="724"/>
      <c r="G2388" s="1099" t="s">
        <v>2056</v>
      </c>
      <c r="H2388" s="1100" t="s">
        <v>4775</v>
      </c>
      <c r="I2388" s="705"/>
      <c r="J2388" s="1068"/>
      <c r="K2388" s="703"/>
      <c r="L2388" s="703"/>
      <c r="M2388" s="708"/>
      <c r="N2388" s="166"/>
      <c r="P2388" s="166"/>
    </row>
    <row r="2389" spans="1:16" s="711" customFormat="1" ht="13.2" customHeight="1">
      <c r="A2389" s="1071"/>
      <c r="B2389" s="717" t="s">
        <v>4830</v>
      </c>
      <c r="C2389" s="724">
        <v>71050257</v>
      </c>
      <c r="D2389" s="1089">
        <v>1</v>
      </c>
      <c r="E2389" s="917"/>
      <c r="F2389" s="724"/>
      <c r="G2389" s="1099" t="s">
        <v>713</v>
      </c>
      <c r="H2389" s="1100" t="s">
        <v>4831</v>
      </c>
      <c r="I2389" s="705">
        <v>33</v>
      </c>
      <c r="J2389" s="1068"/>
      <c r="K2389" s="703"/>
      <c r="L2389" s="703"/>
      <c r="M2389" s="708"/>
      <c r="N2389" s="166"/>
      <c r="P2389" s="166"/>
    </row>
    <row r="2390" spans="1:16" s="711" customFormat="1" ht="13.2" customHeight="1">
      <c r="A2390" s="1071"/>
      <c r="B2390" s="717" t="s">
        <v>4832</v>
      </c>
      <c r="C2390" s="724">
        <v>75374637</v>
      </c>
      <c r="D2390" s="1089"/>
      <c r="E2390" s="917"/>
      <c r="F2390" s="724"/>
      <c r="G2390" s="1099" t="s">
        <v>713</v>
      </c>
      <c r="H2390" s="1100" t="s">
        <v>4831</v>
      </c>
      <c r="I2390" s="705">
        <v>33</v>
      </c>
      <c r="J2390" s="1068"/>
      <c r="K2390" s="703"/>
      <c r="L2390" s="703"/>
      <c r="M2390" s="708"/>
      <c r="N2390" s="166"/>
      <c r="P2390" s="166"/>
    </row>
    <row r="2391" spans="1:16" s="711" customFormat="1" ht="13.2" customHeight="1">
      <c r="A2391" s="1071"/>
      <c r="B2391" s="717" t="s">
        <v>4833</v>
      </c>
      <c r="C2391" s="724">
        <v>52131464</v>
      </c>
      <c r="D2391" s="1089">
        <v>1</v>
      </c>
      <c r="E2391" s="917"/>
      <c r="F2391" s="724"/>
      <c r="G2391" s="1099" t="s">
        <v>2019</v>
      </c>
      <c r="H2391" s="1100" t="s">
        <v>4831</v>
      </c>
      <c r="I2391" s="705">
        <v>33</v>
      </c>
      <c r="J2391" s="1068"/>
      <c r="K2391" s="703"/>
      <c r="L2391" s="703"/>
      <c r="M2391" s="708"/>
      <c r="N2391" s="166"/>
      <c r="P2391" s="166"/>
    </row>
    <row r="2392" spans="1:16" s="711" customFormat="1" ht="13.2" customHeight="1">
      <c r="A2392" s="1071"/>
      <c r="B2392" s="729" t="s">
        <v>4834</v>
      </c>
      <c r="C2392" s="730">
        <v>28043533</v>
      </c>
      <c r="D2392" s="1070"/>
      <c r="E2392" s="1057"/>
      <c r="F2392" s="730"/>
      <c r="G2392" s="1080" t="s">
        <v>2019</v>
      </c>
      <c r="H2392" s="1084" t="s">
        <v>4831</v>
      </c>
      <c r="I2392" s="706">
        <v>33</v>
      </c>
      <c r="J2392" s="1068"/>
      <c r="K2392" s="703"/>
      <c r="L2392" s="703"/>
      <c r="M2392" s="708"/>
      <c r="N2392" s="166"/>
      <c r="P2392" s="166"/>
    </row>
    <row r="2393" spans="1:16" s="711" customFormat="1" ht="13.2" customHeight="1">
      <c r="A2393" s="1071"/>
      <c r="B2393" s="717" t="s">
        <v>4835</v>
      </c>
      <c r="C2393" s="724">
        <v>18682985</v>
      </c>
      <c r="D2393" s="1089"/>
      <c r="E2393" s="917"/>
      <c r="F2393" s="724"/>
      <c r="G2393" s="1099" t="s">
        <v>2019</v>
      </c>
      <c r="H2393" s="1100" t="s">
        <v>4831</v>
      </c>
      <c r="I2393" s="705">
        <v>33</v>
      </c>
      <c r="J2393" s="1068"/>
      <c r="K2393" s="703"/>
      <c r="L2393" s="703"/>
      <c r="M2393" s="708"/>
      <c r="N2393" s="166"/>
      <c r="P2393" s="166"/>
    </row>
    <row r="2394" spans="1:16" s="711" customFormat="1" ht="13.2" customHeight="1">
      <c r="A2394" s="1071"/>
      <c r="B2394" s="717" t="s">
        <v>4839</v>
      </c>
      <c r="C2394" s="724"/>
      <c r="D2394" s="1089"/>
      <c r="E2394" s="917"/>
      <c r="F2394" s="724"/>
      <c r="G2394" s="1099" t="s">
        <v>1972</v>
      </c>
      <c r="H2394" s="1100" t="s">
        <v>4840</v>
      </c>
      <c r="I2394" s="705"/>
      <c r="J2394" s="1068"/>
      <c r="K2394" s="703"/>
      <c r="L2394" s="703"/>
      <c r="M2394" s="708"/>
      <c r="N2394" s="166"/>
      <c r="P2394" s="166"/>
    </row>
    <row r="2395" spans="1:16" s="711" customFormat="1">
      <c r="A2395" s="1071"/>
      <c r="B2395" s="717" t="s">
        <v>4837</v>
      </c>
      <c r="C2395" s="724">
        <v>55892864</v>
      </c>
      <c r="D2395" s="1089"/>
      <c r="E2395" s="917"/>
      <c r="F2395" s="724"/>
      <c r="G2395" s="1099" t="s">
        <v>1032</v>
      </c>
      <c r="H2395" s="1100" t="s">
        <v>4838</v>
      </c>
      <c r="I2395" s="705"/>
      <c r="J2395" s="1068"/>
      <c r="K2395" s="703"/>
      <c r="L2395" s="703"/>
      <c r="M2395" s="708"/>
      <c r="N2395" s="166"/>
      <c r="P2395" s="166"/>
    </row>
    <row r="2396" spans="1:16" s="711" customFormat="1" ht="13.2" customHeight="1">
      <c r="A2396" s="1071"/>
      <c r="B2396" s="717" t="s">
        <v>4819</v>
      </c>
      <c r="C2396" s="724">
        <v>76781694</v>
      </c>
      <c r="D2396" s="1089"/>
      <c r="E2396" s="917"/>
      <c r="F2396" s="724"/>
      <c r="G2396" s="1099" t="s">
        <v>2124</v>
      </c>
      <c r="H2396" s="1100" t="s">
        <v>4820</v>
      </c>
      <c r="I2396" s="705"/>
      <c r="J2396" s="1068"/>
      <c r="K2396" s="703"/>
      <c r="L2396" s="703"/>
      <c r="M2396" s="708"/>
      <c r="N2396" s="166"/>
      <c r="P2396" s="166"/>
    </row>
    <row r="2397" spans="1:16" s="711" customFormat="1" ht="13.2" customHeight="1">
      <c r="A2397" s="1071"/>
      <c r="B2397" s="717" t="s">
        <v>4815</v>
      </c>
      <c r="C2397" s="724">
        <v>61267791</v>
      </c>
      <c r="D2397" s="1089"/>
      <c r="E2397" s="917"/>
      <c r="F2397" s="724"/>
      <c r="G2397" s="1099" t="s">
        <v>1009</v>
      </c>
      <c r="H2397" s="1100" t="s">
        <v>4816</v>
      </c>
      <c r="I2397" s="705"/>
      <c r="J2397" s="1068"/>
      <c r="K2397" s="703"/>
      <c r="L2397" s="703"/>
      <c r="M2397" s="708"/>
      <c r="N2397" s="166"/>
      <c r="P2397" s="166"/>
    </row>
    <row r="2398" spans="1:16" s="711" customFormat="1" ht="13.2" customHeight="1">
      <c r="A2398" s="1071"/>
      <c r="B2398" s="717" t="s">
        <v>4813</v>
      </c>
      <c r="C2398" s="724">
        <v>30389370</v>
      </c>
      <c r="D2398" s="1089"/>
      <c r="E2398" s="917"/>
      <c r="F2398" s="724"/>
      <c r="G2398" s="1099" t="s">
        <v>1996</v>
      </c>
      <c r="H2398" s="1100" t="s">
        <v>4649</v>
      </c>
      <c r="I2398" s="705"/>
      <c r="J2398" s="1068"/>
      <c r="K2398" s="703"/>
      <c r="L2398" s="703"/>
      <c r="M2398" s="708"/>
      <c r="N2398" s="166"/>
      <c r="P2398" s="166"/>
    </row>
    <row r="2399" spans="1:16" s="711" customFormat="1" ht="13.2" customHeight="1">
      <c r="A2399" s="1071"/>
      <c r="B2399" s="709"/>
      <c r="C2399" s="710"/>
      <c r="D2399" s="1068"/>
      <c r="E2399" s="915"/>
      <c r="F2399" s="710"/>
      <c r="G2399" s="1082"/>
      <c r="H2399" s="1083"/>
      <c r="I2399" s="703"/>
      <c r="J2399" s="1068"/>
      <c r="K2399" s="703"/>
      <c r="L2399" s="703"/>
      <c r="M2399" s="708"/>
      <c r="N2399" s="166"/>
      <c r="P2399" s="166"/>
    </row>
    <row r="2400" spans="1:16" s="711" customFormat="1" ht="13.2" customHeight="1">
      <c r="A2400" s="1071"/>
      <c r="B2400" s="709"/>
      <c r="C2400" s="710"/>
      <c r="D2400" s="1068"/>
      <c r="E2400" s="915"/>
      <c r="F2400" s="710"/>
      <c r="G2400" s="1082"/>
      <c r="H2400" s="1083"/>
      <c r="I2400" s="703"/>
      <c r="J2400" s="1068"/>
      <c r="K2400" s="703"/>
      <c r="L2400" s="703"/>
      <c r="M2400" s="708"/>
      <c r="N2400" s="166"/>
      <c r="P2400" s="166"/>
    </row>
    <row r="2401" spans="1:16" s="711" customFormat="1" ht="13.2" customHeight="1">
      <c r="A2401" s="1071"/>
      <c r="B2401" s="709"/>
      <c r="C2401" s="710"/>
      <c r="D2401" s="1068"/>
      <c r="E2401" s="915"/>
      <c r="F2401" s="710"/>
      <c r="G2401" s="1082"/>
      <c r="H2401" s="1083"/>
      <c r="I2401" s="703"/>
      <c r="J2401" s="1068"/>
      <c r="K2401" s="703"/>
      <c r="L2401" s="703"/>
      <c r="M2401" s="708"/>
      <c r="N2401" s="166"/>
      <c r="P2401" s="166"/>
    </row>
    <row r="2402" spans="1:16" s="711" customFormat="1" ht="13.2" customHeight="1">
      <c r="A2402" s="1071"/>
      <c r="B2402" s="709"/>
      <c r="C2402" s="710"/>
      <c r="D2402" s="1068"/>
      <c r="E2402" s="915"/>
      <c r="F2402" s="710"/>
      <c r="G2402" s="1082"/>
      <c r="H2402" s="1083"/>
      <c r="I2402" s="703"/>
      <c r="J2402" s="1068"/>
      <c r="K2402" s="703"/>
      <c r="L2402" s="703"/>
      <c r="M2402" s="708"/>
      <c r="N2402" s="166"/>
      <c r="P2402" s="166"/>
    </row>
    <row r="2403" spans="1:16" s="711" customFormat="1" ht="13.2" customHeight="1">
      <c r="A2403" s="1071"/>
      <c r="B2403" s="1001" t="s">
        <v>4792</v>
      </c>
      <c r="C2403" s="980">
        <v>43869345</v>
      </c>
      <c r="D2403" s="1090"/>
      <c r="E2403" s="1002"/>
      <c r="F2403" s="980"/>
      <c r="G2403" s="1086" t="s">
        <v>2959</v>
      </c>
      <c r="H2403" s="1097" t="s">
        <v>4793</v>
      </c>
      <c r="I2403" s="1004"/>
      <c r="J2403" s="1068"/>
      <c r="K2403" s="703"/>
      <c r="L2403" s="703"/>
      <c r="M2403" s="708"/>
      <c r="N2403" s="166"/>
      <c r="P2403" s="166"/>
    </row>
    <row r="2404" spans="1:16" s="711" customFormat="1" ht="13.2" customHeight="1">
      <c r="A2404" s="1071"/>
      <c r="B2404" s="1001" t="s">
        <v>4785</v>
      </c>
      <c r="C2404" s="980">
        <v>26007772</v>
      </c>
      <c r="D2404" s="1090"/>
      <c r="E2404" s="1002"/>
      <c r="F2404" s="980"/>
      <c r="G2404" s="1090"/>
      <c r="H2404" s="1091"/>
      <c r="I2404" s="1004"/>
      <c r="J2404" s="1068"/>
      <c r="K2404" s="703"/>
      <c r="L2404" s="703"/>
      <c r="M2404" s="708"/>
      <c r="N2404" s="166"/>
      <c r="P2404" s="166"/>
    </row>
    <row r="2405" spans="1:16" s="711" customFormat="1" ht="13.2" customHeight="1">
      <c r="A2405" s="1071"/>
      <c r="B2405" s="1001" t="s">
        <v>4762</v>
      </c>
      <c r="C2405" s="980">
        <v>72461502</v>
      </c>
      <c r="D2405" s="1002"/>
      <c r="E2405" s="1002"/>
      <c r="F2405" s="980"/>
      <c r="G2405" s="1090" t="s">
        <v>1996</v>
      </c>
      <c r="H2405" s="1091" t="s">
        <v>4649</v>
      </c>
      <c r="I2405" s="1004"/>
      <c r="J2405" s="1058"/>
      <c r="K2405" s="703"/>
      <c r="L2405" s="703"/>
      <c r="M2405" s="708"/>
      <c r="N2405" s="166"/>
      <c r="P2405" s="166"/>
    </row>
    <row r="2406" spans="1:16" s="711" customFormat="1" ht="13.2" customHeight="1">
      <c r="A2406" s="1065"/>
      <c r="B2406" s="1001" t="s">
        <v>4761</v>
      </c>
      <c r="C2406" s="980">
        <v>92433979</v>
      </c>
      <c r="D2406" s="1002"/>
      <c r="E2406" s="1002"/>
      <c r="F2406" s="980"/>
      <c r="G2406" s="1090" t="s">
        <v>2124</v>
      </c>
      <c r="H2406" s="1101"/>
      <c r="I2406" s="1004"/>
      <c r="J2406" s="1058"/>
      <c r="K2406" s="703"/>
      <c r="L2406" s="703"/>
      <c r="M2406" s="708"/>
      <c r="N2406" s="166"/>
      <c r="P2406" s="166"/>
    </row>
    <row r="2407" spans="1:16" s="711" customFormat="1" ht="13.2" customHeight="1">
      <c r="A2407" s="1065"/>
      <c r="B2407" s="709" t="s">
        <v>4748</v>
      </c>
      <c r="C2407" s="710">
        <v>11111111</v>
      </c>
      <c r="D2407" s="915"/>
      <c r="E2407" s="915"/>
      <c r="F2407" s="710"/>
      <c r="G2407" s="1068" t="s">
        <v>2317</v>
      </c>
      <c r="H2407" s="1066"/>
      <c r="I2407" s="703"/>
      <c r="J2407" s="1058"/>
      <c r="K2407" s="703"/>
      <c r="L2407" s="703"/>
      <c r="M2407" s="708"/>
      <c r="N2407" s="166"/>
      <c r="P2407" s="166"/>
    </row>
    <row r="2408" spans="1:16" s="711" customFormat="1" ht="13.2" customHeight="1">
      <c r="A2408" s="1065"/>
      <c r="B2408" s="1001" t="s">
        <v>4745</v>
      </c>
      <c r="C2408" s="980">
        <v>12345678</v>
      </c>
      <c r="D2408" s="1002"/>
      <c r="E2408" s="1002"/>
      <c r="F2408" s="980"/>
      <c r="G2408" s="1090" t="s">
        <v>4746</v>
      </c>
      <c r="H2408" s="1091" t="s">
        <v>4682</v>
      </c>
      <c r="I2408" s="1004"/>
      <c r="J2408" s="1058"/>
      <c r="K2408" s="703"/>
      <c r="L2408" s="703"/>
      <c r="M2408" s="708"/>
      <c r="N2408" s="166"/>
      <c r="P2408" s="166"/>
    </row>
    <row r="2409" spans="1:16" s="711" customFormat="1" ht="13.2" customHeight="1">
      <c r="A2409" s="1063"/>
      <c r="B2409" s="1001" t="s">
        <v>4742</v>
      </c>
      <c r="C2409" s="980">
        <v>49103235</v>
      </c>
      <c r="D2409" s="1002"/>
      <c r="E2409" s="1002"/>
      <c r="F2409" s="980"/>
      <c r="G2409" s="1090" t="s">
        <v>2124</v>
      </c>
      <c r="H2409" s="1090" t="s">
        <v>4743</v>
      </c>
      <c r="I2409" s="1004"/>
      <c r="J2409" s="1058"/>
      <c r="K2409" s="703"/>
      <c r="L2409" s="703"/>
      <c r="M2409" s="708"/>
      <c r="N2409" s="166"/>
      <c r="P2409" s="166"/>
    </row>
    <row r="2410" spans="1:16" s="711" customFormat="1" ht="13.2" customHeight="1">
      <c r="A2410" s="1059"/>
      <c r="B2410" s="961" t="s">
        <v>4744</v>
      </c>
      <c r="C2410" s="730">
        <v>24033358</v>
      </c>
      <c r="D2410" s="1057"/>
      <c r="E2410" s="1057"/>
      <c r="F2410" s="730"/>
      <c r="G2410" s="1069" t="s">
        <v>2306</v>
      </c>
      <c r="H2410" s="1069" t="s">
        <v>4740</v>
      </c>
      <c r="I2410" s="706"/>
      <c r="J2410" s="1058"/>
      <c r="K2410" s="703"/>
      <c r="L2410" s="703"/>
      <c r="M2410" s="708"/>
      <c r="N2410" s="166"/>
      <c r="P2410" s="166"/>
    </row>
    <row r="2411" spans="1:16" s="711" customFormat="1" ht="13.2" customHeight="1">
      <c r="A2411" s="1059"/>
      <c r="B2411" s="709" t="s">
        <v>4711</v>
      </c>
      <c r="C2411" s="710">
        <v>19257138</v>
      </c>
      <c r="D2411" s="915"/>
      <c r="E2411" s="915"/>
      <c r="F2411" s="710"/>
      <c r="G2411" s="1061" t="s">
        <v>4710</v>
      </c>
      <c r="H2411" s="1056"/>
      <c r="I2411" s="703"/>
      <c r="J2411" s="1058"/>
      <c r="K2411" s="703"/>
      <c r="L2411" s="703"/>
      <c r="M2411" s="708"/>
      <c r="N2411" s="166"/>
      <c r="P2411" s="166"/>
    </row>
    <row r="2412" spans="1:16" s="711" customFormat="1" ht="13.2" customHeight="1">
      <c r="A2412" s="1055"/>
      <c r="B2412" s="709" t="s">
        <v>4709</v>
      </c>
      <c r="C2412" s="710">
        <v>94967897</v>
      </c>
      <c r="D2412" s="915"/>
      <c r="E2412" s="915"/>
      <c r="F2412" s="710"/>
      <c r="G2412" s="1061" t="s">
        <v>4710</v>
      </c>
      <c r="H2412" s="1056"/>
      <c r="I2412" s="703"/>
      <c r="J2412" s="1048"/>
      <c r="K2412" s="703"/>
      <c r="L2412" s="703"/>
      <c r="M2412" s="708"/>
      <c r="N2412" s="166"/>
      <c r="P2412" s="166"/>
    </row>
    <row r="2413" spans="1:16" s="711" customFormat="1" ht="13.2" customHeight="1">
      <c r="A2413" s="1055"/>
      <c r="B2413" s="1001" t="s">
        <v>4708</v>
      </c>
      <c r="C2413" s="980">
        <v>37548139</v>
      </c>
      <c r="D2413" s="1002"/>
      <c r="E2413" s="1002"/>
      <c r="F2413" s="980"/>
      <c r="G2413" s="1102"/>
      <c r="H2413" s="1102"/>
      <c r="I2413" s="1004"/>
      <c r="J2413" s="1048"/>
      <c r="K2413" s="703"/>
      <c r="L2413" s="703"/>
      <c r="M2413" s="708"/>
      <c r="N2413" s="166"/>
      <c r="P2413" s="166"/>
    </row>
    <row r="2414" spans="1:16" s="711" customFormat="1" ht="13.2" customHeight="1">
      <c r="A2414" s="1055"/>
      <c r="B2414" s="1001" t="s">
        <v>4707</v>
      </c>
      <c r="C2414" s="980"/>
      <c r="D2414" s="1002"/>
      <c r="E2414" s="1002"/>
      <c r="F2414" s="980"/>
      <c r="G2414" s="1103" t="s">
        <v>736</v>
      </c>
      <c r="H2414" s="1102"/>
      <c r="I2414" s="1004"/>
      <c r="J2414" s="1048"/>
      <c r="K2414" s="703"/>
      <c r="L2414" s="703"/>
      <c r="M2414" s="708"/>
      <c r="N2414" s="166"/>
      <c r="P2414" s="166"/>
    </row>
    <row r="2415" spans="1:16" s="711" customFormat="1" ht="13.2" customHeight="1">
      <c r="A2415" s="1055"/>
      <c r="B2415" s="1001" t="s">
        <v>4705</v>
      </c>
      <c r="C2415" s="980">
        <v>53056081</v>
      </c>
      <c r="D2415" s="1002"/>
      <c r="E2415" s="1002"/>
      <c r="F2415" s="980"/>
      <c r="G2415" s="1103" t="s">
        <v>3878</v>
      </c>
      <c r="H2415" s="1102"/>
      <c r="I2415" s="1004"/>
      <c r="J2415" s="1048"/>
      <c r="K2415" s="703"/>
      <c r="L2415" s="703"/>
      <c r="M2415" s="708"/>
      <c r="N2415" s="166"/>
      <c r="P2415" s="166"/>
    </row>
    <row r="2416" spans="1:16" s="711" customFormat="1" ht="13.2" customHeight="1">
      <c r="A2416" s="1055"/>
      <c r="B2416" s="1001" t="s">
        <v>4704</v>
      </c>
      <c r="C2416" s="980"/>
      <c r="D2416" s="1002"/>
      <c r="E2416" s="1002"/>
      <c r="F2416" s="980"/>
      <c r="G2416" s="1104"/>
      <c r="H2416" s="1105"/>
      <c r="I2416" s="1004"/>
      <c r="J2416" s="1048"/>
      <c r="K2416" s="703"/>
      <c r="L2416" s="703"/>
      <c r="M2416" s="708"/>
      <c r="N2416" s="166"/>
      <c r="P2416" s="166"/>
    </row>
    <row r="2417" spans="1:16" s="711" customFormat="1" ht="13.2" customHeight="1">
      <c r="A2417" s="1055"/>
      <c r="B2417" s="1001" t="s">
        <v>4703</v>
      </c>
      <c r="C2417" s="980"/>
      <c r="D2417" s="1002"/>
      <c r="E2417" s="1002"/>
      <c r="F2417" s="980"/>
      <c r="G2417" s="1104"/>
      <c r="H2417" s="1105"/>
      <c r="I2417" s="1004"/>
      <c r="J2417" s="1048"/>
      <c r="K2417" s="703"/>
      <c r="L2417" s="703"/>
      <c r="M2417" s="708"/>
      <c r="N2417" s="166"/>
      <c r="P2417" s="166"/>
    </row>
    <row r="2418" spans="1:16" s="711" customFormat="1" ht="13.2" customHeight="1">
      <c r="A2418" s="1047"/>
      <c r="B2418" s="1106" t="s">
        <v>4695</v>
      </c>
      <c r="C2418" s="980"/>
      <c r="D2418" s="1002"/>
      <c r="E2418" s="1002"/>
      <c r="F2418" s="980"/>
      <c r="G2418" s="1102" t="s">
        <v>4696</v>
      </c>
      <c r="H2418" s="1105"/>
      <c r="I2418" s="1004"/>
      <c r="J2418" s="1048"/>
      <c r="K2418" s="703"/>
      <c r="L2418" s="703"/>
      <c r="M2418" s="708"/>
      <c r="N2418" s="166"/>
      <c r="P2418" s="166"/>
    </row>
    <row r="2419" spans="1:16" s="711" customFormat="1" ht="13.2" customHeight="1">
      <c r="A2419" s="1047"/>
      <c r="B2419" s="1001" t="s">
        <v>4688</v>
      </c>
      <c r="C2419" s="980">
        <v>89464216</v>
      </c>
      <c r="D2419" s="1002"/>
      <c r="E2419" s="1002"/>
      <c r="F2419" s="980"/>
      <c r="G2419" s="1107" t="s">
        <v>3958</v>
      </c>
      <c r="H2419" s="1105"/>
      <c r="I2419" s="1004"/>
      <c r="J2419" s="1048"/>
      <c r="K2419" s="703"/>
      <c r="L2419" s="703"/>
      <c r="M2419" s="708"/>
      <c r="N2419" s="166"/>
      <c r="P2419" s="166"/>
    </row>
    <row r="2420" spans="1:16" s="711" customFormat="1" ht="13.2" customHeight="1">
      <c r="A2420" s="1047"/>
      <c r="B2420" s="1001" t="s">
        <v>4686</v>
      </c>
      <c r="C2420" s="980">
        <v>66504728</v>
      </c>
      <c r="D2420" s="1002"/>
      <c r="E2420" s="1002"/>
      <c r="F2420" s="980"/>
      <c r="G2420" s="1104"/>
      <c r="H2420" s="1107" t="s">
        <v>4687</v>
      </c>
      <c r="I2420" s="1004"/>
      <c r="J2420" s="1048"/>
      <c r="K2420" s="703"/>
      <c r="L2420" s="703"/>
      <c r="M2420" s="708"/>
      <c r="N2420" s="166"/>
      <c r="P2420" s="166"/>
    </row>
    <row r="2421" spans="1:16" s="711" customFormat="1" ht="13.2" customHeight="1">
      <c r="A2421" s="1046"/>
      <c r="B2421" s="1001" t="s">
        <v>4685</v>
      </c>
      <c r="C2421" s="980">
        <v>53056217</v>
      </c>
      <c r="D2421" s="1002"/>
      <c r="E2421" s="1002"/>
      <c r="F2421" s="980"/>
      <c r="G2421" s="1108" t="s">
        <v>2071</v>
      </c>
      <c r="H2421" s="1109"/>
      <c r="I2421" s="1004"/>
      <c r="J2421" s="1031"/>
      <c r="K2421" s="703"/>
      <c r="L2421" s="703"/>
      <c r="M2421" s="708"/>
      <c r="N2421" s="166"/>
      <c r="P2421" s="166"/>
    </row>
    <row r="2422" spans="1:16" s="711" customFormat="1" ht="13.2" customHeight="1">
      <c r="A2422" s="1046"/>
      <c r="B2422" s="1001" t="s">
        <v>4681</v>
      </c>
      <c r="C2422" s="980"/>
      <c r="D2422" s="1002"/>
      <c r="E2422" s="1002"/>
      <c r="F2422" s="980"/>
      <c r="G2422" s="1110" t="s">
        <v>713</v>
      </c>
      <c r="H2422" s="1110" t="s">
        <v>4682</v>
      </c>
      <c r="I2422" s="1004"/>
      <c r="J2422" s="1031"/>
      <c r="K2422" s="703"/>
      <c r="L2422" s="703"/>
      <c r="M2422" s="708"/>
      <c r="N2422" s="166"/>
      <c r="P2422" s="166"/>
    </row>
    <row r="2423" spans="1:16" s="711" customFormat="1" ht="13.2" customHeight="1">
      <c r="A2423" s="1038"/>
      <c r="B2423" s="1001" t="s">
        <v>4679</v>
      </c>
      <c r="C2423" s="980">
        <v>71649373</v>
      </c>
      <c r="D2423" s="1002"/>
      <c r="E2423" s="1002"/>
      <c r="F2423" s="980"/>
      <c r="G2423" s="1110" t="s">
        <v>4680</v>
      </c>
      <c r="H2423" s="1109"/>
      <c r="I2423" s="1004"/>
      <c r="J2423" s="1031"/>
      <c r="K2423" s="703"/>
      <c r="L2423" s="703"/>
      <c r="M2423" s="708"/>
      <c r="N2423" s="166"/>
      <c r="P2423" s="166"/>
    </row>
    <row r="2424" spans="1:16" s="711" customFormat="1" ht="13.2" customHeight="1">
      <c r="A2424" s="1038"/>
      <c r="B2424" s="1001" t="s">
        <v>4684</v>
      </c>
      <c r="C2424" s="980">
        <v>11111111</v>
      </c>
      <c r="D2424" s="1002"/>
      <c r="E2424" s="1002"/>
      <c r="F2424" s="980"/>
      <c r="G2424" s="1108" t="s">
        <v>2317</v>
      </c>
      <c r="H2424" s="1109"/>
      <c r="I2424" s="1004"/>
      <c r="J2424" s="1031"/>
      <c r="K2424" s="703"/>
      <c r="L2424" s="703"/>
      <c r="M2424" s="708"/>
      <c r="N2424" s="166"/>
      <c r="P2424" s="166"/>
    </row>
    <row r="2425" spans="1:16" s="711" customFormat="1" ht="13.2" customHeight="1">
      <c r="A2425" s="1038"/>
      <c r="B2425" s="709" t="s">
        <v>4673</v>
      </c>
      <c r="C2425" s="710">
        <v>11111111</v>
      </c>
      <c r="D2425" s="915"/>
      <c r="E2425" s="915"/>
      <c r="F2425" s="710"/>
      <c r="G2425" s="1051" t="s">
        <v>2317</v>
      </c>
      <c r="H2425" s="1031"/>
      <c r="I2425" s="703"/>
      <c r="J2425" s="1031"/>
      <c r="K2425" s="703"/>
      <c r="L2425" s="703"/>
      <c r="M2425" s="708"/>
      <c r="N2425" s="166"/>
      <c r="P2425" s="166"/>
    </row>
    <row r="2426" spans="1:16" s="711" customFormat="1" ht="13.2" customHeight="1">
      <c r="A2426" s="1038"/>
      <c r="B2426" s="709" t="s">
        <v>4666</v>
      </c>
      <c r="C2426" s="710">
        <v>58532519</v>
      </c>
      <c r="D2426" s="1043"/>
      <c r="E2426" s="915"/>
      <c r="F2426" s="710"/>
      <c r="G2426" s="1043" t="s">
        <v>2317</v>
      </c>
      <c r="H2426" s="1031"/>
      <c r="I2426" s="703"/>
      <c r="J2426" s="1031"/>
      <c r="K2426" s="703"/>
      <c r="L2426" s="703"/>
      <c r="M2426" s="708"/>
      <c r="N2426" s="166"/>
      <c r="P2426" s="166"/>
    </row>
    <row r="2427" spans="1:16" s="711" customFormat="1" ht="13.2" customHeight="1">
      <c r="A2427" s="1038"/>
      <c r="B2427" s="961" t="s">
        <v>4676</v>
      </c>
      <c r="C2427" s="962"/>
      <c r="D2427" s="968"/>
      <c r="E2427" s="968"/>
      <c r="F2427" s="962"/>
      <c r="G2427" s="1049" t="s">
        <v>4677</v>
      </c>
      <c r="H2427" s="1049" t="s">
        <v>4678</v>
      </c>
      <c r="I2427" s="965"/>
      <c r="J2427" s="1031"/>
      <c r="K2427" s="703"/>
      <c r="L2427" s="703"/>
      <c r="M2427" s="708"/>
      <c r="N2427" s="166"/>
      <c r="P2427" s="166"/>
    </row>
    <row r="2428" spans="1:16" s="711" customFormat="1" ht="13.2" customHeight="1">
      <c r="A2428" s="1038"/>
      <c r="B2428" s="961" t="s">
        <v>4663</v>
      </c>
      <c r="C2428" s="962">
        <v>85118657</v>
      </c>
      <c r="D2428" s="968"/>
      <c r="E2428" s="1045" t="s">
        <v>4636</v>
      </c>
      <c r="F2428" s="962"/>
      <c r="G2428" s="1045" t="s">
        <v>4664</v>
      </c>
      <c r="H2428" s="1045" t="s">
        <v>4665</v>
      </c>
      <c r="I2428" s="965">
        <v>25</v>
      </c>
      <c r="J2428" s="1031"/>
      <c r="K2428" s="703"/>
      <c r="L2428" s="703"/>
      <c r="M2428" s="708"/>
      <c r="N2428" s="166"/>
      <c r="P2428" s="166"/>
    </row>
    <row r="2429" spans="1:16" s="711" customFormat="1" ht="13.2" customHeight="1">
      <c r="A2429" s="1038"/>
      <c r="B2429" s="961" t="s">
        <v>4634</v>
      </c>
      <c r="C2429" s="962">
        <v>32522475</v>
      </c>
      <c r="D2429" s="968"/>
      <c r="E2429" s="968"/>
      <c r="F2429" s="962"/>
      <c r="G2429" s="1034"/>
      <c r="H2429" s="1037"/>
      <c r="I2429" s="965"/>
      <c r="J2429" s="1031"/>
      <c r="K2429" s="703"/>
      <c r="L2429" s="703"/>
      <c r="M2429" s="708"/>
      <c r="N2429" s="166"/>
      <c r="P2429" s="166"/>
    </row>
    <row r="2430" spans="1:16" s="711" customFormat="1" ht="13.2" customHeight="1">
      <c r="A2430" s="1038"/>
      <c r="B2430" s="1044" t="s">
        <v>4655</v>
      </c>
      <c r="C2430" s="962">
        <v>16480943</v>
      </c>
      <c r="D2430" s="968"/>
      <c r="E2430" s="968"/>
      <c r="F2430" s="962"/>
      <c r="G2430" s="1034" t="s">
        <v>617</v>
      </c>
      <c r="H2430" s="1034" t="s">
        <v>4656</v>
      </c>
      <c r="I2430" s="965"/>
      <c r="J2430" s="1031"/>
      <c r="K2430" s="703"/>
      <c r="L2430" s="703"/>
      <c r="M2430" s="708"/>
      <c r="N2430" s="166"/>
      <c r="P2430" s="166"/>
    </row>
    <row r="2431" spans="1:16" s="711" customFormat="1" ht="13.2" customHeight="1">
      <c r="A2431" s="1030"/>
      <c r="B2431" s="961" t="s">
        <v>4648</v>
      </c>
      <c r="C2431" s="962"/>
      <c r="D2431" s="968"/>
      <c r="E2431" s="968"/>
      <c r="F2431" s="962"/>
      <c r="G2431" s="1034" t="s">
        <v>2284</v>
      </c>
      <c r="H2431" s="1034" t="s">
        <v>4649</v>
      </c>
      <c r="I2431" s="965"/>
      <c r="J2431" s="1031"/>
      <c r="K2431" s="703"/>
      <c r="L2431" s="703"/>
      <c r="M2431" s="708"/>
      <c r="N2431" s="166"/>
      <c r="P2431" s="166"/>
    </row>
    <row r="2432" spans="1:16" s="711" customFormat="1" ht="13.2" customHeight="1">
      <c r="A2432" s="1030"/>
      <c r="B2432" s="961" t="s">
        <v>4647</v>
      </c>
      <c r="C2432" s="962">
        <v>38188047</v>
      </c>
      <c r="D2432" s="968"/>
      <c r="E2432" s="968"/>
      <c r="F2432" s="962"/>
      <c r="G2432" s="1037"/>
      <c r="H2432" s="1037"/>
      <c r="I2432" s="965"/>
      <c r="J2432" s="1031"/>
      <c r="K2432" s="703"/>
      <c r="L2432" s="703"/>
      <c r="M2432" s="708"/>
      <c r="N2432" s="166"/>
      <c r="P2432" s="166"/>
    </row>
    <row r="2433" spans="1:16" s="711" customFormat="1" ht="13.2" customHeight="1">
      <c r="A2433" s="1030"/>
      <c r="B2433" s="961" t="s">
        <v>4646</v>
      </c>
      <c r="C2433" s="962">
        <v>25111979</v>
      </c>
      <c r="D2433" s="968"/>
      <c r="E2433" s="968"/>
      <c r="F2433" s="962"/>
      <c r="G2433" s="1034" t="s">
        <v>2959</v>
      </c>
      <c r="H2433" s="1037"/>
      <c r="I2433" s="965"/>
      <c r="J2433" s="1031"/>
      <c r="K2433" s="703"/>
      <c r="L2433" s="703"/>
      <c r="M2433" s="708"/>
      <c r="N2433" s="166"/>
      <c r="P2433" s="166"/>
    </row>
    <row r="2434" spans="1:16" s="711" customFormat="1" ht="13.2" customHeight="1">
      <c r="A2434" s="1023"/>
      <c r="B2434" s="961" t="s">
        <v>4645</v>
      </c>
      <c r="C2434" s="962">
        <v>11111111</v>
      </c>
      <c r="D2434" s="968"/>
      <c r="E2434" s="968"/>
      <c r="F2434" s="962"/>
      <c r="G2434" s="1034" t="s">
        <v>2317</v>
      </c>
      <c r="H2434" s="1017"/>
      <c r="I2434" s="965"/>
      <c r="J2434" s="1016"/>
      <c r="K2434" s="703"/>
      <c r="L2434" s="703"/>
      <c r="M2434" s="708"/>
      <c r="N2434" s="166"/>
      <c r="P2434" s="166"/>
    </row>
    <row r="2435" spans="1:16" s="711" customFormat="1" ht="13.2" customHeight="1">
      <c r="A2435" s="1023"/>
      <c r="B2435" s="961" t="s">
        <v>4643</v>
      </c>
      <c r="C2435" s="962">
        <v>36057075</v>
      </c>
      <c r="D2435" s="968"/>
      <c r="E2435" s="968"/>
      <c r="F2435" s="962"/>
      <c r="G2435" s="1037" t="s">
        <v>2306</v>
      </c>
      <c r="H2435" s="1037" t="s">
        <v>4644</v>
      </c>
      <c r="I2435" s="965"/>
      <c r="J2435" s="1016"/>
      <c r="K2435" s="703"/>
      <c r="L2435" s="703"/>
      <c r="M2435" s="708"/>
      <c r="N2435" s="166"/>
      <c r="P2435" s="166"/>
    </row>
    <row r="2436" spans="1:16" s="711" customFormat="1" ht="13.2" customHeight="1">
      <c r="A2436" s="974"/>
      <c r="B2436" s="961" t="s">
        <v>4634</v>
      </c>
      <c r="C2436" s="980">
        <v>32522475</v>
      </c>
      <c r="D2436" s="968"/>
      <c r="E2436" s="1028" t="s">
        <v>4636</v>
      </c>
      <c r="F2436" s="962"/>
      <c r="G2436" s="1017" t="s">
        <v>2056</v>
      </c>
      <c r="H2436" s="1017" t="s">
        <v>4635</v>
      </c>
      <c r="I2436" s="965"/>
      <c r="J2436" s="703"/>
      <c r="K2436" s="703"/>
      <c r="L2436" s="703"/>
      <c r="M2436" s="708"/>
      <c r="N2436" s="166"/>
      <c r="P2436" s="166"/>
    </row>
    <row r="2437" spans="1:16" s="711" customFormat="1" ht="13.2" customHeight="1">
      <c r="A2437" s="974"/>
      <c r="B2437" s="1025" t="s">
        <v>4624</v>
      </c>
      <c r="C2437" s="980">
        <v>79221245</v>
      </c>
      <c r="D2437" s="968"/>
      <c r="E2437" s="1017"/>
      <c r="F2437" s="962"/>
      <c r="G2437" s="1017" t="s">
        <v>713</v>
      </c>
      <c r="H2437" s="1017" t="s">
        <v>4625</v>
      </c>
      <c r="I2437" s="965"/>
      <c r="J2437" s="703"/>
      <c r="K2437" s="703"/>
      <c r="L2437" s="703"/>
      <c r="M2437" s="708"/>
      <c r="N2437" s="166"/>
      <c r="P2437" s="166"/>
    </row>
    <row r="2438" spans="1:16" s="711" customFormat="1" ht="13.2" customHeight="1">
      <c r="A2438" s="974"/>
      <c r="B2438" s="961" t="s">
        <v>4623</v>
      </c>
      <c r="C2438" s="980">
        <v>20098454</v>
      </c>
      <c r="D2438" s="968"/>
      <c r="E2438" s="968"/>
      <c r="F2438" s="962"/>
      <c r="G2438" s="1017" t="s">
        <v>2288</v>
      </c>
      <c r="H2438" s="1017" t="s">
        <v>4622</v>
      </c>
      <c r="I2438" s="965"/>
      <c r="J2438" s="703"/>
      <c r="K2438" s="703"/>
      <c r="L2438" s="703"/>
      <c r="M2438" s="708"/>
      <c r="N2438" s="166"/>
      <c r="P2438" s="166"/>
    </row>
    <row r="2439" spans="1:16" s="711" customFormat="1" ht="13.2" customHeight="1">
      <c r="A2439" s="974"/>
      <c r="B2439" s="709" t="s">
        <v>4620</v>
      </c>
      <c r="C2439" s="710">
        <v>81033144</v>
      </c>
      <c r="D2439" s="915">
        <v>1</v>
      </c>
      <c r="E2439" s="915"/>
      <c r="F2439" s="710"/>
      <c r="G2439" s="1016" t="s">
        <v>1970</v>
      </c>
      <c r="H2439" s="1016" t="s">
        <v>4621</v>
      </c>
      <c r="I2439" s="703"/>
      <c r="J2439" s="703"/>
      <c r="K2439" s="703"/>
      <c r="L2439" s="703"/>
      <c r="M2439" s="708"/>
      <c r="N2439" s="166"/>
      <c r="P2439" s="166"/>
    </row>
    <row r="2440" spans="1:16" s="711" customFormat="1">
      <c r="A2440" s="974"/>
      <c r="B2440" s="961" t="s">
        <v>4618</v>
      </c>
      <c r="C2440" s="980">
        <v>13860492</v>
      </c>
      <c r="D2440" s="968"/>
      <c r="E2440" s="968"/>
      <c r="F2440" s="962"/>
      <c r="G2440" s="1017" t="s">
        <v>713</v>
      </c>
      <c r="H2440" s="1017" t="s">
        <v>4619</v>
      </c>
      <c r="I2440" s="965"/>
      <c r="J2440" s="703"/>
      <c r="K2440" s="703"/>
      <c r="L2440" s="703"/>
      <c r="M2440" s="708"/>
      <c r="N2440" s="166"/>
      <c r="P2440" s="166"/>
    </row>
    <row r="2441" spans="1:16" s="711" customFormat="1" ht="13.2" customHeight="1">
      <c r="A2441" s="974"/>
      <c r="B2441" s="961" t="s">
        <v>4616</v>
      </c>
      <c r="C2441" s="980"/>
      <c r="D2441" s="968"/>
      <c r="E2441" s="968"/>
      <c r="F2441" s="962"/>
      <c r="G2441" s="1017" t="s">
        <v>2288</v>
      </c>
      <c r="H2441" s="1017" t="s">
        <v>4617</v>
      </c>
      <c r="I2441" s="965"/>
      <c r="J2441" s="703"/>
      <c r="K2441" s="703"/>
      <c r="L2441" s="703"/>
      <c r="M2441" s="708"/>
      <c r="N2441" s="166"/>
      <c r="P2441" s="166"/>
    </row>
    <row r="2442" spans="1:16" s="711" customFormat="1" ht="13.2" customHeight="1">
      <c r="A2442" s="974"/>
      <c r="B2442" s="709" t="s">
        <v>4614</v>
      </c>
      <c r="C2442" s="710"/>
      <c r="D2442" s="915"/>
      <c r="E2442" s="915"/>
      <c r="F2442" s="710"/>
      <c r="G2442" s="1016" t="s">
        <v>1972</v>
      </c>
      <c r="H2442" s="1016" t="s">
        <v>4615</v>
      </c>
      <c r="I2442" s="703"/>
      <c r="J2442" s="703"/>
      <c r="K2442" s="703"/>
      <c r="L2442" s="703"/>
      <c r="M2442" s="708"/>
      <c r="N2442" s="166"/>
      <c r="P2442" s="166"/>
    </row>
    <row r="2443" spans="1:16" s="711" customFormat="1" ht="13.2" customHeight="1">
      <c r="A2443" s="974"/>
      <c r="B2443" s="961" t="s">
        <v>4610</v>
      </c>
      <c r="C2443" s="980">
        <v>88120499</v>
      </c>
      <c r="D2443" s="968"/>
      <c r="E2443" s="1034" t="s">
        <v>4636</v>
      </c>
      <c r="F2443" s="962"/>
      <c r="G2443" s="1017" t="s">
        <v>2115</v>
      </c>
      <c r="H2443" s="1017" t="s">
        <v>4613</v>
      </c>
      <c r="I2443" s="965"/>
      <c r="J2443" s="703"/>
      <c r="K2443" s="703"/>
      <c r="L2443" s="703"/>
      <c r="M2443" s="708"/>
      <c r="N2443" s="166"/>
      <c r="P2443" s="166"/>
    </row>
    <row r="2444" spans="1:16" s="711" customFormat="1" ht="13.2" customHeight="1">
      <c r="A2444" s="974"/>
      <c r="B2444" s="961" t="s">
        <v>4606</v>
      </c>
      <c r="C2444" s="980">
        <v>42383716</v>
      </c>
      <c r="D2444" s="968"/>
      <c r="E2444" s="968"/>
      <c r="F2444" s="962"/>
      <c r="G2444" s="1015" t="s">
        <v>2478</v>
      </c>
      <c r="H2444" s="1015" t="s">
        <v>4111</v>
      </c>
      <c r="I2444" s="965"/>
      <c r="J2444" s="703"/>
      <c r="K2444" s="703"/>
      <c r="L2444" s="703"/>
      <c r="M2444" s="708"/>
      <c r="N2444" s="166"/>
      <c r="P2444" s="166"/>
    </row>
    <row r="2445" spans="1:16" s="711" customFormat="1" ht="13.2" customHeight="1">
      <c r="A2445" s="974"/>
      <c r="B2445" s="961" t="s">
        <v>4604</v>
      </c>
      <c r="C2445" s="980">
        <v>98975295</v>
      </c>
      <c r="D2445" s="968"/>
      <c r="E2445" s="968"/>
      <c r="F2445" s="962"/>
      <c r="G2445" s="1015" t="s">
        <v>2478</v>
      </c>
      <c r="H2445" s="1015" t="s">
        <v>4605</v>
      </c>
      <c r="I2445" s="965">
        <v>33</v>
      </c>
      <c r="J2445" s="703"/>
      <c r="K2445" s="703"/>
      <c r="L2445" s="703"/>
      <c r="M2445" s="708"/>
      <c r="N2445" s="166"/>
      <c r="P2445" s="166"/>
    </row>
    <row r="2446" spans="1:16" s="711" customFormat="1" ht="13.2" customHeight="1">
      <c r="A2446" s="974"/>
      <c r="B2446" s="961" t="s">
        <v>4603</v>
      </c>
      <c r="C2446" s="980">
        <v>97863411</v>
      </c>
      <c r="D2446" s="968"/>
      <c r="E2446" s="968"/>
      <c r="F2446" s="962"/>
      <c r="G2446" s="1015" t="s">
        <v>4598</v>
      </c>
      <c r="H2446" s="981"/>
      <c r="I2446" s="965"/>
      <c r="J2446" s="703"/>
      <c r="K2446" s="703"/>
      <c r="L2446" s="703"/>
      <c r="M2446" s="708"/>
      <c r="N2446" s="166"/>
      <c r="P2446" s="166"/>
    </row>
    <row r="2447" spans="1:16" s="711" customFormat="1" ht="13.2" customHeight="1">
      <c r="A2447" s="974"/>
      <c r="B2447" s="961" t="s">
        <v>4601</v>
      </c>
      <c r="C2447" s="980">
        <v>23645653</v>
      </c>
      <c r="D2447" s="968"/>
      <c r="E2447" s="968"/>
      <c r="F2447" s="962"/>
      <c r="G2447" s="981"/>
      <c r="H2447" s="981"/>
      <c r="I2447" s="965"/>
      <c r="J2447" s="703"/>
      <c r="K2447" s="703"/>
      <c r="L2447" s="703"/>
      <c r="M2447" s="708"/>
      <c r="N2447" s="166"/>
      <c r="P2447" s="166"/>
    </row>
    <row r="2448" spans="1:16" s="711" customFormat="1" ht="13.2" customHeight="1">
      <c r="A2448" s="974"/>
      <c r="B2448" s="961" t="s">
        <v>4600</v>
      </c>
      <c r="C2448" s="980"/>
      <c r="D2448" s="968"/>
      <c r="E2448" s="968"/>
      <c r="F2448" s="962"/>
      <c r="G2448" s="981"/>
      <c r="H2448" s="981"/>
      <c r="I2448" s="965"/>
      <c r="J2448" s="703"/>
      <c r="K2448" s="703"/>
      <c r="L2448" s="703"/>
      <c r="M2448" s="708"/>
      <c r="N2448" s="166"/>
      <c r="P2448" s="166"/>
    </row>
    <row r="2449" spans="1:16" s="711" customFormat="1" ht="13.2" customHeight="1">
      <c r="A2449" s="974"/>
      <c r="B2449" s="961" t="s">
        <v>4599</v>
      </c>
      <c r="C2449" s="980"/>
      <c r="D2449" s="968"/>
      <c r="E2449" s="968"/>
      <c r="F2449" s="962"/>
      <c r="G2449" s="1022" t="s">
        <v>1989</v>
      </c>
      <c r="H2449" s="981"/>
      <c r="I2449" s="965"/>
      <c r="J2449" s="703"/>
      <c r="K2449" s="703"/>
      <c r="L2449" s="703"/>
      <c r="M2449" s="708"/>
      <c r="N2449" s="166"/>
      <c r="P2449" s="166"/>
    </row>
    <row r="2450" spans="1:16" s="711" customFormat="1" ht="13.2" customHeight="1">
      <c r="A2450" s="974"/>
      <c r="B2450" s="961" t="s">
        <v>4597</v>
      </c>
      <c r="C2450" s="980"/>
      <c r="D2450" s="968"/>
      <c r="E2450" s="968"/>
      <c r="F2450" s="962"/>
      <c r="G2450" s="1011" t="s">
        <v>4598</v>
      </c>
      <c r="H2450" s="981"/>
      <c r="I2450" s="965"/>
      <c r="J2450" s="703"/>
      <c r="K2450" s="703"/>
      <c r="L2450" s="703"/>
      <c r="M2450" s="708"/>
      <c r="N2450" s="166"/>
      <c r="P2450" s="166"/>
    </row>
    <row r="2451" spans="1:16" s="711" customFormat="1" ht="13.2" customHeight="1">
      <c r="A2451" s="974"/>
      <c r="B2451" s="709"/>
      <c r="C2451" s="710"/>
      <c r="D2451" s="915"/>
      <c r="E2451" s="915"/>
      <c r="F2451" s="710"/>
      <c r="G2451" s="960"/>
      <c r="H2451" s="960"/>
      <c r="I2451" s="703"/>
      <c r="J2451" s="703"/>
      <c r="K2451" s="703"/>
      <c r="L2451" s="703"/>
      <c r="M2451" s="708"/>
      <c r="N2451" s="166"/>
      <c r="P2451" s="166"/>
    </row>
    <row r="2452" spans="1:16" s="711" customFormat="1" ht="13.2" customHeight="1">
      <c r="A2452" s="974"/>
      <c r="B2452" s="961" t="s">
        <v>4591</v>
      </c>
      <c r="C2452" s="980">
        <v>92321547</v>
      </c>
      <c r="D2452" s="968"/>
      <c r="E2452" s="968"/>
      <c r="F2452" s="962"/>
      <c r="G2452" s="997" t="s">
        <v>2019</v>
      </c>
      <c r="H2452" s="981"/>
      <c r="I2452" s="965"/>
      <c r="J2452" s="703"/>
      <c r="K2452" s="703"/>
      <c r="L2452" s="703"/>
      <c r="M2452" s="708"/>
      <c r="N2452" s="166"/>
      <c r="P2452" s="166"/>
    </row>
    <row r="2453" spans="1:16" s="711" customFormat="1" ht="13.2" customHeight="1">
      <c r="A2453" s="974"/>
      <c r="B2453" s="961" t="s">
        <v>4588</v>
      </c>
      <c r="C2453" s="962">
        <v>74855819</v>
      </c>
      <c r="D2453" s="968"/>
      <c r="E2453" s="968">
        <v>1</v>
      </c>
      <c r="F2453" s="962"/>
      <c r="G2453" s="997" t="s">
        <v>1032</v>
      </c>
      <c r="H2453" s="997" t="s">
        <v>4589</v>
      </c>
      <c r="I2453" s="965"/>
      <c r="J2453" s="703"/>
      <c r="K2453" s="703"/>
      <c r="L2453" s="703"/>
      <c r="M2453" s="708"/>
      <c r="N2453" s="166"/>
      <c r="P2453" s="166"/>
    </row>
    <row r="2454" spans="1:16" s="711" customFormat="1" ht="13.2" customHeight="1">
      <c r="A2454" s="974"/>
      <c r="B2454" s="961" t="s">
        <v>4586</v>
      </c>
      <c r="C2454" s="980">
        <v>1</v>
      </c>
      <c r="D2454" s="968"/>
      <c r="E2454" s="968"/>
      <c r="F2454" s="962"/>
      <c r="G2454" s="997" t="s">
        <v>1032</v>
      </c>
      <c r="H2454" s="997" t="s">
        <v>4587</v>
      </c>
      <c r="I2454" s="965"/>
      <c r="J2454" s="703"/>
      <c r="K2454" s="703"/>
      <c r="L2454" s="703"/>
      <c r="M2454" s="708"/>
      <c r="N2454" s="166"/>
      <c r="P2454" s="166"/>
    </row>
    <row r="2455" spans="1:16" s="711" customFormat="1" ht="13.2" customHeight="1">
      <c r="A2455" s="959"/>
      <c r="B2455" s="961" t="s">
        <v>4578</v>
      </c>
      <c r="C2455" s="980"/>
      <c r="D2455" s="968"/>
      <c r="E2455" s="968"/>
      <c r="F2455" s="962"/>
      <c r="G2455" s="994" t="s">
        <v>2215</v>
      </c>
      <c r="H2455" s="994" t="s">
        <v>4579</v>
      </c>
      <c r="I2455" s="965"/>
      <c r="J2455" s="703"/>
      <c r="K2455" s="703"/>
      <c r="L2455" s="703"/>
      <c r="M2455" s="708"/>
      <c r="N2455" s="166"/>
      <c r="P2455" s="166"/>
    </row>
    <row r="2456" spans="1:16" s="711" customFormat="1" ht="13.2" customHeight="1">
      <c r="A2456" s="932"/>
      <c r="B2456" s="961" t="s">
        <v>4554</v>
      </c>
      <c r="C2456" s="980"/>
      <c r="D2456" s="968"/>
      <c r="E2456" s="968"/>
      <c r="F2456" s="962"/>
      <c r="G2456" s="986" t="s">
        <v>1972</v>
      </c>
      <c r="H2456" s="986" t="s">
        <v>4556</v>
      </c>
      <c r="I2456" s="965">
        <v>24</v>
      </c>
      <c r="J2456" s="703"/>
      <c r="K2456" s="703"/>
      <c r="L2456" s="703"/>
      <c r="M2456" s="708"/>
      <c r="N2456" s="166"/>
      <c r="P2456" s="166"/>
    </row>
    <row r="2457" spans="1:16" s="711" customFormat="1" ht="13.2" customHeight="1">
      <c r="A2457" s="932"/>
      <c r="B2457" s="709" t="s">
        <v>4551</v>
      </c>
      <c r="C2457" s="710">
        <v>50448258</v>
      </c>
      <c r="D2457" s="915"/>
      <c r="E2457" s="915"/>
      <c r="F2457" s="710"/>
      <c r="G2457" s="951" t="s">
        <v>3312</v>
      </c>
      <c r="H2457" s="1016" t="s">
        <v>4552</v>
      </c>
      <c r="I2457" s="703"/>
      <c r="J2457" s="703"/>
      <c r="K2457" s="703"/>
      <c r="L2457" s="703"/>
      <c r="M2457" s="708"/>
      <c r="N2457" s="166"/>
      <c r="P2457" s="166"/>
    </row>
    <row r="2458" spans="1:16" s="711" customFormat="1" ht="13.2" customHeight="1">
      <c r="A2458" s="932"/>
      <c r="B2458" s="1024" t="s">
        <v>3247</v>
      </c>
      <c r="C2458" s="1006">
        <v>10110424</v>
      </c>
      <c r="D2458" s="977"/>
      <c r="E2458" s="977"/>
      <c r="F2458" s="976"/>
      <c r="G2458" s="1007"/>
      <c r="H2458" s="1008"/>
      <c r="I2458" s="978"/>
      <c r="J2458" s="703"/>
      <c r="K2458" s="703"/>
      <c r="L2458" s="703"/>
      <c r="M2458" s="708"/>
      <c r="N2458" s="166"/>
      <c r="P2458" s="166"/>
    </row>
    <row r="2459" spans="1:16" s="711" customFormat="1" ht="13.2" customHeight="1">
      <c r="A2459" s="932"/>
      <c r="B2459" s="1005"/>
      <c r="C2459" s="288"/>
      <c r="D2459" s="915"/>
      <c r="E2459" s="915"/>
      <c r="F2459" s="710"/>
      <c r="G2459" s="951"/>
      <c r="H2459" s="996"/>
      <c r="I2459" s="703"/>
      <c r="J2459" s="703"/>
      <c r="K2459" s="703"/>
      <c r="L2459" s="703"/>
      <c r="M2459" s="708"/>
      <c r="N2459" s="166"/>
      <c r="P2459" s="166"/>
    </row>
    <row r="2460" spans="1:16" s="711" customFormat="1" ht="13.2" customHeight="1">
      <c r="A2460" s="932"/>
      <c r="B2460" s="1005"/>
      <c r="C2460" s="288"/>
      <c r="D2460" s="915"/>
      <c r="E2460" s="915"/>
      <c r="F2460" s="710"/>
      <c r="G2460" s="951"/>
      <c r="H2460" s="996"/>
      <c r="I2460" s="703"/>
      <c r="J2460" s="703"/>
      <c r="K2460" s="703"/>
      <c r="L2460" s="703"/>
      <c r="M2460" s="708"/>
      <c r="N2460" s="166"/>
      <c r="P2460" s="166"/>
    </row>
    <row r="2461" spans="1:16" s="711" customFormat="1" ht="13.2" customHeight="1">
      <c r="A2461" s="932"/>
      <c r="B2461" s="961" t="s">
        <v>4577</v>
      </c>
      <c r="C2461" s="980">
        <v>49920291</v>
      </c>
      <c r="D2461" s="968"/>
      <c r="E2461" s="968"/>
      <c r="F2461" s="962"/>
      <c r="G2461" s="982" t="s">
        <v>2335</v>
      </c>
      <c r="H2461" s="1000"/>
      <c r="I2461" s="965"/>
      <c r="J2461" s="703"/>
      <c r="K2461" s="703"/>
      <c r="L2461" s="703"/>
      <c r="M2461" s="708"/>
      <c r="N2461" s="166"/>
      <c r="P2461" s="166"/>
    </row>
    <row r="2462" spans="1:16" s="711" customFormat="1" ht="13.2" customHeight="1">
      <c r="A2462" s="932"/>
      <c r="B2462" s="961" t="s">
        <v>4567</v>
      </c>
      <c r="C2462" s="980">
        <v>33749717</v>
      </c>
      <c r="D2462" s="968"/>
      <c r="E2462" s="968"/>
      <c r="F2462" s="962"/>
      <c r="G2462" s="983" t="s">
        <v>2612</v>
      </c>
      <c r="H2462" s="983" t="s">
        <v>4568</v>
      </c>
      <c r="I2462" s="965"/>
      <c r="J2462" s="703"/>
      <c r="K2462" s="703"/>
      <c r="L2462" s="703"/>
      <c r="M2462" s="708"/>
      <c r="N2462" s="166"/>
      <c r="P2462" s="166"/>
    </row>
    <row r="2463" spans="1:16" s="711" customFormat="1" ht="13.2" customHeight="1">
      <c r="A2463" s="932"/>
      <c r="B2463" s="1001" t="s">
        <v>4562</v>
      </c>
      <c r="C2463" s="980">
        <v>37229881</v>
      </c>
      <c r="D2463" s="1002"/>
      <c r="E2463" s="1002"/>
      <c r="F2463" s="980"/>
      <c r="G2463" s="1003" t="s">
        <v>1972</v>
      </c>
      <c r="H2463" s="1003" t="s">
        <v>4555</v>
      </c>
      <c r="I2463" s="1004">
        <v>10</v>
      </c>
      <c r="J2463" s="703"/>
      <c r="K2463" s="703"/>
      <c r="L2463" s="703"/>
      <c r="M2463" s="708"/>
      <c r="N2463" s="166"/>
      <c r="P2463" s="166"/>
    </row>
    <row r="2464" spans="1:16" s="711" customFormat="1" ht="13.2" customHeight="1">
      <c r="A2464" s="932"/>
      <c r="B2464" s="717" t="s">
        <v>4528</v>
      </c>
      <c r="C2464" s="724">
        <v>90932606</v>
      </c>
      <c r="D2464" s="917"/>
      <c r="E2464" s="917"/>
      <c r="F2464" s="724"/>
      <c r="G2464" s="939" t="s">
        <v>1199</v>
      </c>
      <c r="H2464" s="933"/>
      <c r="I2464" s="705"/>
      <c r="J2464" s="703"/>
      <c r="K2464" s="703"/>
      <c r="L2464" s="703"/>
      <c r="M2464" s="708"/>
      <c r="N2464" s="166"/>
      <c r="P2464" s="166"/>
    </row>
    <row r="2465" spans="1:16" s="711" customFormat="1" ht="13.2" customHeight="1">
      <c r="A2465" s="932"/>
      <c r="B2465" s="717" t="s">
        <v>4527</v>
      </c>
      <c r="C2465" s="805" t="s">
        <v>4231</v>
      </c>
      <c r="D2465" s="917"/>
      <c r="E2465" s="917"/>
      <c r="F2465" s="724"/>
      <c r="G2465" s="939" t="s">
        <v>1970</v>
      </c>
      <c r="H2465" s="933"/>
      <c r="I2465" s="705"/>
      <c r="J2465" s="703"/>
      <c r="K2465" s="703"/>
      <c r="L2465" s="703"/>
      <c r="M2465" s="708"/>
      <c r="N2465" s="166"/>
      <c r="P2465" s="166"/>
    </row>
    <row r="2466" spans="1:16" s="711" customFormat="1" ht="13.2" customHeight="1">
      <c r="A2466" s="932"/>
      <c r="B2466" s="717" t="s">
        <v>4526</v>
      </c>
      <c r="C2466" s="724">
        <v>73388135</v>
      </c>
      <c r="D2466" s="917"/>
      <c r="E2466" s="917"/>
      <c r="F2466" s="724"/>
      <c r="G2466" s="939" t="s">
        <v>617</v>
      </c>
      <c r="H2466" s="933"/>
      <c r="I2466" s="705"/>
      <c r="J2466" s="703"/>
      <c r="K2466" s="703"/>
      <c r="L2466" s="703"/>
      <c r="M2466" s="708"/>
      <c r="N2466" s="166"/>
      <c r="P2466" s="166"/>
    </row>
    <row r="2467" spans="1:16" s="711" customFormat="1" ht="13.2" customHeight="1">
      <c r="A2467" s="932"/>
      <c r="B2467" s="717" t="s">
        <v>4525</v>
      </c>
      <c r="C2467" s="724">
        <v>52022045</v>
      </c>
      <c r="D2467" s="917"/>
      <c r="E2467" s="917"/>
      <c r="F2467" s="724"/>
      <c r="G2467" s="938" t="s">
        <v>1009</v>
      </c>
      <c r="H2467" s="933"/>
      <c r="I2467" s="705"/>
      <c r="J2467" s="703"/>
      <c r="K2467" s="703"/>
      <c r="L2467" s="703"/>
      <c r="M2467" s="708"/>
      <c r="N2467" s="166"/>
      <c r="P2467" s="166"/>
    </row>
    <row r="2468" spans="1:16" s="711" customFormat="1" ht="13.2" customHeight="1">
      <c r="A2468" s="932"/>
      <c r="B2468" s="717" t="s">
        <v>4521</v>
      </c>
      <c r="C2468" s="724">
        <v>86505151</v>
      </c>
      <c r="D2468" s="939"/>
      <c r="E2468" s="939"/>
      <c r="F2468" s="724"/>
      <c r="G2468" s="939" t="s">
        <v>4520</v>
      </c>
      <c r="H2468" s="939"/>
      <c r="I2468" s="939"/>
      <c r="J2468" s="703"/>
      <c r="K2468" s="703"/>
      <c r="L2468" s="703"/>
      <c r="M2468" s="708"/>
      <c r="N2468" s="166"/>
      <c r="P2468" s="166"/>
    </row>
    <row r="2469" spans="1:16" s="711" customFormat="1" ht="13.2" customHeight="1">
      <c r="A2469" s="932"/>
      <c r="B2469" s="717" t="s">
        <v>4519</v>
      </c>
      <c r="C2469" s="724">
        <v>51460666</v>
      </c>
      <c r="D2469" s="917"/>
      <c r="E2469" s="917"/>
      <c r="F2469" s="724"/>
      <c r="G2469" s="938" t="s">
        <v>4520</v>
      </c>
      <c r="H2469" s="933"/>
      <c r="I2469" s="705"/>
      <c r="J2469" s="703"/>
      <c r="K2469" s="703"/>
      <c r="L2469" s="703"/>
      <c r="M2469" s="708"/>
      <c r="N2469" s="166"/>
      <c r="P2469" s="166"/>
    </row>
    <row r="2470" spans="1:16" s="711" customFormat="1" ht="13.2" customHeight="1">
      <c r="A2470" s="932"/>
      <c r="B2470" s="717" t="s">
        <v>4515</v>
      </c>
      <c r="C2470" s="724">
        <v>20327825</v>
      </c>
      <c r="D2470" s="917"/>
      <c r="E2470" s="917"/>
      <c r="F2470" s="724"/>
      <c r="G2470" s="933"/>
      <c r="H2470" s="933"/>
      <c r="I2470" s="705"/>
      <c r="J2470" s="703"/>
      <c r="K2470" s="703"/>
      <c r="L2470" s="703"/>
      <c r="M2470" s="708"/>
      <c r="N2470" s="166"/>
      <c r="P2470" s="166"/>
    </row>
    <row r="2471" spans="1:16" s="711" customFormat="1" ht="13.2" customHeight="1">
      <c r="A2471" s="916"/>
      <c r="B2471" s="717" t="s">
        <v>4514</v>
      </c>
      <c r="C2471" s="724">
        <v>97634242</v>
      </c>
      <c r="D2471" s="917"/>
      <c r="E2471" s="917"/>
      <c r="F2471" s="724"/>
      <c r="G2471" s="934" t="s">
        <v>3693</v>
      </c>
      <c r="H2471" s="917"/>
      <c r="I2471" s="705"/>
      <c r="J2471" s="703"/>
      <c r="K2471" s="703"/>
      <c r="L2471" s="703"/>
      <c r="M2471" s="708"/>
      <c r="N2471" s="166"/>
      <c r="P2471" s="166"/>
    </row>
    <row r="2472" spans="1:16" s="711" customFormat="1" ht="13.2" customHeight="1">
      <c r="A2472" s="916"/>
      <c r="B2472" s="709" t="s">
        <v>4501</v>
      </c>
      <c r="C2472" s="710">
        <v>93888151</v>
      </c>
      <c r="D2472" s="915"/>
      <c r="E2472" s="915"/>
      <c r="F2472" s="710"/>
      <c r="G2472" s="926" t="s">
        <v>4467</v>
      </c>
      <c r="H2472" s="915"/>
      <c r="I2472" s="703"/>
      <c r="J2472" s="703"/>
      <c r="K2472" s="703"/>
      <c r="L2472" s="703"/>
      <c r="M2472" s="708"/>
      <c r="N2472" s="166"/>
      <c r="P2472" s="166"/>
    </row>
    <row r="2473" spans="1:16" s="711" customFormat="1" ht="13.2" customHeight="1">
      <c r="A2473" s="916"/>
      <c r="B2473" s="709"/>
      <c r="C2473" s="710"/>
      <c r="D2473" s="915"/>
      <c r="E2473" s="915"/>
      <c r="F2473" s="710"/>
      <c r="G2473" s="915"/>
      <c r="H2473" s="915"/>
      <c r="I2473" s="703"/>
      <c r="J2473" s="703"/>
      <c r="K2473" s="703"/>
      <c r="L2473" s="703"/>
      <c r="M2473" s="708"/>
      <c r="N2473" s="166"/>
      <c r="P2473" s="166"/>
    </row>
    <row r="2474" spans="1:16" s="711" customFormat="1" ht="13.2" customHeight="1">
      <c r="A2474" s="916"/>
      <c r="B2474" s="717" t="s">
        <v>4496</v>
      </c>
      <c r="C2474" s="724">
        <v>21684260</v>
      </c>
      <c r="D2474" s="917"/>
      <c r="E2474" s="917"/>
      <c r="F2474" s="724"/>
      <c r="G2474" s="927" t="s">
        <v>3693</v>
      </c>
      <c r="H2474" s="927" t="s">
        <v>4497</v>
      </c>
      <c r="I2474" s="705"/>
      <c r="J2474" s="703"/>
      <c r="K2474" s="703"/>
      <c r="L2474" s="703"/>
      <c r="M2474" s="708"/>
      <c r="N2474" s="166"/>
      <c r="P2474" s="166"/>
    </row>
    <row r="2475" spans="1:16" s="711" customFormat="1" ht="13.2" customHeight="1">
      <c r="A2475" s="916"/>
      <c r="B2475" s="709" t="s">
        <v>4498</v>
      </c>
      <c r="C2475" s="710">
        <v>65562356</v>
      </c>
      <c r="D2475" s="915"/>
      <c r="E2475" s="915"/>
      <c r="F2475" s="710"/>
      <c r="G2475" s="926" t="s">
        <v>3693</v>
      </c>
      <c r="H2475" s="915"/>
      <c r="I2475" s="703"/>
      <c r="J2475" s="703"/>
      <c r="K2475" s="703"/>
      <c r="L2475" s="703"/>
      <c r="M2475" s="708"/>
      <c r="N2475" s="166"/>
      <c r="P2475" s="166"/>
    </row>
    <row r="2476" spans="1:16" s="711" customFormat="1" ht="13.2" customHeight="1">
      <c r="A2476" s="916"/>
      <c r="B2476" s="717" t="s">
        <v>4499</v>
      </c>
      <c r="C2476" s="724">
        <v>78888463</v>
      </c>
      <c r="D2476" s="917"/>
      <c r="E2476" s="917"/>
      <c r="F2476" s="724"/>
      <c r="G2476" s="927" t="s">
        <v>3693</v>
      </c>
      <c r="H2476" s="927" t="s">
        <v>4500</v>
      </c>
      <c r="I2476" s="705"/>
      <c r="J2476" s="703"/>
      <c r="K2476" s="703"/>
      <c r="L2476" s="703"/>
      <c r="M2476" s="708"/>
      <c r="N2476" s="166"/>
      <c r="P2476" s="166"/>
    </row>
    <row r="2477" spans="1:16" s="711" customFormat="1" ht="13.2" customHeight="1">
      <c r="A2477" s="916"/>
      <c r="B2477" s="717" t="s">
        <v>4504</v>
      </c>
      <c r="C2477" s="724">
        <v>50053672</v>
      </c>
      <c r="D2477" s="917"/>
      <c r="E2477" s="917"/>
      <c r="F2477" s="724"/>
      <c r="G2477" s="927" t="s">
        <v>3693</v>
      </c>
      <c r="H2477" s="927" t="s">
        <v>4505</v>
      </c>
      <c r="I2477" s="705"/>
      <c r="J2477" s="703"/>
      <c r="K2477" s="703"/>
      <c r="L2477" s="703"/>
      <c r="M2477" s="708"/>
      <c r="N2477" s="166"/>
      <c r="P2477" s="166"/>
    </row>
    <row r="2478" spans="1:16" s="711" customFormat="1" ht="13.2" customHeight="1">
      <c r="A2478" s="916"/>
      <c r="B2478" s="717" t="s">
        <v>4506</v>
      </c>
      <c r="C2478" s="724">
        <v>99946991</v>
      </c>
      <c r="D2478" s="917"/>
      <c r="E2478" s="917"/>
      <c r="F2478" s="724"/>
      <c r="G2478" s="927" t="s">
        <v>3693</v>
      </c>
      <c r="H2478" s="927" t="s">
        <v>4507</v>
      </c>
      <c r="I2478" s="705"/>
      <c r="J2478" s="703"/>
      <c r="K2478" s="703"/>
      <c r="L2478" s="703"/>
      <c r="M2478" s="708"/>
      <c r="N2478" s="166"/>
      <c r="P2478" s="166"/>
    </row>
    <row r="2479" spans="1:16" s="711" customFormat="1" ht="13.2" customHeight="1">
      <c r="A2479" s="916"/>
      <c r="B2479" s="709"/>
      <c r="C2479" s="710"/>
      <c r="D2479" s="915"/>
      <c r="E2479" s="915"/>
      <c r="F2479" s="710"/>
      <c r="G2479" s="926"/>
      <c r="H2479" s="915"/>
      <c r="I2479" s="703"/>
      <c r="J2479" s="703"/>
      <c r="K2479" s="703"/>
      <c r="L2479" s="703"/>
      <c r="M2479" s="708"/>
      <c r="N2479" s="166"/>
      <c r="P2479" s="166"/>
    </row>
    <row r="2480" spans="1:16" s="711" customFormat="1" ht="13.2" customHeight="1">
      <c r="A2480" s="916"/>
      <c r="B2480" s="709"/>
      <c r="C2480" s="710"/>
      <c r="D2480" s="915"/>
      <c r="E2480" s="915"/>
      <c r="F2480" s="710"/>
      <c r="G2480" s="926"/>
      <c r="H2480" s="915"/>
      <c r="I2480" s="703"/>
      <c r="J2480" s="703"/>
      <c r="K2480" s="703"/>
      <c r="L2480" s="703"/>
      <c r="M2480" s="708"/>
      <c r="N2480" s="166"/>
      <c r="P2480" s="166"/>
    </row>
    <row r="2481" spans="1:16" s="711" customFormat="1" ht="13.2" customHeight="1">
      <c r="A2481" s="916"/>
      <c r="B2481" s="717" t="s">
        <v>4502</v>
      </c>
      <c r="C2481" s="724"/>
      <c r="D2481" s="917"/>
      <c r="E2481" s="917"/>
      <c r="F2481" s="724"/>
      <c r="G2481" s="927" t="s">
        <v>4503</v>
      </c>
      <c r="H2481" s="917"/>
      <c r="I2481" s="705"/>
      <c r="J2481" s="703"/>
      <c r="K2481" s="703"/>
      <c r="L2481" s="703"/>
      <c r="M2481" s="708"/>
      <c r="N2481" s="166"/>
      <c r="P2481" s="166"/>
    </row>
    <row r="2482" spans="1:16" s="711" customFormat="1" ht="13.2" customHeight="1">
      <c r="A2482" s="916"/>
      <c r="B2482" s="717" t="s">
        <v>4488</v>
      </c>
      <c r="C2482" s="724">
        <v>37631735</v>
      </c>
      <c r="D2482" s="917"/>
      <c r="E2482" s="917"/>
      <c r="F2482" s="724"/>
      <c r="G2482" s="924" t="s">
        <v>4258</v>
      </c>
      <c r="H2482" s="924" t="s">
        <v>4489</v>
      </c>
      <c r="I2482" s="705"/>
      <c r="J2482" s="703"/>
      <c r="K2482" s="703"/>
      <c r="L2482" s="703"/>
      <c r="M2482" s="708"/>
      <c r="N2482" s="166"/>
      <c r="P2482" s="166"/>
    </row>
    <row r="2483" spans="1:16" s="711" customFormat="1" ht="13.2" customHeight="1">
      <c r="A2483" s="916"/>
      <c r="B2483" s="709" t="s">
        <v>4487</v>
      </c>
      <c r="C2483" s="710">
        <v>65115025</v>
      </c>
      <c r="D2483" s="915"/>
      <c r="E2483" s="915"/>
      <c r="F2483" s="710"/>
      <c r="G2483" s="923" t="s">
        <v>1199</v>
      </c>
      <c r="H2483" s="915"/>
      <c r="I2483" s="703"/>
      <c r="J2483" s="703"/>
      <c r="K2483" s="703"/>
      <c r="L2483" s="703"/>
      <c r="M2483" s="708"/>
      <c r="N2483" s="166"/>
      <c r="P2483" s="166"/>
    </row>
    <row r="2484" spans="1:16" s="711" customFormat="1" ht="13.2" customHeight="1">
      <c r="A2484" s="916"/>
      <c r="B2484" s="717" t="s">
        <v>4482</v>
      </c>
      <c r="C2484" s="724">
        <v>54192249</v>
      </c>
      <c r="D2484" s="724"/>
      <c r="E2484" s="724"/>
      <c r="F2484" s="724"/>
      <c r="G2484" s="918" t="s">
        <v>2251</v>
      </c>
      <c r="H2484" s="917"/>
      <c r="I2484" s="705"/>
      <c r="J2484" s="703"/>
      <c r="K2484" s="703"/>
      <c r="L2484" s="703"/>
      <c r="M2484" s="708"/>
      <c r="N2484" s="166"/>
      <c r="P2484" s="166"/>
    </row>
    <row r="2485" spans="1:16" s="711" customFormat="1" ht="13.2" customHeight="1">
      <c r="A2485" s="909"/>
      <c r="B2485" s="709" t="s">
        <v>4478</v>
      </c>
      <c r="C2485" s="710">
        <v>29599078</v>
      </c>
      <c r="D2485" s="710"/>
      <c r="E2485" s="710"/>
      <c r="F2485" s="710"/>
      <c r="G2485" s="915" t="s">
        <v>4479</v>
      </c>
      <c r="H2485" s="910"/>
      <c r="I2485" s="703"/>
      <c r="J2485" s="703"/>
      <c r="K2485" s="703"/>
      <c r="L2485" s="703"/>
      <c r="M2485" s="708"/>
      <c r="N2485" s="166"/>
      <c r="P2485" s="166"/>
    </row>
    <row r="2486" spans="1:16" s="711" customFormat="1" ht="13.2" customHeight="1">
      <c r="A2486" s="909"/>
      <c r="B2486" s="709" t="s">
        <v>4464</v>
      </c>
      <c r="C2486" s="710">
        <v>30977100</v>
      </c>
      <c r="D2486" s="710" t="s">
        <v>4480</v>
      </c>
      <c r="E2486" s="710"/>
      <c r="F2486" s="710"/>
      <c r="G2486" s="915" t="s">
        <v>4465</v>
      </c>
      <c r="H2486" s="915" t="s">
        <v>4468</v>
      </c>
      <c r="I2486" s="703"/>
      <c r="J2486" s="703"/>
      <c r="K2486" s="703"/>
      <c r="L2486" s="703"/>
      <c r="M2486" s="708"/>
      <c r="N2486" s="166"/>
      <c r="P2486" s="166"/>
    </row>
    <row r="2487" spans="1:16" s="711" customFormat="1" ht="13.2" customHeight="1">
      <c r="A2487" s="909"/>
      <c r="B2487" s="929" t="s">
        <v>4466</v>
      </c>
      <c r="C2487" s="930">
        <v>84708352</v>
      </c>
      <c r="D2487" s="930"/>
      <c r="E2487" s="930"/>
      <c r="F2487" s="930"/>
      <c r="G2487" s="931" t="s">
        <v>4467</v>
      </c>
      <c r="H2487" s="931" t="s">
        <v>4469</v>
      </c>
      <c r="I2487" s="931"/>
      <c r="J2487" s="703"/>
      <c r="K2487" s="703"/>
      <c r="L2487" s="703"/>
      <c r="M2487" s="708"/>
      <c r="N2487" s="166"/>
      <c r="P2487" s="166"/>
    </row>
    <row r="2488" spans="1:16" s="711" customFormat="1" ht="13.2" customHeight="1">
      <c r="A2488" s="909"/>
      <c r="B2488" s="717" t="s">
        <v>4477</v>
      </c>
      <c r="C2488" s="724">
        <v>80304911</v>
      </c>
      <c r="D2488" s="724"/>
      <c r="E2488" s="724"/>
      <c r="F2488" s="724"/>
      <c r="G2488" s="917" t="s">
        <v>3693</v>
      </c>
      <c r="H2488" s="908"/>
      <c r="I2488" s="705">
        <v>33</v>
      </c>
      <c r="J2488" s="703">
        <v>3</v>
      </c>
      <c r="K2488" s="703"/>
      <c r="L2488" s="703"/>
      <c r="M2488" s="708"/>
      <c r="N2488" s="166"/>
      <c r="P2488" s="166"/>
    </row>
    <row r="2489" spans="1:16" s="711" customFormat="1" ht="13.2" customHeight="1">
      <c r="A2489" s="903"/>
      <c r="B2489" s="717" t="s">
        <v>4456</v>
      </c>
      <c r="C2489" s="724">
        <v>87800144</v>
      </c>
      <c r="D2489" s="724"/>
      <c r="E2489" s="724"/>
      <c r="F2489" s="724"/>
      <c r="G2489" s="908" t="s">
        <v>1043</v>
      </c>
      <c r="H2489" s="905"/>
      <c r="I2489" s="705"/>
      <c r="J2489" s="703"/>
      <c r="K2489" s="703"/>
      <c r="L2489" s="703"/>
      <c r="M2489" s="708"/>
      <c r="N2489" s="166"/>
      <c r="P2489" s="166"/>
    </row>
    <row r="2490" spans="1:16" s="711" customFormat="1" ht="13.2" customHeight="1">
      <c r="A2490" s="903"/>
      <c r="B2490" s="717" t="s">
        <v>4440</v>
      </c>
      <c r="C2490" s="724">
        <v>23306953</v>
      </c>
      <c r="D2490" s="724"/>
      <c r="E2490" s="724"/>
      <c r="F2490" s="724"/>
      <c r="G2490" s="905" t="s">
        <v>4441</v>
      </c>
      <c r="H2490" s="899"/>
      <c r="I2490" s="705"/>
      <c r="J2490" s="703"/>
      <c r="K2490" s="703"/>
      <c r="L2490" s="703"/>
      <c r="M2490" s="708"/>
      <c r="N2490" s="166"/>
      <c r="P2490" s="166"/>
    </row>
    <row r="2491" spans="1:16" s="711" customFormat="1" ht="13.2" customHeight="1">
      <c r="A2491" s="894"/>
      <c r="B2491" s="717" t="s">
        <v>4436</v>
      </c>
      <c r="C2491" s="724">
        <v>23964696</v>
      </c>
      <c r="D2491" s="724"/>
      <c r="E2491" s="724"/>
      <c r="F2491" s="724"/>
      <c r="G2491" s="905" t="s">
        <v>4437</v>
      </c>
      <c r="H2491" s="893"/>
      <c r="I2491" s="705"/>
      <c r="J2491" s="703"/>
      <c r="K2491" s="703"/>
      <c r="L2491" s="703"/>
      <c r="M2491" s="708"/>
      <c r="N2491" s="166"/>
      <c r="P2491" s="166"/>
    </row>
    <row r="2492" spans="1:16" s="711" customFormat="1" ht="13.2" customHeight="1">
      <c r="A2492" s="894"/>
      <c r="B2492" s="717" t="s">
        <v>4425</v>
      </c>
      <c r="C2492" s="724">
        <v>12345678</v>
      </c>
      <c r="D2492" s="724"/>
      <c r="E2492" s="724"/>
      <c r="F2492" s="724"/>
      <c r="G2492" s="902" t="s">
        <v>4426</v>
      </c>
      <c r="H2492" s="902" t="s">
        <v>4427</v>
      </c>
      <c r="I2492" s="705"/>
      <c r="J2492" s="703"/>
      <c r="K2492" s="703"/>
      <c r="L2492" s="703"/>
      <c r="M2492" s="708"/>
      <c r="N2492" s="166"/>
      <c r="P2492" s="166"/>
    </row>
    <row r="2493" spans="1:16" s="711" customFormat="1" ht="13.2" customHeight="1">
      <c r="A2493" s="894"/>
      <c r="B2493" s="717" t="s">
        <v>4428</v>
      </c>
      <c r="C2493" s="724"/>
      <c r="D2493" s="724"/>
      <c r="E2493" s="724"/>
      <c r="F2493" s="724"/>
      <c r="G2493" s="902"/>
      <c r="H2493" s="902"/>
      <c r="I2493" s="705"/>
      <c r="J2493" s="703"/>
      <c r="K2493" s="703"/>
      <c r="L2493" s="703"/>
      <c r="M2493" s="708"/>
      <c r="N2493" s="166"/>
      <c r="P2493" s="166"/>
    </row>
    <row r="2494" spans="1:16" s="711" customFormat="1" ht="13.2" customHeight="1">
      <c r="A2494" s="894"/>
      <c r="B2494" s="717" t="s">
        <v>4429</v>
      </c>
      <c r="C2494" s="724"/>
      <c r="D2494" s="724"/>
      <c r="E2494" s="724"/>
      <c r="F2494" s="724"/>
      <c r="G2494" s="902"/>
      <c r="H2494" s="902"/>
      <c r="I2494" s="705"/>
      <c r="J2494" s="703"/>
      <c r="K2494" s="703"/>
      <c r="L2494" s="703"/>
      <c r="M2494" s="708"/>
      <c r="N2494" s="166"/>
      <c r="P2494" s="166"/>
    </row>
    <row r="2495" spans="1:16" s="711" customFormat="1" ht="13.2" customHeight="1">
      <c r="A2495" s="879"/>
      <c r="B2495" s="709"/>
      <c r="C2495" s="710"/>
      <c r="D2495" s="710"/>
      <c r="E2495" s="710"/>
      <c r="F2495" s="710"/>
      <c r="G2495" s="883"/>
      <c r="H2495" s="875"/>
      <c r="I2495" s="703"/>
      <c r="J2495" s="703"/>
      <c r="K2495" s="703"/>
      <c r="L2495" s="703"/>
      <c r="M2495" s="708"/>
      <c r="N2495" s="166"/>
      <c r="P2495" s="166"/>
    </row>
    <row r="2496" spans="1:16" s="711" customFormat="1" ht="13.2" customHeight="1">
      <c r="A2496" s="879"/>
      <c r="B2496" s="712" t="s">
        <v>4420</v>
      </c>
      <c r="C2496" s="735">
        <v>91802700</v>
      </c>
      <c r="D2496" s="735"/>
      <c r="E2496" s="735"/>
      <c r="F2496" s="735"/>
      <c r="G2496" s="919" t="s">
        <v>2005</v>
      </c>
      <c r="H2496" s="919" t="s">
        <v>899</v>
      </c>
      <c r="I2496" s="707"/>
      <c r="J2496" s="703"/>
      <c r="K2496" s="703"/>
      <c r="L2496" s="703"/>
      <c r="M2496" s="708"/>
      <c r="N2496" s="166"/>
      <c r="P2496" s="166"/>
    </row>
    <row r="2497" spans="1:16" s="711" customFormat="1" ht="13.2" customHeight="1">
      <c r="A2497" s="879"/>
      <c r="B2497" s="717" t="s">
        <v>4410</v>
      </c>
      <c r="C2497" s="724">
        <v>33293922</v>
      </c>
      <c r="D2497" s="724"/>
      <c r="E2497" s="724"/>
      <c r="F2497" s="724"/>
      <c r="G2497" s="893" t="s">
        <v>1972</v>
      </c>
      <c r="H2497" s="876"/>
      <c r="I2497" s="705"/>
      <c r="J2497" s="703"/>
      <c r="K2497" s="703"/>
      <c r="L2497" s="703"/>
      <c r="M2497" s="708"/>
      <c r="N2497" s="166"/>
      <c r="P2497" s="166"/>
    </row>
    <row r="2498" spans="1:16" s="711" customFormat="1" ht="13.2" customHeight="1">
      <c r="A2498" s="879"/>
      <c r="B2498" s="717" t="s">
        <v>4408</v>
      </c>
      <c r="C2498" s="724">
        <v>69753995</v>
      </c>
      <c r="D2498" s="724"/>
      <c r="E2498" s="724"/>
      <c r="F2498" s="724"/>
      <c r="G2498" s="885" t="s">
        <v>4403</v>
      </c>
      <c r="H2498" s="885" t="s">
        <v>4404</v>
      </c>
      <c r="I2498" s="705"/>
      <c r="J2498" s="703"/>
      <c r="K2498" s="703"/>
      <c r="L2498" s="703"/>
      <c r="M2498" s="708"/>
      <c r="N2498" s="166"/>
      <c r="P2498" s="166"/>
    </row>
    <row r="2499" spans="1:16" s="711" customFormat="1" ht="13.2" customHeight="1">
      <c r="A2499" s="879"/>
      <c r="B2499" s="717" t="s">
        <v>4402</v>
      </c>
      <c r="C2499" s="724">
        <v>86803268</v>
      </c>
      <c r="D2499" s="724"/>
      <c r="E2499" s="724"/>
      <c r="F2499" s="724"/>
      <c r="G2499" s="885" t="s">
        <v>4403</v>
      </c>
      <c r="H2499" s="885" t="s">
        <v>4404</v>
      </c>
      <c r="I2499" s="705"/>
      <c r="J2499" s="703"/>
      <c r="K2499" s="703"/>
      <c r="L2499" s="703"/>
      <c r="M2499" s="708"/>
      <c r="N2499" s="166"/>
      <c r="P2499" s="166"/>
    </row>
    <row r="2500" spans="1:16" s="711" customFormat="1" ht="13.2" customHeight="1">
      <c r="A2500" s="879"/>
      <c r="B2500" s="717" t="s">
        <v>4398</v>
      </c>
      <c r="C2500" s="724">
        <v>15540870</v>
      </c>
      <c r="D2500" s="724"/>
      <c r="E2500" s="724"/>
      <c r="F2500" s="724"/>
      <c r="G2500" s="885" t="s">
        <v>4399</v>
      </c>
      <c r="H2500" s="885" t="s">
        <v>4400</v>
      </c>
      <c r="I2500" s="705"/>
      <c r="J2500" s="703"/>
      <c r="K2500" s="703"/>
      <c r="L2500" s="703"/>
      <c r="M2500" s="708"/>
      <c r="N2500" s="166"/>
      <c r="P2500" s="166"/>
    </row>
    <row r="2501" spans="1:16" s="711" customFormat="1" ht="13.2" customHeight="1">
      <c r="A2501" s="879"/>
      <c r="B2501" s="717" t="s">
        <v>4395</v>
      </c>
      <c r="C2501" s="724">
        <v>11203873</v>
      </c>
      <c r="D2501" s="724"/>
      <c r="E2501" s="724"/>
      <c r="F2501" s="724"/>
      <c r="G2501" s="885" t="s">
        <v>1972</v>
      </c>
      <c r="H2501" s="885" t="s">
        <v>4396</v>
      </c>
      <c r="I2501" s="705"/>
      <c r="J2501" s="703"/>
      <c r="K2501" s="703"/>
      <c r="L2501" s="703"/>
      <c r="M2501" s="708"/>
      <c r="N2501" s="166"/>
      <c r="P2501" s="166"/>
    </row>
    <row r="2502" spans="1:16" s="711" customFormat="1" ht="13.2" customHeight="1">
      <c r="A2502" s="867"/>
      <c r="B2502" s="717" t="s">
        <v>4389</v>
      </c>
      <c r="C2502" s="724">
        <v>92407425</v>
      </c>
      <c r="D2502" s="724"/>
      <c r="E2502" s="724"/>
      <c r="F2502" s="724"/>
      <c r="G2502" s="885" t="s">
        <v>4390</v>
      </c>
      <c r="H2502" s="885" t="s">
        <v>4391</v>
      </c>
      <c r="I2502" s="705"/>
      <c r="J2502" s="703"/>
      <c r="K2502" s="703"/>
      <c r="L2502" s="703"/>
      <c r="M2502" s="708"/>
      <c r="N2502" s="166"/>
      <c r="P2502" s="166"/>
    </row>
    <row r="2503" spans="1:16" s="711" customFormat="1" ht="13.2" customHeight="1">
      <c r="A2503" s="867"/>
      <c r="B2503" s="729" t="s">
        <v>4364</v>
      </c>
      <c r="C2503" s="730"/>
      <c r="D2503" s="730"/>
      <c r="E2503" s="730"/>
      <c r="F2503" s="730"/>
      <c r="G2503" s="872" t="s">
        <v>4365</v>
      </c>
      <c r="H2503" s="857"/>
      <c r="I2503" s="706"/>
      <c r="J2503" s="703"/>
      <c r="K2503" s="703"/>
      <c r="L2503" s="703"/>
      <c r="M2503" s="708"/>
      <c r="N2503" s="166"/>
      <c r="P2503" s="166"/>
    </row>
    <row r="2504" spans="1:16" s="711" customFormat="1" ht="13.2" customHeight="1">
      <c r="A2504" s="867"/>
      <c r="B2504" s="717" t="s">
        <v>4362</v>
      </c>
      <c r="C2504" s="724">
        <v>31148601</v>
      </c>
      <c r="D2504" s="724"/>
      <c r="E2504" s="724"/>
      <c r="F2504" s="724"/>
      <c r="G2504" s="874" t="s">
        <v>4363</v>
      </c>
      <c r="H2504" s="856"/>
      <c r="I2504" s="705"/>
      <c r="J2504" s="703"/>
      <c r="K2504" s="703"/>
      <c r="L2504" s="703"/>
      <c r="M2504" s="708"/>
      <c r="N2504" s="166"/>
      <c r="P2504" s="166"/>
    </row>
    <row r="2505" spans="1:16" s="711" customFormat="1" ht="13.2" customHeight="1">
      <c r="A2505" s="867"/>
      <c r="B2505" s="717" t="s">
        <v>4337</v>
      </c>
      <c r="C2505" s="724">
        <v>76355108</v>
      </c>
      <c r="D2505" s="724"/>
      <c r="E2505" s="724"/>
      <c r="F2505" s="724"/>
      <c r="G2505" s="868" t="s">
        <v>4338</v>
      </c>
      <c r="H2505" s="868" t="s">
        <v>4339</v>
      </c>
      <c r="I2505" s="705"/>
      <c r="J2505" s="703"/>
      <c r="K2505" s="703"/>
      <c r="L2505" s="703"/>
      <c r="M2505" s="708"/>
      <c r="N2505" s="166"/>
      <c r="P2505" s="166"/>
    </row>
    <row r="2506" spans="1:16" s="711" customFormat="1" ht="13.2" customHeight="1">
      <c r="A2506" s="867"/>
      <c r="B2506" s="717" t="s">
        <v>4333</v>
      </c>
      <c r="C2506" s="724">
        <v>18803193</v>
      </c>
      <c r="D2506" s="724"/>
      <c r="E2506" s="724"/>
      <c r="F2506" s="724"/>
      <c r="G2506" s="864" t="s">
        <v>2012</v>
      </c>
      <c r="H2506" s="856"/>
      <c r="I2506" s="705"/>
      <c r="J2506" s="703">
        <v>5</v>
      </c>
      <c r="K2506" s="703"/>
      <c r="L2506" s="703"/>
      <c r="M2506" s="708"/>
      <c r="N2506" s="166"/>
      <c r="P2506" s="166"/>
    </row>
    <row r="2507" spans="1:16" s="711" customFormat="1" ht="13.2" customHeight="1">
      <c r="A2507" s="867"/>
      <c r="B2507" s="709" t="s">
        <v>4331</v>
      </c>
      <c r="C2507" s="710">
        <v>11111111</v>
      </c>
      <c r="D2507" s="710"/>
      <c r="E2507" s="710"/>
      <c r="F2507" s="710"/>
      <c r="G2507" s="863" t="s">
        <v>4332</v>
      </c>
      <c r="H2507" s="855"/>
      <c r="I2507" s="703"/>
      <c r="J2507" s="703"/>
      <c r="K2507" s="703"/>
      <c r="L2507" s="703"/>
      <c r="M2507" s="708"/>
      <c r="N2507" s="166"/>
      <c r="P2507" s="166"/>
    </row>
    <row r="2508" spans="1:16" s="711" customFormat="1" ht="13.2" customHeight="1">
      <c r="A2508" s="867"/>
      <c r="B2508" s="717" t="s">
        <v>4330</v>
      </c>
      <c r="C2508" s="724"/>
      <c r="D2508" s="724"/>
      <c r="E2508" s="724"/>
      <c r="F2508" s="724"/>
      <c r="G2508" s="864" t="s">
        <v>3878</v>
      </c>
      <c r="H2508" s="856"/>
      <c r="I2508" s="705"/>
      <c r="J2508" s="703"/>
      <c r="K2508" s="703"/>
      <c r="L2508" s="703"/>
      <c r="M2508" s="708"/>
      <c r="N2508" s="166"/>
      <c r="P2508" s="166"/>
    </row>
    <row r="2509" spans="1:16" s="711" customFormat="1" ht="13.2" customHeight="1">
      <c r="A2509" s="854"/>
      <c r="B2509" s="717" t="s">
        <v>4329</v>
      </c>
      <c r="C2509" s="724">
        <v>35844797</v>
      </c>
      <c r="D2509" s="724"/>
      <c r="E2509" s="724"/>
      <c r="F2509" s="724"/>
      <c r="G2509" s="856"/>
      <c r="H2509" s="856"/>
      <c r="I2509" s="705"/>
      <c r="J2509" s="703"/>
      <c r="K2509" s="703"/>
      <c r="L2509" s="703"/>
      <c r="M2509" s="708"/>
      <c r="N2509" s="166"/>
      <c r="P2509" s="166"/>
    </row>
    <row r="2510" spans="1:16" s="711" customFormat="1" ht="13.2" customHeight="1">
      <c r="A2510" s="854"/>
      <c r="B2510" s="709" t="s">
        <v>4317</v>
      </c>
      <c r="C2510" s="710">
        <v>76174878</v>
      </c>
      <c r="D2510" s="710"/>
      <c r="E2510" s="710"/>
      <c r="F2510" s="710"/>
      <c r="G2510" s="863" t="s">
        <v>3213</v>
      </c>
      <c r="H2510" s="863" t="s">
        <v>4318</v>
      </c>
      <c r="I2510" s="703"/>
      <c r="J2510" s="703"/>
      <c r="K2510" s="703"/>
      <c r="L2510" s="703"/>
      <c r="M2510" s="708"/>
      <c r="N2510" s="166"/>
      <c r="P2510" s="166"/>
    </row>
    <row r="2511" spans="1:16" s="711" customFormat="1" ht="13.2" customHeight="1">
      <c r="A2511" s="854"/>
      <c r="B2511" s="717" t="s">
        <v>4313</v>
      </c>
      <c r="C2511" s="724"/>
      <c r="D2511" s="724"/>
      <c r="E2511" s="724"/>
      <c r="F2511" s="724"/>
      <c r="G2511" s="856"/>
      <c r="H2511" s="856"/>
      <c r="I2511" s="705"/>
      <c r="J2511" s="703"/>
      <c r="K2511" s="703"/>
      <c r="L2511" s="703"/>
      <c r="M2511" s="708"/>
      <c r="N2511" s="166"/>
      <c r="P2511" s="166"/>
    </row>
    <row r="2512" spans="1:16" s="711" customFormat="1" ht="13.2" customHeight="1">
      <c r="A2512" s="854"/>
      <c r="B2512" s="717" t="s">
        <v>4312</v>
      </c>
      <c r="C2512" s="724"/>
      <c r="D2512" s="724"/>
      <c r="E2512" s="724"/>
      <c r="F2512" s="724"/>
      <c r="G2512" s="856"/>
      <c r="H2512" s="852"/>
      <c r="I2512" s="705"/>
      <c r="J2512" s="703"/>
      <c r="K2512" s="703"/>
      <c r="L2512" s="703"/>
      <c r="M2512" s="708"/>
      <c r="N2512" s="166"/>
      <c r="P2512" s="166"/>
    </row>
    <row r="2513" spans="1:16" s="711" customFormat="1" ht="13.2" customHeight="1">
      <c r="A2513" s="854"/>
      <c r="B2513" s="717" t="s">
        <v>4306</v>
      </c>
      <c r="C2513" s="724">
        <v>52532158</v>
      </c>
      <c r="D2513" s="724"/>
      <c r="E2513" s="724"/>
      <c r="F2513" s="724"/>
      <c r="G2513" s="856"/>
      <c r="H2513" s="852"/>
      <c r="I2513" s="705"/>
      <c r="J2513" s="703"/>
      <c r="K2513" s="703"/>
      <c r="L2513" s="703"/>
      <c r="M2513" s="708"/>
      <c r="N2513" s="166"/>
      <c r="P2513" s="166"/>
    </row>
    <row r="2514" spans="1:16" s="711" customFormat="1" ht="13.2" customHeight="1">
      <c r="A2514" s="854"/>
      <c r="B2514" s="717" t="s">
        <v>4296</v>
      </c>
      <c r="C2514" s="724">
        <v>20929408</v>
      </c>
      <c r="D2514" s="724"/>
      <c r="E2514" s="724"/>
      <c r="F2514" s="724"/>
      <c r="G2514" s="856" t="s">
        <v>4293</v>
      </c>
      <c r="H2514" s="856" t="s">
        <v>4295</v>
      </c>
      <c r="I2514" s="705"/>
      <c r="J2514" s="703"/>
      <c r="K2514" s="703"/>
      <c r="L2514" s="703"/>
      <c r="M2514" s="708"/>
      <c r="N2514" s="166"/>
      <c r="P2514" s="166"/>
    </row>
    <row r="2515" spans="1:16" s="711" customFormat="1" ht="13.2" customHeight="1">
      <c r="A2515" s="854"/>
      <c r="B2515" s="717" t="s">
        <v>4294</v>
      </c>
      <c r="C2515" s="724">
        <v>40235412</v>
      </c>
      <c r="D2515" s="724"/>
      <c r="E2515" s="724"/>
      <c r="F2515" s="724"/>
      <c r="G2515" s="856" t="s">
        <v>4293</v>
      </c>
      <c r="H2515" s="856" t="s">
        <v>4295</v>
      </c>
      <c r="I2515" s="705"/>
      <c r="J2515" s="703"/>
      <c r="K2515" s="703"/>
      <c r="L2515" s="703"/>
      <c r="M2515" s="708"/>
      <c r="N2515" s="166"/>
      <c r="P2515" s="166"/>
    </row>
    <row r="2516" spans="1:16" s="711" customFormat="1" ht="13.2" customHeight="1">
      <c r="A2516" s="854"/>
      <c r="B2516" s="717" t="s">
        <v>4292</v>
      </c>
      <c r="C2516" s="724">
        <v>57792233</v>
      </c>
      <c r="D2516" s="724"/>
      <c r="E2516" s="724"/>
      <c r="F2516" s="724"/>
      <c r="G2516" s="856" t="s">
        <v>4293</v>
      </c>
      <c r="H2516" s="852"/>
      <c r="I2516" s="705"/>
      <c r="J2516" s="703"/>
      <c r="K2516" s="703"/>
      <c r="L2516" s="703"/>
      <c r="M2516" s="708"/>
      <c r="N2516" s="166"/>
      <c r="P2516" s="166"/>
    </row>
    <row r="2517" spans="1:16" s="711" customFormat="1" ht="13.2" customHeight="1">
      <c r="A2517" s="854"/>
      <c r="B2517" s="717" t="s">
        <v>4287</v>
      </c>
      <c r="C2517" s="724">
        <v>24949366</v>
      </c>
      <c r="D2517" s="724"/>
      <c r="E2517" s="724"/>
      <c r="F2517" s="724"/>
      <c r="G2517" s="856" t="s">
        <v>4288</v>
      </c>
      <c r="H2517" s="856" t="s">
        <v>4289</v>
      </c>
      <c r="I2517" s="856"/>
      <c r="J2517" s="703"/>
      <c r="K2517" s="703"/>
      <c r="L2517" s="703"/>
      <c r="M2517" s="708"/>
      <c r="N2517" s="166"/>
      <c r="P2517" s="166"/>
    </row>
    <row r="2518" spans="1:16" s="711" customFormat="1" ht="13.2" customHeight="1">
      <c r="A2518" s="847"/>
      <c r="B2518" s="717" t="s">
        <v>4285</v>
      </c>
      <c r="C2518" s="724">
        <v>72312195</v>
      </c>
      <c r="D2518" s="724"/>
      <c r="E2518" s="724"/>
      <c r="F2518" s="724"/>
      <c r="G2518" s="856" t="s">
        <v>2251</v>
      </c>
      <c r="H2518" s="856" t="s">
        <v>4286</v>
      </c>
      <c r="I2518" s="705"/>
      <c r="J2518" s="703"/>
      <c r="K2518" s="703"/>
      <c r="L2518" s="703"/>
      <c r="M2518" s="708"/>
      <c r="N2518" s="166"/>
      <c r="P2518" s="166"/>
    </row>
    <row r="2519" spans="1:16" s="711" customFormat="1" ht="13.2" customHeight="1">
      <c r="A2519" s="847"/>
      <c r="B2519" s="709" t="s">
        <v>4262</v>
      </c>
      <c r="C2519" s="710"/>
      <c r="D2519" s="710"/>
      <c r="E2519" s="710"/>
      <c r="F2519" s="710"/>
      <c r="G2519" s="851" t="s">
        <v>763</v>
      </c>
      <c r="H2519" s="851" t="s">
        <v>4263</v>
      </c>
      <c r="I2519" s="703"/>
      <c r="J2519" s="703"/>
      <c r="K2519" s="703"/>
      <c r="L2519" s="703"/>
      <c r="M2519" s="708"/>
      <c r="N2519" s="166"/>
      <c r="P2519" s="166"/>
    </row>
    <row r="2520" spans="1:16" s="711" customFormat="1" ht="13.2" customHeight="1">
      <c r="A2520" s="847"/>
      <c r="B2520" s="717" t="s">
        <v>4260</v>
      </c>
      <c r="C2520" s="724">
        <v>71956587</v>
      </c>
      <c r="D2520" s="724"/>
      <c r="E2520" s="724"/>
      <c r="F2520" s="724"/>
      <c r="G2520" s="852" t="s">
        <v>4258</v>
      </c>
      <c r="H2520" s="849"/>
      <c r="I2520" s="705"/>
      <c r="J2520" s="703"/>
      <c r="K2520" s="703"/>
      <c r="L2520" s="703"/>
      <c r="M2520" s="708"/>
      <c r="N2520" s="166"/>
      <c r="P2520" s="166"/>
    </row>
    <row r="2521" spans="1:16" s="711" customFormat="1" ht="13.2" customHeight="1">
      <c r="A2521" s="847"/>
      <c r="B2521" s="717" t="s">
        <v>4259</v>
      </c>
      <c r="C2521" s="724">
        <v>49708420</v>
      </c>
      <c r="D2521" s="724"/>
      <c r="E2521" s="724"/>
      <c r="F2521" s="724"/>
      <c r="G2521" s="849" t="s">
        <v>4258</v>
      </c>
      <c r="H2521" s="856" t="s">
        <v>4290</v>
      </c>
      <c r="I2521" s="705"/>
      <c r="J2521" s="703"/>
      <c r="K2521" s="703"/>
      <c r="L2521" s="703"/>
      <c r="M2521" s="708"/>
      <c r="N2521" s="166"/>
      <c r="P2521" s="166"/>
    </row>
    <row r="2522" spans="1:16" s="711" customFormat="1" ht="13.2" customHeight="1">
      <c r="A2522" s="847"/>
      <c r="B2522" s="717" t="s">
        <v>4257</v>
      </c>
      <c r="C2522" s="724">
        <v>72552538</v>
      </c>
      <c r="D2522" s="724"/>
      <c r="E2522" s="724"/>
      <c r="F2522" s="724"/>
      <c r="G2522" s="849" t="s">
        <v>4258</v>
      </c>
      <c r="H2522" s="856" t="s">
        <v>4291</v>
      </c>
      <c r="I2522" s="705"/>
      <c r="J2522" s="703"/>
      <c r="K2522" s="703"/>
      <c r="L2522" s="703"/>
      <c r="M2522" s="708"/>
      <c r="N2522" s="166"/>
      <c r="P2522" s="166"/>
    </row>
    <row r="2523" spans="1:16" s="711" customFormat="1" ht="13.2" customHeight="1">
      <c r="A2523" s="840"/>
      <c r="B2523" s="717" t="s">
        <v>4256</v>
      </c>
      <c r="C2523" s="724">
        <v>50393431</v>
      </c>
      <c r="D2523" s="724"/>
      <c r="E2523" s="724"/>
      <c r="F2523" s="724"/>
      <c r="G2523" s="849" t="s">
        <v>2059</v>
      </c>
      <c r="H2523" s="842"/>
      <c r="I2523" s="705"/>
      <c r="J2523" s="703"/>
      <c r="K2523" s="703"/>
      <c r="L2523" s="703"/>
      <c r="M2523" s="708"/>
      <c r="N2523" s="166"/>
      <c r="P2523" s="166"/>
    </row>
    <row r="2524" spans="1:16" s="711" customFormat="1" ht="13.2" customHeight="1">
      <c r="A2524" s="840"/>
      <c r="B2524" s="717" t="s">
        <v>4242</v>
      </c>
      <c r="C2524" s="724">
        <v>12760841</v>
      </c>
      <c r="D2524" s="724"/>
      <c r="E2524" s="724"/>
      <c r="F2524" s="724"/>
      <c r="G2524" s="849" t="s">
        <v>4243</v>
      </c>
      <c r="H2524" s="842"/>
      <c r="I2524" s="705"/>
      <c r="J2524" s="703"/>
      <c r="K2524" s="703"/>
      <c r="L2524" s="703"/>
      <c r="M2524" s="708"/>
      <c r="N2524" s="166"/>
      <c r="P2524" s="166"/>
    </row>
    <row r="2525" spans="1:16" s="711" customFormat="1" ht="13.2" customHeight="1">
      <c r="A2525" s="824"/>
      <c r="B2525" s="717" t="s">
        <v>4229</v>
      </c>
      <c r="C2525" s="724">
        <v>39574656</v>
      </c>
      <c r="D2525" s="724"/>
      <c r="E2525" s="724"/>
      <c r="F2525" s="724"/>
      <c r="G2525" s="823"/>
      <c r="H2525" s="823"/>
      <c r="I2525" s="705"/>
      <c r="J2525" s="703"/>
      <c r="K2525" s="703"/>
      <c r="L2525" s="703"/>
      <c r="M2525" s="708"/>
      <c r="N2525" s="166"/>
      <c r="P2525" s="166"/>
    </row>
    <row r="2526" spans="1:16" s="711" customFormat="1" ht="13.2" customHeight="1">
      <c r="A2526" s="824"/>
      <c r="B2526" s="717" t="s">
        <v>4220</v>
      </c>
      <c r="C2526" s="724">
        <v>20532106</v>
      </c>
      <c r="D2526" s="724"/>
      <c r="E2526" s="724"/>
      <c r="F2526" s="724"/>
      <c r="G2526" s="834" t="s">
        <v>4221</v>
      </c>
      <c r="H2526" s="823"/>
      <c r="I2526" s="705"/>
      <c r="J2526" s="703"/>
      <c r="K2526" s="703"/>
      <c r="L2526" s="703"/>
      <c r="M2526" s="708"/>
      <c r="N2526" s="166"/>
      <c r="P2526" s="166"/>
    </row>
    <row r="2527" spans="1:16" s="711" customFormat="1" ht="13.2" customHeight="1">
      <c r="A2527" s="824"/>
      <c r="B2527" s="717" t="s">
        <v>4218</v>
      </c>
      <c r="C2527" s="724">
        <v>31356030</v>
      </c>
      <c r="D2527" s="724"/>
      <c r="E2527" s="724"/>
      <c r="F2527" s="724"/>
      <c r="G2527" s="834" t="s">
        <v>4219</v>
      </c>
      <c r="H2527" s="823"/>
      <c r="I2527" s="705"/>
      <c r="J2527" s="703"/>
      <c r="K2527" s="703"/>
      <c r="L2527" s="703"/>
      <c r="M2527" s="708"/>
      <c r="N2527" s="166"/>
      <c r="P2527" s="166"/>
    </row>
    <row r="2528" spans="1:16" s="711" customFormat="1" ht="13.2" customHeight="1">
      <c r="A2528" s="824"/>
      <c r="B2528" s="717" t="s">
        <v>4216</v>
      </c>
      <c r="C2528" s="724">
        <v>32524334</v>
      </c>
      <c r="D2528" s="724"/>
      <c r="E2528" s="724"/>
      <c r="F2528" s="724"/>
      <c r="G2528" s="834" t="s">
        <v>4217</v>
      </c>
      <c r="H2528" s="823"/>
      <c r="I2528" s="705"/>
      <c r="J2528" s="703"/>
      <c r="K2528" s="703"/>
      <c r="L2528" s="703"/>
      <c r="M2528" s="708"/>
      <c r="N2528" s="166"/>
      <c r="P2528" s="166"/>
    </row>
    <row r="2529" spans="1:16" s="711" customFormat="1" ht="13.2" customHeight="1">
      <c r="A2529" s="824"/>
      <c r="B2529" s="717" t="s">
        <v>4202</v>
      </c>
      <c r="C2529" s="724">
        <v>65434753</v>
      </c>
      <c r="D2529" s="724"/>
      <c r="E2529" s="724"/>
      <c r="F2529" s="724"/>
      <c r="G2529" s="858" t="s">
        <v>713</v>
      </c>
      <c r="H2529" s="823"/>
      <c r="I2529" s="705"/>
      <c r="J2529" s="703"/>
      <c r="K2529" s="703"/>
      <c r="L2529" s="703"/>
      <c r="M2529" s="708"/>
      <c r="N2529" s="166"/>
      <c r="P2529" s="166"/>
    </row>
    <row r="2530" spans="1:16" s="711" customFormat="1" ht="13.2" customHeight="1">
      <c r="A2530" s="824"/>
      <c r="B2530" s="717" t="s">
        <v>4189</v>
      </c>
      <c r="C2530" s="724">
        <v>56037762</v>
      </c>
      <c r="D2530" s="724"/>
      <c r="E2530" s="724"/>
      <c r="F2530" s="724"/>
      <c r="G2530" s="831" t="s">
        <v>4190</v>
      </c>
      <c r="H2530" s="823"/>
      <c r="I2530" s="705"/>
      <c r="J2530" s="703"/>
      <c r="K2530" s="703"/>
      <c r="L2530" s="703"/>
      <c r="M2530" s="708"/>
      <c r="N2530" s="166"/>
      <c r="P2530" s="166"/>
    </row>
    <row r="2531" spans="1:16" s="711" customFormat="1" ht="13.2" customHeight="1">
      <c r="A2531" s="824"/>
      <c r="B2531" s="717" t="s">
        <v>4186</v>
      </c>
      <c r="C2531" s="724">
        <v>10239837</v>
      </c>
      <c r="D2531" s="724"/>
      <c r="E2531" s="724"/>
      <c r="F2531" s="724"/>
      <c r="G2531" s="827" t="s">
        <v>4187</v>
      </c>
      <c r="H2531" s="823"/>
      <c r="I2531" s="705"/>
      <c r="J2531" s="703"/>
      <c r="K2531" s="703"/>
      <c r="L2531" s="703"/>
      <c r="M2531" s="708"/>
      <c r="N2531" s="166"/>
      <c r="P2531" s="166"/>
    </row>
    <row r="2532" spans="1:16" s="711" customFormat="1" ht="13.2" customHeight="1">
      <c r="A2532" s="824"/>
      <c r="B2532" s="717" t="s">
        <v>4185</v>
      </c>
      <c r="C2532" s="724">
        <v>80715938</v>
      </c>
      <c r="D2532" s="724"/>
      <c r="E2532" s="724"/>
      <c r="F2532" s="724"/>
      <c r="G2532" s="827" t="s">
        <v>1032</v>
      </c>
      <c r="H2532" s="823"/>
      <c r="I2532" s="705"/>
      <c r="J2532" s="703"/>
      <c r="K2532" s="703"/>
      <c r="L2532" s="703"/>
      <c r="M2532" s="708"/>
      <c r="N2532" s="166"/>
      <c r="P2532" s="166"/>
    </row>
    <row r="2533" spans="1:16" s="711" customFormat="1" ht="13.2" customHeight="1">
      <c r="A2533" s="824"/>
      <c r="B2533" s="717" t="s">
        <v>4183</v>
      </c>
      <c r="C2533" s="724">
        <v>60950610</v>
      </c>
      <c r="D2533" s="724"/>
      <c r="E2533" s="724"/>
      <c r="F2533" s="724"/>
      <c r="G2533" s="827" t="s">
        <v>1032</v>
      </c>
      <c r="H2533" s="827" t="s">
        <v>4184</v>
      </c>
      <c r="I2533" s="705"/>
      <c r="J2533" s="703"/>
      <c r="K2533" s="703"/>
      <c r="L2533" s="703"/>
      <c r="M2533" s="708"/>
      <c r="N2533" s="166"/>
      <c r="P2533" s="166"/>
    </row>
    <row r="2534" spans="1:16" s="711" customFormat="1" ht="13.2" customHeight="1">
      <c r="A2534" s="824"/>
      <c r="B2534" s="717" t="s">
        <v>4181</v>
      </c>
      <c r="C2534" s="724">
        <v>36238015</v>
      </c>
      <c r="D2534" s="724"/>
      <c r="E2534" s="724"/>
      <c r="F2534" s="724"/>
      <c r="G2534" s="827" t="s">
        <v>2554</v>
      </c>
      <c r="H2534" s="827" t="s">
        <v>4182</v>
      </c>
      <c r="I2534" s="705"/>
      <c r="J2534" s="703"/>
      <c r="K2534" s="703"/>
      <c r="L2534" s="703"/>
      <c r="M2534" s="708"/>
      <c r="N2534" s="166"/>
      <c r="P2534" s="166"/>
    </row>
    <row r="2535" spans="1:16" s="711" customFormat="1" ht="13.2" customHeight="1">
      <c r="A2535" s="824"/>
      <c r="B2535" s="717" t="s">
        <v>4179</v>
      </c>
      <c r="C2535" s="724">
        <v>73993444</v>
      </c>
      <c r="D2535" s="724"/>
      <c r="E2535" s="724"/>
      <c r="F2535" s="724"/>
      <c r="G2535" s="827" t="s">
        <v>736</v>
      </c>
      <c r="H2535" s="827" t="s">
        <v>4180</v>
      </c>
      <c r="I2535" s="705"/>
      <c r="J2535" s="703"/>
      <c r="K2535" s="703"/>
      <c r="L2535" s="703"/>
      <c r="M2535" s="708"/>
      <c r="N2535" s="166"/>
      <c r="P2535" s="166"/>
    </row>
    <row r="2536" spans="1:16" s="711" customFormat="1" ht="13.2" customHeight="1">
      <c r="A2536" s="824"/>
      <c r="B2536" s="717" t="s">
        <v>4176</v>
      </c>
      <c r="C2536" s="724">
        <v>68144115</v>
      </c>
      <c r="D2536" s="724"/>
      <c r="E2536" s="724"/>
      <c r="F2536" s="724"/>
      <c r="G2536" s="827" t="s">
        <v>4177</v>
      </c>
      <c r="H2536" s="827" t="s">
        <v>4178</v>
      </c>
      <c r="I2536" s="705"/>
      <c r="J2536" s="703"/>
      <c r="K2536" s="703"/>
      <c r="L2536" s="703"/>
      <c r="M2536" s="708"/>
      <c r="N2536" s="166"/>
      <c r="P2536" s="166"/>
    </row>
    <row r="2537" spans="1:16" s="711" customFormat="1" ht="13.2" customHeight="1">
      <c r="A2537" s="824"/>
      <c r="B2537" s="717" t="s">
        <v>4174</v>
      </c>
      <c r="C2537" s="724">
        <v>57712918</v>
      </c>
      <c r="D2537" s="724"/>
      <c r="E2537" s="724"/>
      <c r="F2537" s="724"/>
      <c r="G2537" s="823" t="s">
        <v>1972</v>
      </c>
      <c r="H2537" s="823" t="s">
        <v>4175</v>
      </c>
      <c r="I2537" s="705"/>
      <c r="J2537" s="703"/>
      <c r="K2537" s="703"/>
      <c r="L2537" s="703"/>
      <c r="M2537" s="708"/>
      <c r="N2537" s="166"/>
      <c r="P2537" s="166"/>
    </row>
    <row r="2538" spans="1:16" s="711" customFormat="1" ht="13.2" customHeight="1">
      <c r="A2538" s="824"/>
      <c r="B2538" s="717" t="s">
        <v>4088</v>
      </c>
      <c r="C2538" s="724">
        <v>47152989</v>
      </c>
      <c r="D2538" s="724"/>
      <c r="E2538" s="724"/>
      <c r="F2538" s="724"/>
      <c r="G2538" s="797" t="s">
        <v>1972</v>
      </c>
      <c r="H2538" s="797" t="s">
        <v>4092</v>
      </c>
      <c r="I2538" s="705"/>
      <c r="J2538" s="703"/>
      <c r="K2538" s="703"/>
      <c r="L2538" s="703"/>
      <c r="M2538" s="708"/>
      <c r="N2538" s="166"/>
      <c r="P2538" s="166"/>
    </row>
    <row r="2539" spans="1:16" s="711" customFormat="1" ht="13.2" customHeight="1">
      <c r="A2539" s="798"/>
      <c r="B2539" s="717" t="s">
        <v>4172</v>
      </c>
      <c r="C2539" s="724">
        <v>16008988</v>
      </c>
      <c r="D2539" s="724"/>
      <c r="E2539" s="724"/>
      <c r="F2539" s="724"/>
      <c r="G2539" s="823" t="s">
        <v>2073</v>
      </c>
      <c r="H2539" s="823" t="s">
        <v>4173</v>
      </c>
      <c r="I2539" s="705"/>
      <c r="J2539" s="703"/>
      <c r="K2539" s="703"/>
      <c r="L2539" s="703"/>
      <c r="M2539" s="708"/>
      <c r="N2539" s="166"/>
      <c r="P2539" s="166"/>
    </row>
    <row r="2540" spans="1:16" s="711" customFormat="1" ht="13.2" customHeight="1">
      <c r="A2540" s="798"/>
      <c r="B2540" s="717" t="s">
        <v>4167</v>
      </c>
      <c r="C2540" s="724">
        <v>44458804</v>
      </c>
      <c r="D2540" s="724"/>
      <c r="E2540" s="724"/>
      <c r="F2540" s="724"/>
      <c r="G2540" s="823" t="s">
        <v>1972</v>
      </c>
      <c r="H2540" s="791"/>
      <c r="I2540" s="705"/>
      <c r="J2540" s="703"/>
      <c r="K2540" s="703"/>
      <c r="L2540" s="703"/>
      <c r="M2540" s="708"/>
      <c r="N2540" s="166"/>
      <c r="P2540" s="166"/>
    </row>
    <row r="2541" spans="1:16" s="711" customFormat="1" ht="13.2" customHeight="1">
      <c r="A2541" s="798"/>
      <c r="B2541" s="717" t="s">
        <v>4162</v>
      </c>
      <c r="C2541" s="724">
        <v>80437832</v>
      </c>
      <c r="D2541" s="724"/>
      <c r="E2541" s="724"/>
      <c r="F2541" s="724"/>
      <c r="G2541" s="823" t="s">
        <v>4163</v>
      </c>
      <c r="H2541" s="791"/>
      <c r="I2541" s="705"/>
      <c r="J2541" s="703"/>
      <c r="K2541" s="703"/>
      <c r="L2541" s="703"/>
      <c r="M2541" s="708"/>
      <c r="N2541" s="166"/>
      <c r="P2541" s="166"/>
    </row>
    <row r="2542" spans="1:16" s="711" customFormat="1" ht="13.2" customHeight="1">
      <c r="A2542" s="798"/>
      <c r="B2542" s="709" t="s">
        <v>4160</v>
      </c>
      <c r="C2542" s="710">
        <v>31713454</v>
      </c>
      <c r="D2542" s="710"/>
      <c r="E2542" s="710"/>
      <c r="F2542" s="710"/>
      <c r="G2542" s="822" t="s">
        <v>2019</v>
      </c>
      <c r="H2542" s="822" t="s">
        <v>4161</v>
      </c>
      <c r="I2542" s="703"/>
      <c r="J2542" s="703"/>
      <c r="K2542" s="703"/>
      <c r="L2542" s="703"/>
      <c r="M2542" s="708"/>
      <c r="N2542" s="166"/>
      <c r="P2542" s="166"/>
    </row>
    <row r="2543" spans="1:16" s="711" customFormat="1" ht="13.2" customHeight="1">
      <c r="A2543" s="798"/>
      <c r="B2543" s="717" t="s">
        <v>4150</v>
      </c>
      <c r="C2543" s="724">
        <v>46743036</v>
      </c>
      <c r="D2543" s="724"/>
      <c r="E2543" s="724"/>
      <c r="F2543" s="724"/>
      <c r="G2543" s="817" t="s">
        <v>4151</v>
      </c>
      <c r="H2543" s="791"/>
      <c r="I2543" s="705"/>
      <c r="J2543" s="703"/>
      <c r="K2543" s="703"/>
      <c r="L2543" s="703"/>
      <c r="M2543" s="708"/>
      <c r="N2543" s="166"/>
      <c r="P2543" s="166"/>
    </row>
    <row r="2544" spans="1:16" s="711" customFormat="1" ht="13.2" customHeight="1">
      <c r="A2544" s="798"/>
      <c r="B2544" s="717" t="s">
        <v>4148</v>
      </c>
      <c r="C2544" s="724">
        <v>71263608</v>
      </c>
      <c r="D2544" s="724"/>
      <c r="E2544" s="724"/>
      <c r="F2544" s="724"/>
      <c r="G2544" s="817" t="s">
        <v>4149</v>
      </c>
      <c r="H2544" s="791"/>
      <c r="I2544" s="705"/>
      <c r="J2544" s="703"/>
      <c r="K2544" s="703"/>
      <c r="L2544" s="703"/>
      <c r="M2544" s="708"/>
      <c r="N2544" s="166"/>
      <c r="P2544" s="166"/>
    </row>
    <row r="2545" spans="1:16" s="711" customFormat="1" ht="13.2" customHeight="1">
      <c r="A2545" s="798"/>
      <c r="B2545" s="717" t="s">
        <v>4146</v>
      </c>
      <c r="C2545" s="724">
        <v>45551993</v>
      </c>
      <c r="D2545" s="724"/>
      <c r="E2545" s="724"/>
      <c r="F2545" s="724"/>
      <c r="G2545" s="817" t="s">
        <v>4147</v>
      </c>
      <c r="H2545" s="791"/>
      <c r="I2545" s="705"/>
      <c r="J2545" s="703"/>
      <c r="K2545" s="703"/>
      <c r="L2545" s="703"/>
      <c r="M2545" s="708"/>
      <c r="N2545" s="166"/>
      <c r="P2545" s="166"/>
    </row>
    <row r="2546" spans="1:16" s="711" customFormat="1" ht="13.2" customHeight="1">
      <c r="A2546" s="798"/>
      <c r="B2546" s="717" t="s">
        <v>4130</v>
      </c>
      <c r="C2546" s="724">
        <v>36850631</v>
      </c>
      <c r="D2546" s="724"/>
      <c r="E2546" s="724"/>
      <c r="F2546" s="724" t="s">
        <v>4131</v>
      </c>
      <c r="G2546" s="791"/>
      <c r="H2546" s="791"/>
      <c r="I2546" s="705"/>
      <c r="J2546" s="703"/>
      <c r="K2546" s="703"/>
      <c r="L2546" s="703"/>
      <c r="M2546" s="708"/>
      <c r="N2546" s="166"/>
      <c r="P2546" s="166"/>
    </row>
    <row r="2547" spans="1:16" s="711" customFormat="1" ht="13.2" customHeight="1">
      <c r="A2547" s="798"/>
      <c r="B2547" s="717" t="s">
        <v>4118</v>
      </c>
      <c r="C2547" s="724"/>
      <c r="D2547" s="724"/>
      <c r="E2547" s="724"/>
      <c r="F2547" s="724" t="s">
        <v>4022</v>
      </c>
      <c r="G2547" s="797" t="s">
        <v>4119</v>
      </c>
      <c r="H2547" s="797" t="s">
        <v>4120</v>
      </c>
      <c r="I2547" s="705"/>
      <c r="J2547" s="703"/>
      <c r="K2547" s="703"/>
      <c r="L2547" s="703"/>
      <c r="M2547" s="708"/>
      <c r="N2547" s="166"/>
      <c r="P2547" s="166"/>
    </row>
    <row r="2548" spans="1:16" s="711" customFormat="1" ht="13.2" customHeight="1">
      <c r="A2548" s="798"/>
      <c r="B2548" s="717" t="s">
        <v>4116</v>
      </c>
      <c r="C2548" s="724"/>
      <c r="D2548" s="805" t="s">
        <v>4132</v>
      </c>
      <c r="E2548" s="724"/>
      <c r="F2548" s="724" t="s">
        <v>4117</v>
      </c>
      <c r="G2548" s="797" t="s">
        <v>4119</v>
      </c>
      <c r="H2548" s="797" t="s">
        <v>4120</v>
      </c>
      <c r="I2548" s="705"/>
      <c r="J2548" s="703"/>
      <c r="K2548" s="703"/>
      <c r="L2548" s="703"/>
      <c r="M2548" s="708"/>
      <c r="N2548" s="166"/>
      <c r="P2548" s="166"/>
    </row>
    <row r="2549" spans="1:16" s="711" customFormat="1" ht="13.2" customHeight="1">
      <c r="A2549" s="798"/>
      <c r="B2549" s="717" t="s">
        <v>4112</v>
      </c>
      <c r="C2549" s="724"/>
      <c r="D2549" s="724"/>
      <c r="E2549" s="724"/>
      <c r="F2549" s="724"/>
      <c r="G2549" s="797" t="s">
        <v>4113</v>
      </c>
      <c r="H2549" s="791"/>
      <c r="I2549" s="705">
        <v>28</v>
      </c>
      <c r="J2549" s="703"/>
      <c r="K2549" s="703"/>
      <c r="L2549" s="703"/>
      <c r="M2549" s="708"/>
      <c r="N2549" s="166"/>
      <c r="P2549" s="166"/>
    </row>
    <row r="2550" spans="1:16" s="711" customFormat="1" ht="13.2" customHeight="1">
      <c r="A2550" s="798"/>
      <c r="B2550" s="717" t="s">
        <v>4110</v>
      </c>
      <c r="C2550" s="724">
        <v>12345678</v>
      </c>
      <c r="D2550" s="724"/>
      <c r="E2550" s="724"/>
      <c r="F2550" s="724"/>
      <c r="G2550" s="791"/>
      <c r="H2550" s="797" t="s">
        <v>4111</v>
      </c>
      <c r="I2550" s="705"/>
      <c r="J2550" s="703"/>
      <c r="K2550" s="703"/>
      <c r="L2550" s="703"/>
      <c r="M2550" s="708"/>
      <c r="N2550" s="166"/>
      <c r="P2550" s="166"/>
    </row>
    <row r="2551" spans="1:16" s="711" customFormat="1" ht="13.2" customHeight="1">
      <c r="A2551" s="798"/>
      <c r="B2551" s="717" t="s">
        <v>4102</v>
      </c>
      <c r="C2551" s="724">
        <v>20701061</v>
      </c>
      <c r="D2551" s="724"/>
      <c r="E2551" s="724"/>
      <c r="F2551" s="724" t="s">
        <v>4103</v>
      </c>
      <c r="G2551" s="797" t="s">
        <v>763</v>
      </c>
      <c r="H2551" s="791"/>
      <c r="I2551" s="705">
        <v>26</v>
      </c>
      <c r="J2551" s="703"/>
      <c r="K2551" s="703"/>
      <c r="L2551" s="703"/>
      <c r="M2551" s="708"/>
      <c r="N2551" s="166"/>
      <c r="P2551" s="166"/>
    </row>
    <row r="2552" spans="1:16" s="711" customFormat="1">
      <c r="A2552" s="793"/>
      <c r="B2552" s="717" t="s">
        <v>4098</v>
      </c>
      <c r="C2552" s="724">
        <v>80220577</v>
      </c>
      <c r="D2552" s="724"/>
      <c r="E2552" s="724"/>
      <c r="F2552" s="724" t="s">
        <v>4099</v>
      </c>
      <c r="G2552" s="797" t="s">
        <v>713</v>
      </c>
      <c r="H2552" s="797" t="s">
        <v>4100</v>
      </c>
      <c r="I2552" s="705"/>
      <c r="J2552" s="703"/>
      <c r="K2552" s="703"/>
      <c r="L2552" s="703"/>
      <c r="M2552" s="708"/>
      <c r="N2552" s="166"/>
      <c r="P2552" s="166"/>
    </row>
    <row r="2553" spans="1:16" s="711" customFormat="1">
      <c r="A2553" s="793"/>
      <c r="B2553" s="717" t="s">
        <v>4093</v>
      </c>
      <c r="C2553" s="724">
        <v>84520309</v>
      </c>
      <c r="D2553" s="724"/>
      <c r="E2553" s="724"/>
      <c r="F2553" s="724"/>
      <c r="G2553" s="797" t="s">
        <v>3958</v>
      </c>
      <c r="H2553" s="797" t="s">
        <v>4094</v>
      </c>
      <c r="I2553" s="705"/>
      <c r="J2553" s="703"/>
      <c r="K2553" s="703"/>
      <c r="L2553" s="703"/>
      <c r="M2553" s="708"/>
      <c r="N2553" s="166"/>
      <c r="P2553" s="166"/>
    </row>
    <row r="2554" spans="1:16" s="711" customFormat="1">
      <c r="A2554" s="793"/>
      <c r="B2554" s="717" t="s">
        <v>4085</v>
      </c>
      <c r="C2554" s="724">
        <v>63368948</v>
      </c>
      <c r="D2554" s="724"/>
      <c r="E2554" s="724"/>
      <c r="F2554" s="724" t="s">
        <v>4086</v>
      </c>
      <c r="G2554" s="797" t="s">
        <v>4087</v>
      </c>
      <c r="H2554" s="797" t="s">
        <v>3868</v>
      </c>
      <c r="I2554" s="705"/>
      <c r="J2554" s="705"/>
      <c r="K2554" s="703"/>
      <c r="L2554" s="703"/>
      <c r="M2554" s="708"/>
      <c r="N2554" s="166"/>
      <c r="P2554" s="166"/>
    </row>
    <row r="2555" spans="1:16" s="711" customFormat="1">
      <c r="A2555" s="793"/>
      <c r="B2555" s="717" t="s">
        <v>4076</v>
      </c>
      <c r="C2555" s="724"/>
      <c r="D2555" s="724"/>
      <c r="E2555" s="724"/>
      <c r="F2555" s="724" t="s">
        <v>4077</v>
      </c>
      <c r="G2555" s="791"/>
      <c r="H2555" s="791" t="s">
        <v>4078</v>
      </c>
      <c r="I2555" s="705"/>
      <c r="J2555" s="703"/>
      <c r="K2555" s="703"/>
      <c r="L2555" s="703"/>
      <c r="M2555" s="708"/>
      <c r="N2555" s="166"/>
      <c r="P2555" s="166"/>
    </row>
    <row r="2556" spans="1:16" s="711" customFormat="1">
      <c r="A2556" s="793"/>
      <c r="B2556" s="717" t="s">
        <v>4074</v>
      </c>
      <c r="C2556" s="724">
        <v>47157698</v>
      </c>
      <c r="D2556" s="724"/>
      <c r="E2556" s="724"/>
      <c r="F2556" s="724" t="s">
        <v>4075</v>
      </c>
      <c r="G2556" s="791"/>
      <c r="H2556" s="791"/>
      <c r="I2556" s="705"/>
      <c r="J2556" s="703"/>
      <c r="K2556" s="703"/>
      <c r="L2556" s="703"/>
      <c r="M2556" s="708"/>
      <c r="N2556" s="166"/>
      <c r="P2556" s="166"/>
    </row>
    <row r="2557" spans="1:16" s="711" customFormat="1">
      <c r="A2557" s="785"/>
      <c r="B2557" s="717" t="s">
        <v>4068</v>
      </c>
      <c r="C2557" s="724">
        <v>10366280</v>
      </c>
      <c r="D2557" s="724"/>
      <c r="E2557" s="724"/>
      <c r="F2557" s="724" t="s">
        <v>4069</v>
      </c>
      <c r="G2557" s="786"/>
      <c r="H2557" s="786"/>
      <c r="I2557" s="705"/>
      <c r="J2557" s="703"/>
      <c r="K2557" s="703"/>
      <c r="L2557" s="703"/>
      <c r="M2557" s="708"/>
      <c r="N2557" s="166"/>
      <c r="P2557" s="166"/>
    </row>
    <row r="2558" spans="1:16" s="711" customFormat="1">
      <c r="A2558" s="764"/>
      <c r="B2558" s="717" t="s">
        <v>4067</v>
      </c>
      <c r="C2558" s="724">
        <v>97797574</v>
      </c>
      <c r="D2558" s="724"/>
      <c r="E2558" s="724"/>
      <c r="F2558" s="724" t="s">
        <v>4069</v>
      </c>
      <c r="G2558" s="767"/>
      <c r="H2558" s="767"/>
      <c r="I2558" s="705"/>
      <c r="J2558" s="703"/>
      <c r="K2558" s="703"/>
      <c r="L2558" s="703"/>
      <c r="M2558" s="708"/>
      <c r="N2558" s="166"/>
      <c r="P2558" s="166"/>
    </row>
    <row r="2559" spans="1:16" s="711" customFormat="1">
      <c r="A2559" s="764"/>
      <c r="B2559" s="717" t="s">
        <v>4053</v>
      </c>
      <c r="C2559" s="724">
        <v>12576908</v>
      </c>
      <c r="D2559" s="724"/>
      <c r="E2559" s="724"/>
      <c r="F2559" s="724"/>
      <c r="G2559" s="791" t="s">
        <v>2221</v>
      </c>
      <c r="H2559" s="791" t="s">
        <v>4054</v>
      </c>
      <c r="I2559" s="705"/>
      <c r="J2559" s="703"/>
      <c r="K2559" s="703"/>
      <c r="L2559" s="703"/>
      <c r="M2559" s="708"/>
      <c r="N2559" s="166"/>
      <c r="P2559" s="166"/>
    </row>
    <row r="2560" spans="1:16" s="711" customFormat="1">
      <c r="A2560" s="764"/>
      <c r="B2560" s="717" t="s">
        <v>4040</v>
      </c>
      <c r="C2560" s="724">
        <v>43636984</v>
      </c>
      <c r="D2560" s="724"/>
      <c r="E2560" s="724"/>
      <c r="F2560" s="724"/>
      <c r="G2560" s="786" t="s">
        <v>4041</v>
      </c>
      <c r="H2560" s="767"/>
      <c r="I2560" s="705"/>
      <c r="J2560" s="703"/>
      <c r="K2560" s="703"/>
      <c r="L2560" s="703"/>
      <c r="M2560" s="708"/>
      <c r="N2560" s="166"/>
      <c r="P2560" s="166"/>
    </row>
    <row r="2561" spans="1:16" s="711" customFormat="1">
      <c r="A2561" s="764"/>
      <c r="B2561" s="717" t="s">
        <v>4035</v>
      </c>
      <c r="C2561" s="724">
        <v>16550442</v>
      </c>
      <c r="D2561" s="724"/>
      <c r="E2561" s="724"/>
      <c r="F2561" s="724"/>
      <c r="G2561" s="786" t="s">
        <v>4036</v>
      </c>
      <c r="H2561" s="786" t="s">
        <v>4037</v>
      </c>
      <c r="I2561" s="705"/>
      <c r="J2561" s="703"/>
      <c r="K2561" s="703"/>
      <c r="L2561" s="703"/>
      <c r="M2561" s="708"/>
      <c r="N2561" s="166"/>
      <c r="P2561" s="166"/>
    </row>
    <row r="2562" spans="1:16" s="711" customFormat="1">
      <c r="A2562" s="764"/>
      <c r="B2562" s="717" t="s">
        <v>4029</v>
      </c>
      <c r="C2562" s="724">
        <v>35807576</v>
      </c>
      <c r="D2562" s="724"/>
      <c r="E2562" s="724"/>
      <c r="F2562" s="724"/>
      <c r="G2562" s="779" t="s">
        <v>4030</v>
      </c>
      <c r="H2562" s="779" t="s">
        <v>4031</v>
      </c>
      <c r="I2562" s="705"/>
      <c r="J2562" s="703"/>
      <c r="K2562" s="703"/>
      <c r="L2562" s="703"/>
      <c r="M2562" s="708"/>
      <c r="N2562" s="166"/>
      <c r="P2562" s="166"/>
    </row>
    <row r="2563" spans="1:16" s="711" customFormat="1">
      <c r="A2563" s="764"/>
      <c r="B2563" s="717" t="s">
        <v>4020</v>
      </c>
      <c r="C2563" s="724">
        <v>88112880</v>
      </c>
      <c r="D2563" s="724"/>
      <c r="E2563" s="724"/>
      <c r="F2563" s="724" t="s">
        <v>4022</v>
      </c>
      <c r="G2563" s="779" t="s">
        <v>988</v>
      </c>
      <c r="H2563" s="779" t="s">
        <v>4021</v>
      </c>
      <c r="I2563" s="705"/>
      <c r="J2563" s="703"/>
      <c r="K2563" s="703"/>
      <c r="L2563" s="703"/>
      <c r="M2563" s="708"/>
      <c r="N2563" s="166"/>
      <c r="P2563" s="166"/>
    </row>
    <row r="2564" spans="1:16" s="711" customFormat="1">
      <c r="A2564" s="764"/>
      <c r="B2564" s="717" t="s">
        <v>4010</v>
      </c>
      <c r="C2564" s="724">
        <v>22612784</v>
      </c>
      <c r="D2564" s="724"/>
      <c r="E2564" s="724"/>
      <c r="F2564" s="724"/>
      <c r="G2564" s="767"/>
      <c r="H2564" s="767"/>
      <c r="I2564" s="705"/>
      <c r="J2564" s="703"/>
      <c r="K2564" s="703"/>
      <c r="L2564" s="703"/>
      <c r="M2564" s="708"/>
      <c r="N2564" s="166"/>
      <c r="P2564" s="166"/>
    </row>
    <row r="2565" spans="1:16" s="711" customFormat="1">
      <c r="A2565" s="764"/>
      <c r="B2565" s="717" t="s">
        <v>4004</v>
      </c>
      <c r="C2565" s="724">
        <v>71520619</v>
      </c>
      <c r="D2565" s="724"/>
      <c r="E2565" s="724"/>
      <c r="F2565" s="724"/>
      <c r="G2565" s="779" t="s">
        <v>4005</v>
      </c>
      <c r="H2565" s="779" t="s">
        <v>4006</v>
      </c>
      <c r="I2565" s="705">
        <v>33</v>
      </c>
      <c r="J2565" s="703"/>
      <c r="K2565" s="703"/>
      <c r="L2565" s="703"/>
      <c r="M2565" s="708"/>
      <c r="N2565" s="166"/>
      <c r="P2565" s="166"/>
    </row>
    <row r="2566" spans="1:16" s="711" customFormat="1">
      <c r="A2566" s="764"/>
      <c r="B2566" s="717" t="s">
        <v>4002</v>
      </c>
      <c r="C2566" s="724"/>
      <c r="D2566" s="724"/>
      <c r="E2566" s="724"/>
      <c r="F2566" s="724"/>
      <c r="G2566" s="779" t="s">
        <v>4003</v>
      </c>
      <c r="H2566" s="779"/>
      <c r="I2566" s="779"/>
      <c r="J2566" s="703"/>
      <c r="K2566" s="703"/>
      <c r="L2566" s="703"/>
      <c r="M2566" s="708"/>
      <c r="N2566" s="166"/>
      <c r="P2566" s="166"/>
    </row>
    <row r="2567" spans="1:16" s="711" customFormat="1" ht="26.4">
      <c r="A2567" s="764"/>
      <c r="B2567" s="717" t="s">
        <v>4000</v>
      </c>
      <c r="C2567" s="724"/>
      <c r="D2567" s="724"/>
      <c r="E2567" s="724"/>
      <c r="F2567" s="724"/>
      <c r="G2567" s="779" t="s">
        <v>4001</v>
      </c>
      <c r="H2567" s="779"/>
      <c r="I2567" s="779"/>
      <c r="J2567" s="703"/>
      <c r="K2567" s="703"/>
      <c r="L2567" s="703"/>
      <c r="M2567" s="708"/>
      <c r="N2567" s="166"/>
      <c r="P2567" s="166"/>
    </row>
    <row r="2568" spans="1:16" s="711" customFormat="1">
      <c r="A2568" s="764"/>
      <c r="B2568" s="717" t="s">
        <v>3997</v>
      </c>
      <c r="C2568" s="724">
        <v>89459915</v>
      </c>
      <c r="D2568" s="724"/>
      <c r="E2568" s="724"/>
      <c r="F2568" s="724"/>
      <c r="G2568" s="767" t="s">
        <v>3998</v>
      </c>
      <c r="H2568" s="767" t="s">
        <v>3999</v>
      </c>
      <c r="I2568" s="705">
        <v>33</v>
      </c>
      <c r="J2568" s="703"/>
      <c r="K2568" s="703"/>
      <c r="L2568" s="703"/>
      <c r="M2568" s="708"/>
      <c r="N2568" s="166"/>
      <c r="P2568" s="166"/>
    </row>
    <row r="2569" spans="1:16" s="711" customFormat="1">
      <c r="A2569" s="764"/>
      <c r="B2569" s="717" t="s">
        <v>3984</v>
      </c>
      <c r="C2569" s="724">
        <v>41386537</v>
      </c>
      <c r="D2569" s="724"/>
      <c r="E2569" s="724"/>
      <c r="F2569" s="724"/>
      <c r="G2569" s="767" t="s">
        <v>3985</v>
      </c>
      <c r="H2569" s="767" t="s">
        <v>3986</v>
      </c>
      <c r="I2569" s="705"/>
      <c r="J2569" s="703"/>
      <c r="K2569" s="703"/>
      <c r="L2569" s="703"/>
      <c r="M2569" s="708"/>
      <c r="N2569" s="166"/>
      <c r="P2569" s="166"/>
    </row>
    <row r="2570" spans="1:16" s="711" customFormat="1">
      <c r="A2570" s="759"/>
      <c r="B2570" s="717" t="s">
        <v>3982</v>
      </c>
      <c r="C2570" s="724">
        <v>76382084</v>
      </c>
      <c r="D2570" s="724"/>
      <c r="E2570" s="724"/>
      <c r="F2570" s="724"/>
      <c r="G2570" s="767" t="s">
        <v>3983</v>
      </c>
      <c r="H2570" s="767" t="s">
        <v>122</v>
      </c>
      <c r="I2570" s="705"/>
      <c r="J2570" s="703"/>
      <c r="K2570" s="703"/>
      <c r="L2570" s="703"/>
      <c r="M2570" s="708"/>
      <c r="N2570" s="166"/>
      <c r="P2570" s="166"/>
    </row>
    <row r="2571" spans="1:16" s="711" customFormat="1">
      <c r="A2571" s="759"/>
      <c r="B2571" s="717" t="s">
        <v>3971</v>
      </c>
      <c r="C2571" s="724">
        <v>17622952</v>
      </c>
      <c r="D2571" s="724"/>
      <c r="E2571" s="724"/>
      <c r="F2571" s="724"/>
      <c r="G2571" s="767" t="s">
        <v>3972</v>
      </c>
      <c r="H2571" s="751"/>
      <c r="I2571" s="705">
        <v>24</v>
      </c>
      <c r="J2571" s="703"/>
      <c r="K2571" s="703"/>
      <c r="L2571" s="703"/>
      <c r="M2571" s="708"/>
      <c r="N2571" s="166"/>
      <c r="P2571" s="166"/>
    </row>
    <row r="2572" spans="1:16" s="711" customFormat="1">
      <c r="A2572" s="759"/>
      <c r="B2572" s="717" t="s">
        <v>3955</v>
      </c>
      <c r="C2572" s="724">
        <v>63242269</v>
      </c>
      <c r="D2572" s="724"/>
      <c r="E2572" s="724"/>
      <c r="F2572" s="724"/>
      <c r="G2572" s="767" t="s">
        <v>3956</v>
      </c>
      <c r="H2572" s="751"/>
      <c r="I2572" s="705"/>
      <c r="J2572" s="703"/>
      <c r="K2572" s="703"/>
      <c r="L2572" s="703"/>
      <c r="M2572" s="708"/>
      <c r="N2572" s="166"/>
      <c r="P2572" s="166"/>
    </row>
    <row r="2573" spans="1:16" s="711" customFormat="1">
      <c r="A2573" s="759"/>
      <c r="B2573" s="717" t="s">
        <v>3954</v>
      </c>
      <c r="C2573" s="724">
        <v>37674794</v>
      </c>
      <c r="D2573" s="724"/>
      <c r="E2573" s="724"/>
      <c r="F2573" s="724"/>
      <c r="G2573" s="767" t="s">
        <v>3952</v>
      </c>
      <c r="H2573" s="751"/>
      <c r="I2573" s="705"/>
      <c r="J2573" s="703"/>
      <c r="K2573" s="703"/>
      <c r="L2573" s="703"/>
      <c r="M2573" s="708"/>
      <c r="N2573" s="166"/>
      <c r="P2573" s="166"/>
    </row>
    <row r="2574" spans="1:16" s="711" customFormat="1">
      <c r="A2574" s="759"/>
      <c r="B2574" s="777" t="s">
        <v>3953</v>
      </c>
      <c r="C2574" s="724">
        <v>47150600</v>
      </c>
      <c r="D2574" s="724"/>
      <c r="E2574" s="724"/>
      <c r="F2574" s="724"/>
      <c r="G2574" s="767" t="s">
        <v>3952</v>
      </c>
      <c r="H2574" s="751"/>
      <c r="I2574" s="705"/>
      <c r="J2574" s="703"/>
      <c r="K2574" s="703"/>
      <c r="L2574" s="703"/>
      <c r="M2574" s="708"/>
      <c r="N2574" s="166"/>
      <c r="P2574" s="166"/>
    </row>
    <row r="2575" spans="1:16" s="711" customFormat="1">
      <c r="A2575" s="759"/>
      <c r="B2575" s="717" t="s">
        <v>3951</v>
      </c>
      <c r="C2575" s="767">
        <v>69381665</v>
      </c>
      <c r="D2575" s="767"/>
      <c r="E2575" s="767"/>
      <c r="F2575" s="767"/>
      <c r="G2575" s="767" t="s">
        <v>3952</v>
      </c>
      <c r="H2575" s="767"/>
      <c r="I2575" s="767"/>
      <c r="J2575" s="703"/>
      <c r="K2575" s="703"/>
      <c r="L2575" s="703"/>
      <c r="M2575" s="708"/>
      <c r="N2575" s="166"/>
      <c r="P2575" s="166"/>
    </row>
    <row r="2576" spans="1:16" s="711" customFormat="1">
      <c r="A2576" s="759"/>
      <c r="B2576" s="717" t="s">
        <v>3946</v>
      </c>
      <c r="C2576" s="724">
        <v>22928901</v>
      </c>
      <c r="D2576" s="724"/>
      <c r="E2576" s="724"/>
      <c r="F2576" s="724"/>
      <c r="G2576" s="767" t="s">
        <v>2187</v>
      </c>
      <c r="H2576" s="767" t="s">
        <v>3947</v>
      </c>
      <c r="I2576" s="705"/>
      <c r="J2576" s="703"/>
      <c r="K2576" s="703"/>
      <c r="L2576" s="703"/>
      <c r="M2576" s="708"/>
      <c r="N2576" s="166"/>
      <c r="P2576" s="166"/>
    </row>
    <row r="2577" spans="1:16" s="711" customFormat="1" ht="13.2" customHeight="1">
      <c r="A2577" s="759"/>
      <c r="B2577" s="712" t="s">
        <v>3937</v>
      </c>
      <c r="C2577" s="735">
        <v>94520514</v>
      </c>
      <c r="D2577" s="735"/>
      <c r="E2577" s="735"/>
      <c r="F2577" s="735"/>
      <c r="G2577" s="752"/>
      <c r="H2577" s="769" t="s">
        <v>3938</v>
      </c>
      <c r="I2577" s="707"/>
      <c r="J2577" s="703"/>
      <c r="K2577" s="703"/>
      <c r="L2577" s="703"/>
      <c r="M2577" s="708"/>
      <c r="N2577" s="166"/>
      <c r="P2577" s="166"/>
    </row>
    <row r="2578" spans="1:16" s="711" customFormat="1" ht="13.2" customHeight="1">
      <c r="A2578" s="759"/>
      <c r="B2578" s="717" t="s">
        <v>3916</v>
      </c>
      <c r="C2578" s="724"/>
      <c r="D2578" s="724"/>
      <c r="E2578" s="724"/>
      <c r="F2578" s="724"/>
      <c r="G2578" s="767" t="s">
        <v>3917</v>
      </c>
      <c r="H2578" s="751"/>
      <c r="I2578" s="705"/>
      <c r="J2578" s="703"/>
      <c r="K2578" s="703"/>
      <c r="L2578" s="703"/>
      <c r="M2578" s="708"/>
      <c r="N2578" s="166"/>
      <c r="P2578" s="166"/>
    </row>
    <row r="2579" spans="1:16" s="711" customFormat="1" ht="13.2" customHeight="1">
      <c r="A2579" s="759"/>
      <c r="B2579" s="717" t="s">
        <v>3912</v>
      </c>
      <c r="C2579" s="724"/>
      <c r="D2579" s="724"/>
      <c r="E2579" s="724"/>
      <c r="F2579" s="724"/>
      <c r="G2579" s="767" t="s">
        <v>3913</v>
      </c>
      <c r="H2579" s="751"/>
      <c r="I2579" s="705"/>
      <c r="J2579" s="703"/>
      <c r="K2579" s="703"/>
      <c r="L2579" s="703"/>
      <c r="M2579" s="708"/>
      <c r="N2579" s="166"/>
      <c r="P2579" s="166"/>
    </row>
    <row r="2580" spans="1:16" s="711" customFormat="1" ht="13.8" customHeight="1">
      <c r="A2580" s="759"/>
      <c r="B2580" s="717" t="s">
        <v>3910</v>
      </c>
      <c r="C2580" s="724"/>
      <c r="D2580" s="724"/>
      <c r="E2580" s="724"/>
      <c r="F2580" s="724"/>
      <c r="G2580" s="767" t="s">
        <v>3911</v>
      </c>
      <c r="H2580" s="751"/>
      <c r="I2580" s="705"/>
      <c r="J2580" s="703"/>
      <c r="K2580" s="703"/>
      <c r="L2580" s="703"/>
      <c r="M2580" s="708"/>
      <c r="N2580" s="166"/>
      <c r="P2580" s="166"/>
    </row>
    <row r="2581" spans="1:16" s="711" customFormat="1" ht="13.8" customHeight="1">
      <c r="A2581" s="759"/>
      <c r="B2581" s="717" t="s">
        <v>3908</v>
      </c>
      <c r="C2581" s="724"/>
      <c r="D2581" s="724"/>
      <c r="E2581" s="724"/>
      <c r="F2581" s="724"/>
      <c r="G2581" s="767" t="s">
        <v>3909</v>
      </c>
      <c r="H2581" s="751"/>
      <c r="I2581" s="705">
        <v>24</v>
      </c>
      <c r="J2581" s="703"/>
      <c r="K2581" s="703"/>
      <c r="L2581" s="703"/>
      <c r="M2581" s="708"/>
      <c r="N2581" s="166"/>
      <c r="P2581" s="166"/>
    </row>
    <row r="2582" spans="1:16" s="711" customFormat="1" ht="13.8" customHeight="1">
      <c r="A2582" s="759"/>
      <c r="B2582" s="717" t="s">
        <v>3877</v>
      </c>
      <c r="C2582" s="724">
        <v>91830305</v>
      </c>
      <c r="D2582" s="724"/>
      <c r="E2582" s="724"/>
      <c r="F2582" s="724"/>
      <c r="G2582" s="761" t="s">
        <v>3878</v>
      </c>
      <c r="H2582" s="761" t="s">
        <v>3879</v>
      </c>
      <c r="I2582" s="705"/>
      <c r="J2582" s="703"/>
      <c r="K2582" s="703"/>
      <c r="L2582" s="703"/>
      <c r="M2582" s="708"/>
      <c r="N2582" s="166"/>
      <c r="P2582" s="166"/>
    </row>
    <row r="2583" spans="1:16" s="711" customFormat="1" ht="13.8" customHeight="1">
      <c r="A2583" s="753"/>
      <c r="B2583" s="717" t="s">
        <v>3876</v>
      </c>
      <c r="C2583" s="724"/>
      <c r="D2583" s="724"/>
      <c r="E2583" s="724"/>
      <c r="F2583" s="724"/>
      <c r="G2583" s="751"/>
      <c r="H2583" s="761" t="s">
        <v>3880</v>
      </c>
      <c r="I2583" s="705"/>
      <c r="J2583" s="703"/>
      <c r="K2583" s="703"/>
      <c r="L2583" s="703"/>
      <c r="M2583" s="708"/>
      <c r="N2583" s="166"/>
      <c r="P2583" s="166"/>
    </row>
    <row r="2584" spans="1:16" s="711" customFormat="1" ht="13.8" customHeight="1">
      <c r="A2584" s="753"/>
      <c r="B2584" s="771" t="s">
        <v>3449</v>
      </c>
      <c r="C2584" s="128">
        <v>60757843</v>
      </c>
      <c r="D2584" s="128"/>
      <c r="E2584" s="128"/>
      <c r="F2584" s="128"/>
      <c r="G2584" s="616" t="s">
        <v>2019</v>
      </c>
      <c r="H2584" s="616" t="s">
        <v>3450</v>
      </c>
      <c r="I2584" s="366"/>
      <c r="J2584" s="703"/>
      <c r="K2584" s="703"/>
      <c r="L2584" s="703"/>
      <c r="M2584" s="708"/>
      <c r="N2584" s="166"/>
      <c r="P2584" s="166"/>
    </row>
    <row r="2585" spans="1:16" s="711" customFormat="1" ht="13.8" customHeight="1">
      <c r="A2585" s="743"/>
      <c r="B2585" s="182" t="s">
        <v>3867</v>
      </c>
      <c r="C2585" s="724">
        <v>90968437</v>
      </c>
      <c r="D2585" s="724"/>
      <c r="E2585" s="724"/>
      <c r="F2585" s="724"/>
      <c r="G2585" s="740"/>
      <c r="H2585" s="761" t="s">
        <v>3868</v>
      </c>
      <c r="I2585" s="705"/>
      <c r="J2585" s="703"/>
      <c r="K2585" s="703"/>
      <c r="L2585" s="703"/>
      <c r="M2585" s="708"/>
      <c r="N2585" s="166"/>
      <c r="P2585" s="166"/>
    </row>
    <row r="2586" spans="1:16" s="711" customFormat="1" ht="13.8" customHeight="1">
      <c r="A2586" s="743"/>
      <c r="B2586" s="709" t="s">
        <v>3811</v>
      </c>
      <c r="C2586" s="710">
        <v>42517453</v>
      </c>
      <c r="D2586" s="710"/>
      <c r="E2586" s="710"/>
      <c r="F2586" s="710"/>
      <c r="G2586" s="738"/>
      <c r="H2586" s="754" t="s">
        <v>3647</v>
      </c>
      <c r="I2586" s="703"/>
      <c r="J2586" s="703"/>
      <c r="K2586" s="703"/>
      <c r="L2586" s="703"/>
      <c r="M2586" s="708"/>
      <c r="N2586" s="166"/>
      <c r="P2586" s="166"/>
    </row>
    <row r="2587" spans="1:16" s="711" customFormat="1" ht="13.8" customHeight="1">
      <c r="A2587" s="743"/>
      <c r="B2587" s="717" t="s">
        <v>3797</v>
      </c>
      <c r="C2587" s="724"/>
      <c r="D2587" s="724"/>
      <c r="E2587" s="724"/>
      <c r="F2587" s="724"/>
      <c r="G2587" s="751" t="s">
        <v>3798</v>
      </c>
      <c r="H2587" s="751" t="s">
        <v>3799</v>
      </c>
      <c r="I2587" s="705"/>
      <c r="J2587" s="703"/>
      <c r="K2587" s="703"/>
      <c r="L2587" s="703"/>
      <c r="M2587" s="708"/>
      <c r="N2587" s="166"/>
      <c r="P2587" s="166"/>
    </row>
    <row r="2588" spans="1:16" s="711" customFormat="1" ht="13.8" customHeight="1">
      <c r="A2588" s="743"/>
      <c r="B2588" s="717" t="s">
        <v>3768</v>
      </c>
      <c r="C2588" s="724">
        <v>57184506</v>
      </c>
      <c r="D2588" s="724"/>
      <c r="E2588" s="724"/>
      <c r="F2588" s="724"/>
      <c r="G2588" s="740" t="s">
        <v>3760</v>
      </c>
      <c r="H2588" s="740" t="s">
        <v>3761</v>
      </c>
      <c r="I2588" s="705"/>
      <c r="J2588" s="703"/>
      <c r="K2588" s="703"/>
      <c r="L2588" s="703"/>
      <c r="M2588" s="708"/>
      <c r="N2588" s="166"/>
      <c r="P2588" s="166"/>
    </row>
    <row r="2589" spans="1:16" s="711" customFormat="1">
      <c r="A2589" s="743"/>
      <c r="B2589" s="717" t="s">
        <v>3682</v>
      </c>
      <c r="C2589" s="724">
        <v>97331308</v>
      </c>
      <c r="D2589" s="724"/>
      <c r="E2589" s="724"/>
      <c r="F2589" s="724"/>
      <c r="G2589" s="740" t="s">
        <v>2000</v>
      </c>
      <c r="H2589" s="740" t="s">
        <v>3765</v>
      </c>
      <c r="I2589" s="705"/>
      <c r="J2589" s="738" t="s">
        <v>3766</v>
      </c>
      <c r="K2589" s="703"/>
      <c r="L2589" s="703"/>
      <c r="M2589" s="708"/>
      <c r="N2589" s="166"/>
      <c r="P2589" s="166"/>
    </row>
    <row r="2590" spans="1:16" s="711" customFormat="1">
      <c r="A2590" s="732"/>
      <c r="B2590" s="717" t="s">
        <v>3759</v>
      </c>
      <c r="C2590" s="724">
        <v>34644978</v>
      </c>
      <c r="D2590" s="724"/>
      <c r="E2590" s="724"/>
      <c r="F2590" s="724"/>
      <c r="G2590" s="740" t="s">
        <v>3760</v>
      </c>
      <c r="H2590" s="740" t="s">
        <v>3761</v>
      </c>
      <c r="I2590" s="705"/>
      <c r="J2590" s="703"/>
      <c r="K2590" s="703"/>
      <c r="L2590" s="703"/>
      <c r="M2590" s="708"/>
      <c r="N2590" s="166"/>
      <c r="P2590" s="166"/>
    </row>
    <row r="2591" spans="1:16" s="711" customFormat="1">
      <c r="A2591" s="732"/>
      <c r="B2591" s="717" t="s">
        <v>3744</v>
      </c>
      <c r="C2591" s="724"/>
      <c r="D2591" s="724"/>
      <c r="E2591" s="724"/>
      <c r="F2591" s="724"/>
      <c r="G2591" s="740" t="s">
        <v>3745</v>
      </c>
      <c r="H2591" s="727"/>
      <c r="I2591" s="705"/>
      <c r="J2591" s="703"/>
      <c r="K2591" s="703"/>
      <c r="L2591" s="703"/>
      <c r="M2591" s="708"/>
      <c r="N2591" s="166"/>
      <c r="P2591" s="166"/>
    </row>
    <row r="2592" spans="1:16" s="711" customFormat="1">
      <c r="A2592" s="732"/>
      <c r="B2592" s="717" t="s">
        <v>3719</v>
      </c>
      <c r="C2592" s="724">
        <v>68287499</v>
      </c>
      <c r="D2592" s="724"/>
      <c r="E2592" s="724"/>
      <c r="F2592" s="724"/>
      <c r="G2592" s="740" t="s">
        <v>3720</v>
      </c>
      <c r="H2592" s="727"/>
      <c r="I2592" s="705">
        <v>25</v>
      </c>
      <c r="J2592" s="703"/>
      <c r="K2592" s="703"/>
      <c r="L2592" s="703"/>
      <c r="M2592" s="708"/>
      <c r="N2592" s="166"/>
      <c r="P2592" s="166"/>
    </row>
    <row r="2593" spans="1:16" s="711" customFormat="1">
      <c r="A2593" s="732"/>
      <c r="B2593" s="717" t="s">
        <v>3715</v>
      </c>
      <c r="C2593" s="724">
        <v>93763812</v>
      </c>
      <c r="D2593" s="724"/>
      <c r="E2593" s="724"/>
      <c r="F2593" s="724"/>
      <c r="G2593" s="740" t="s">
        <v>3716</v>
      </c>
      <c r="H2593" s="727"/>
      <c r="I2593" s="705">
        <v>22</v>
      </c>
      <c r="J2593" s="703"/>
      <c r="K2593" s="703"/>
      <c r="L2593" s="703"/>
      <c r="M2593" s="708"/>
      <c r="N2593" s="166"/>
      <c r="P2593" s="166"/>
    </row>
    <row r="2594" spans="1:16" s="711" customFormat="1">
      <c r="A2594" s="732"/>
      <c r="B2594" s="717" t="s">
        <v>3714</v>
      </c>
      <c r="C2594" s="724">
        <v>13355605</v>
      </c>
      <c r="D2594" s="724"/>
      <c r="E2594" s="724"/>
      <c r="F2594" s="724"/>
      <c r="G2594" s="740" t="s">
        <v>3713</v>
      </c>
      <c r="H2594" s="727"/>
      <c r="I2594" s="705">
        <v>25.4</v>
      </c>
      <c r="J2594" s="703"/>
      <c r="K2594" s="703"/>
      <c r="L2594" s="703"/>
      <c r="M2594" s="708"/>
      <c r="N2594" s="166"/>
      <c r="P2594" s="166"/>
    </row>
    <row r="2595" spans="1:16" s="711" customFormat="1">
      <c r="A2595" s="732"/>
      <c r="B2595" s="717" t="s">
        <v>3712</v>
      </c>
      <c r="C2595" s="724">
        <v>88064241</v>
      </c>
      <c r="D2595" s="724"/>
      <c r="E2595" s="724"/>
      <c r="F2595" s="724"/>
      <c r="G2595" s="740" t="s">
        <v>3713</v>
      </c>
      <c r="H2595" s="727"/>
      <c r="I2595" s="705">
        <v>25.4</v>
      </c>
      <c r="J2595" s="703"/>
      <c r="K2595" s="703"/>
      <c r="L2595" s="703"/>
      <c r="M2595" s="708"/>
      <c r="N2595" s="166"/>
      <c r="P2595" s="166"/>
    </row>
    <row r="2596" spans="1:16" s="711" customFormat="1">
      <c r="A2596" s="732"/>
      <c r="B2596" s="717" t="s">
        <v>3708</v>
      </c>
      <c r="C2596" s="724">
        <v>55762036</v>
      </c>
      <c r="D2596" s="724"/>
      <c r="E2596" s="724"/>
      <c r="F2596" s="724"/>
      <c r="G2596" s="740" t="s">
        <v>2187</v>
      </c>
      <c r="H2596" s="740" t="s">
        <v>3709</v>
      </c>
      <c r="I2596" s="705"/>
      <c r="J2596" s="703"/>
      <c r="K2596" s="703"/>
      <c r="L2596" s="703"/>
      <c r="M2596" s="708"/>
      <c r="N2596" s="166"/>
      <c r="P2596" s="166"/>
    </row>
    <row r="2597" spans="1:16" s="711" customFormat="1">
      <c r="A2597" s="732"/>
      <c r="B2597" s="717" t="s">
        <v>3703</v>
      </c>
      <c r="C2597" s="724">
        <v>68654213</v>
      </c>
      <c r="D2597" s="724"/>
      <c r="E2597" s="724"/>
      <c r="F2597" s="724"/>
      <c r="G2597" s="740" t="s">
        <v>2019</v>
      </c>
      <c r="H2597" s="740" t="s">
        <v>3704</v>
      </c>
      <c r="I2597" s="705"/>
      <c r="J2597" s="703"/>
      <c r="K2597" s="703"/>
      <c r="L2597" s="703"/>
      <c r="M2597" s="708"/>
      <c r="N2597" s="166"/>
      <c r="P2597" s="166"/>
    </row>
    <row r="2598" spans="1:16" s="711" customFormat="1">
      <c r="A2598" s="725"/>
      <c r="B2598" s="717" t="s">
        <v>3701</v>
      </c>
      <c r="C2598" s="724"/>
      <c r="D2598" s="724"/>
      <c r="E2598" s="724"/>
      <c r="F2598" s="724"/>
      <c r="G2598" s="740" t="s">
        <v>3702</v>
      </c>
      <c r="H2598" s="740" t="s">
        <v>3700</v>
      </c>
      <c r="I2598" s="705"/>
      <c r="J2598" s="703"/>
      <c r="K2598" s="703"/>
      <c r="L2598" s="703"/>
      <c r="M2598" s="708"/>
      <c r="N2598" s="166"/>
      <c r="P2598" s="166"/>
    </row>
    <row r="2599" spans="1:16" s="711" customFormat="1">
      <c r="A2599" s="718"/>
      <c r="B2599" s="717" t="s">
        <v>3692</v>
      </c>
      <c r="C2599" s="724">
        <v>33051035</v>
      </c>
      <c r="D2599" s="724"/>
      <c r="E2599" s="724"/>
      <c r="F2599" s="724"/>
      <c r="G2599" s="727" t="s">
        <v>3693</v>
      </c>
      <c r="H2599" s="719"/>
      <c r="I2599" s="705"/>
      <c r="J2599" s="703"/>
      <c r="K2599" s="703"/>
      <c r="L2599" s="703"/>
      <c r="M2599" s="708"/>
      <c r="N2599" s="166"/>
      <c r="P2599" s="166"/>
    </row>
    <row r="2600" spans="1:16" s="711" customFormat="1">
      <c r="A2600" s="702"/>
      <c r="B2600" s="709" t="s">
        <v>3682</v>
      </c>
      <c r="C2600" s="710">
        <v>97331308</v>
      </c>
      <c r="D2600" s="710"/>
      <c r="E2600" s="710"/>
      <c r="F2600" s="710"/>
      <c r="G2600" s="703"/>
      <c r="H2600" s="731" t="s">
        <v>3683</v>
      </c>
      <c r="I2600" s="703"/>
      <c r="J2600" s="703"/>
      <c r="K2600" s="703"/>
      <c r="L2600" s="703"/>
      <c r="M2600" s="708"/>
      <c r="N2600" s="166"/>
      <c r="P2600" s="166"/>
    </row>
    <row r="2601" spans="1:16" s="711" customFormat="1">
      <c r="A2601" s="702"/>
      <c r="B2601" s="717" t="s">
        <v>3673</v>
      </c>
      <c r="C2601" s="724"/>
      <c r="D2601" s="724"/>
      <c r="E2601" s="724"/>
      <c r="F2601" s="724"/>
      <c r="G2601" s="722" t="s">
        <v>3674</v>
      </c>
      <c r="H2601" s="722" t="s">
        <v>3675</v>
      </c>
      <c r="I2601" s="705"/>
      <c r="J2601" s="703"/>
      <c r="K2601" s="703"/>
      <c r="L2601" s="703"/>
      <c r="M2601" s="708"/>
      <c r="N2601" s="166"/>
      <c r="P2601" s="166"/>
    </row>
    <row r="2602" spans="1:16" s="7" customFormat="1">
      <c r="A2602" s="689"/>
      <c r="B2602" s="182" t="s">
        <v>3668</v>
      </c>
      <c r="C2602" s="128">
        <v>48004188</v>
      </c>
      <c r="D2602" s="128"/>
      <c r="E2602" s="128"/>
      <c r="F2602" s="128"/>
      <c r="G2602" s="691"/>
      <c r="H2602" s="719" t="s">
        <v>3669</v>
      </c>
      <c r="I2602" s="366"/>
      <c r="J2602" s="555">
        <v>4</v>
      </c>
      <c r="K2602" s="539"/>
      <c r="L2602" s="539"/>
      <c r="M2602" s="244"/>
      <c r="N2602" s="166"/>
      <c r="P2602" s="166"/>
    </row>
    <row r="2603" spans="1:16" s="7" customFormat="1">
      <c r="A2603" s="689"/>
      <c r="B2603" s="699" t="s">
        <v>3657</v>
      </c>
      <c r="C2603" s="421">
        <v>38101736</v>
      </c>
      <c r="D2603" s="421"/>
      <c r="E2603" s="421"/>
      <c r="F2603" s="421"/>
      <c r="G2603" s="706" t="s">
        <v>3659</v>
      </c>
      <c r="H2603" s="706" t="s">
        <v>3658</v>
      </c>
      <c r="I2603" s="422"/>
      <c r="J2603" s="555"/>
      <c r="K2603" s="539"/>
      <c r="L2603" s="539"/>
      <c r="M2603" s="244"/>
      <c r="N2603" s="166"/>
      <c r="P2603" s="166"/>
    </row>
    <row r="2604" spans="1:16" s="7" customFormat="1">
      <c r="A2604" s="689"/>
      <c r="B2604" s="699" t="s">
        <v>3646</v>
      </c>
      <c r="C2604" s="421">
        <v>79796541</v>
      </c>
      <c r="D2604" s="421"/>
      <c r="E2604" s="421"/>
      <c r="F2604" s="421"/>
      <c r="G2604" s="690"/>
      <c r="H2604" s="698" t="s">
        <v>3647</v>
      </c>
      <c r="I2604" s="422"/>
      <c r="J2604" s="555"/>
      <c r="K2604" s="539"/>
      <c r="L2604" s="539"/>
      <c r="M2604" s="244"/>
      <c r="N2604" s="166"/>
      <c r="P2604" s="166"/>
    </row>
    <row r="2605" spans="1:16" s="7" customFormat="1">
      <c r="A2605" s="689"/>
      <c r="B2605" s="182" t="s">
        <v>3640</v>
      </c>
      <c r="C2605" s="128">
        <v>23232767</v>
      </c>
      <c r="D2605" s="128"/>
      <c r="E2605" s="128"/>
      <c r="F2605" s="128"/>
      <c r="G2605" s="691"/>
      <c r="H2605" s="700" t="s">
        <v>3641</v>
      </c>
      <c r="I2605" s="366"/>
      <c r="J2605" s="555"/>
      <c r="K2605" s="539"/>
      <c r="L2605" s="539"/>
      <c r="M2605" s="244"/>
      <c r="N2605" s="166"/>
      <c r="P2605" s="166"/>
    </row>
    <row r="2606" spans="1:16" s="7" customFormat="1">
      <c r="A2606" s="689"/>
      <c r="B2606" s="182" t="s">
        <v>3637</v>
      </c>
      <c r="C2606" s="128">
        <v>94152772</v>
      </c>
      <c r="D2606" s="128"/>
      <c r="E2606" s="128"/>
      <c r="F2606" s="128"/>
      <c r="G2606" s="691"/>
      <c r="H2606" s="691" t="s">
        <v>3638</v>
      </c>
      <c r="I2606" s="366"/>
      <c r="J2606" s="555"/>
      <c r="K2606" s="539"/>
      <c r="L2606" s="539"/>
      <c r="M2606" s="244"/>
      <c r="N2606" s="166"/>
      <c r="P2606" s="166"/>
    </row>
    <row r="2607" spans="1:16" s="7" customFormat="1">
      <c r="A2607" s="672"/>
      <c r="B2607" s="755" t="s">
        <v>3632</v>
      </c>
      <c r="C2607" s="128">
        <v>22166119</v>
      </c>
      <c r="D2607" s="128"/>
      <c r="E2607" s="128"/>
      <c r="F2607" s="128"/>
      <c r="G2607" s="691" t="s">
        <v>3633</v>
      </c>
      <c r="H2607" s="691" t="s">
        <v>3634</v>
      </c>
      <c r="I2607" s="366"/>
      <c r="J2607" s="555"/>
      <c r="K2607" s="539"/>
      <c r="L2607" s="539"/>
      <c r="M2607" s="244"/>
      <c r="N2607" s="166"/>
      <c r="P2607" s="166"/>
    </row>
    <row r="2608" spans="1:16" s="7" customFormat="1">
      <c r="A2608" s="667"/>
      <c r="B2608" s="683" t="s">
        <v>3619</v>
      </c>
      <c r="C2608" s="128">
        <v>19576070</v>
      </c>
      <c r="D2608" s="128"/>
      <c r="E2608" s="128"/>
      <c r="F2608" s="128"/>
      <c r="G2608" s="684" t="s">
        <v>3620</v>
      </c>
      <c r="H2608" s="665"/>
      <c r="I2608" s="366">
        <v>22</v>
      </c>
      <c r="J2608" s="555"/>
      <c r="K2608" s="539"/>
      <c r="L2608" s="539"/>
      <c r="M2608" s="244"/>
      <c r="N2608" s="166"/>
      <c r="P2608" s="166"/>
    </row>
    <row r="2609" spans="1:16" s="7" customFormat="1">
      <c r="A2609" s="650"/>
      <c r="B2609" s="683" t="s">
        <v>3590</v>
      </c>
      <c r="C2609" s="128">
        <v>87926821</v>
      </c>
      <c r="D2609" s="128"/>
      <c r="E2609" s="128"/>
      <c r="F2609" s="128"/>
      <c r="G2609" s="670" t="s">
        <v>3591</v>
      </c>
      <c r="H2609" s="681" t="s">
        <v>3601</v>
      </c>
      <c r="I2609" s="366">
        <v>22</v>
      </c>
      <c r="J2609" s="555"/>
      <c r="K2609" s="539"/>
      <c r="L2609" s="539"/>
      <c r="M2609" s="244"/>
      <c r="N2609" s="166"/>
      <c r="P2609" s="166"/>
    </row>
    <row r="2610" spans="1:16" s="7" customFormat="1">
      <c r="A2610" s="650"/>
      <c r="B2610" s="671" t="s">
        <v>3566</v>
      </c>
      <c r="C2610" s="288"/>
      <c r="D2610" s="288"/>
      <c r="E2610" s="288"/>
      <c r="F2610" s="288"/>
      <c r="G2610" s="644"/>
      <c r="H2610" s="664" t="s">
        <v>3567</v>
      </c>
      <c r="I2610" s="360"/>
      <c r="J2610" s="555"/>
      <c r="K2610" s="539"/>
      <c r="L2610" s="539"/>
      <c r="M2610" s="244"/>
      <c r="N2610" s="166"/>
      <c r="P2610" s="166"/>
    </row>
    <row r="2611" spans="1:16" s="7" customFormat="1">
      <c r="A2611" s="637"/>
      <c r="B2611" s="657" t="s">
        <v>3542</v>
      </c>
      <c r="C2611" s="649">
        <v>97702714</v>
      </c>
      <c r="D2611" s="649"/>
      <c r="E2611" s="649"/>
      <c r="F2611" s="649"/>
      <c r="G2611" s="649"/>
      <c r="H2611" s="649" t="s">
        <v>3543</v>
      </c>
      <c r="I2611" s="649">
        <v>22</v>
      </c>
      <c r="J2611" s="555"/>
      <c r="K2611" s="539"/>
      <c r="L2611" s="539"/>
      <c r="M2611" s="244"/>
      <c r="N2611" s="166"/>
      <c r="P2611" s="166"/>
    </row>
    <row r="2612" spans="1:16" s="7" customFormat="1">
      <c r="A2612" s="637"/>
      <c r="B2612" s="704" t="s">
        <v>3539</v>
      </c>
      <c r="C2612" s="128">
        <v>78781004</v>
      </c>
      <c r="D2612" s="128"/>
      <c r="E2612" s="128"/>
      <c r="F2612" s="128"/>
      <c r="G2612" s="636"/>
      <c r="H2612" s="649" t="s">
        <v>3540</v>
      </c>
      <c r="I2612" s="649">
        <v>33</v>
      </c>
      <c r="J2612" s="555"/>
      <c r="K2612" s="539"/>
      <c r="L2612" s="539"/>
      <c r="M2612" s="244"/>
      <c r="N2612" s="166"/>
      <c r="P2612" s="166"/>
    </row>
    <row r="2613" spans="1:16" s="7" customFormat="1">
      <c r="A2613" s="626"/>
      <c r="B2613" s="648" t="s">
        <v>3531</v>
      </c>
      <c r="C2613" s="128">
        <v>38570295</v>
      </c>
      <c r="D2613" s="128"/>
      <c r="E2613" s="128"/>
      <c r="F2613" s="128"/>
      <c r="G2613" s="628"/>
      <c r="H2613" s="628"/>
      <c r="I2613" s="366"/>
      <c r="J2613" s="555"/>
      <c r="K2613" s="539"/>
      <c r="L2613" s="539"/>
      <c r="M2613" s="244"/>
      <c r="N2613" s="166"/>
      <c r="P2613" s="166"/>
    </row>
    <row r="2614" spans="1:16" s="7" customFormat="1">
      <c r="A2614" s="615"/>
      <c r="B2614" s="647" t="s">
        <v>3468</v>
      </c>
      <c r="C2614" s="421">
        <v>28873080</v>
      </c>
      <c r="D2614" s="421"/>
      <c r="E2614" s="421"/>
      <c r="F2614" s="421"/>
      <c r="G2614" s="630" t="s">
        <v>988</v>
      </c>
      <c r="H2614" s="623"/>
      <c r="I2614" s="422">
        <v>33</v>
      </c>
      <c r="J2614" s="555"/>
      <c r="K2614" s="539"/>
      <c r="L2614" s="539"/>
      <c r="M2614" s="244"/>
      <c r="N2614" s="166"/>
      <c r="P2614" s="166"/>
    </row>
    <row r="2615" spans="1:16" s="7" customFormat="1">
      <c r="A2615" s="615"/>
      <c r="B2615" s="629" t="s">
        <v>3466</v>
      </c>
      <c r="C2615" s="128">
        <v>43730813</v>
      </c>
      <c r="D2615" s="128"/>
      <c r="E2615" s="128"/>
      <c r="F2615" s="128"/>
      <c r="G2615" s="628" t="s">
        <v>2221</v>
      </c>
      <c r="H2615" s="628" t="s">
        <v>2221</v>
      </c>
      <c r="I2615" s="366">
        <v>8</v>
      </c>
      <c r="J2615" s="555"/>
      <c r="K2615" s="539"/>
      <c r="L2615" s="539"/>
      <c r="M2615" s="244"/>
      <c r="N2615" s="166"/>
      <c r="P2615" s="166"/>
    </row>
    <row r="2616" spans="1:16" s="7" customFormat="1">
      <c r="A2616" s="615"/>
      <c r="B2616" s="634" t="s">
        <v>3456</v>
      </c>
      <c r="C2616" s="128">
        <v>23021995</v>
      </c>
      <c r="D2616" s="128"/>
      <c r="E2616" s="128"/>
      <c r="F2616" s="128"/>
      <c r="G2616" s="616" t="s">
        <v>3457</v>
      </c>
      <c r="H2616" s="616" t="s">
        <v>3458</v>
      </c>
      <c r="I2616" s="366">
        <v>33</v>
      </c>
      <c r="J2616" s="555"/>
      <c r="K2616" s="539"/>
      <c r="L2616" s="539"/>
      <c r="M2616" s="244"/>
      <c r="N2616" s="166"/>
      <c r="P2616" s="166"/>
    </row>
    <row r="2617" spans="1:16" s="7" customFormat="1">
      <c r="A2617" s="615"/>
      <c r="B2617" s="775" t="s">
        <v>3449</v>
      </c>
      <c r="C2617" s="288">
        <v>60757843</v>
      </c>
      <c r="D2617" s="288"/>
      <c r="E2617" s="288"/>
      <c r="F2617" s="288"/>
      <c r="G2617" s="619" t="s">
        <v>2019</v>
      </c>
      <c r="H2617" s="619" t="s">
        <v>3450</v>
      </c>
      <c r="I2617" s="360"/>
      <c r="J2617" s="555"/>
      <c r="K2617" s="539"/>
      <c r="L2617" s="539"/>
      <c r="M2617" s="244"/>
      <c r="N2617" s="166"/>
      <c r="P2617" s="166"/>
    </row>
    <row r="2618" spans="1:16" s="7" customFormat="1">
      <c r="A2618" s="583"/>
      <c r="B2618" s="679" t="s">
        <v>3451</v>
      </c>
      <c r="C2618" s="128">
        <v>18214909</v>
      </c>
      <c r="D2618" s="128"/>
      <c r="E2618" s="128"/>
      <c r="F2618" s="128"/>
      <c r="G2618" s="616" t="s">
        <v>2019</v>
      </c>
      <c r="H2618" s="616" t="s">
        <v>3450</v>
      </c>
      <c r="I2618" s="366"/>
      <c r="J2618" s="555"/>
      <c r="K2618" s="539"/>
      <c r="L2618" s="539"/>
      <c r="M2618" s="244"/>
      <c r="N2618" s="166"/>
      <c r="P2618" s="166"/>
    </row>
    <row r="2619" spans="1:16" s="7" customFormat="1">
      <c r="A2619" s="557"/>
      <c r="B2619" s="603" t="s">
        <v>3386</v>
      </c>
      <c r="C2619" s="128">
        <v>10248332</v>
      </c>
      <c r="D2619" s="128"/>
      <c r="E2619" s="128"/>
      <c r="F2619" s="128"/>
      <c r="G2619" s="556"/>
      <c r="H2619" s="601" t="s">
        <v>3387</v>
      </c>
      <c r="I2619" s="366">
        <v>23</v>
      </c>
      <c r="J2619" s="555">
        <v>3</v>
      </c>
      <c r="K2619" s="539"/>
      <c r="L2619" s="539"/>
      <c r="M2619" s="244"/>
      <c r="N2619" s="166"/>
      <c r="P2619" s="166"/>
    </row>
    <row r="2620" spans="1:16" s="7" customFormat="1">
      <c r="A2620" s="557"/>
      <c r="B2620" s="589" t="s">
        <v>3343</v>
      </c>
      <c r="C2620" s="128"/>
      <c r="D2620" s="128"/>
      <c r="E2620" s="128"/>
      <c r="F2620" s="128"/>
      <c r="G2620" s="556"/>
      <c r="H2620" s="578" t="s">
        <v>3344</v>
      </c>
      <c r="I2620" s="366"/>
      <c r="J2620" s="555">
        <v>3</v>
      </c>
      <c r="K2620" s="539"/>
      <c r="L2620" s="539"/>
      <c r="M2620" s="244"/>
      <c r="N2620" s="166"/>
      <c r="P2620" s="166"/>
    </row>
    <row r="2621" spans="1:16" s="7" customFormat="1">
      <c r="A2621" s="542"/>
      <c r="B2621" s="577" t="s">
        <v>3338</v>
      </c>
      <c r="C2621" s="128">
        <v>27126603</v>
      </c>
      <c r="D2621" s="128"/>
      <c r="E2621" s="128"/>
      <c r="F2621" s="128"/>
      <c r="G2621" s="541"/>
      <c r="H2621" s="578" t="s">
        <v>3339</v>
      </c>
      <c r="I2621" s="366"/>
      <c r="J2621" s="514"/>
      <c r="K2621" s="361"/>
      <c r="L2621" s="361"/>
      <c r="M2621" s="244"/>
      <c r="N2621" s="166"/>
      <c r="P2621" s="166"/>
    </row>
    <row r="2622" spans="1:16" s="7" customFormat="1">
      <c r="A2622" s="542"/>
      <c r="B2622" s="577" t="s">
        <v>3317</v>
      </c>
      <c r="C2622" s="128">
        <v>64483009</v>
      </c>
      <c r="D2622" s="128"/>
      <c r="E2622" s="128"/>
      <c r="F2622" s="128"/>
      <c r="G2622" s="541"/>
      <c r="H2622" s="556" t="s">
        <v>3318</v>
      </c>
      <c r="I2622" s="366"/>
      <c r="J2622" s="514"/>
      <c r="K2622" s="361"/>
      <c r="L2622" s="361"/>
      <c r="M2622" s="244"/>
      <c r="N2622" s="166"/>
      <c r="P2622" s="166"/>
    </row>
    <row r="2623" spans="1:16" s="7" customFormat="1">
      <c r="A2623" s="542"/>
      <c r="B2623" s="548" t="s">
        <v>3272</v>
      </c>
      <c r="C2623" s="128">
        <v>98234998</v>
      </c>
      <c r="D2623" s="128"/>
      <c r="E2623" s="128"/>
      <c r="F2623" s="128"/>
      <c r="G2623" s="541" t="s">
        <v>3273</v>
      </c>
      <c r="H2623" s="541"/>
      <c r="I2623" s="366"/>
      <c r="J2623" s="514"/>
      <c r="K2623" s="361"/>
      <c r="L2623" s="361"/>
      <c r="M2623" s="244"/>
      <c r="N2623" s="166"/>
      <c r="P2623" s="166"/>
    </row>
    <row r="2624" spans="1:16" s="7" customFormat="1">
      <c r="A2624" s="542"/>
      <c r="B2624" s="548" t="s">
        <v>3270</v>
      </c>
      <c r="C2624" s="128">
        <v>98234998</v>
      </c>
      <c r="D2624" s="128"/>
      <c r="E2624" s="128"/>
      <c r="F2624" s="128"/>
      <c r="G2624" s="541" t="s">
        <v>3271</v>
      </c>
      <c r="H2624" s="541"/>
      <c r="I2624" s="366"/>
      <c r="J2624" s="514"/>
      <c r="K2624" s="361"/>
      <c r="L2624" s="361"/>
      <c r="M2624" s="244"/>
      <c r="N2624" s="166"/>
      <c r="P2624" s="166"/>
    </row>
    <row r="2625" spans="1:16" s="7" customFormat="1">
      <c r="A2625" s="538"/>
      <c r="B2625" s="566" t="s">
        <v>3264</v>
      </c>
      <c r="C2625" s="128">
        <v>74137343</v>
      </c>
      <c r="D2625" s="128"/>
      <c r="E2625" s="128"/>
      <c r="F2625" s="128"/>
      <c r="G2625" s="541" t="s">
        <v>3265</v>
      </c>
      <c r="H2625" s="541" t="s">
        <v>3266</v>
      </c>
      <c r="I2625" s="366"/>
      <c r="J2625" s="514"/>
      <c r="K2625" s="361"/>
      <c r="L2625" s="361"/>
      <c r="M2625" s="244"/>
      <c r="N2625" s="166"/>
      <c r="P2625" s="166"/>
    </row>
    <row r="2626" spans="1:16" s="7" customFormat="1">
      <c r="A2626" s="522"/>
      <c r="B2626" s="541" t="s">
        <v>3261</v>
      </c>
      <c r="C2626" s="128">
        <v>60583261</v>
      </c>
      <c r="D2626" s="128"/>
      <c r="E2626" s="128"/>
      <c r="F2626" s="128"/>
      <c r="G2626" s="541" t="s">
        <v>3262</v>
      </c>
      <c r="H2626" s="541" t="s">
        <v>3263</v>
      </c>
      <c r="I2626" s="366"/>
      <c r="J2626" s="514"/>
      <c r="K2626" s="361"/>
      <c r="L2626" s="361"/>
      <c r="M2626" s="244"/>
      <c r="N2626" s="166"/>
      <c r="P2626" s="166"/>
    </row>
    <row r="2627" spans="1:16" s="7" customFormat="1">
      <c r="A2627" s="522"/>
      <c r="B2627" s="541" t="s">
        <v>3259</v>
      </c>
      <c r="C2627" s="128"/>
      <c r="D2627" s="128"/>
      <c r="E2627" s="128"/>
      <c r="F2627" s="128"/>
      <c r="G2627" s="524"/>
      <c r="H2627" s="541" t="s">
        <v>3260</v>
      </c>
      <c r="I2627" s="366"/>
      <c r="J2627" s="514"/>
      <c r="K2627" s="361"/>
      <c r="L2627" s="361"/>
      <c r="M2627" s="244"/>
      <c r="N2627" s="166"/>
      <c r="P2627" s="166"/>
    </row>
    <row r="2628" spans="1:16" s="7" customFormat="1">
      <c r="A2628" s="522"/>
      <c r="B2628" s="541" t="s">
        <v>3235</v>
      </c>
      <c r="C2628" s="128">
        <v>11477873</v>
      </c>
      <c r="D2628" s="128"/>
      <c r="E2628" s="128"/>
      <c r="F2628" s="128"/>
      <c r="G2628" s="524"/>
      <c r="H2628" s="527" t="s">
        <v>3236</v>
      </c>
      <c r="I2628" s="366"/>
      <c r="J2628" s="514">
        <v>3</v>
      </c>
      <c r="K2628" s="361"/>
      <c r="L2628" s="361"/>
      <c r="M2628" s="244"/>
      <c r="N2628" s="166"/>
      <c r="P2628" s="166"/>
    </row>
    <row r="2629" spans="1:16" s="7" customFormat="1">
      <c r="A2629" s="517"/>
      <c r="B2629" s="527" t="s">
        <v>3226</v>
      </c>
      <c r="C2629" s="128">
        <v>66601291</v>
      </c>
      <c r="D2629" s="128"/>
      <c r="E2629" s="128"/>
      <c r="F2629" s="128"/>
      <c r="G2629" s="527" t="s">
        <v>3227</v>
      </c>
      <c r="H2629" s="527" t="s">
        <v>3228</v>
      </c>
      <c r="I2629" s="366"/>
      <c r="J2629" s="514"/>
      <c r="K2629" s="361"/>
      <c r="L2629" s="361"/>
      <c r="M2629" s="244"/>
      <c r="N2629" s="166"/>
      <c r="P2629" s="166"/>
    </row>
    <row r="2630" spans="1:16" s="7" customFormat="1">
      <c r="A2630" s="517"/>
      <c r="B2630" s="541" t="s">
        <v>3217</v>
      </c>
      <c r="C2630" s="128">
        <v>89435829</v>
      </c>
      <c r="D2630" s="128"/>
      <c r="E2630" s="128"/>
      <c r="F2630" s="128"/>
      <c r="G2630" s="461"/>
      <c r="H2630" s="524" t="s">
        <v>3218</v>
      </c>
      <c r="I2630" s="366"/>
      <c r="J2630" s="514">
        <v>3</v>
      </c>
      <c r="K2630" s="361"/>
      <c r="L2630" s="361"/>
      <c r="M2630" s="244"/>
      <c r="N2630" s="166"/>
      <c r="P2630" s="166"/>
    </row>
    <row r="2631" spans="1:16" s="7" customFormat="1">
      <c r="A2631" s="517"/>
      <c r="B2631" s="541" t="s">
        <v>3215</v>
      </c>
      <c r="C2631" s="128">
        <v>93222701</v>
      </c>
      <c r="D2631" s="128"/>
      <c r="E2631" s="128"/>
      <c r="F2631" s="128"/>
      <c r="G2631" s="461"/>
      <c r="H2631" s="524" t="s">
        <v>3216</v>
      </c>
      <c r="I2631" s="366"/>
      <c r="J2631" s="514">
        <v>5</v>
      </c>
      <c r="K2631" s="361"/>
      <c r="L2631" s="361"/>
      <c r="M2631" s="244"/>
      <c r="N2631" s="166"/>
      <c r="P2631" s="166"/>
    </row>
    <row r="2632" spans="1:16" s="7" customFormat="1">
      <c r="A2632" s="517"/>
      <c r="B2632" s="533" t="s">
        <v>3247</v>
      </c>
      <c r="C2632" s="288">
        <v>10110424</v>
      </c>
      <c r="D2632" s="288"/>
      <c r="E2632" s="288"/>
      <c r="F2632" s="288"/>
      <c r="G2632" s="532" t="s">
        <v>2124</v>
      </c>
      <c r="H2632" s="532" t="s">
        <v>3248</v>
      </c>
      <c r="I2632" s="360">
        <v>22</v>
      </c>
      <c r="J2632" s="514"/>
      <c r="K2632" s="361"/>
      <c r="L2632" s="361"/>
      <c r="M2632" s="244"/>
      <c r="N2632" s="166"/>
      <c r="P2632" s="166"/>
    </row>
    <row r="2633" spans="1:16" s="7" customFormat="1">
      <c r="A2633" s="513"/>
      <c r="B2633" s="518" t="s">
        <v>3199</v>
      </c>
      <c r="C2633" s="128">
        <v>11111111</v>
      </c>
      <c r="D2633" s="128"/>
      <c r="E2633" s="128"/>
      <c r="F2633" s="128"/>
      <c r="G2633" s="519"/>
      <c r="H2633" s="518" t="s">
        <v>3200</v>
      </c>
      <c r="I2633" s="366"/>
      <c r="J2633" s="514"/>
      <c r="K2633" s="361"/>
      <c r="L2633" s="361"/>
      <c r="M2633" s="244"/>
      <c r="N2633" s="166"/>
      <c r="P2633" s="166"/>
    </row>
    <row r="2634" spans="1:16" s="7" customFormat="1">
      <c r="A2634" s="513"/>
      <c r="B2634" s="518" t="s">
        <v>3194</v>
      </c>
      <c r="C2634" s="128">
        <v>39700543</v>
      </c>
      <c r="D2634" s="128"/>
      <c r="E2634" s="128"/>
      <c r="F2634" s="128"/>
      <c r="G2634" s="519"/>
      <c r="H2634" s="518" t="s">
        <v>3195</v>
      </c>
      <c r="I2634" s="366">
        <v>30</v>
      </c>
      <c r="J2634" s="514">
        <v>3</v>
      </c>
      <c r="K2634" s="361"/>
      <c r="L2634" s="361"/>
      <c r="M2634" s="244"/>
      <c r="N2634" s="166"/>
      <c r="P2634" s="166"/>
    </row>
    <row r="2635" spans="1:16" s="7" customFormat="1">
      <c r="A2635" s="510"/>
      <c r="B2635" s="518" t="s">
        <v>3192</v>
      </c>
      <c r="C2635" s="128">
        <v>33927574</v>
      </c>
      <c r="D2635" s="128"/>
      <c r="E2635" s="128"/>
      <c r="F2635" s="128"/>
      <c r="G2635" s="473"/>
      <c r="H2635" s="518" t="s">
        <v>3193</v>
      </c>
      <c r="I2635" s="366"/>
      <c r="J2635" s="360">
        <v>3</v>
      </c>
      <c r="K2635" s="361"/>
      <c r="L2635" s="361"/>
      <c r="M2635" s="244"/>
      <c r="N2635" s="166"/>
      <c r="P2635" s="166"/>
    </row>
    <row r="2636" spans="1:16" s="7" customFormat="1">
      <c r="A2636" s="510"/>
      <c r="B2636" s="518" t="s">
        <v>3188</v>
      </c>
      <c r="C2636" s="128">
        <v>78382361</v>
      </c>
      <c r="D2636" s="128"/>
      <c r="E2636" s="128"/>
      <c r="F2636" s="128"/>
      <c r="G2636" s="473"/>
      <c r="H2636" s="519" t="s">
        <v>3189</v>
      </c>
      <c r="I2636" s="366"/>
      <c r="J2636" s="360"/>
      <c r="K2636" s="361"/>
      <c r="L2636" s="361"/>
      <c r="M2636" s="244"/>
      <c r="N2636" s="166"/>
      <c r="P2636" s="166"/>
    </row>
    <row r="2637" spans="1:16" s="7" customFormat="1">
      <c r="A2637" s="506"/>
      <c r="B2637" s="518" t="s">
        <v>3158</v>
      </c>
      <c r="C2637" s="128">
        <v>94049108</v>
      </c>
      <c r="D2637" s="128"/>
      <c r="E2637" s="128"/>
      <c r="F2637" s="128"/>
      <c r="G2637" s="499"/>
      <c r="H2637" s="512" t="s">
        <v>3159</v>
      </c>
      <c r="I2637" s="366"/>
      <c r="J2637" s="360"/>
      <c r="K2637" s="361"/>
      <c r="L2637" s="361"/>
      <c r="M2637" s="244"/>
      <c r="N2637" s="166"/>
      <c r="P2637" s="166"/>
    </row>
    <row r="2638" spans="1:16" s="7" customFormat="1">
      <c r="A2638" s="501"/>
      <c r="B2638" s="505" t="s">
        <v>3136</v>
      </c>
      <c r="C2638" s="128">
        <v>44026606</v>
      </c>
      <c r="D2638" s="128"/>
      <c r="E2638" s="128"/>
      <c r="F2638" s="128"/>
      <c r="G2638" s="499"/>
      <c r="H2638" s="505" t="s">
        <v>3137</v>
      </c>
      <c r="I2638" s="366">
        <v>26</v>
      </c>
      <c r="J2638" s="360"/>
      <c r="K2638" s="361"/>
      <c r="L2638" s="361"/>
      <c r="M2638" s="244"/>
      <c r="N2638" s="166"/>
      <c r="P2638" s="166"/>
    </row>
    <row r="2639" spans="1:16" s="7" customFormat="1">
      <c r="A2639" s="501"/>
      <c r="B2639" s="505" t="s">
        <v>3134</v>
      </c>
      <c r="C2639" s="128">
        <v>85334563</v>
      </c>
      <c r="D2639" s="128"/>
      <c r="E2639" s="128"/>
      <c r="F2639" s="128"/>
      <c r="G2639" s="499"/>
      <c r="H2639" s="505" t="s">
        <v>3135</v>
      </c>
      <c r="I2639" s="366"/>
      <c r="J2639" s="360"/>
      <c r="K2639" s="361"/>
      <c r="L2639" s="361"/>
      <c r="M2639" s="244"/>
      <c r="N2639" s="166"/>
      <c r="P2639" s="166"/>
    </row>
    <row r="2640" spans="1:16" s="7" customFormat="1">
      <c r="A2640" s="496"/>
      <c r="B2640" s="592" t="s">
        <v>3130</v>
      </c>
      <c r="C2640" s="128">
        <v>19557035</v>
      </c>
      <c r="D2640" s="128"/>
      <c r="E2640" s="128"/>
      <c r="F2640" s="128"/>
      <c r="G2640" s="484"/>
      <c r="H2640" s="505" t="s">
        <v>3131</v>
      </c>
      <c r="I2640" s="366"/>
      <c r="J2640" s="360"/>
      <c r="K2640" s="361"/>
      <c r="L2640" s="361"/>
      <c r="M2640" s="244"/>
      <c r="N2640" s="166"/>
      <c r="P2640" s="166"/>
    </row>
    <row r="2641" spans="1:16" s="7" customFormat="1">
      <c r="A2641" s="496"/>
      <c r="B2641" s="516" t="s">
        <v>3116</v>
      </c>
      <c r="C2641" s="288">
        <v>97208524</v>
      </c>
      <c r="D2641" s="288"/>
      <c r="E2641" s="288"/>
      <c r="F2641" s="288"/>
      <c r="G2641" s="483"/>
      <c r="H2641" s="500" t="s">
        <v>3117</v>
      </c>
      <c r="I2641" s="360"/>
      <c r="J2641" s="360"/>
      <c r="K2641" s="361"/>
      <c r="L2641" s="361"/>
      <c r="M2641" s="244"/>
      <c r="N2641" s="166"/>
      <c r="P2641" s="166"/>
    </row>
    <row r="2642" spans="1:16" s="7" customFormat="1">
      <c r="A2642" s="490"/>
      <c r="B2642" s="504" t="s">
        <v>3108</v>
      </c>
      <c r="C2642" s="288">
        <v>96312327</v>
      </c>
      <c r="D2642" s="288"/>
      <c r="E2642" s="288"/>
      <c r="F2642" s="288"/>
      <c r="G2642" s="483"/>
      <c r="H2642" s="491" t="s">
        <v>3109</v>
      </c>
      <c r="I2642" s="360"/>
      <c r="J2642" s="360"/>
      <c r="K2642" s="361"/>
      <c r="L2642" s="361"/>
      <c r="M2642" s="244"/>
      <c r="N2642" s="166"/>
      <c r="P2642" s="166"/>
    </row>
    <row r="2643" spans="1:16" s="7" customFormat="1">
      <c r="A2643" s="488"/>
      <c r="B2643" s="499" t="s">
        <v>3102</v>
      </c>
      <c r="C2643" s="128">
        <v>41068246</v>
      </c>
      <c r="D2643" s="128"/>
      <c r="E2643" s="128"/>
      <c r="F2643" s="128"/>
      <c r="G2643" s="484"/>
      <c r="H2643" s="493" t="s">
        <v>3103</v>
      </c>
      <c r="I2643" s="366"/>
      <c r="J2643" s="360"/>
      <c r="K2643" s="361"/>
      <c r="L2643" s="361"/>
      <c r="M2643" s="244"/>
      <c r="N2643" s="166"/>
      <c r="P2643" s="166"/>
    </row>
    <row r="2644" spans="1:16" s="7" customFormat="1">
      <c r="A2644" s="488"/>
      <c r="B2644" s="493" t="s">
        <v>3098</v>
      </c>
      <c r="C2644" s="128">
        <v>80852709</v>
      </c>
      <c r="D2644" s="128"/>
      <c r="E2644" s="128"/>
      <c r="F2644" s="128"/>
      <c r="G2644" s="484"/>
      <c r="H2644" s="498" t="s">
        <v>3099</v>
      </c>
      <c r="I2644" s="498" t="s">
        <v>3100</v>
      </c>
      <c r="J2644" s="360"/>
      <c r="K2644" s="361"/>
      <c r="L2644" s="361"/>
      <c r="M2644" s="244"/>
      <c r="N2644" s="166"/>
      <c r="P2644" s="166"/>
    </row>
    <row r="2645" spans="1:16" s="7" customFormat="1">
      <c r="A2645" s="470"/>
      <c r="B2645" s="505" t="s">
        <v>3090</v>
      </c>
      <c r="C2645" s="128">
        <v>60607348</v>
      </c>
      <c r="D2645" s="128"/>
      <c r="E2645" s="128"/>
      <c r="F2645" s="128"/>
      <c r="G2645" s="473"/>
      <c r="H2645" s="498" t="s">
        <v>3091</v>
      </c>
      <c r="I2645" s="366"/>
      <c r="J2645" s="360"/>
      <c r="K2645" s="361"/>
      <c r="L2645" s="361"/>
      <c r="M2645" s="244"/>
      <c r="N2645" s="166"/>
      <c r="P2645" s="166"/>
    </row>
    <row r="2646" spans="1:16" s="7" customFormat="1">
      <c r="A2646" s="470"/>
      <c r="B2646" s="489"/>
      <c r="C2646" s="288"/>
      <c r="D2646" s="288"/>
      <c r="E2646" s="288"/>
      <c r="F2646" s="288"/>
      <c r="G2646" s="471"/>
      <c r="H2646" s="489"/>
      <c r="I2646" s="360"/>
      <c r="J2646" s="360"/>
      <c r="K2646" s="361"/>
      <c r="L2646" s="361"/>
      <c r="M2646" s="244"/>
      <c r="N2646" s="166"/>
      <c r="P2646" s="166"/>
    </row>
    <row r="2647" spans="1:16" s="7" customFormat="1">
      <c r="A2647" s="470"/>
      <c r="B2647" s="489"/>
      <c r="C2647" s="288"/>
      <c r="D2647" s="288"/>
      <c r="E2647" s="288"/>
      <c r="F2647" s="288"/>
      <c r="G2647" s="471"/>
      <c r="H2647" s="489"/>
      <c r="I2647" s="360"/>
      <c r="J2647" s="360"/>
      <c r="K2647" s="361"/>
      <c r="L2647" s="361"/>
      <c r="M2647" s="244"/>
      <c r="N2647" s="166"/>
      <c r="P2647" s="166"/>
    </row>
    <row r="2648" spans="1:16" s="7" customFormat="1">
      <c r="A2648" s="470"/>
      <c r="B2648" s="474" t="s">
        <v>3034</v>
      </c>
      <c r="C2648" s="421">
        <v>6041964</v>
      </c>
      <c r="D2648" s="421"/>
      <c r="E2648" s="421"/>
      <c r="F2648" s="421"/>
      <c r="G2648" s="466"/>
      <c r="H2648" s="474" t="s">
        <v>3035</v>
      </c>
      <c r="I2648" s="422"/>
      <c r="J2648" s="360"/>
      <c r="K2648" s="361"/>
      <c r="L2648" s="361"/>
      <c r="M2648" s="244"/>
      <c r="N2648" s="166"/>
      <c r="P2648" s="166"/>
    </row>
    <row r="2649" spans="1:16" s="7" customFormat="1">
      <c r="A2649" s="464"/>
      <c r="B2649" s="481" t="s">
        <v>3023</v>
      </c>
      <c r="C2649" s="421">
        <v>19720243</v>
      </c>
      <c r="D2649" s="421"/>
      <c r="E2649" s="421"/>
      <c r="F2649" s="421"/>
      <c r="G2649" s="472" t="s">
        <v>1009</v>
      </c>
      <c r="H2649" s="472" t="s">
        <v>3024</v>
      </c>
      <c r="I2649" s="422">
        <v>5</v>
      </c>
      <c r="J2649" s="360">
        <v>3</v>
      </c>
      <c r="K2649" s="361"/>
      <c r="L2649" s="361"/>
      <c r="M2649" s="244"/>
      <c r="N2649" s="166"/>
      <c r="P2649" s="166"/>
    </row>
    <row r="2650" spans="1:16" s="7" customFormat="1">
      <c r="A2650" s="2110">
        <v>45126</v>
      </c>
      <c r="B2650" s="471" t="s">
        <v>2999</v>
      </c>
      <c r="C2650" s="288">
        <v>46926648</v>
      </c>
      <c r="D2650" s="288"/>
      <c r="E2650" s="288"/>
      <c r="F2650" s="288"/>
      <c r="G2650" s="454" t="s">
        <v>2019</v>
      </c>
      <c r="H2650" s="454" t="s">
        <v>2947</v>
      </c>
      <c r="I2650" s="360"/>
      <c r="J2650" s="360"/>
      <c r="K2650" s="361"/>
      <c r="L2650" s="361"/>
      <c r="M2650" s="244"/>
      <c r="N2650" s="166"/>
      <c r="P2650" s="166"/>
    </row>
    <row r="2651" spans="1:16" s="7" customFormat="1">
      <c r="A2651" s="2108">
        <v>45124</v>
      </c>
      <c r="B2651" s="516" t="s">
        <v>2946</v>
      </c>
      <c r="C2651" s="288">
        <v>44975389</v>
      </c>
      <c r="D2651" s="288"/>
      <c r="E2651" s="288"/>
      <c r="F2651" s="288"/>
      <c r="G2651" s="454" t="s">
        <v>2019</v>
      </c>
      <c r="H2651" s="454" t="s">
        <v>2947</v>
      </c>
      <c r="I2651" s="360"/>
      <c r="J2651" s="360"/>
      <c r="K2651" s="361"/>
      <c r="L2651" s="361"/>
      <c r="M2651" s="244"/>
      <c r="N2651" s="166"/>
      <c r="P2651" s="166"/>
    </row>
    <row r="2652" spans="1:16" s="7" customFormat="1">
      <c r="A2652" s="453"/>
      <c r="B2652" s="454"/>
      <c r="C2652" s="288"/>
      <c r="D2652" s="288"/>
      <c r="E2652" s="288"/>
      <c r="F2652" s="288"/>
      <c r="G2652" s="454"/>
      <c r="H2652" s="454"/>
      <c r="I2652" s="360"/>
      <c r="J2652" s="360"/>
      <c r="K2652" s="361"/>
      <c r="L2652" s="361"/>
      <c r="M2652" s="244"/>
      <c r="N2652" s="166"/>
      <c r="P2652" s="166"/>
    </row>
    <row r="2653" spans="1:16" s="7" customFormat="1">
      <c r="A2653" s="453"/>
      <c r="B2653" s="454"/>
      <c r="C2653" s="288"/>
      <c r="D2653" s="288"/>
      <c r="E2653" s="288"/>
      <c r="F2653" s="288"/>
      <c r="G2653" s="454"/>
      <c r="H2653" s="454"/>
      <c r="I2653" s="360"/>
      <c r="J2653" s="360"/>
      <c r="K2653" s="361"/>
      <c r="L2653" s="361"/>
      <c r="M2653" s="244"/>
      <c r="N2653" s="166"/>
      <c r="P2653" s="166"/>
    </row>
    <row r="2654" spans="1:16" s="7" customFormat="1">
      <c r="A2654" s="497" t="s">
        <v>122</v>
      </c>
      <c r="B2654" s="459" t="s">
        <v>2962</v>
      </c>
      <c r="C2654" s="128">
        <v>69769773</v>
      </c>
      <c r="D2654" s="128"/>
      <c r="E2654" s="128"/>
      <c r="F2654" s="128"/>
      <c r="G2654" s="459" t="s">
        <v>2963</v>
      </c>
      <c r="H2654" s="459" t="s">
        <v>2964</v>
      </c>
      <c r="I2654" s="366"/>
      <c r="J2654" s="366"/>
      <c r="K2654" s="361"/>
      <c r="L2654" s="361"/>
      <c r="M2654" s="244"/>
      <c r="N2654" s="166"/>
      <c r="P2654" s="166"/>
    </row>
    <row r="2655" spans="1:16" s="7" customFormat="1">
      <c r="A2655" s="453"/>
      <c r="B2655" s="459" t="s">
        <v>2961</v>
      </c>
      <c r="C2655" s="128">
        <v>32468431</v>
      </c>
      <c r="D2655" s="128"/>
      <c r="E2655" s="128"/>
      <c r="F2655" s="128"/>
      <c r="G2655" s="459" t="s">
        <v>2958</v>
      </c>
      <c r="H2655" s="459" t="s">
        <v>2959</v>
      </c>
      <c r="I2655" s="366"/>
      <c r="J2655" s="366"/>
      <c r="K2655" s="361"/>
      <c r="L2655" s="361"/>
      <c r="M2655" s="244"/>
      <c r="N2655" s="166"/>
      <c r="P2655" s="166"/>
    </row>
    <row r="2656" spans="1:16" s="7" customFormat="1">
      <c r="A2656" s="453"/>
      <c r="B2656" s="459" t="s">
        <v>2960</v>
      </c>
      <c r="C2656" s="128">
        <v>24327713</v>
      </c>
      <c r="D2656" s="128"/>
      <c r="E2656" s="128"/>
      <c r="F2656" s="128"/>
      <c r="G2656" s="459" t="s">
        <v>2958</v>
      </c>
      <c r="H2656" s="459" t="s">
        <v>2959</v>
      </c>
      <c r="I2656" s="366"/>
      <c r="J2656" s="366"/>
      <c r="K2656" s="361"/>
      <c r="L2656" s="361"/>
      <c r="M2656" s="244"/>
      <c r="N2656" s="166"/>
      <c r="P2656" s="166"/>
    </row>
    <row r="2657" spans="1:16" s="7" customFormat="1">
      <c r="A2657" s="453"/>
      <c r="B2657" s="459" t="s">
        <v>2957</v>
      </c>
      <c r="C2657" s="128">
        <v>69816061</v>
      </c>
      <c r="D2657" s="128"/>
      <c r="E2657" s="128"/>
      <c r="F2657" s="128"/>
      <c r="G2657" s="459" t="s">
        <v>2958</v>
      </c>
      <c r="H2657" s="459" t="s">
        <v>2959</v>
      </c>
      <c r="I2657" s="366"/>
      <c r="J2657" s="366"/>
      <c r="K2657" s="361"/>
      <c r="L2657" s="361"/>
      <c r="M2657" s="244"/>
      <c r="N2657" s="166"/>
      <c r="P2657" s="166"/>
    </row>
    <row r="2658" spans="1:16" s="7" customFormat="1">
      <c r="A2658" s="439"/>
      <c r="B2658" s="459" t="s">
        <v>2944</v>
      </c>
      <c r="C2658" s="128">
        <v>65326730</v>
      </c>
      <c r="D2658" s="128"/>
      <c r="E2658" s="128"/>
      <c r="F2658" s="128"/>
      <c r="G2658" s="461" t="s">
        <v>713</v>
      </c>
      <c r="H2658" s="461" t="s">
        <v>2945</v>
      </c>
      <c r="I2658" s="366"/>
      <c r="J2658" s="366">
        <v>5</v>
      </c>
      <c r="K2658" s="361"/>
      <c r="L2658" s="361"/>
      <c r="M2658" s="244"/>
      <c r="N2658" s="166"/>
      <c r="P2658" s="166"/>
    </row>
    <row r="2659" spans="1:16" s="7" customFormat="1">
      <c r="A2659" s="419"/>
      <c r="B2659" s="459" t="s">
        <v>2857</v>
      </c>
      <c r="C2659" s="128">
        <v>96865823</v>
      </c>
      <c r="D2659" s="128"/>
      <c r="E2659" s="128"/>
      <c r="F2659" s="128"/>
      <c r="G2659" s="433" t="s">
        <v>713</v>
      </c>
      <c r="H2659" s="433" t="s">
        <v>2858</v>
      </c>
      <c r="I2659" s="366"/>
      <c r="J2659" s="429">
        <v>5</v>
      </c>
      <c r="K2659" s="361"/>
      <c r="L2659" s="361"/>
      <c r="M2659" s="244"/>
      <c r="N2659" s="166"/>
      <c r="P2659" s="166"/>
    </row>
    <row r="2660" spans="1:16" s="7" customFormat="1">
      <c r="A2660" s="409"/>
      <c r="B2660" s="423" t="s">
        <v>2792</v>
      </c>
      <c r="C2660" s="128">
        <v>50909387</v>
      </c>
      <c r="D2660" s="128"/>
      <c r="E2660" s="128"/>
      <c r="F2660" s="128"/>
      <c r="G2660" s="410"/>
      <c r="H2660" s="424" t="s">
        <v>2793</v>
      </c>
      <c r="I2660" s="366"/>
      <c r="J2660" s="360"/>
      <c r="K2660" s="361"/>
      <c r="L2660" s="361"/>
      <c r="M2660" s="244"/>
      <c r="N2660" s="166"/>
      <c r="P2660" s="166"/>
    </row>
    <row r="2661" spans="1:16" s="7" customFormat="1">
      <c r="A2661" s="409"/>
      <c r="B2661" s="416" t="s">
        <v>2766</v>
      </c>
      <c r="C2661" s="128">
        <v>55868468</v>
      </c>
      <c r="D2661" s="128"/>
      <c r="E2661" s="128"/>
      <c r="F2661" s="128"/>
      <c r="G2661" s="410"/>
      <c r="H2661" s="410" t="s">
        <v>2767</v>
      </c>
      <c r="I2661" s="366"/>
      <c r="J2661" s="360"/>
      <c r="K2661" s="361"/>
      <c r="L2661" s="361"/>
      <c r="M2661" s="244"/>
      <c r="N2661" s="166"/>
      <c r="P2661" s="166"/>
    </row>
    <row r="2662" spans="1:16" s="7" customFormat="1">
      <c r="A2662" s="402"/>
      <c r="B2662" s="416" t="s">
        <v>2765</v>
      </c>
      <c r="C2662" s="128">
        <v>33133489</v>
      </c>
      <c r="D2662" s="128"/>
      <c r="E2662" s="128"/>
      <c r="F2662" s="128"/>
      <c r="G2662" s="403"/>
      <c r="H2662" s="410" t="s">
        <v>2767</v>
      </c>
      <c r="I2662" s="366"/>
      <c r="J2662" s="360"/>
      <c r="K2662" s="361"/>
      <c r="L2662" s="361"/>
      <c r="M2662" s="244"/>
      <c r="N2662" s="166"/>
      <c r="P2662" s="166"/>
    </row>
    <row r="2663" spans="1:16" s="7" customFormat="1">
      <c r="A2663" s="397"/>
      <c r="B2663" s="408" t="s">
        <v>2753</v>
      </c>
      <c r="C2663" s="288">
        <v>88520567</v>
      </c>
      <c r="D2663" s="288"/>
      <c r="E2663" s="288"/>
      <c r="F2663" s="288"/>
      <c r="G2663" s="408" t="s">
        <v>2056</v>
      </c>
      <c r="H2663" s="408" t="s">
        <v>2754</v>
      </c>
      <c r="I2663" s="360"/>
      <c r="J2663" s="360"/>
      <c r="K2663" s="361"/>
      <c r="L2663" s="361"/>
      <c r="M2663" s="244"/>
      <c r="N2663" s="166"/>
      <c r="P2663" s="166"/>
    </row>
    <row r="2664" spans="1:16" s="7" customFormat="1">
      <c r="A2664" s="367"/>
      <c r="B2664" s="403" t="s">
        <v>2702</v>
      </c>
      <c r="C2664" s="128">
        <v>993601919</v>
      </c>
      <c r="D2664" s="128"/>
      <c r="E2664" s="128"/>
      <c r="F2664" s="128"/>
      <c r="G2664" s="369"/>
      <c r="H2664" s="399" t="s">
        <v>2703</v>
      </c>
      <c r="I2664" s="366"/>
      <c r="J2664" s="360"/>
      <c r="K2664" s="361"/>
      <c r="L2664" s="361"/>
      <c r="M2664" s="244"/>
      <c r="N2664" s="166"/>
      <c r="P2664" s="166"/>
    </row>
    <row r="2665" spans="1:16" s="7" customFormat="1">
      <c r="A2665" s="367"/>
      <c r="B2665" s="390" t="s">
        <v>2627</v>
      </c>
      <c r="C2665" s="391">
        <v>30197396</v>
      </c>
      <c r="D2665" s="391"/>
      <c r="E2665" s="391"/>
      <c r="F2665" s="391"/>
      <c r="G2665" s="391"/>
      <c r="H2665" s="391" t="s">
        <v>2628</v>
      </c>
      <c r="I2665" s="391"/>
      <c r="J2665" s="386"/>
      <c r="K2665" s="361"/>
      <c r="L2665" s="361"/>
      <c r="M2665" s="244"/>
      <c r="N2665" s="166"/>
      <c r="P2665" s="166"/>
    </row>
    <row r="2666" spans="1:16" s="7" customFormat="1">
      <c r="A2666" s="364"/>
      <c r="B2666" s="371" t="s">
        <v>2557</v>
      </c>
      <c r="C2666" s="128">
        <v>96839361</v>
      </c>
      <c r="D2666" s="128"/>
      <c r="E2666" s="128"/>
      <c r="F2666" s="128"/>
      <c r="G2666" s="366"/>
      <c r="H2666" s="371" t="s">
        <v>2558</v>
      </c>
      <c r="I2666" s="366"/>
      <c r="J2666" s="360"/>
      <c r="K2666" s="361"/>
      <c r="L2666" s="361"/>
      <c r="M2666" s="244"/>
      <c r="N2666" s="166"/>
      <c r="P2666" s="166"/>
    </row>
    <row r="2667" spans="1:16" s="7" customFormat="1">
      <c r="A2667" s="356"/>
      <c r="B2667" s="371" t="s">
        <v>2548</v>
      </c>
      <c r="C2667" s="128"/>
      <c r="D2667" s="128"/>
      <c r="E2667" s="128"/>
      <c r="F2667" s="128"/>
      <c r="G2667" s="366"/>
      <c r="H2667" s="366"/>
      <c r="I2667" s="366"/>
      <c r="J2667" s="360"/>
      <c r="K2667" s="361"/>
      <c r="L2667" s="361"/>
      <c r="M2667" s="244"/>
      <c r="N2667" s="166"/>
      <c r="P2667" s="166"/>
    </row>
    <row r="2668" spans="1:16" s="7" customFormat="1">
      <c r="A2668" s="356"/>
      <c r="B2668" s="371" t="s">
        <v>2524</v>
      </c>
      <c r="C2668" s="128">
        <v>68965796</v>
      </c>
      <c r="D2668" s="128"/>
      <c r="E2668" s="128"/>
      <c r="F2668" s="128"/>
      <c r="G2668" s="366"/>
      <c r="H2668" s="365" t="s">
        <v>2525</v>
      </c>
      <c r="I2668" s="366"/>
      <c r="J2668" s="360"/>
      <c r="K2668" s="361"/>
      <c r="L2668" s="361"/>
      <c r="M2668" s="244"/>
      <c r="N2668" s="166"/>
      <c r="P2668" s="166"/>
    </row>
    <row r="2669" spans="1:16" s="7" customFormat="1">
      <c r="A2669" s="356"/>
      <c r="B2669" s="371" t="s">
        <v>2519</v>
      </c>
      <c r="C2669" s="128">
        <v>15336719</v>
      </c>
      <c r="D2669" s="128"/>
      <c r="E2669" s="128"/>
      <c r="F2669" s="128"/>
      <c r="G2669" s="366"/>
      <c r="H2669" s="365" t="s">
        <v>2520</v>
      </c>
      <c r="I2669" s="366"/>
      <c r="J2669" s="360"/>
      <c r="K2669" s="361"/>
      <c r="L2669" s="361"/>
      <c r="M2669" s="244"/>
      <c r="N2669" s="166"/>
      <c r="P2669" s="166"/>
    </row>
    <row r="2670" spans="1:16" s="7" customFormat="1">
      <c r="A2670" s="356"/>
      <c r="B2670" s="363" t="s">
        <v>2517</v>
      </c>
      <c r="C2670" s="6">
        <v>56909648</v>
      </c>
      <c r="D2670" s="6"/>
      <c r="E2670" s="6"/>
      <c r="F2670" s="6"/>
      <c r="G2670" s="357"/>
      <c r="H2670" s="363" t="s">
        <v>2518</v>
      </c>
      <c r="I2670" s="357"/>
      <c r="J2670" s="356"/>
      <c r="K2670" s="241"/>
      <c r="L2670" s="241"/>
      <c r="M2670" s="244"/>
      <c r="N2670" s="166"/>
      <c r="P2670" s="166"/>
    </row>
    <row r="2671" spans="1:16" s="7" customFormat="1">
      <c r="A2671" s="352"/>
      <c r="B2671" s="362" t="s">
        <v>2482</v>
      </c>
      <c r="C2671" s="6">
        <v>95663498</v>
      </c>
      <c r="D2671" s="6"/>
      <c r="E2671" s="6"/>
      <c r="F2671" s="6"/>
      <c r="G2671" s="340"/>
      <c r="H2671" s="357" t="s">
        <v>2481</v>
      </c>
      <c r="I2671" s="6"/>
      <c r="K2671" s="241"/>
      <c r="L2671" s="241"/>
      <c r="M2671" s="244"/>
      <c r="N2671" s="166"/>
      <c r="P2671" s="166"/>
    </row>
    <row r="2672" spans="1:16" s="7" customFormat="1">
      <c r="A2672" s="344"/>
      <c r="B2672" s="363" t="s">
        <v>2480</v>
      </c>
      <c r="C2672" s="6">
        <v>19061547</v>
      </c>
      <c r="D2672" s="6"/>
      <c r="E2672" s="6"/>
      <c r="F2672" s="6"/>
      <c r="G2672" s="340"/>
      <c r="H2672" s="357" t="s">
        <v>2481</v>
      </c>
      <c r="I2672" s="6"/>
      <c r="K2672" s="241"/>
      <c r="L2672" s="241"/>
      <c r="M2672" s="244"/>
      <c r="N2672" s="166"/>
      <c r="P2672" s="166"/>
    </row>
    <row r="2673" spans="1:16" s="7" customFormat="1">
      <c r="A2673" s="339"/>
      <c r="B2673" s="439" t="s">
        <v>2360</v>
      </c>
      <c r="C2673" s="7">
        <v>45538838</v>
      </c>
      <c r="D2673" s="339" t="s">
        <v>2361</v>
      </c>
      <c r="E2673" s="339"/>
      <c r="H2673" s="336"/>
      <c r="K2673" s="241">
        <v>975124600</v>
      </c>
      <c r="L2673" s="241"/>
      <c r="M2673" s="244"/>
      <c r="N2673" s="166"/>
      <c r="P2673" s="166"/>
    </row>
    <row r="2674" spans="1:16" s="7" customFormat="1">
      <c r="A2674" s="339"/>
      <c r="B2674" s="350" t="s">
        <v>2358</v>
      </c>
      <c r="C2674" s="6">
        <v>56110638</v>
      </c>
      <c r="D2674" s="6"/>
      <c r="E2674" s="6"/>
      <c r="F2674" s="6"/>
      <c r="G2674" s="6"/>
      <c r="H2674" s="340" t="s">
        <v>2359</v>
      </c>
      <c r="I2674" s="6"/>
      <c r="K2674" s="241"/>
      <c r="L2674" s="241"/>
      <c r="M2674" s="244"/>
      <c r="N2674" s="166"/>
      <c r="P2674" s="166"/>
    </row>
    <row r="2675" spans="1:16" s="7" customFormat="1">
      <c r="A2675" s="337"/>
      <c r="B2675" s="341" t="s">
        <v>2357</v>
      </c>
      <c r="C2675" s="342">
        <v>14911135</v>
      </c>
      <c r="D2675" s="342"/>
      <c r="E2675" s="342"/>
      <c r="F2675" s="342"/>
      <c r="G2675" s="342"/>
      <c r="H2675" s="341" t="s">
        <v>2356</v>
      </c>
      <c r="I2675" s="342"/>
      <c r="K2675" s="241"/>
      <c r="L2675" s="241"/>
      <c r="M2675" s="244"/>
      <c r="N2675" s="166"/>
      <c r="P2675" s="166"/>
    </row>
    <row r="2676" spans="1:16" s="7" customFormat="1">
      <c r="A2676" s="337"/>
      <c r="B2676" s="341" t="s">
        <v>2355</v>
      </c>
      <c r="C2676" s="342">
        <v>66528620</v>
      </c>
      <c r="D2676" s="342"/>
      <c r="E2676" s="342"/>
      <c r="F2676" s="342"/>
      <c r="G2676" s="342"/>
      <c r="H2676" s="341" t="s">
        <v>2356</v>
      </c>
      <c r="I2676" s="342"/>
      <c r="K2676" s="241"/>
      <c r="L2676" s="241"/>
      <c r="M2676" s="244"/>
      <c r="N2676" s="166"/>
      <c r="P2676" s="166"/>
    </row>
    <row r="2677" spans="1:16" s="7" customFormat="1">
      <c r="A2677" s="337"/>
      <c r="B2677" s="340" t="s">
        <v>2353</v>
      </c>
      <c r="C2677" s="6">
        <v>83403008</v>
      </c>
      <c r="D2677" s="6"/>
      <c r="E2677" s="6"/>
      <c r="F2677" s="6"/>
      <c r="G2677" s="6"/>
      <c r="H2677" s="340" t="s">
        <v>2354</v>
      </c>
      <c r="I2677" s="6"/>
      <c r="K2677" s="241"/>
      <c r="L2677" s="241"/>
      <c r="M2677" s="244"/>
      <c r="N2677" s="166"/>
      <c r="P2677" s="166"/>
    </row>
    <row r="2678" spans="1:16" s="7" customFormat="1">
      <c r="A2678" s="337"/>
      <c r="B2678" s="341" t="s">
        <v>2350</v>
      </c>
      <c r="C2678" s="342">
        <v>34326493</v>
      </c>
      <c r="D2678" s="342"/>
      <c r="E2678" s="342"/>
      <c r="F2678" s="342"/>
      <c r="G2678" s="342" t="s">
        <v>736</v>
      </c>
      <c r="H2678" s="341" t="s">
        <v>2351</v>
      </c>
      <c r="I2678" s="342"/>
      <c r="K2678" s="241"/>
      <c r="L2678" s="241"/>
      <c r="M2678" s="244"/>
      <c r="N2678" s="166"/>
      <c r="P2678" s="166"/>
    </row>
    <row r="2679" spans="1:16" s="7" customFormat="1">
      <c r="A2679" s="337"/>
      <c r="B2679" s="341"/>
      <c r="C2679" s="342"/>
      <c r="D2679" s="342"/>
      <c r="E2679" s="342"/>
      <c r="F2679" s="342"/>
      <c r="G2679" s="342"/>
      <c r="H2679" s="341"/>
      <c r="I2679" s="342"/>
      <c r="K2679" s="241"/>
      <c r="L2679" s="241"/>
      <c r="M2679" s="244"/>
      <c r="N2679" s="166"/>
      <c r="P2679" s="166">
        <v>48</v>
      </c>
    </row>
    <row r="2680" spans="1:16" s="7" customFormat="1">
      <c r="A2680" s="337"/>
      <c r="B2680" s="341"/>
      <c r="C2680" s="342"/>
      <c r="D2680" s="342"/>
      <c r="E2680" s="342"/>
      <c r="F2680" s="342"/>
      <c r="G2680" s="342"/>
      <c r="H2680" s="341"/>
      <c r="I2680" s="342"/>
      <c r="K2680" s="241"/>
      <c r="L2680" s="241"/>
      <c r="M2680" s="244"/>
      <c r="N2680" s="166"/>
      <c r="P2680" s="166">
        <v>95</v>
      </c>
    </row>
    <row r="2681" spans="1:16" s="7" customFormat="1">
      <c r="A2681" s="334"/>
      <c r="B2681" s="333"/>
      <c r="H2681" s="330"/>
      <c r="K2681" s="241"/>
      <c r="L2681" s="241"/>
      <c r="M2681" s="244"/>
      <c r="N2681" s="166"/>
      <c r="P2681" s="166">
        <v>353</v>
      </c>
    </row>
    <row r="2682" spans="1:16" s="7" customFormat="1">
      <c r="A2682" s="330"/>
      <c r="B2682" s="338" t="s">
        <v>2330</v>
      </c>
      <c r="C2682" s="6">
        <v>84451503</v>
      </c>
      <c r="D2682" s="6"/>
      <c r="E2682" s="6"/>
      <c r="F2682" s="6"/>
      <c r="G2682" s="6"/>
      <c r="H2682" s="338" t="s">
        <v>2331</v>
      </c>
      <c r="I2682" s="6"/>
      <c r="K2682" s="241"/>
      <c r="L2682" s="241"/>
      <c r="M2682" s="244"/>
      <c r="N2682" s="166"/>
      <c r="P2682" s="166">
        <v>42</v>
      </c>
    </row>
    <row r="2683" spans="1:16" s="7" customFormat="1">
      <c r="A2683" s="2387">
        <v>45089</v>
      </c>
      <c r="B2683" s="339" t="s">
        <v>2324</v>
      </c>
      <c r="C2683" s="7">
        <v>72369671</v>
      </c>
      <c r="G2683" s="7" t="s">
        <v>2317</v>
      </c>
      <c r="H2683" s="336" t="s">
        <v>2326</v>
      </c>
      <c r="K2683" s="241"/>
      <c r="L2683" s="241"/>
      <c r="M2683" s="244"/>
      <c r="N2683" s="166"/>
      <c r="P2683" s="166">
        <v>42</v>
      </c>
    </row>
    <row r="2684" spans="1:16" s="7" customFormat="1">
      <c r="A2684" s="327"/>
      <c r="B2684" s="331" t="s">
        <v>2293</v>
      </c>
      <c r="C2684" s="6">
        <v>11323799</v>
      </c>
      <c r="D2684" s="6"/>
      <c r="E2684" s="6"/>
      <c r="F2684" s="6"/>
      <c r="G2684" s="6"/>
      <c r="H2684" s="331" t="s">
        <v>2294</v>
      </c>
      <c r="I2684" s="6"/>
      <c r="K2684" s="241"/>
      <c r="L2684" s="241"/>
      <c r="M2684" s="244"/>
      <c r="N2684" s="166"/>
      <c r="P2684" s="166">
        <v>1000</v>
      </c>
    </row>
    <row r="2685" spans="1:16" s="7" customFormat="1">
      <c r="A2685" s="327"/>
      <c r="B2685" s="337" t="s">
        <v>2291</v>
      </c>
      <c r="C2685" s="7">
        <v>79169390</v>
      </c>
      <c r="H2685" s="330" t="s">
        <v>2292</v>
      </c>
      <c r="K2685" s="241"/>
      <c r="L2685" s="241"/>
      <c r="M2685" s="244"/>
      <c r="N2685" s="166"/>
      <c r="P2685" s="166">
        <v>90</v>
      </c>
    </row>
    <row r="2686" spans="1:16" s="7" customFormat="1">
      <c r="A2686" s="321"/>
      <c r="B2686" s="328" t="s">
        <v>2220</v>
      </c>
      <c r="C2686" s="6">
        <v>12078800</v>
      </c>
      <c r="D2686" s="6"/>
      <c r="E2686" s="6"/>
      <c r="F2686" s="6"/>
      <c r="G2686" s="6"/>
      <c r="H2686" s="328" t="s">
        <v>2221</v>
      </c>
      <c r="I2686" s="6"/>
      <c r="K2686" s="242"/>
      <c r="L2686" s="242"/>
      <c r="M2686" s="244"/>
      <c r="N2686" s="166"/>
      <c r="P2686" s="166">
        <v>88</v>
      </c>
    </row>
    <row r="2687" spans="1:16" s="7" customFormat="1">
      <c r="A2687" s="321"/>
      <c r="B2687" s="320"/>
      <c r="H2687" s="321"/>
      <c r="K2687" s="241"/>
      <c r="L2687" s="241"/>
      <c r="M2687" s="244"/>
      <c r="N2687" s="166">
        <f>1490*4</f>
        <v>5960</v>
      </c>
      <c r="P2687" s="166">
        <v>100</v>
      </c>
    </row>
    <row r="2688" spans="1:16" s="7" customFormat="1">
      <c r="A2688" s="321"/>
      <c r="B2688" s="326" t="s">
        <v>2202</v>
      </c>
      <c r="C2688" s="6">
        <v>48124647</v>
      </c>
      <c r="D2688" s="6"/>
      <c r="E2688" s="6"/>
      <c r="F2688" s="6"/>
      <c r="G2688" s="6"/>
      <c r="H2688" s="326" t="s">
        <v>2201</v>
      </c>
      <c r="K2688" s="241"/>
      <c r="L2688" s="241"/>
      <c r="M2688" s="244"/>
      <c r="N2688" s="166">
        <f>28000000/11450</f>
        <v>2445.4148471615722</v>
      </c>
      <c r="P2688" s="166">
        <v>43</v>
      </c>
    </row>
    <row r="2689" spans="1:16" s="7" customFormat="1">
      <c r="A2689" s="321"/>
      <c r="B2689" s="326" t="s">
        <v>2200</v>
      </c>
      <c r="C2689" s="6">
        <v>51049594</v>
      </c>
      <c r="D2689" s="6"/>
      <c r="E2689" s="6"/>
      <c r="F2689" s="6"/>
      <c r="G2689" s="6"/>
      <c r="H2689" s="326" t="s">
        <v>2201</v>
      </c>
      <c r="K2689" s="241"/>
      <c r="L2689" s="241"/>
      <c r="M2689" s="244"/>
      <c r="N2689" s="166"/>
      <c r="P2689" s="166">
        <v>106</v>
      </c>
    </row>
    <row r="2690" spans="1:16" s="7" customFormat="1">
      <c r="A2690" s="320"/>
      <c r="B2690" s="331" t="s">
        <v>2190</v>
      </c>
      <c r="C2690" s="6">
        <v>56660034</v>
      </c>
      <c r="D2690" s="6"/>
      <c r="E2690" s="6"/>
      <c r="F2690" s="6"/>
      <c r="G2690" s="6"/>
      <c r="H2690" s="322" t="s">
        <v>2191</v>
      </c>
      <c r="I2690" s="6"/>
      <c r="K2690" s="241"/>
      <c r="L2690" s="241"/>
      <c r="M2690" s="244"/>
      <c r="N2690" s="166">
        <f>+N2687-N2688</f>
        <v>3514.5851528384278</v>
      </c>
      <c r="P2690" s="166">
        <v>236</v>
      </c>
    </row>
    <row r="2691" spans="1:16" s="7" customFormat="1">
      <c r="A2691" s="320"/>
      <c r="B2691" s="321" t="s">
        <v>1163</v>
      </c>
      <c r="C2691" s="7">
        <v>33115834</v>
      </c>
      <c r="H2691" s="321" t="s">
        <v>2172</v>
      </c>
      <c r="K2691" s="241"/>
      <c r="L2691" s="241"/>
      <c r="M2691" s="244"/>
      <c r="N2691" s="166"/>
      <c r="P2691" s="166">
        <v>555</v>
      </c>
    </row>
    <row r="2692" spans="1:16" s="7" customFormat="1">
      <c r="A2692" s="314"/>
      <c r="B2692" s="322" t="s">
        <v>2170</v>
      </c>
      <c r="C2692" s="6">
        <v>89489856</v>
      </c>
      <c r="D2692" s="6"/>
      <c r="E2692" s="6"/>
      <c r="F2692" s="6"/>
      <c r="G2692" s="6"/>
      <c r="H2692" s="319" t="s">
        <v>2171</v>
      </c>
      <c r="I2692" s="6"/>
      <c r="K2692" s="241"/>
      <c r="L2692" s="241"/>
      <c r="M2692" s="244"/>
      <c r="N2692" s="166">
        <f>14.59*11450</f>
        <v>167055.5</v>
      </c>
      <c r="P2692" s="166">
        <v>60</v>
      </c>
    </row>
    <row r="2693" spans="1:16" s="7" customFormat="1">
      <c r="A2693" s="314"/>
      <c r="B2693" s="388" t="s">
        <v>2152</v>
      </c>
      <c r="C2693" s="6">
        <v>39727096</v>
      </c>
      <c r="D2693" s="6"/>
      <c r="E2693" s="6"/>
      <c r="F2693" s="6"/>
      <c r="G2693" s="6"/>
      <c r="H2693" s="319" t="s">
        <v>2153</v>
      </c>
      <c r="I2693" s="6"/>
      <c r="K2693" s="241"/>
      <c r="L2693" s="241"/>
      <c r="M2693" s="244"/>
      <c r="N2693" s="166"/>
      <c r="P2693" s="166"/>
    </row>
    <row r="2694" spans="1:16" s="7" customFormat="1">
      <c r="A2694" s="314"/>
      <c r="B2694" s="319" t="s">
        <v>2150</v>
      </c>
      <c r="C2694" s="6">
        <v>53128754</v>
      </c>
      <c r="D2694" s="6"/>
      <c r="E2694" s="6"/>
      <c r="F2694" s="6"/>
      <c r="G2694" s="6"/>
      <c r="H2694" s="319" t="s">
        <v>2151</v>
      </c>
      <c r="I2694" s="6"/>
      <c r="K2694" s="314"/>
      <c r="L2694" s="314"/>
      <c r="M2694" s="244"/>
      <c r="N2694" s="166"/>
      <c r="P2694" s="166"/>
    </row>
    <row r="2695" spans="1:16" s="7" customFormat="1">
      <c r="A2695" s="314"/>
      <c r="B2695" s="387" t="s">
        <v>2143</v>
      </c>
      <c r="C2695" s="6">
        <v>68521467</v>
      </c>
      <c r="D2695" s="6"/>
      <c r="E2695" s="6"/>
      <c r="F2695" s="6"/>
      <c r="G2695" s="6"/>
      <c r="H2695" s="317" t="s">
        <v>2144</v>
      </c>
      <c r="I2695" s="6"/>
      <c r="K2695" s="314"/>
      <c r="L2695" s="314"/>
      <c r="M2695" s="244"/>
      <c r="N2695" s="166"/>
      <c r="P2695" s="166"/>
    </row>
    <row r="2696" spans="1:16" s="7" customFormat="1">
      <c r="A2696" s="314"/>
      <c r="B2696" s="345" t="s">
        <v>2137</v>
      </c>
      <c r="C2696" s="2">
        <v>79476298</v>
      </c>
      <c r="D2696" s="2"/>
      <c r="E2696" s="2"/>
      <c r="F2696" s="2"/>
      <c r="G2696" s="2"/>
      <c r="H2696" s="318" t="s">
        <v>2136</v>
      </c>
      <c r="I2696" s="2"/>
      <c r="K2696" s="241"/>
      <c r="L2696" s="241"/>
      <c r="M2696" s="244"/>
      <c r="N2696" s="166"/>
      <c r="P2696" s="166"/>
    </row>
    <row r="2697" spans="1:16" s="7" customFormat="1">
      <c r="A2697" s="314"/>
      <c r="B2697" s="319" t="s">
        <v>2135</v>
      </c>
      <c r="C2697" s="317">
        <v>81915768</v>
      </c>
      <c r="D2697" s="317"/>
      <c r="E2697" s="317"/>
      <c r="F2697" s="317"/>
      <c r="G2697" s="317"/>
      <c r="H2697" s="317" t="s">
        <v>2136</v>
      </c>
      <c r="I2697" s="317"/>
      <c r="J2697" s="316"/>
      <c r="K2697" s="241"/>
      <c r="L2697" s="241"/>
      <c r="M2697" s="244"/>
      <c r="N2697" s="166"/>
      <c r="P2697" s="166"/>
    </row>
    <row r="2698" spans="1:16" s="7" customFormat="1">
      <c r="A2698" s="310"/>
      <c r="B2698" s="328" t="s">
        <v>2125</v>
      </c>
      <c r="C2698" s="6">
        <v>46324389</v>
      </c>
      <c r="D2698" s="6"/>
      <c r="E2698" s="6"/>
      <c r="F2698" s="6"/>
      <c r="G2698" s="6"/>
      <c r="H2698" s="313" t="s">
        <v>2126</v>
      </c>
      <c r="I2698" s="6"/>
      <c r="K2698" s="241"/>
      <c r="L2698" s="241"/>
      <c r="M2698" s="244"/>
      <c r="N2698" s="166"/>
      <c r="P2698" s="166"/>
    </row>
    <row r="2699" spans="1:16" s="7" customFormat="1">
      <c r="A2699" s="310"/>
      <c r="B2699" s="310" t="s">
        <v>2079</v>
      </c>
      <c r="C2699" s="7">
        <v>34901725</v>
      </c>
      <c r="H2699" s="310" t="s">
        <v>2080</v>
      </c>
      <c r="K2699" s="241"/>
      <c r="L2699" s="241"/>
      <c r="M2699" s="244"/>
      <c r="N2699" s="166"/>
      <c r="P2699" s="166"/>
    </row>
    <row r="2700" spans="1:16" s="7" customFormat="1">
      <c r="A2700" s="301"/>
      <c r="B2700" s="310" t="s">
        <v>2077</v>
      </c>
      <c r="C2700" s="7">
        <v>38536709</v>
      </c>
      <c r="H2700" s="310" t="s">
        <v>2078</v>
      </c>
      <c r="K2700" s="241"/>
      <c r="L2700" s="241"/>
      <c r="M2700" s="244"/>
      <c r="N2700" s="166"/>
      <c r="P2700" s="166"/>
    </row>
    <row r="2701" spans="1:16" s="7" customFormat="1">
      <c r="A2701" s="301"/>
      <c r="B2701" s="304" t="s">
        <v>2069</v>
      </c>
      <c r="C2701" s="7">
        <v>32340972</v>
      </c>
      <c r="H2701" s="304" t="s">
        <v>2070</v>
      </c>
      <c r="K2701" s="241"/>
      <c r="L2701" s="241"/>
      <c r="M2701" s="244"/>
      <c r="N2701" s="166"/>
      <c r="P2701" s="166"/>
    </row>
    <row r="2702" spans="1:16" s="7" customFormat="1">
      <c r="A2702" s="301"/>
      <c r="B2702" s="305" t="s">
        <v>2044</v>
      </c>
      <c r="C2702" s="6">
        <v>87211621</v>
      </c>
      <c r="D2702" s="6"/>
      <c r="E2702" s="6"/>
      <c r="F2702" s="6"/>
      <c r="G2702" s="6"/>
      <c r="H2702" s="300" t="s">
        <v>2045</v>
      </c>
      <c r="I2702" s="6"/>
      <c r="K2702" s="241"/>
      <c r="L2702" s="241"/>
      <c r="M2702" s="244"/>
      <c r="N2702" s="166"/>
      <c r="P2702" s="166"/>
    </row>
    <row r="2703" spans="1:16" s="7" customFormat="1">
      <c r="A2703" s="279"/>
      <c r="B2703" s="309" t="s">
        <v>2042</v>
      </c>
      <c r="C2703" s="6">
        <v>18258821</v>
      </c>
      <c r="D2703" s="6"/>
      <c r="E2703" s="6"/>
      <c r="F2703" s="6"/>
      <c r="G2703" s="6"/>
      <c r="H2703" s="300" t="s">
        <v>2043</v>
      </c>
      <c r="I2703" s="6"/>
      <c r="K2703" s="241"/>
      <c r="L2703" s="241"/>
      <c r="M2703" s="244"/>
      <c r="N2703" s="166"/>
      <c r="P2703" s="166"/>
    </row>
    <row r="2704" spans="1:16" s="7" customFormat="1">
      <c r="A2704" s="279"/>
      <c r="B2704" s="306" t="s">
        <v>2040</v>
      </c>
      <c r="C2704" s="28">
        <v>28253525</v>
      </c>
      <c r="D2704" s="28"/>
      <c r="E2704" s="28"/>
      <c r="F2704" s="28"/>
      <c r="G2704" s="28"/>
      <c r="H2704" s="307" t="s">
        <v>2041</v>
      </c>
      <c r="I2704" s="28"/>
      <c r="K2704" s="241"/>
      <c r="L2704" s="241"/>
      <c r="M2704" s="244"/>
      <c r="N2704" s="166"/>
      <c r="P2704" s="166"/>
    </row>
    <row r="2705" spans="1:16" s="7" customFormat="1">
      <c r="A2705" s="279"/>
      <c r="B2705" s="388" t="s">
        <v>2024</v>
      </c>
      <c r="C2705" s="6">
        <v>85331492</v>
      </c>
      <c r="D2705" s="6"/>
      <c r="E2705" s="6"/>
      <c r="F2705" s="6"/>
      <c r="G2705" s="6"/>
      <c r="H2705" s="299" t="s">
        <v>1500</v>
      </c>
      <c r="I2705" s="6"/>
      <c r="K2705" s="241"/>
      <c r="L2705" s="241"/>
      <c r="M2705" s="244"/>
      <c r="N2705" s="166"/>
      <c r="P2705" s="166"/>
    </row>
    <row r="2706" spans="1:16" s="7" customFormat="1">
      <c r="A2706" s="279"/>
      <c r="B2706" s="299" t="s">
        <v>2023</v>
      </c>
      <c r="C2706" s="6">
        <v>48301850</v>
      </c>
      <c r="D2706" s="6"/>
      <c r="E2706" s="6"/>
      <c r="F2706" s="6"/>
      <c r="G2706" s="6"/>
      <c r="H2706" s="299" t="s">
        <v>910</v>
      </c>
      <c r="I2706" s="6"/>
      <c r="K2706" s="241"/>
      <c r="L2706" s="241"/>
      <c r="M2706" s="244"/>
      <c r="N2706" s="166"/>
      <c r="P2706" s="166"/>
    </row>
    <row r="2707" spans="1:16" s="7" customFormat="1">
      <c r="A2707" s="279"/>
      <c r="B2707" s="299" t="s">
        <v>2021</v>
      </c>
      <c r="C2707" s="6">
        <v>90908002</v>
      </c>
      <c r="D2707" s="6"/>
      <c r="E2707" s="6"/>
      <c r="F2707" s="6"/>
      <c r="G2707" s="6"/>
      <c r="H2707" s="299" t="s">
        <v>2022</v>
      </c>
      <c r="I2707" s="6"/>
      <c r="K2707" s="241"/>
      <c r="L2707" s="241"/>
      <c r="M2707" s="244"/>
      <c r="N2707" s="166"/>
      <c r="P2707" s="166"/>
    </row>
    <row r="2708" spans="1:16" s="7" customFormat="1">
      <c r="A2708" s="279"/>
      <c r="B2708" s="300" t="s">
        <v>2007</v>
      </c>
      <c r="C2708" s="300">
        <v>41579132</v>
      </c>
      <c r="D2708" s="300"/>
      <c r="E2708" s="300"/>
      <c r="F2708" s="300"/>
      <c r="G2708" s="300"/>
      <c r="H2708" s="300" t="s">
        <v>2008</v>
      </c>
      <c r="I2708" s="300"/>
      <c r="J2708" s="301"/>
      <c r="K2708" s="241"/>
      <c r="L2708" s="241"/>
      <c r="M2708" s="244"/>
      <c r="N2708" s="166"/>
      <c r="P2708" s="166"/>
    </row>
    <row r="2709" spans="1:16" s="7" customFormat="1">
      <c r="A2709" s="279"/>
      <c r="B2709" s="294" t="s">
        <v>1980</v>
      </c>
      <c r="C2709" s="6"/>
      <c r="D2709" s="6"/>
      <c r="E2709" s="6"/>
      <c r="F2709" s="6"/>
      <c r="G2709" s="6"/>
      <c r="H2709" s="294" t="s">
        <v>1091</v>
      </c>
      <c r="I2709" s="6"/>
      <c r="K2709" s="241"/>
      <c r="L2709" s="241"/>
      <c r="M2709" s="244"/>
      <c r="N2709" s="166"/>
      <c r="P2709" s="166"/>
    </row>
    <row r="2710" spans="1:16" s="7" customFormat="1">
      <c r="A2710" s="279"/>
      <c r="B2710" s="294" t="s">
        <v>1979</v>
      </c>
      <c r="C2710" s="6"/>
      <c r="D2710" s="6"/>
      <c r="E2710" s="6"/>
      <c r="F2710" s="6"/>
      <c r="G2710" s="6"/>
      <c r="H2710" s="294" t="s">
        <v>1091</v>
      </c>
      <c r="I2710" s="6"/>
      <c r="K2710" s="241"/>
      <c r="L2710" s="241"/>
      <c r="M2710" s="244"/>
      <c r="N2710" s="166"/>
      <c r="P2710" s="166"/>
    </row>
    <row r="2711" spans="1:16" s="7" customFormat="1">
      <c r="A2711" s="279"/>
      <c r="B2711" s="300" t="s">
        <v>1881</v>
      </c>
      <c r="C2711" s="6"/>
      <c r="D2711" s="6"/>
      <c r="E2711" s="6"/>
      <c r="F2711" s="6"/>
      <c r="G2711" s="6"/>
      <c r="H2711" s="294" t="s">
        <v>1091</v>
      </c>
      <c r="I2711" s="6"/>
      <c r="K2711" s="241"/>
      <c r="L2711" s="241"/>
      <c r="M2711" s="244"/>
      <c r="N2711" s="166"/>
      <c r="P2711" s="166"/>
    </row>
    <row r="2712" spans="1:16" s="7" customFormat="1">
      <c r="A2712" s="279"/>
      <c r="B2712" s="299" t="s">
        <v>1898</v>
      </c>
      <c r="C2712" s="6">
        <v>77299977</v>
      </c>
      <c r="D2712" s="6"/>
      <c r="E2712" s="6"/>
      <c r="F2712" s="6"/>
      <c r="G2712" s="6"/>
      <c r="H2712" s="280" t="s">
        <v>1899</v>
      </c>
      <c r="I2712" s="6"/>
      <c r="K2712" s="241"/>
      <c r="L2712" s="241"/>
      <c r="M2712" s="244"/>
      <c r="N2712" s="166"/>
      <c r="P2712" s="166"/>
    </row>
    <row r="2713" spans="1:16" s="7" customFormat="1">
      <c r="A2713" s="279"/>
      <c r="B2713" s="293" t="s">
        <v>1892</v>
      </c>
      <c r="C2713" s="7">
        <v>30700625</v>
      </c>
      <c r="H2713" s="279" t="s">
        <v>1893</v>
      </c>
      <c r="K2713" s="241"/>
      <c r="L2713" s="241"/>
      <c r="M2713" s="244"/>
      <c r="N2713" s="166"/>
      <c r="P2713" s="166"/>
    </row>
    <row r="2714" spans="1:16" s="7" customFormat="1">
      <c r="A2714" s="279"/>
      <c r="B2714" s="294" t="s">
        <v>1889</v>
      </c>
      <c r="C2714" s="6" t="s">
        <v>1890</v>
      </c>
      <c r="D2714" s="6"/>
      <c r="E2714" s="6"/>
      <c r="F2714" s="6"/>
      <c r="G2714" s="6"/>
      <c r="H2714" s="280" t="s">
        <v>1891</v>
      </c>
      <c r="I2714" s="6"/>
      <c r="K2714" s="241"/>
      <c r="L2714" s="241"/>
      <c r="M2714" s="244"/>
      <c r="N2714" s="166"/>
      <c r="P2714" s="166"/>
    </row>
    <row r="2715" spans="1:16" s="7" customFormat="1">
      <c r="A2715" s="279"/>
      <c r="B2715" s="294" t="s">
        <v>1882</v>
      </c>
      <c r="C2715" s="6">
        <v>21058482</v>
      </c>
      <c r="D2715" s="6"/>
      <c r="E2715" s="6"/>
      <c r="F2715" s="6"/>
      <c r="G2715" s="6"/>
      <c r="H2715" s="280" t="s">
        <v>1883</v>
      </c>
      <c r="I2715" s="6"/>
      <c r="K2715" s="241"/>
      <c r="L2715" s="241"/>
      <c r="M2715" s="244"/>
      <c r="N2715" s="166"/>
      <c r="P2715" s="166"/>
    </row>
    <row r="2716" spans="1:16" s="7" customFormat="1">
      <c r="A2716" s="274"/>
      <c r="B2716" s="294" t="s">
        <v>1882</v>
      </c>
      <c r="C2716" s="6">
        <v>29511813</v>
      </c>
      <c r="D2716" s="6"/>
      <c r="E2716" s="6"/>
      <c r="F2716" s="6"/>
      <c r="G2716" s="6"/>
      <c r="H2716" s="280" t="s">
        <v>1875</v>
      </c>
      <c r="I2716" s="6"/>
      <c r="K2716" s="241"/>
      <c r="L2716" s="241"/>
      <c r="M2716" s="244"/>
      <c r="N2716" s="166"/>
      <c r="P2716" s="166"/>
    </row>
    <row r="2717" spans="1:16" s="7" customFormat="1">
      <c r="A2717" s="274"/>
      <c r="B2717" s="294" t="s">
        <v>1873</v>
      </c>
      <c r="C2717" s="6">
        <v>39561108</v>
      </c>
      <c r="D2717" s="6"/>
      <c r="E2717" s="6"/>
      <c r="F2717" s="6"/>
      <c r="G2717" s="6"/>
      <c r="H2717" s="280" t="s">
        <v>1874</v>
      </c>
      <c r="I2717" s="6"/>
      <c r="K2717" s="241"/>
      <c r="L2717" s="241"/>
      <c r="M2717" s="244">
        <v>114700000</v>
      </c>
      <c r="N2717" s="166"/>
      <c r="P2717" s="166"/>
    </row>
    <row r="2718" spans="1:16" s="7" customFormat="1">
      <c r="A2718" s="274"/>
      <c r="B2718" s="294" t="s">
        <v>1871</v>
      </c>
      <c r="C2718" s="6">
        <v>74671662</v>
      </c>
      <c r="D2718" s="6"/>
      <c r="E2718" s="6"/>
      <c r="F2718" s="6"/>
      <c r="G2718" s="6"/>
      <c r="H2718" s="280" t="s">
        <v>1872</v>
      </c>
      <c r="I2718" s="6"/>
      <c r="K2718" s="241"/>
      <c r="L2718" s="241"/>
      <c r="M2718" s="244"/>
      <c r="N2718" s="166"/>
      <c r="P2718" s="166"/>
    </row>
    <row r="2719" spans="1:16" s="7" customFormat="1">
      <c r="A2719" s="274"/>
      <c r="B2719" s="278" t="s">
        <v>1863</v>
      </c>
      <c r="C2719" s="85">
        <v>10239218</v>
      </c>
      <c r="D2719" s="85"/>
      <c r="E2719" s="85"/>
      <c r="F2719" s="85"/>
      <c r="G2719" s="85"/>
      <c r="H2719" s="278" t="s">
        <v>1864</v>
      </c>
      <c r="I2719" s="85"/>
      <c r="K2719" s="241"/>
      <c r="L2719" s="241"/>
      <c r="M2719" s="244"/>
      <c r="N2719" s="166"/>
      <c r="P2719" s="166"/>
    </row>
    <row r="2720" spans="1:16" s="7" customFormat="1">
      <c r="A2720" s="271"/>
      <c r="B2720" s="275" t="s">
        <v>1845</v>
      </c>
      <c r="C2720" s="6">
        <v>10970135</v>
      </c>
      <c r="D2720" s="6"/>
      <c r="E2720" s="6"/>
      <c r="F2720" s="6"/>
      <c r="G2720" s="6"/>
      <c r="H2720" s="275" t="s">
        <v>1846</v>
      </c>
      <c r="I2720" s="6"/>
      <c r="K2720" s="241"/>
      <c r="L2720" s="241"/>
      <c r="M2720" s="244"/>
      <c r="N2720" s="166"/>
      <c r="P2720" s="166"/>
    </row>
    <row r="2721" spans="1:16" s="7" customFormat="1">
      <c r="A2721" s="271"/>
      <c r="B2721" s="274" t="s">
        <v>1830</v>
      </c>
      <c r="H2721" s="271"/>
      <c r="K2721" s="241"/>
      <c r="L2721" s="241"/>
      <c r="M2721" s="244"/>
      <c r="N2721" s="166"/>
      <c r="P2721" s="166"/>
    </row>
    <row r="2722" spans="1:16" s="7" customFormat="1">
      <c r="A2722" s="271"/>
      <c r="B2722" s="270" t="s">
        <v>1822</v>
      </c>
      <c r="C2722" s="6"/>
      <c r="D2722" s="6"/>
      <c r="E2722" s="6"/>
      <c r="F2722" s="6"/>
      <c r="G2722" s="6"/>
      <c r="H2722" s="266"/>
      <c r="I2722" s="6"/>
      <c r="K2722" s="241"/>
      <c r="L2722" s="241"/>
      <c r="M2722" s="244"/>
      <c r="N2722" s="166"/>
      <c r="P2722" s="166"/>
    </row>
    <row r="2723" spans="1:16" s="7" customFormat="1">
      <c r="A2723" s="264"/>
      <c r="B2723" s="294" t="s">
        <v>1828</v>
      </c>
      <c r="C2723" s="6">
        <v>81635659</v>
      </c>
      <c r="D2723" s="6"/>
      <c r="E2723" s="6"/>
      <c r="F2723" s="6"/>
      <c r="G2723" s="6"/>
      <c r="H2723" s="270" t="s">
        <v>1829</v>
      </c>
      <c r="I2723" s="6"/>
      <c r="K2723" s="241"/>
      <c r="L2723" s="241"/>
      <c r="M2723" s="244"/>
      <c r="N2723" s="166"/>
      <c r="P2723" s="166"/>
    </row>
    <row r="2724" spans="1:16" s="7" customFormat="1">
      <c r="A2724" s="264"/>
      <c r="B2724" s="294" t="s">
        <v>1823</v>
      </c>
      <c r="C2724" s="6">
        <v>84098603</v>
      </c>
      <c r="D2724" s="6"/>
      <c r="E2724" s="6"/>
      <c r="F2724" s="6"/>
      <c r="G2724" s="6"/>
      <c r="H2724" s="266"/>
      <c r="I2724" s="6"/>
      <c r="K2724" s="241"/>
      <c r="L2724" s="241"/>
      <c r="M2724" s="244"/>
      <c r="N2724" s="166"/>
      <c r="P2724" s="166"/>
    </row>
    <row r="2725" spans="1:16" s="7" customFormat="1">
      <c r="A2725" s="264"/>
      <c r="B2725" s="271" t="s">
        <v>1816</v>
      </c>
      <c r="C2725" s="7">
        <v>67509018</v>
      </c>
      <c r="H2725" s="271" t="s">
        <v>1817</v>
      </c>
      <c r="K2725" s="241"/>
      <c r="L2725" s="241"/>
      <c r="M2725" s="244"/>
      <c r="N2725" s="166"/>
      <c r="P2725" s="166"/>
    </row>
    <row r="2726" spans="1:16" s="7" customFormat="1">
      <c r="A2726" s="264"/>
      <c r="B2726" s="275" t="s">
        <v>1814</v>
      </c>
      <c r="C2726" s="6">
        <v>32384438</v>
      </c>
      <c r="D2726" s="6"/>
      <c r="E2726" s="6"/>
      <c r="F2726" s="6"/>
      <c r="G2726" s="6"/>
      <c r="H2726" s="270" t="s">
        <v>1815</v>
      </c>
      <c r="I2726" s="6"/>
      <c r="K2726" s="241"/>
      <c r="L2726" s="241"/>
      <c r="M2726" s="244"/>
      <c r="N2726" s="166"/>
      <c r="P2726" s="166"/>
    </row>
    <row r="2727" spans="1:16" s="7" customFormat="1">
      <c r="A2727" s="264"/>
      <c r="B2727" s="275" t="s">
        <v>1813</v>
      </c>
      <c r="C2727" s="6">
        <v>88645511</v>
      </c>
      <c r="D2727" s="6"/>
      <c r="E2727" s="6"/>
      <c r="F2727" s="6"/>
      <c r="G2727" s="6"/>
      <c r="H2727" s="270" t="s">
        <v>1815</v>
      </c>
      <c r="I2727" s="6"/>
      <c r="K2727" s="241"/>
      <c r="L2727" s="241"/>
      <c r="M2727" s="244"/>
      <c r="N2727" s="166"/>
      <c r="P2727" s="166"/>
    </row>
    <row r="2728" spans="1:16" s="7" customFormat="1">
      <c r="A2728" s="264"/>
      <c r="B2728" s="275" t="s">
        <v>1812</v>
      </c>
      <c r="C2728" s="6">
        <v>28049075</v>
      </c>
      <c r="D2728" s="6"/>
      <c r="E2728" s="6"/>
      <c r="F2728" s="6"/>
      <c r="G2728" s="6"/>
      <c r="H2728" s="270" t="s">
        <v>664</v>
      </c>
      <c r="I2728" s="6"/>
      <c r="K2728" s="241"/>
      <c r="L2728" s="241"/>
      <c r="M2728" s="244"/>
      <c r="N2728" s="166"/>
      <c r="P2728" s="166"/>
    </row>
    <row r="2729" spans="1:16" s="7" customFormat="1">
      <c r="A2729" s="264"/>
      <c r="B2729" s="270" t="s">
        <v>1811</v>
      </c>
      <c r="C2729" s="6">
        <v>50123621</v>
      </c>
      <c r="D2729" s="6"/>
      <c r="E2729" s="6"/>
      <c r="F2729" s="6"/>
      <c r="G2729" s="6"/>
      <c r="H2729" s="270" t="s">
        <v>664</v>
      </c>
      <c r="I2729" s="6"/>
      <c r="K2729" s="241"/>
      <c r="L2729" s="241"/>
      <c r="M2729" s="244"/>
      <c r="N2729" s="166"/>
      <c r="P2729" s="166"/>
    </row>
    <row r="2730" spans="1:16" s="7" customFormat="1">
      <c r="A2730" s="264"/>
      <c r="B2730" s="275" t="s">
        <v>1809</v>
      </c>
      <c r="C2730" s="6">
        <v>15168396</v>
      </c>
      <c r="D2730" s="6"/>
      <c r="E2730" s="6"/>
      <c r="F2730" s="6"/>
      <c r="G2730" s="6"/>
      <c r="H2730" s="270" t="s">
        <v>1810</v>
      </c>
      <c r="I2730" s="6"/>
      <c r="K2730" s="241"/>
      <c r="L2730" s="241"/>
      <c r="M2730" s="244"/>
      <c r="N2730" s="166">
        <v>375</v>
      </c>
      <c r="P2730" s="166"/>
    </row>
    <row r="2731" spans="1:16" s="7" customFormat="1">
      <c r="A2731" s="264"/>
      <c r="B2731" s="270" t="s">
        <v>1807</v>
      </c>
      <c r="C2731" s="6">
        <v>88443852</v>
      </c>
      <c r="D2731" s="6"/>
      <c r="E2731" s="6"/>
      <c r="F2731" s="6"/>
      <c r="G2731" s="6"/>
      <c r="H2731" s="270" t="s">
        <v>899</v>
      </c>
      <c r="I2731" s="6"/>
      <c r="K2731" s="241"/>
      <c r="L2731" s="241"/>
      <c r="M2731" s="244"/>
      <c r="N2731" s="166">
        <v>124</v>
      </c>
      <c r="P2731" s="166"/>
    </row>
    <row r="2732" spans="1:16" s="7" customFormat="1">
      <c r="A2732" s="264"/>
      <c r="B2732" s="270" t="s">
        <v>1805</v>
      </c>
      <c r="C2732" s="6">
        <v>56968520</v>
      </c>
      <c r="D2732" s="6"/>
      <c r="E2732" s="6"/>
      <c r="F2732" s="6"/>
      <c r="G2732" s="6"/>
      <c r="H2732" s="270" t="s">
        <v>1806</v>
      </c>
      <c r="I2732" s="6"/>
      <c r="K2732" s="241"/>
      <c r="L2732" s="241"/>
      <c r="M2732" s="244"/>
      <c r="N2732" s="166"/>
      <c r="P2732" s="166"/>
    </row>
    <row r="2733" spans="1:16" s="7" customFormat="1">
      <c r="A2733" s="264"/>
      <c r="B2733" s="294" t="s">
        <v>1803</v>
      </c>
      <c r="C2733" s="6">
        <v>39390838</v>
      </c>
      <c r="D2733" s="6"/>
      <c r="E2733" s="6"/>
      <c r="F2733" s="6"/>
      <c r="G2733" s="6"/>
      <c r="H2733" s="266" t="s">
        <v>1804</v>
      </c>
      <c r="I2733" s="6"/>
      <c r="K2733" s="241"/>
      <c r="L2733" s="241"/>
      <c r="M2733" s="244"/>
      <c r="N2733" s="166"/>
      <c r="P2733" s="166"/>
    </row>
    <row r="2734" spans="1:16" s="7" customFormat="1">
      <c r="A2734" s="264"/>
      <c r="B2734" s="277" t="s">
        <v>1791</v>
      </c>
      <c r="C2734" s="6">
        <v>75552198</v>
      </c>
      <c r="D2734" s="6"/>
      <c r="E2734" s="6"/>
      <c r="F2734" s="6"/>
      <c r="G2734" s="6"/>
      <c r="H2734" s="266" t="s">
        <v>1792</v>
      </c>
      <c r="I2734" s="6"/>
      <c r="K2734" s="241"/>
      <c r="L2734" s="241"/>
      <c r="M2734" s="244"/>
      <c r="N2734" s="166"/>
      <c r="P2734" s="166"/>
    </row>
    <row r="2735" spans="1:16" s="7" customFormat="1">
      <c r="A2735" s="255"/>
      <c r="B2735" s="273" t="s">
        <v>1783</v>
      </c>
      <c r="C2735" s="2">
        <v>72902390</v>
      </c>
      <c r="D2735" s="2"/>
      <c r="E2735" s="2"/>
      <c r="F2735" s="2"/>
      <c r="G2735" s="2"/>
      <c r="H2735" s="265" t="s">
        <v>1784</v>
      </c>
      <c r="I2735" s="2"/>
      <c r="K2735" s="274" t="s">
        <v>1831</v>
      </c>
      <c r="L2735" s="274"/>
      <c r="M2735" s="244"/>
      <c r="N2735" s="166"/>
      <c r="P2735" s="166"/>
    </row>
    <row r="2736" spans="1:16" s="7" customFormat="1">
      <c r="A2736" s="255"/>
      <c r="B2736" s="262" t="s">
        <v>1748</v>
      </c>
      <c r="C2736" s="6">
        <v>16406157</v>
      </c>
      <c r="D2736" s="6"/>
      <c r="E2736" s="6"/>
      <c r="F2736" s="6"/>
      <c r="G2736" s="6"/>
      <c r="H2736" s="262" t="s">
        <v>1749</v>
      </c>
      <c r="I2736" s="6"/>
      <c r="K2736" s="241"/>
      <c r="L2736" s="241"/>
      <c r="M2736" s="244"/>
      <c r="N2736" s="166"/>
      <c r="P2736" s="166"/>
    </row>
    <row r="2737" spans="1:16" s="7" customFormat="1">
      <c r="A2737" s="255"/>
      <c r="B2737" s="266" t="s">
        <v>1736</v>
      </c>
      <c r="C2737" s="6">
        <v>70464852</v>
      </c>
      <c r="D2737" s="6"/>
      <c r="E2737" s="6"/>
      <c r="F2737" s="6"/>
      <c r="G2737" s="6"/>
      <c r="H2737" s="262" t="s">
        <v>1737</v>
      </c>
      <c r="I2737" s="6"/>
      <c r="K2737" s="241"/>
      <c r="L2737" s="241"/>
      <c r="M2737" s="244"/>
      <c r="N2737" s="166"/>
      <c r="P2737" s="166"/>
    </row>
    <row r="2738" spans="1:16" s="7" customFormat="1">
      <c r="A2738" s="255"/>
      <c r="B2738" s="262" t="s">
        <v>1734</v>
      </c>
      <c r="C2738" s="6">
        <v>56944083</v>
      </c>
      <c r="D2738" s="6"/>
      <c r="E2738" s="6"/>
      <c r="F2738" s="6"/>
      <c r="G2738" s="6"/>
      <c r="H2738" s="257" t="s">
        <v>1735</v>
      </c>
      <c r="I2738" s="6"/>
      <c r="K2738" s="241"/>
      <c r="L2738" s="241"/>
      <c r="M2738" s="244"/>
      <c r="N2738" s="166"/>
      <c r="P2738" s="166"/>
    </row>
    <row r="2739" spans="1:16" s="7" customFormat="1">
      <c r="A2739" s="255"/>
      <c r="B2739" s="257" t="s">
        <v>1713</v>
      </c>
      <c r="C2739" s="6">
        <v>43927566</v>
      </c>
      <c r="D2739" s="6"/>
      <c r="E2739" s="6"/>
      <c r="F2739" s="6"/>
      <c r="G2739" s="6"/>
      <c r="H2739" s="257" t="s">
        <v>1714</v>
      </c>
      <c r="I2739" s="6"/>
      <c r="K2739" s="241"/>
      <c r="L2739" s="241"/>
      <c r="M2739" s="244"/>
      <c r="N2739" s="166"/>
      <c r="P2739" s="166"/>
    </row>
    <row r="2740" spans="1:16" s="7" customFormat="1">
      <c r="A2740" s="255"/>
      <c r="B2740" s="257" t="s">
        <v>1712</v>
      </c>
      <c r="C2740" s="6"/>
      <c r="D2740" s="6"/>
      <c r="E2740" s="6"/>
      <c r="F2740" s="6"/>
      <c r="G2740" s="6"/>
      <c r="H2740" s="257"/>
      <c r="I2740" s="6"/>
      <c r="K2740" s="241"/>
      <c r="L2740" s="241"/>
      <c r="M2740" s="244"/>
      <c r="N2740" s="166"/>
      <c r="P2740" s="166"/>
    </row>
    <row r="2741" spans="1:16" s="7" customFormat="1">
      <c r="A2741" s="255"/>
      <c r="B2741" s="257" t="s">
        <v>1711</v>
      </c>
      <c r="C2741" s="6"/>
      <c r="D2741" s="6"/>
      <c r="E2741" s="6"/>
      <c r="F2741" s="6"/>
      <c r="G2741" s="6"/>
      <c r="H2741" s="257"/>
      <c r="I2741" s="6"/>
      <c r="K2741" s="241"/>
      <c r="L2741" s="241"/>
      <c r="M2741" s="244"/>
      <c r="N2741" s="166"/>
      <c r="P2741" s="166"/>
    </row>
    <row r="2742" spans="1:16" s="7" customFormat="1">
      <c r="A2742" s="255"/>
      <c r="B2742" s="257" t="s">
        <v>1709</v>
      </c>
      <c r="C2742" s="6"/>
      <c r="D2742" s="6"/>
      <c r="E2742" s="6"/>
      <c r="F2742" s="6"/>
      <c r="G2742" s="6"/>
      <c r="H2742" s="257" t="s">
        <v>1710</v>
      </c>
      <c r="I2742" s="6"/>
      <c r="K2742" s="241"/>
      <c r="L2742" s="241"/>
      <c r="M2742" s="244"/>
      <c r="N2742" s="166"/>
      <c r="P2742" s="166"/>
    </row>
    <row r="2743" spans="1:16" s="7" customFormat="1">
      <c r="A2743" s="241"/>
      <c r="B2743" s="270" t="s">
        <v>1707</v>
      </c>
      <c r="C2743" s="6">
        <v>11693321</v>
      </c>
      <c r="D2743" s="6"/>
      <c r="E2743" s="6"/>
      <c r="F2743" s="6"/>
      <c r="G2743" s="6"/>
      <c r="H2743" s="257" t="s">
        <v>1708</v>
      </c>
      <c r="I2743" s="6"/>
      <c r="K2743" s="241"/>
      <c r="L2743" s="241"/>
      <c r="M2743" s="244"/>
      <c r="N2743" s="166"/>
      <c r="P2743" s="166"/>
    </row>
    <row r="2744" spans="1:16" s="7" customFormat="1">
      <c r="A2744" s="241"/>
      <c r="B2744" s="1087" t="s">
        <v>1695</v>
      </c>
      <c r="C2744" s="2"/>
      <c r="D2744" s="2"/>
      <c r="E2744" s="2"/>
      <c r="F2744" s="2"/>
      <c r="G2744" s="2"/>
      <c r="H2744" s="256" t="s">
        <v>1694</v>
      </c>
      <c r="I2744" s="2"/>
      <c r="K2744" s="241"/>
      <c r="L2744" s="241"/>
      <c r="M2744" s="244"/>
      <c r="N2744" s="166">
        <f>187-68.2</f>
        <v>118.8</v>
      </c>
      <c r="P2744" s="166"/>
    </row>
    <row r="2745" spans="1:16" s="7" customFormat="1">
      <c r="A2745" s="241"/>
      <c r="B2745" s="1098" t="s">
        <v>1693</v>
      </c>
      <c r="C2745" s="6">
        <v>66403595</v>
      </c>
      <c r="D2745" s="6"/>
      <c r="E2745" s="6"/>
      <c r="F2745" s="6"/>
      <c r="G2745" s="6"/>
      <c r="H2745" s="257" t="s">
        <v>1694</v>
      </c>
      <c r="I2745" s="6"/>
      <c r="K2745" s="241"/>
      <c r="L2745" s="241"/>
      <c r="M2745" s="244"/>
      <c r="N2745" s="166"/>
      <c r="P2745" s="166"/>
    </row>
    <row r="2746" spans="1:16" s="7" customFormat="1">
      <c r="A2746" s="241"/>
      <c r="B2746" s="251" t="s">
        <v>1650</v>
      </c>
      <c r="C2746" s="6">
        <v>11364008</v>
      </c>
      <c r="D2746" s="6"/>
      <c r="E2746" s="6"/>
      <c r="F2746" s="6"/>
      <c r="G2746" s="6"/>
      <c r="H2746" s="251" t="s">
        <v>1659</v>
      </c>
      <c r="I2746" s="6"/>
      <c r="K2746" s="250" t="s">
        <v>1656</v>
      </c>
      <c r="L2746" s="250"/>
      <c r="M2746" s="244"/>
      <c r="N2746" s="166"/>
      <c r="P2746" s="166"/>
    </row>
    <row r="2747" spans="1:16" s="7" customFormat="1">
      <c r="A2747" s="241"/>
      <c r="B2747" s="251" t="s">
        <v>1625</v>
      </c>
      <c r="C2747" s="6">
        <v>42982504</v>
      </c>
      <c r="D2747" s="6"/>
      <c r="E2747" s="6"/>
      <c r="F2747" s="6"/>
      <c r="G2747" s="6"/>
      <c r="H2747" s="246" t="s">
        <v>1626</v>
      </c>
      <c r="I2747" s="6"/>
      <c r="K2747" s="241"/>
      <c r="L2747" s="241"/>
      <c r="M2747" s="244"/>
      <c r="N2747" s="375" t="s">
        <v>1668</v>
      </c>
      <c r="P2747" s="166"/>
    </row>
    <row r="2748" spans="1:16" s="7" customFormat="1">
      <c r="A2748" s="228"/>
      <c r="B2748" s="246" t="s">
        <v>1623</v>
      </c>
      <c r="C2748" s="6">
        <v>21797207</v>
      </c>
      <c r="D2748" s="6"/>
      <c r="E2748" s="6"/>
      <c r="F2748" s="6"/>
      <c r="G2748" s="6"/>
      <c r="H2748" s="246" t="s">
        <v>1624</v>
      </c>
      <c r="I2748" s="6"/>
      <c r="K2748" s="121"/>
      <c r="L2748" s="121"/>
      <c r="M2748" s="228"/>
      <c r="N2748" s="166"/>
      <c r="P2748" s="166"/>
    </row>
    <row r="2749" spans="1:16" s="7" customFormat="1">
      <c r="A2749" s="228"/>
      <c r="B2749" s="257" t="s">
        <v>1613</v>
      </c>
      <c r="C2749" s="6">
        <v>30952220</v>
      </c>
      <c r="D2749" s="6"/>
      <c r="E2749" s="6"/>
      <c r="F2749" s="6"/>
      <c r="G2749" s="6"/>
      <c r="H2749" s="242" t="s">
        <v>1614</v>
      </c>
      <c r="I2749" s="6"/>
      <c r="K2749" s="121"/>
      <c r="L2749" s="121"/>
      <c r="M2749" s="228"/>
      <c r="N2749" s="166"/>
      <c r="P2749" s="166"/>
    </row>
    <row r="2750" spans="1:16" s="7" customFormat="1">
      <c r="A2750" s="228"/>
      <c r="B2750" s="257" t="s">
        <v>1604</v>
      </c>
      <c r="C2750" s="6">
        <v>91680045</v>
      </c>
      <c r="D2750" s="6"/>
      <c r="E2750" s="6"/>
      <c r="F2750" s="6"/>
      <c r="G2750" s="6"/>
      <c r="H2750" s="242" t="s">
        <v>1605</v>
      </c>
      <c r="I2750" s="6"/>
      <c r="K2750" s="121"/>
      <c r="L2750" s="121"/>
      <c r="M2750" s="228"/>
      <c r="N2750" s="166"/>
      <c r="P2750" s="166"/>
    </row>
    <row r="2751" spans="1:16" s="7" customFormat="1">
      <c r="A2751" s="228"/>
      <c r="B2751" s="246" t="s">
        <v>1600</v>
      </c>
      <c r="C2751" s="6">
        <v>66856022</v>
      </c>
      <c r="D2751" s="6"/>
      <c r="E2751" s="6"/>
      <c r="F2751" s="6"/>
      <c r="G2751" s="6"/>
      <c r="H2751" s="242" t="s">
        <v>1601</v>
      </c>
      <c r="I2751" s="6"/>
      <c r="K2751" s="121"/>
      <c r="L2751" s="121"/>
      <c r="M2751" s="228"/>
      <c r="N2751" s="166"/>
      <c r="P2751" s="166"/>
    </row>
    <row r="2752" spans="1:16" s="7" customFormat="1">
      <c r="A2752" s="228"/>
      <c r="B2752" s="241" t="s">
        <v>1585</v>
      </c>
      <c r="C2752" s="7">
        <v>62695623</v>
      </c>
      <c r="H2752" s="241" t="s">
        <v>1586</v>
      </c>
      <c r="K2752" s="121"/>
      <c r="L2752" s="121"/>
      <c r="M2752" s="228"/>
      <c r="N2752" s="166"/>
      <c r="P2752" s="166"/>
    </row>
    <row r="2753" spans="1:16" s="7" customFormat="1">
      <c r="A2753" s="228"/>
      <c r="B2753" s="246" t="s">
        <v>1583</v>
      </c>
      <c r="C2753" s="6">
        <v>79420060</v>
      </c>
      <c r="D2753" s="6"/>
      <c r="E2753" s="6"/>
      <c r="F2753" s="6"/>
      <c r="G2753" s="6"/>
      <c r="H2753" s="242" t="s">
        <v>1584</v>
      </c>
      <c r="I2753" s="6"/>
      <c r="K2753" s="121"/>
      <c r="L2753" s="121"/>
      <c r="M2753" s="228"/>
      <c r="N2753" s="166"/>
      <c r="P2753" s="166"/>
    </row>
    <row r="2754" spans="1:16" s="7" customFormat="1">
      <c r="A2754" s="228"/>
      <c r="B2754" s="242" t="s">
        <v>1582</v>
      </c>
      <c r="C2754" s="6"/>
      <c r="D2754" s="6"/>
      <c r="E2754" s="6"/>
      <c r="F2754" s="6"/>
      <c r="G2754" s="6"/>
      <c r="H2754" s="242" t="s">
        <v>1581</v>
      </c>
      <c r="I2754" s="6"/>
      <c r="K2754" s="121"/>
      <c r="L2754" s="121"/>
      <c r="M2754" s="228"/>
      <c r="N2754" s="166"/>
      <c r="P2754" s="166"/>
    </row>
    <row r="2755" spans="1:16" s="7" customFormat="1">
      <c r="A2755" s="228"/>
      <c r="B2755" s="246" t="s">
        <v>1589</v>
      </c>
      <c r="C2755" s="6"/>
      <c r="D2755" s="6"/>
      <c r="E2755" s="6"/>
      <c r="F2755" s="6"/>
      <c r="G2755" s="6"/>
      <c r="H2755" s="242" t="s">
        <v>1588</v>
      </c>
      <c r="I2755" s="6"/>
      <c r="K2755" s="121"/>
      <c r="L2755" s="121"/>
      <c r="M2755" s="228"/>
      <c r="N2755" s="166"/>
      <c r="P2755" s="166"/>
    </row>
    <row r="2756" spans="1:16" s="7" customFormat="1">
      <c r="A2756" s="228"/>
      <c r="B2756" s="246" t="s">
        <v>1587</v>
      </c>
      <c r="C2756" s="6"/>
      <c r="D2756" s="6"/>
      <c r="E2756" s="6"/>
      <c r="F2756" s="6"/>
      <c r="G2756" s="6"/>
      <c r="H2756" s="242" t="s">
        <v>1588</v>
      </c>
      <c r="I2756" s="6"/>
      <c r="K2756" s="121"/>
      <c r="L2756" s="121"/>
      <c r="M2756" s="228"/>
      <c r="N2756" s="166"/>
      <c r="P2756" s="166"/>
    </row>
    <row r="2757" spans="1:16" s="7" customFormat="1">
      <c r="A2757" s="228"/>
      <c r="B2757" s="246" t="s">
        <v>1580</v>
      </c>
      <c r="C2757" s="6"/>
      <c r="D2757" s="6"/>
      <c r="E2757" s="6"/>
      <c r="F2757" s="6"/>
      <c r="G2757" s="6"/>
      <c r="H2757" s="242" t="s">
        <v>1581</v>
      </c>
      <c r="I2757" s="6"/>
      <c r="K2757" s="121"/>
      <c r="L2757" s="121"/>
      <c r="M2757" s="228"/>
      <c r="N2757" s="166"/>
      <c r="P2757" s="166"/>
    </row>
    <row r="2758" spans="1:16" s="7" customFormat="1">
      <c r="A2758" s="228"/>
      <c r="B2758" s="246" t="s">
        <v>1590</v>
      </c>
      <c r="C2758" s="6"/>
      <c r="D2758" s="6"/>
      <c r="E2758" s="6"/>
      <c r="F2758" s="6"/>
      <c r="G2758" s="6"/>
      <c r="H2758" s="242" t="s">
        <v>1581</v>
      </c>
      <c r="I2758" s="6"/>
      <c r="K2758" s="121"/>
      <c r="L2758" s="121"/>
      <c r="M2758" s="228"/>
      <c r="N2758" s="166"/>
      <c r="P2758" s="166"/>
    </row>
    <row r="2759" spans="1:16" s="7" customFormat="1">
      <c r="A2759" s="228"/>
      <c r="B2759" s="251" t="s">
        <v>1578</v>
      </c>
      <c r="C2759" s="6">
        <v>47207569</v>
      </c>
      <c r="D2759" s="6"/>
      <c r="E2759" s="6"/>
      <c r="F2759" s="6"/>
      <c r="G2759" s="6"/>
      <c r="H2759" s="242" t="s">
        <v>1579</v>
      </c>
      <c r="I2759" s="6"/>
      <c r="K2759" s="121"/>
      <c r="L2759" s="121"/>
      <c r="M2759" s="228"/>
      <c r="N2759" s="166"/>
      <c r="P2759" s="166"/>
    </row>
    <row r="2760" spans="1:16" s="7" customFormat="1">
      <c r="A2760" s="228"/>
      <c r="B2760" s="246" t="s">
        <v>1576</v>
      </c>
      <c r="C2760" s="6"/>
      <c r="D2760" s="6"/>
      <c r="E2760" s="6"/>
      <c r="F2760" s="6"/>
      <c r="G2760" s="6"/>
      <c r="H2760" s="242" t="s">
        <v>1577</v>
      </c>
      <c r="I2760" s="6"/>
      <c r="K2760" s="121"/>
      <c r="L2760" s="121"/>
      <c r="M2760" s="228">
        <f>31.25*3</f>
        <v>93.75</v>
      </c>
      <c r="N2760" s="166"/>
      <c r="P2760" s="166"/>
    </row>
    <row r="2761" spans="1:16" s="7" customFormat="1">
      <c r="A2761" s="228"/>
      <c r="B2761" s="239" t="s">
        <v>1569</v>
      </c>
      <c r="C2761" s="6">
        <v>11909222</v>
      </c>
      <c r="D2761" s="6"/>
      <c r="E2761" s="6"/>
      <c r="F2761" s="6"/>
      <c r="G2761" s="6"/>
      <c r="H2761" s="239" t="s">
        <v>1570</v>
      </c>
      <c r="I2761" s="6"/>
      <c r="K2761" s="121"/>
      <c r="L2761" s="121"/>
      <c r="M2761" s="228"/>
      <c r="N2761" s="166"/>
      <c r="P2761" s="166"/>
    </row>
    <row r="2762" spans="1:16" s="7" customFormat="1">
      <c r="A2762" s="228"/>
      <c r="B2762" s="239" t="s">
        <v>1571</v>
      </c>
      <c r="C2762" s="6">
        <v>82462001</v>
      </c>
      <c r="D2762" s="6"/>
      <c r="E2762" s="6"/>
      <c r="F2762" s="6"/>
      <c r="G2762" s="6"/>
      <c r="H2762" s="239" t="s">
        <v>1570</v>
      </c>
      <c r="I2762" s="6"/>
      <c r="K2762" s="121"/>
      <c r="L2762" s="121"/>
      <c r="M2762" s="228"/>
      <c r="N2762" s="166"/>
      <c r="P2762" s="166"/>
    </row>
    <row r="2763" spans="1:16" s="7" customFormat="1">
      <c r="A2763" s="228"/>
      <c r="B2763" s="251" t="s">
        <v>1561</v>
      </c>
      <c r="C2763" s="6">
        <v>94186581</v>
      </c>
      <c r="D2763" s="6"/>
      <c r="E2763" s="6"/>
      <c r="F2763" s="6"/>
      <c r="G2763" s="6"/>
      <c r="H2763" s="233" t="s">
        <v>1562</v>
      </c>
      <c r="I2763" s="6"/>
      <c r="K2763" s="121"/>
      <c r="L2763" s="121"/>
      <c r="M2763" s="228"/>
      <c r="N2763" s="166"/>
      <c r="P2763" s="166"/>
    </row>
    <row r="2764" spans="1:16" s="7" customFormat="1">
      <c r="A2764" s="228"/>
      <c r="B2764" s="253" t="s">
        <v>1557</v>
      </c>
      <c r="C2764" s="6">
        <v>32209485</v>
      </c>
      <c r="D2764" s="6"/>
      <c r="E2764" s="6"/>
      <c r="F2764" s="6"/>
      <c r="G2764" s="6"/>
      <c r="H2764" s="233" t="s">
        <v>1558</v>
      </c>
      <c r="I2764" s="6"/>
      <c r="K2764" s="121"/>
      <c r="L2764" s="121"/>
      <c r="M2764" s="228"/>
      <c r="N2764" s="166"/>
      <c r="P2764" s="166"/>
    </row>
    <row r="2765" spans="1:16" s="7" customFormat="1">
      <c r="A2765" s="228"/>
      <c r="B2765" s="239" t="s">
        <v>1553</v>
      </c>
      <c r="C2765" s="6">
        <v>81244392</v>
      </c>
      <c r="D2765" s="6"/>
      <c r="E2765" s="6"/>
      <c r="F2765" s="6"/>
      <c r="G2765" s="6"/>
      <c r="H2765" s="233" t="s">
        <v>1554</v>
      </c>
      <c r="I2765" s="6"/>
      <c r="K2765" s="121"/>
      <c r="L2765" s="121"/>
      <c r="M2765" s="228"/>
      <c r="N2765" s="166"/>
      <c r="P2765" s="166"/>
    </row>
    <row r="2766" spans="1:16" s="7" customFormat="1">
      <c r="A2766" s="228"/>
      <c r="B2766" s="246" t="s">
        <v>1551</v>
      </c>
      <c r="C2766" s="6">
        <v>21611224</v>
      </c>
      <c r="D2766" s="6"/>
      <c r="E2766" s="6"/>
      <c r="F2766" s="6"/>
      <c r="G2766" s="6"/>
      <c r="H2766" s="233" t="s">
        <v>1552</v>
      </c>
      <c r="I2766" s="6"/>
      <c r="K2766" s="121"/>
      <c r="L2766" s="121"/>
      <c r="M2766" s="228"/>
      <c r="N2766" s="166"/>
      <c r="P2766" s="166"/>
    </row>
    <row r="2767" spans="1:16" s="7" customFormat="1">
      <c r="A2767" s="228"/>
      <c r="B2767" s="328" t="s">
        <v>1541</v>
      </c>
      <c r="C2767" s="6">
        <v>13527130</v>
      </c>
      <c r="D2767" s="6"/>
      <c r="E2767" s="6"/>
      <c r="F2767" s="6"/>
      <c r="G2767" s="6"/>
      <c r="H2767" s="233" t="s">
        <v>1542</v>
      </c>
      <c r="I2767" s="6"/>
      <c r="K2767" s="121"/>
      <c r="L2767" s="121"/>
      <c r="M2767" s="228"/>
      <c r="N2767" s="166"/>
      <c r="P2767" s="166"/>
    </row>
    <row r="2768" spans="1:16" s="7" customFormat="1">
      <c r="A2768" s="228"/>
      <c r="B2768" s="266" t="s">
        <v>1539</v>
      </c>
      <c r="C2768" s="6">
        <v>55871538</v>
      </c>
      <c r="D2768" s="6"/>
      <c r="E2768" s="6"/>
      <c r="F2768" s="6"/>
      <c r="G2768" s="6"/>
      <c r="H2768" s="233" t="s">
        <v>1540</v>
      </c>
      <c r="I2768" s="6"/>
      <c r="K2768" s="121"/>
      <c r="L2768" s="121"/>
      <c r="M2768" s="228"/>
      <c r="N2768" s="166"/>
      <c r="P2768" s="166"/>
    </row>
    <row r="2769" spans="1:16" s="7" customFormat="1">
      <c r="A2769" s="228"/>
      <c r="B2769" s="233" t="s">
        <v>1537</v>
      </c>
      <c r="C2769" s="6">
        <v>51228126</v>
      </c>
      <c r="D2769" s="6"/>
      <c r="E2769" s="6"/>
      <c r="F2769" s="6"/>
      <c r="G2769" s="6"/>
      <c r="H2769" s="233" t="s">
        <v>1538</v>
      </c>
      <c r="I2769" s="6"/>
      <c r="K2769" s="121"/>
      <c r="L2769" s="121"/>
      <c r="M2769" s="228"/>
      <c r="N2769" s="166"/>
      <c r="P2769" s="166"/>
    </row>
    <row r="2770" spans="1:16" s="7" customFormat="1">
      <c r="A2770" s="228"/>
      <c r="B2770" s="242" t="s">
        <v>1044</v>
      </c>
      <c r="C2770" s="6"/>
      <c r="D2770" s="6"/>
      <c r="E2770" s="6"/>
      <c r="F2770" s="6"/>
      <c r="G2770" s="6"/>
      <c r="H2770" s="229"/>
      <c r="I2770" s="6"/>
      <c r="K2770" s="121"/>
      <c r="L2770" s="121"/>
      <c r="N2770" s="166"/>
      <c r="P2770" s="166"/>
    </row>
    <row r="2771" spans="1:16" s="7" customFormat="1">
      <c r="A2771" s="221"/>
      <c r="B2771" s="251" t="s">
        <v>1527</v>
      </c>
      <c r="C2771" s="6">
        <v>66023808</v>
      </c>
      <c r="D2771" s="6"/>
      <c r="E2771" s="6"/>
      <c r="F2771" s="6"/>
      <c r="G2771" s="6"/>
      <c r="H2771" s="233" t="s">
        <v>1528</v>
      </c>
      <c r="I2771" s="6"/>
      <c r="K2771" s="121"/>
      <c r="L2771" s="121"/>
      <c r="M2771" s="7">
        <v>858</v>
      </c>
      <c r="N2771" s="166"/>
      <c r="P2771" s="166"/>
    </row>
    <row r="2772" spans="1:16" s="7" customFormat="1">
      <c r="A2772" s="221"/>
      <c r="B2772" s="239" t="s">
        <v>1510</v>
      </c>
      <c r="C2772" s="6">
        <v>34230178</v>
      </c>
      <c r="D2772" s="6"/>
      <c r="E2772" s="6"/>
      <c r="F2772" s="6"/>
      <c r="G2772" s="6"/>
      <c r="H2772" s="229" t="s">
        <v>1511</v>
      </c>
      <c r="I2772" s="6"/>
      <c r="K2772" s="121"/>
      <c r="L2772" s="121"/>
      <c r="M2772" s="7">
        <v>330</v>
      </c>
      <c r="N2772" s="166">
        <v>28.76</v>
      </c>
      <c r="P2772" s="166"/>
    </row>
    <row r="2773" spans="1:16" s="7" customFormat="1">
      <c r="A2773" s="221"/>
      <c r="B2773" s="239" t="s">
        <v>1498</v>
      </c>
      <c r="C2773" s="6">
        <v>18170191</v>
      </c>
      <c r="D2773" s="6"/>
      <c r="E2773" s="6"/>
      <c r="F2773" s="6"/>
      <c r="G2773" s="6"/>
      <c r="H2773" s="227" t="s">
        <v>1499</v>
      </c>
      <c r="I2773" s="6"/>
      <c r="K2773" s="121"/>
      <c r="L2773" s="121"/>
      <c r="N2773" s="166"/>
      <c r="P2773" s="166"/>
    </row>
    <row r="2774" spans="1:16" s="7" customFormat="1">
      <c r="A2774" s="221"/>
      <c r="B2774" s="246" t="s">
        <v>1492</v>
      </c>
      <c r="C2774" s="6">
        <v>48841482</v>
      </c>
      <c r="D2774" s="6"/>
      <c r="E2774" s="6"/>
      <c r="F2774" s="6"/>
      <c r="G2774" s="6"/>
      <c r="H2774" s="227" t="s">
        <v>1493</v>
      </c>
      <c r="I2774" s="6"/>
      <c r="K2774" s="121"/>
      <c r="L2774" s="121"/>
      <c r="N2774" s="166"/>
      <c r="P2774" s="166"/>
    </row>
    <row r="2775" spans="1:16" s="7" customFormat="1">
      <c r="A2775" s="221"/>
      <c r="B2775" s="231" t="s">
        <v>1490</v>
      </c>
      <c r="C2775" s="3">
        <v>87081006</v>
      </c>
      <c r="D2775" s="3"/>
      <c r="E2775" s="3"/>
      <c r="F2775" s="3"/>
      <c r="G2775" s="3"/>
      <c r="H2775" s="232" t="s">
        <v>1491</v>
      </c>
      <c r="K2775" s="121"/>
      <c r="L2775" s="121"/>
      <c r="N2775" s="166"/>
      <c r="P2775" s="166"/>
    </row>
    <row r="2776" spans="1:16" s="7" customFormat="1">
      <c r="A2776" s="221"/>
      <c r="B2776" s="230" t="s">
        <v>1484</v>
      </c>
      <c r="C2776" s="133">
        <v>61264474</v>
      </c>
      <c r="D2776" s="133"/>
      <c r="E2776" s="133"/>
      <c r="F2776" s="133"/>
      <c r="G2776" s="133"/>
      <c r="H2776" s="226" t="s">
        <v>1485</v>
      </c>
      <c r="K2776" s="121"/>
      <c r="L2776" s="121"/>
      <c r="M2776" s="7">
        <f>140*77000</f>
        <v>10780000</v>
      </c>
      <c r="N2776" s="166"/>
      <c r="P2776" s="166"/>
    </row>
    <row r="2777" spans="1:16" s="7" customFormat="1">
      <c r="A2777" s="221"/>
      <c r="B2777" s="224" t="s">
        <v>1468</v>
      </c>
      <c r="C2777" s="6">
        <v>74658403</v>
      </c>
      <c r="D2777" s="6"/>
      <c r="E2777" s="6"/>
      <c r="F2777" s="6"/>
      <c r="G2777" s="6"/>
      <c r="H2777" s="224" t="s">
        <v>1469</v>
      </c>
      <c r="K2777" s="121"/>
      <c r="L2777" s="121"/>
      <c r="N2777" s="166"/>
      <c r="P2777" s="166"/>
    </row>
    <row r="2778" spans="1:16" s="7" customFormat="1">
      <c r="A2778" s="221"/>
      <c r="B2778" s="251" t="s">
        <v>1455</v>
      </c>
      <c r="C2778" s="6">
        <v>40037572</v>
      </c>
      <c r="D2778" s="6"/>
      <c r="E2778" s="6"/>
      <c r="F2778" s="6"/>
      <c r="G2778" s="6"/>
      <c r="H2778" s="237" t="s">
        <v>1456</v>
      </c>
      <c r="I2778" s="6"/>
      <c r="K2778" s="121"/>
      <c r="L2778" s="121"/>
      <c r="N2778" s="166"/>
      <c r="P2778" s="166"/>
    </row>
    <row r="2779" spans="1:16" s="7" customFormat="1">
      <c r="A2779" s="221"/>
      <c r="B2779" s="227" t="s">
        <v>1448</v>
      </c>
      <c r="C2779" s="6">
        <v>35390066</v>
      </c>
      <c r="D2779" s="6"/>
      <c r="E2779" s="6"/>
      <c r="F2779" s="6"/>
      <c r="G2779" s="6"/>
      <c r="H2779" s="227" t="s">
        <v>1449</v>
      </c>
      <c r="K2779" s="121"/>
      <c r="L2779" s="121"/>
      <c r="N2779" s="166"/>
      <c r="P2779" s="166"/>
    </row>
    <row r="2780" spans="1:16" s="7" customFormat="1">
      <c r="A2780" s="221"/>
      <c r="B2780" s="222" t="s">
        <v>1446</v>
      </c>
      <c r="C2780" s="6">
        <v>42476752</v>
      </c>
      <c r="D2780" s="6"/>
      <c r="E2780" s="6"/>
      <c r="F2780" s="6"/>
      <c r="G2780" s="6"/>
      <c r="H2780" s="222" t="s">
        <v>1447</v>
      </c>
      <c r="K2780" s="121"/>
      <c r="L2780" s="121"/>
      <c r="N2780" s="166"/>
      <c r="P2780" s="166"/>
    </row>
    <row r="2781" spans="1:16" s="7" customFormat="1">
      <c r="A2781" s="215"/>
      <c r="B2781" s="222" t="s">
        <v>1442</v>
      </c>
      <c r="C2781" s="6">
        <v>76005725</v>
      </c>
      <c r="D2781" s="6"/>
      <c r="E2781" s="6"/>
      <c r="F2781" s="6"/>
      <c r="G2781" s="6"/>
      <c r="H2781" s="6" t="s">
        <v>1443</v>
      </c>
      <c r="I2781" s="6"/>
      <c r="K2781" s="121"/>
      <c r="L2781" s="121"/>
      <c r="M2781" s="7">
        <f>3400*11420</f>
        <v>38828000</v>
      </c>
      <c r="N2781" s="166"/>
      <c r="P2781" s="166"/>
    </row>
    <row r="2782" spans="1:16" s="7" customFormat="1">
      <c r="A2782" s="215"/>
      <c r="B2782" s="238" t="s">
        <v>1436</v>
      </c>
      <c r="C2782" s="7">
        <v>58442432</v>
      </c>
      <c r="H2782" s="7" t="s">
        <v>1437</v>
      </c>
      <c r="K2782" s="121"/>
      <c r="L2782" s="121"/>
      <c r="N2782" s="166"/>
      <c r="P2782" s="166"/>
    </row>
    <row r="2783" spans="1:16" s="7" customFormat="1">
      <c r="A2783" s="215"/>
      <c r="B2783" s="275" t="s">
        <v>1410</v>
      </c>
      <c r="C2783" s="218">
        <v>18172570</v>
      </c>
      <c r="D2783" s="218"/>
      <c r="E2783" s="218"/>
      <c r="F2783" s="218"/>
      <c r="G2783" s="218"/>
      <c r="H2783" s="218" t="s">
        <v>1411</v>
      </c>
      <c r="I2783" s="218"/>
      <c r="J2783" s="217"/>
      <c r="K2783" s="121"/>
      <c r="L2783" s="121"/>
      <c r="N2783" s="166"/>
      <c r="P2783" s="166"/>
    </row>
    <row r="2784" spans="1:16" s="7" customFormat="1">
      <c r="A2784" s="215"/>
      <c r="B2784" s="222" t="s">
        <v>1407</v>
      </c>
      <c r="C2784" s="6">
        <v>16740009</v>
      </c>
      <c r="D2784" s="6"/>
      <c r="E2784" s="6"/>
      <c r="F2784" s="6"/>
      <c r="G2784" s="6"/>
      <c r="H2784" s="6" t="s">
        <v>1408</v>
      </c>
      <c r="I2784" s="6"/>
      <c r="K2784" s="121"/>
      <c r="L2784" s="121"/>
      <c r="N2784" s="166"/>
      <c r="P2784" s="166"/>
    </row>
    <row r="2785" spans="1:16" s="7" customFormat="1">
      <c r="A2785" s="215"/>
      <c r="B2785" s="218" t="s">
        <v>1403</v>
      </c>
      <c r="C2785" s="218" t="s">
        <v>1404</v>
      </c>
      <c r="D2785" s="6"/>
      <c r="E2785" s="6"/>
      <c r="F2785" s="6"/>
      <c r="G2785" s="6"/>
      <c r="H2785" s="6" t="s">
        <v>1405</v>
      </c>
      <c r="I2785" s="6"/>
      <c r="K2785" s="121"/>
      <c r="L2785" s="121"/>
      <c r="N2785" s="166"/>
      <c r="P2785" s="166"/>
    </row>
    <row r="2786" spans="1:16" s="7" customFormat="1">
      <c r="A2786" s="209"/>
      <c r="B2786" s="216" t="s">
        <v>1386</v>
      </c>
      <c r="C2786" s="6">
        <v>24270305</v>
      </c>
      <c r="D2786" s="6"/>
      <c r="E2786" s="6"/>
      <c r="F2786" s="6"/>
      <c r="G2786" s="6"/>
      <c r="H2786" s="6" t="s">
        <v>1387</v>
      </c>
      <c r="I2786" s="6"/>
      <c r="K2786" s="121"/>
      <c r="L2786" s="121"/>
      <c r="N2786" s="166"/>
      <c r="P2786" s="166"/>
    </row>
    <row r="2787" spans="1:16" s="7" customFormat="1">
      <c r="A2787" s="209"/>
      <c r="B2787" s="216" t="s">
        <v>1383</v>
      </c>
      <c r="C2787" s="6">
        <v>22873659</v>
      </c>
      <c r="D2787" s="6"/>
      <c r="E2787" s="6"/>
      <c r="F2787" s="6"/>
      <c r="G2787" s="6"/>
      <c r="H2787" s="6" t="s">
        <v>1384</v>
      </c>
      <c r="I2787" s="6"/>
      <c r="K2787" s="121"/>
      <c r="L2787" s="121"/>
      <c r="N2787" s="166"/>
      <c r="P2787" s="166"/>
    </row>
    <row r="2788" spans="1:16" s="7" customFormat="1">
      <c r="A2788" s="209"/>
      <c r="B2788" s="217" t="s">
        <v>1380</v>
      </c>
      <c r="C2788" s="7">
        <v>50917913</v>
      </c>
      <c r="D2788" s="7" t="s">
        <v>1382</v>
      </c>
      <c r="H2788" s="7" t="s">
        <v>1381</v>
      </c>
      <c r="K2788" s="121"/>
      <c r="L2788" s="121"/>
      <c r="N2788" s="166"/>
      <c r="P2788" s="166"/>
    </row>
    <row r="2789" spans="1:16" s="7" customFormat="1">
      <c r="A2789" s="209"/>
      <c r="B2789" s="214" t="s">
        <v>1377</v>
      </c>
      <c r="C2789" s="6">
        <v>97037979</v>
      </c>
      <c r="D2789" s="6"/>
      <c r="E2789" s="6"/>
      <c r="F2789" s="6"/>
      <c r="G2789" s="6"/>
      <c r="H2789" s="6" t="s">
        <v>1378</v>
      </c>
      <c r="I2789" s="6"/>
      <c r="K2789" s="121"/>
      <c r="L2789" s="121"/>
      <c r="N2789" s="166"/>
      <c r="P2789" s="166"/>
    </row>
    <row r="2790" spans="1:16" s="7" customFormat="1">
      <c r="A2790" s="184"/>
      <c r="B2790" s="222" t="s">
        <v>1374</v>
      </c>
      <c r="C2790" s="6">
        <v>91246260</v>
      </c>
      <c r="D2790" s="6"/>
      <c r="E2790" s="6"/>
      <c r="F2790" s="6"/>
      <c r="G2790" s="6"/>
      <c r="H2790" s="208" t="s">
        <v>1375</v>
      </c>
      <c r="I2790" s="6"/>
      <c r="K2790" s="121"/>
      <c r="L2790" s="121"/>
      <c r="N2790" s="166"/>
      <c r="P2790" s="166"/>
    </row>
    <row r="2791" spans="1:16" s="7" customFormat="1">
      <c r="A2791" s="184"/>
      <c r="B2791" s="218" t="s">
        <v>1369</v>
      </c>
      <c r="C2791" s="6">
        <v>53298674</v>
      </c>
      <c r="D2791" s="6"/>
      <c r="E2791" s="6"/>
      <c r="F2791" s="6"/>
      <c r="G2791" s="6"/>
      <c r="H2791" s="6" t="s">
        <v>1370</v>
      </c>
      <c r="I2791" s="6">
        <v>33</v>
      </c>
      <c r="K2791" s="121"/>
      <c r="L2791" s="121"/>
      <c r="N2791" s="166"/>
      <c r="P2791" s="166"/>
    </row>
    <row r="2792" spans="1:16" s="7" customFormat="1">
      <c r="A2792" s="184"/>
      <c r="B2792" s="216" t="s">
        <v>1368</v>
      </c>
      <c r="C2792" s="6">
        <v>46938113</v>
      </c>
      <c r="D2792" s="6"/>
      <c r="E2792" s="6"/>
      <c r="F2792" s="6"/>
      <c r="G2792" s="6"/>
      <c r="H2792" s="6" t="s">
        <v>1385</v>
      </c>
      <c r="I2792" s="6"/>
      <c r="K2792" s="121"/>
      <c r="L2792" s="121"/>
      <c r="N2792" s="166"/>
      <c r="P2792" s="166"/>
    </row>
    <row r="2793" spans="1:16" s="7" customFormat="1">
      <c r="A2793" s="184"/>
      <c r="B2793" s="208" t="s">
        <v>1366</v>
      </c>
      <c r="C2793" s="6">
        <v>42992036</v>
      </c>
      <c r="D2793" s="6"/>
      <c r="E2793" s="6"/>
      <c r="F2793" s="6"/>
      <c r="G2793" s="6"/>
      <c r="H2793" s="6" t="s">
        <v>1367</v>
      </c>
      <c r="I2793" s="6">
        <v>33</v>
      </c>
      <c r="K2793" s="121"/>
      <c r="L2793" s="121"/>
      <c r="N2793" s="166"/>
      <c r="P2793" s="166"/>
    </row>
    <row r="2794" spans="1:16" s="7" customFormat="1">
      <c r="A2794" s="184"/>
      <c r="B2794" s="214" t="s">
        <v>1362</v>
      </c>
      <c r="C2794" s="6">
        <v>87295288</v>
      </c>
      <c r="D2794" s="6"/>
      <c r="E2794" s="6"/>
      <c r="F2794" s="6"/>
      <c r="G2794" s="6"/>
      <c r="H2794" s="6" t="s">
        <v>1363</v>
      </c>
      <c r="I2794" s="6"/>
      <c r="K2794" s="121"/>
      <c r="L2794" s="121"/>
      <c r="N2794" s="166"/>
      <c r="P2794" s="166"/>
    </row>
    <row r="2795" spans="1:16" s="7" customFormat="1">
      <c r="A2795" s="184"/>
      <c r="B2795" s="214" t="s">
        <v>1359</v>
      </c>
      <c r="C2795" s="6">
        <v>65874780</v>
      </c>
      <c r="D2795" s="6"/>
      <c r="E2795" s="6"/>
      <c r="F2795" s="6"/>
      <c r="G2795" s="6"/>
      <c r="H2795" s="6" t="s">
        <v>1360</v>
      </c>
      <c r="I2795" s="6">
        <v>8.4</v>
      </c>
      <c r="K2795" s="121"/>
      <c r="L2795" s="121"/>
      <c r="N2795" s="166"/>
      <c r="P2795" s="166"/>
    </row>
    <row r="2796" spans="1:16" s="7" customFormat="1">
      <c r="A2796" s="184"/>
      <c r="B2796" s="206" t="s">
        <v>1349</v>
      </c>
      <c r="C2796" s="6">
        <v>95121734</v>
      </c>
      <c r="D2796" s="6"/>
      <c r="E2796" s="6"/>
      <c r="F2796" s="6"/>
      <c r="G2796" s="6"/>
      <c r="H2796" s="6" t="s">
        <v>1350</v>
      </c>
      <c r="K2796" s="121"/>
      <c r="L2796" s="121"/>
      <c r="N2796" s="166"/>
      <c r="P2796" s="166"/>
    </row>
    <row r="2797" spans="1:16" s="7" customFormat="1">
      <c r="A2797" s="184"/>
      <c r="B2797" s="258" t="s">
        <v>1346</v>
      </c>
      <c r="C2797" s="3">
        <v>64621425</v>
      </c>
      <c r="D2797" s="3"/>
      <c r="E2797" s="3"/>
      <c r="F2797" s="3"/>
      <c r="G2797" s="3"/>
      <c r="H2797" s="3" t="s">
        <v>1347</v>
      </c>
      <c r="K2797" s="121"/>
      <c r="L2797" s="121"/>
      <c r="N2797" s="166"/>
      <c r="P2797" s="166">
        <v>24900000</v>
      </c>
    </row>
    <row r="2798" spans="1:16" s="7" customFormat="1">
      <c r="A2798" s="184"/>
      <c r="B2798" s="257" t="s">
        <v>1345</v>
      </c>
      <c r="C2798" s="6">
        <v>88189116</v>
      </c>
      <c r="D2798" s="6"/>
      <c r="E2798" s="6"/>
      <c r="F2798" s="6"/>
      <c r="G2798" s="6"/>
      <c r="H2798" s="6" t="s">
        <v>1347</v>
      </c>
      <c r="K2798" s="121"/>
      <c r="L2798" s="121"/>
      <c r="N2798" s="166"/>
      <c r="P2798" s="166">
        <v>26045000</v>
      </c>
    </row>
    <row r="2799" spans="1:16" s="7" customFormat="1">
      <c r="A2799" s="184"/>
      <c r="B2799" s="206" t="s">
        <v>1338</v>
      </c>
      <c r="C2799" s="6">
        <v>48800801</v>
      </c>
      <c r="D2799" s="6"/>
      <c r="E2799" s="6"/>
      <c r="F2799" s="6"/>
      <c r="G2799" s="6"/>
      <c r="H2799" s="6" t="s">
        <v>1339</v>
      </c>
      <c r="K2799" s="121"/>
      <c r="L2799" s="121"/>
      <c r="N2799" s="166"/>
      <c r="P2799" s="166">
        <v>27300000</v>
      </c>
    </row>
    <row r="2800" spans="1:16" s="7" customFormat="1">
      <c r="A2800" s="184"/>
      <c r="B2800" s="206" t="s">
        <v>1336</v>
      </c>
      <c r="C2800" s="6"/>
      <c r="D2800" s="6"/>
      <c r="E2800" s="6"/>
      <c r="F2800" s="6"/>
      <c r="G2800" s="6"/>
      <c r="H2800" s="6" t="s">
        <v>1337</v>
      </c>
      <c r="K2800" s="121"/>
      <c r="L2800" s="121"/>
      <c r="N2800" s="166"/>
      <c r="P2800" s="166"/>
    </row>
    <row r="2801" spans="1:16" s="7" customFormat="1">
      <c r="A2801" s="184"/>
      <c r="B2801" s="318" t="s">
        <v>1317</v>
      </c>
      <c r="C2801" s="2"/>
      <c r="D2801" s="2"/>
      <c r="E2801" s="2"/>
      <c r="F2801" s="2"/>
      <c r="G2801" s="2"/>
      <c r="H2801" s="2" t="s">
        <v>1329</v>
      </c>
      <c r="K2801" s="121"/>
      <c r="L2801" s="121"/>
      <c r="N2801" s="166"/>
      <c r="P2801" s="166"/>
    </row>
    <row r="2802" spans="1:16" s="7" customFormat="1">
      <c r="A2802" s="184"/>
      <c r="B2802" s="214" t="s">
        <v>1291</v>
      </c>
      <c r="C2802" s="6">
        <v>19203722</v>
      </c>
      <c r="D2802" s="6"/>
      <c r="E2802" s="6"/>
      <c r="F2802" s="6"/>
      <c r="G2802" s="6"/>
      <c r="H2802" s="204" t="s">
        <v>1292</v>
      </c>
      <c r="K2802" s="121"/>
      <c r="L2802" s="121"/>
      <c r="N2802" s="166"/>
      <c r="P2802" s="166"/>
    </row>
    <row r="2803" spans="1:16" s="7" customFormat="1">
      <c r="A2803" s="184"/>
      <c r="B2803" s="203" t="s">
        <v>1274</v>
      </c>
      <c r="C2803" s="6">
        <v>63487963</v>
      </c>
      <c r="D2803" s="6"/>
      <c r="E2803" s="6"/>
      <c r="F2803" s="6"/>
      <c r="G2803" s="6"/>
      <c r="H2803" s="6" t="s">
        <v>1275</v>
      </c>
      <c r="K2803" s="121"/>
      <c r="L2803" s="121"/>
      <c r="N2803" s="166"/>
      <c r="P2803" s="166"/>
    </row>
    <row r="2804" spans="1:16" s="7" customFormat="1">
      <c r="A2804" s="184"/>
      <c r="B2804" s="203" t="s">
        <v>1262</v>
      </c>
      <c r="C2804" s="6">
        <v>93400786</v>
      </c>
      <c r="D2804" s="6"/>
      <c r="E2804" s="6"/>
      <c r="F2804" s="6"/>
      <c r="G2804" s="6"/>
      <c r="H2804" s="6" t="s">
        <v>1263</v>
      </c>
      <c r="K2804" s="121"/>
      <c r="L2804" s="121"/>
      <c r="N2804" s="166"/>
      <c r="P2804" s="166"/>
    </row>
    <row r="2805" spans="1:16" s="7" customFormat="1">
      <c r="A2805" s="184"/>
      <c r="B2805" s="215" t="s">
        <v>1258</v>
      </c>
      <c r="C2805" s="7">
        <v>32751306</v>
      </c>
      <c r="H2805" s="7" t="s">
        <v>1259</v>
      </c>
      <c r="K2805" s="121"/>
      <c r="L2805" s="121"/>
      <c r="N2805" s="166"/>
      <c r="P2805" s="166"/>
    </row>
    <row r="2806" spans="1:16" s="7" customFormat="1">
      <c r="A2806" s="184"/>
      <c r="B2806" s="203" t="s">
        <v>1241</v>
      </c>
      <c r="C2806" s="6">
        <v>90645733</v>
      </c>
      <c r="D2806" s="6"/>
      <c r="E2806" s="6"/>
      <c r="F2806" s="6"/>
      <c r="G2806" s="6"/>
      <c r="H2806" s="6" t="s">
        <v>1242</v>
      </c>
      <c r="I2806" s="7">
        <f>6+6</f>
        <v>12</v>
      </c>
      <c r="K2806" s="205" t="s">
        <v>1309</v>
      </c>
      <c r="L2806" s="205"/>
      <c r="N2806" s="166"/>
      <c r="P2806" s="166"/>
    </row>
    <row r="2807" spans="1:16" s="7" customFormat="1">
      <c r="A2807" s="184"/>
      <c r="B2807" s="204" t="s">
        <v>1251</v>
      </c>
      <c r="C2807" s="6">
        <v>94946998</v>
      </c>
      <c r="D2807" s="6"/>
      <c r="E2807" s="6"/>
      <c r="F2807" s="6"/>
      <c r="G2807" s="6"/>
      <c r="H2807" s="6" t="s">
        <v>1252</v>
      </c>
      <c r="K2807" s="121"/>
      <c r="L2807" s="121"/>
      <c r="N2807" s="166"/>
      <c r="P2807" s="166"/>
    </row>
    <row r="2808" spans="1:16" s="7" customFormat="1">
      <c r="A2808" s="184"/>
      <c r="B2808" s="203" t="s">
        <v>1247</v>
      </c>
      <c r="C2808" s="6">
        <v>96138636</v>
      </c>
      <c r="D2808" s="6"/>
      <c r="E2808" s="6"/>
      <c r="F2808" s="6"/>
      <c r="G2808" s="6"/>
      <c r="H2808" s="6" t="s">
        <v>1248</v>
      </c>
      <c r="K2808" s="121"/>
      <c r="L2808" s="121"/>
      <c r="N2808" s="166"/>
      <c r="P2808" s="166"/>
    </row>
    <row r="2809" spans="1:16" s="7" customFormat="1">
      <c r="A2809" s="184"/>
      <c r="B2809" s="203" t="s">
        <v>1235</v>
      </c>
      <c r="C2809" s="6">
        <v>85509081</v>
      </c>
      <c r="D2809" s="6"/>
      <c r="E2809" s="6"/>
      <c r="F2809" s="6"/>
      <c r="G2809" s="6"/>
      <c r="H2809" s="6" t="s">
        <v>1236</v>
      </c>
      <c r="K2809" s="121"/>
      <c r="L2809" s="121"/>
      <c r="N2809" s="166"/>
      <c r="P2809" s="166"/>
    </row>
    <row r="2810" spans="1:16" s="7" customFormat="1">
      <c r="A2810" s="184"/>
      <c r="B2810" s="206" t="s">
        <v>1233</v>
      </c>
      <c r="C2810" s="6">
        <v>47884389</v>
      </c>
      <c r="D2810" s="6"/>
      <c r="E2810" s="6"/>
      <c r="F2810" s="6"/>
      <c r="G2810" s="6"/>
      <c r="H2810" s="6" t="s">
        <v>1234</v>
      </c>
      <c r="K2810" s="121"/>
      <c r="L2810" s="121"/>
      <c r="N2810" s="166"/>
      <c r="P2810" s="166"/>
    </row>
    <row r="2811" spans="1:16" s="7" customFormat="1">
      <c r="A2811" s="184"/>
      <c r="B2811" s="270" t="s">
        <v>1228</v>
      </c>
      <c r="C2811" s="6">
        <v>46851868</v>
      </c>
      <c r="D2811" s="6"/>
      <c r="E2811" s="6"/>
      <c r="F2811" s="6"/>
      <c r="G2811" s="6"/>
      <c r="H2811" s="6" t="s">
        <v>1229</v>
      </c>
      <c r="K2811" s="121"/>
      <c r="L2811" s="121"/>
      <c r="N2811" s="166"/>
      <c r="P2811" s="166"/>
    </row>
    <row r="2812" spans="1:16" s="7" customFormat="1">
      <c r="A2812" s="184"/>
      <c r="B2812" s="203" t="s">
        <v>1219</v>
      </c>
      <c r="C2812" s="6">
        <v>85154748</v>
      </c>
      <c r="D2812" s="6"/>
      <c r="E2812" s="6"/>
      <c r="F2812" s="6"/>
      <c r="G2812" s="6"/>
      <c r="H2812" s="6" t="s">
        <v>1250</v>
      </c>
      <c r="K2812" s="121"/>
      <c r="L2812" s="121"/>
      <c r="N2812" s="166"/>
      <c r="P2812" s="166"/>
    </row>
    <row r="2813" spans="1:16" s="7" customFormat="1">
      <c r="A2813" s="184"/>
      <c r="B2813" s="204" t="s">
        <v>1207</v>
      </c>
      <c r="C2813" s="6">
        <v>19760377</v>
      </c>
      <c r="D2813" s="6"/>
      <c r="E2813" s="6"/>
      <c r="F2813" s="6"/>
      <c r="G2813" s="6"/>
      <c r="H2813" s="6" t="s">
        <v>1208</v>
      </c>
      <c r="K2813" s="121"/>
      <c r="L2813" s="121"/>
      <c r="N2813" s="166"/>
      <c r="P2813" s="166"/>
    </row>
    <row r="2814" spans="1:16" s="7" customFormat="1">
      <c r="A2814" s="184"/>
      <c r="B2814" s="203" t="s">
        <v>1201</v>
      </c>
      <c r="C2814" s="203" t="s">
        <v>1202</v>
      </c>
      <c r="D2814" s="6"/>
      <c r="E2814" s="6"/>
      <c r="F2814" s="6"/>
      <c r="G2814" s="6"/>
      <c r="H2814" s="6" t="s">
        <v>1203</v>
      </c>
      <c r="K2814" s="121"/>
      <c r="L2814" s="121"/>
      <c r="N2814" s="166"/>
      <c r="P2814" s="166"/>
    </row>
    <row r="2815" spans="1:16" s="7" customFormat="1">
      <c r="A2815" s="184"/>
      <c r="B2815" s="189" t="s">
        <v>1186</v>
      </c>
      <c r="C2815" s="6">
        <v>29855742</v>
      </c>
      <c r="D2815" s="6"/>
      <c r="E2815" s="6"/>
      <c r="F2815" s="6"/>
      <c r="G2815" s="6"/>
      <c r="H2815" s="6" t="s">
        <v>1187</v>
      </c>
      <c r="K2815" s="121"/>
      <c r="L2815" s="121"/>
      <c r="N2815" s="166"/>
      <c r="P2815" s="166"/>
    </row>
    <row r="2816" spans="1:16" s="7" customFormat="1">
      <c r="A2816" s="184"/>
      <c r="B2816" s="188" t="s">
        <v>1177</v>
      </c>
      <c r="C2816" s="6">
        <v>64623768</v>
      </c>
      <c r="D2816" s="6"/>
      <c r="E2816" s="6"/>
      <c r="F2816" s="6"/>
      <c r="G2816" s="6"/>
      <c r="H2816" s="6" t="s">
        <v>1178</v>
      </c>
      <c r="K2816" s="121"/>
      <c r="L2816" s="121"/>
      <c r="N2816" s="166"/>
      <c r="P2816" s="166"/>
    </row>
    <row r="2817" spans="1:16" s="7" customFormat="1">
      <c r="A2817" s="175"/>
      <c r="B2817" s="187" t="s">
        <v>1166</v>
      </c>
      <c r="C2817" s="85"/>
      <c r="D2817" s="85"/>
      <c r="E2817" s="85"/>
      <c r="F2817" s="85"/>
      <c r="G2817" s="85"/>
      <c r="H2817" s="85" t="s">
        <v>1167</v>
      </c>
      <c r="K2817" s="121"/>
      <c r="L2817" s="121"/>
      <c r="N2817" s="166"/>
      <c r="P2817" s="166"/>
    </row>
    <row r="2818" spans="1:16" s="7" customFormat="1">
      <c r="A2818" s="175"/>
      <c r="B2818" s="206" t="s">
        <v>1164</v>
      </c>
      <c r="C2818" s="6">
        <v>12680480</v>
      </c>
      <c r="D2818" s="6"/>
      <c r="E2818" s="6"/>
      <c r="F2818" s="6"/>
      <c r="G2818" s="6"/>
      <c r="H2818" s="6" t="s">
        <v>1165</v>
      </c>
      <c r="K2818" s="121"/>
      <c r="L2818" s="121"/>
      <c r="N2818" s="166"/>
      <c r="P2818" s="166"/>
    </row>
    <row r="2819" spans="1:16" s="7" customFormat="1">
      <c r="A2819" s="175"/>
      <c r="B2819" s="185" t="s">
        <v>1163</v>
      </c>
      <c r="C2819" s="7">
        <v>33115834</v>
      </c>
      <c r="K2819" s="121"/>
      <c r="L2819" s="121"/>
      <c r="N2819" s="166"/>
      <c r="P2819" s="166"/>
    </row>
    <row r="2820" spans="1:16" s="7" customFormat="1">
      <c r="A2820" s="175"/>
      <c r="B2820" s="189" t="s">
        <v>1159</v>
      </c>
      <c r="C2820" s="6">
        <v>84393346</v>
      </c>
      <c r="D2820" s="6"/>
      <c r="E2820" s="6"/>
      <c r="F2820" s="6"/>
      <c r="G2820" s="6"/>
      <c r="H2820" s="6" t="s">
        <v>1160</v>
      </c>
      <c r="K2820" s="121"/>
      <c r="L2820" s="121"/>
      <c r="N2820" s="166"/>
      <c r="P2820" s="166"/>
    </row>
    <row r="2821" spans="1:16" s="7" customFormat="1">
      <c r="A2821" s="175"/>
      <c r="B2821" s="216" t="s">
        <v>1156</v>
      </c>
      <c r="C2821" s="6">
        <v>51831125</v>
      </c>
      <c r="D2821" s="6"/>
      <c r="E2821" s="6"/>
      <c r="F2821" s="6"/>
      <c r="G2821" s="6"/>
      <c r="H2821" s="6" t="s">
        <v>1157</v>
      </c>
      <c r="K2821" s="121"/>
      <c r="L2821" s="121"/>
      <c r="N2821" s="166"/>
      <c r="P2821" s="166"/>
    </row>
    <row r="2822" spans="1:16" s="7" customFormat="1">
      <c r="A2822" s="175"/>
      <c r="B2822" s="183" t="s">
        <v>1154</v>
      </c>
      <c r="C2822" s="6">
        <v>38617191</v>
      </c>
      <c r="D2822" s="6"/>
      <c r="E2822" s="6"/>
      <c r="F2822" s="6"/>
      <c r="G2822" s="6"/>
      <c r="H2822" s="6" t="s">
        <v>1155</v>
      </c>
      <c r="K2822" s="121"/>
      <c r="L2822" s="121"/>
      <c r="N2822" s="166"/>
      <c r="P2822" s="166"/>
    </row>
    <row r="2823" spans="1:16" s="7" customFormat="1">
      <c r="A2823" s="175"/>
      <c r="B2823" s="183" t="s">
        <v>1152</v>
      </c>
      <c r="C2823" s="6">
        <v>68707913</v>
      </c>
      <c r="D2823" s="6"/>
      <c r="E2823" s="6"/>
      <c r="F2823" s="6"/>
      <c r="G2823" s="6"/>
      <c r="H2823" s="6" t="s">
        <v>1151</v>
      </c>
      <c r="K2823" s="121"/>
      <c r="L2823" s="121"/>
      <c r="N2823" s="166"/>
      <c r="P2823" s="166"/>
    </row>
    <row r="2824" spans="1:16" s="7" customFormat="1">
      <c r="A2824" s="175"/>
      <c r="B2824" s="183" t="s">
        <v>1150</v>
      </c>
      <c r="C2824" s="6">
        <v>84182228</v>
      </c>
      <c r="D2824" s="6"/>
      <c r="E2824" s="6"/>
      <c r="F2824" s="6"/>
      <c r="G2824" s="6"/>
      <c r="H2824" s="6" t="s">
        <v>1151</v>
      </c>
      <c r="K2824" s="121"/>
      <c r="L2824" s="121"/>
      <c r="N2824" s="166"/>
      <c r="P2824" s="166"/>
    </row>
    <row r="2825" spans="1:16" s="7" customFormat="1">
      <c r="A2825" s="175"/>
      <c r="B2825" s="179" t="s">
        <v>1140</v>
      </c>
      <c r="C2825" s="6">
        <v>11127137</v>
      </c>
      <c r="D2825" s="6"/>
      <c r="E2825" s="6"/>
      <c r="F2825" s="6"/>
      <c r="G2825" s="6"/>
      <c r="H2825" s="6" t="s">
        <v>1141</v>
      </c>
      <c r="K2825" s="121"/>
      <c r="L2825" s="121"/>
      <c r="N2825" s="166"/>
      <c r="P2825" s="166"/>
    </row>
    <row r="2826" spans="1:16" s="7" customFormat="1">
      <c r="A2826" s="175"/>
      <c r="B2826" s="179" t="s">
        <v>1125</v>
      </c>
      <c r="C2826" s="6">
        <v>81311067</v>
      </c>
      <c r="D2826" s="6"/>
      <c r="E2826" s="6"/>
      <c r="F2826" s="6"/>
      <c r="G2826" s="6"/>
      <c r="H2826" s="6" t="s">
        <v>1126</v>
      </c>
      <c r="K2826" s="121"/>
      <c r="L2826" s="121"/>
      <c r="N2826" s="166"/>
      <c r="P2826" s="166"/>
    </row>
    <row r="2827" spans="1:16" s="7" customFormat="1">
      <c r="A2827" s="175"/>
      <c r="B2827" s="188" t="s">
        <v>1123</v>
      </c>
      <c r="C2827" s="6">
        <v>46102488</v>
      </c>
      <c r="D2827" s="6"/>
      <c r="E2827" s="6"/>
      <c r="F2827" s="6"/>
      <c r="G2827" s="6"/>
      <c r="H2827" s="6" t="s">
        <v>1124</v>
      </c>
      <c r="K2827" s="121"/>
      <c r="L2827" s="121"/>
      <c r="N2827" s="166"/>
      <c r="P2827" s="166"/>
    </row>
    <row r="2828" spans="1:16" s="7" customFormat="1">
      <c r="A2828" s="175"/>
      <c r="B2828" s="188" t="s">
        <v>1116</v>
      </c>
      <c r="C2828" s="6">
        <v>39740887</v>
      </c>
      <c r="D2828" s="6"/>
      <c r="E2828" s="6"/>
      <c r="F2828" s="6"/>
      <c r="G2828" s="6"/>
      <c r="H2828" s="6" t="s">
        <v>1117</v>
      </c>
      <c r="K2828" s="121"/>
      <c r="L2828" s="121"/>
      <c r="N2828" s="166"/>
      <c r="P2828" s="166"/>
    </row>
    <row r="2829" spans="1:16" s="7" customFormat="1">
      <c r="A2829" s="175"/>
      <c r="B2829" s="179" t="s">
        <v>1114</v>
      </c>
      <c r="C2829" s="6">
        <v>21776680</v>
      </c>
      <c r="D2829" s="6"/>
      <c r="E2829" s="6"/>
      <c r="F2829" s="6"/>
      <c r="G2829" s="6"/>
      <c r="H2829" s="6" t="s">
        <v>1115</v>
      </c>
      <c r="K2829" s="121"/>
      <c r="L2829" s="121"/>
      <c r="N2829" s="166"/>
      <c r="P2829" s="166"/>
    </row>
    <row r="2830" spans="1:16" s="7" customFormat="1">
      <c r="A2830" s="175"/>
      <c r="B2830" s="179" t="s">
        <v>1112</v>
      </c>
      <c r="C2830" s="6">
        <v>58657918</v>
      </c>
      <c r="D2830" s="6"/>
      <c r="E2830" s="6"/>
      <c r="F2830" s="6"/>
      <c r="G2830" s="6"/>
      <c r="H2830" s="6" t="s">
        <v>1034</v>
      </c>
      <c r="K2830" s="121"/>
      <c r="L2830" s="121"/>
      <c r="N2830" s="166"/>
      <c r="P2830" s="166"/>
    </row>
    <row r="2831" spans="1:16" s="7" customFormat="1">
      <c r="A2831" s="175"/>
      <c r="B2831" s="179" t="s">
        <v>868</v>
      </c>
      <c r="C2831" s="6">
        <v>78261113</v>
      </c>
      <c r="D2831" s="6"/>
      <c r="E2831" s="6"/>
      <c r="F2831" s="6"/>
      <c r="G2831" s="6"/>
      <c r="H2831" s="6" t="s">
        <v>1109</v>
      </c>
      <c r="K2831" s="178"/>
      <c r="L2831" s="178"/>
      <c r="N2831" s="166"/>
      <c r="P2831" s="166"/>
    </row>
    <row r="2832" spans="1:16" s="7" customFormat="1">
      <c r="A2832" s="175"/>
      <c r="B2832" s="192" t="s">
        <v>1107</v>
      </c>
      <c r="C2832" s="6">
        <v>90824510</v>
      </c>
      <c r="D2832" s="6"/>
      <c r="E2832" s="6"/>
      <c r="F2832" s="6"/>
      <c r="G2832" s="6"/>
      <c r="H2832" s="6" t="s">
        <v>1108</v>
      </c>
      <c r="I2832" s="7" t="s">
        <v>1205</v>
      </c>
      <c r="K2832" s="121"/>
      <c r="L2832" s="121"/>
      <c r="N2832" s="166"/>
      <c r="P2832" s="166"/>
    </row>
    <row r="2833" spans="1:16" s="7" customFormat="1">
      <c r="A2833" s="175"/>
      <c r="B2833" s="177" t="s">
        <v>1105</v>
      </c>
      <c r="C2833" s="6">
        <v>37365429</v>
      </c>
      <c r="D2833" s="6"/>
      <c r="E2833" s="6"/>
      <c r="F2833" s="6"/>
      <c r="G2833" s="6"/>
      <c r="H2833" s="6" t="s">
        <v>1106</v>
      </c>
      <c r="K2833" s="121"/>
      <c r="L2833" s="121"/>
      <c r="N2833" s="166"/>
      <c r="P2833" s="166"/>
    </row>
    <row r="2834" spans="1:16" s="7" customFormat="1">
      <c r="A2834" s="175"/>
      <c r="B2834" s="188" t="s">
        <v>1103</v>
      </c>
      <c r="C2834" s="6">
        <v>76480765</v>
      </c>
      <c r="D2834" s="6"/>
      <c r="E2834" s="6"/>
      <c r="F2834" s="6"/>
      <c r="G2834" s="6"/>
      <c r="H2834" s="6" t="s">
        <v>1104</v>
      </c>
      <c r="K2834" s="121"/>
      <c r="L2834" s="121"/>
      <c r="N2834" s="166"/>
      <c r="P2834" s="166"/>
    </row>
    <row r="2835" spans="1:16" s="7" customFormat="1">
      <c r="A2835" s="175"/>
      <c r="B2835" s="177" t="s">
        <v>1098</v>
      </c>
      <c r="C2835" s="6">
        <v>93125787</v>
      </c>
      <c r="D2835" s="6"/>
      <c r="E2835" s="6"/>
      <c r="F2835" s="6"/>
      <c r="G2835" s="6"/>
      <c r="H2835" s="6" t="s">
        <v>1099</v>
      </c>
      <c r="K2835" s="121"/>
      <c r="L2835" s="121"/>
      <c r="N2835" s="166"/>
      <c r="P2835" s="166"/>
    </row>
    <row r="2836" spans="1:16" s="7" customFormat="1">
      <c r="A2836" s="175"/>
      <c r="B2836" s="179" t="s">
        <v>924</v>
      </c>
      <c r="C2836" s="6">
        <v>95723285</v>
      </c>
      <c r="D2836" s="6"/>
      <c r="E2836" s="6"/>
      <c r="F2836" s="6"/>
      <c r="G2836" s="6"/>
      <c r="H2836" s="6" t="s">
        <v>925</v>
      </c>
      <c r="K2836" s="175"/>
      <c r="L2836" s="175"/>
      <c r="N2836" s="166"/>
      <c r="P2836" s="166"/>
    </row>
    <row r="2837" spans="1:16" s="7" customFormat="1">
      <c r="A2837" s="156"/>
      <c r="B2837" s="177" t="s">
        <v>1092</v>
      </c>
      <c r="C2837" s="6"/>
      <c r="D2837" s="6"/>
      <c r="E2837" s="6"/>
      <c r="F2837" s="6"/>
      <c r="G2837" s="6"/>
      <c r="H2837" s="6" t="s">
        <v>1093</v>
      </c>
      <c r="K2837" s="121"/>
      <c r="L2837" s="121"/>
      <c r="N2837" s="166"/>
      <c r="P2837" s="166"/>
    </row>
    <row r="2838" spans="1:16" s="7" customFormat="1">
      <c r="A2838" s="156"/>
      <c r="B2838" s="177" t="s">
        <v>1090</v>
      </c>
      <c r="C2838" s="6"/>
      <c r="D2838" s="6"/>
      <c r="E2838" s="6"/>
      <c r="F2838" s="6"/>
      <c r="G2838" s="6"/>
      <c r="H2838" s="6" t="s">
        <v>1091</v>
      </c>
      <c r="K2838" s="121"/>
      <c r="L2838" s="121"/>
      <c r="N2838" s="166"/>
      <c r="P2838" s="166"/>
    </row>
    <row r="2839" spans="1:16" s="7" customFormat="1">
      <c r="A2839" s="156"/>
      <c r="B2839" s="177" t="s">
        <v>1086</v>
      </c>
      <c r="C2839" s="6">
        <v>18509865</v>
      </c>
      <c r="D2839" s="6"/>
      <c r="E2839" s="6"/>
      <c r="F2839" s="6"/>
      <c r="G2839" s="6"/>
      <c r="H2839" s="6" t="s">
        <v>1087</v>
      </c>
      <c r="K2839" s="121"/>
      <c r="L2839" s="121"/>
      <c r="N2839" s="166"/>
      <c r="P2839" s="166"/>
    </row>
    <row r="2840" spans="1:16" s="7" customFormat="1">
      <c r="A2840" s="156"/>
      <c r="B2840" s="169" t="s">
        <v>1077</v>
      </c>
      <c r="H2840" s="7" t="s">
        <v>1078</v>
      </c>
      <c r="I2840" s="7" t="s">
        <v>122</v>
      </c>
      <c r="K2840" s="121"/>
      <c r="L2840" s="121"/>
      <c r="N2840" s="166"/>
      <c r="P2840" s="166"/>
    </row>
    <row r="2841" spans="1:16" s="7" customFormat="1">
      <c r="A2841" s="156"/>
      <c r="B2841" s="266" t="s">
        <v>1084</v>
      </c>
      <c r="C2841" s="6">
        <v>19533493</v>
      </c>
      <c r="D2841" s="6"/>
      <c r="E2841" s="6"/>
      <c r="F2841" s="6"/>
      <c r="G2841" s="6"/>
      <c r="H2841" s="6" t="s">
        <v>1085</v>
      </c>
      <c r="K2841" s="121"/>
      <c r="L2841" s="121"/>
      <c r="N2841" s="166"/>
      <c r="P2841" s="166"/>
    </row>
    <row r="2842" spans="1:16" s="7" customFormat="1">
      <c r="A2842" s="156"/>
      <c r="B2842" s="186" t="s">
        <v>1079</v>
      </c>
      <c r="C2842" s="6">
        <v>99305713</v>
      </c>
      <c r="D2842" s="6"/>
      <c r="E2842" s="6"/>
      <c r="F2842" s="6"/>
      <c r="G2842" s="6"/>
      <c r="H2842" s="6" t="s">
        <v>1080</v>
      </c>
      <c r="K2842" s="121"/>
      <c r="L2842" s="121"/>
      <c r="M2842" s="166"/>
      <c r="N2842" s="166"/>
      <c r="P2842" s="166"/>
    </row>
    <row r="2843" spans="1:16" s="7" customFormat="1">
      <c r="A2843" s="156"/>
      <c r="B2843" s="208" t="s">
        <v>1070</v>
      </c>
      <c r="C2843" s="6">
        <v>79816911</v>
      </c>
      <c r="D2843" s="6"/>
      <c r="E2843" s="6"/>
      <c r="F2843" s="6"/>
      <c r="G2843" s="6"/>
      <c r="H2843" s="6" t="s">
        <v>1071</v>
      </c>
      <c r="I2843" s="6"/>
      <c r="K2843" s="121"/>
      <c r="L2843" s="121"/>
      <c r="M2843" s="166"/>
      <c r="N2843" s="166"/>
      <c r="P2843" s="166"/>
    </row>
    <row r="2844" spans="1:16" s="7" customFormat="1">
      <c r="A2844" s="156"/>
      <c r="B2844" s="170" t="s">
        <v>1062</v>
      </c>
      <c r="C2844" s="6">
        <v>21762862</v>
      </c>
      <c r="D2844" s="6"/>
      <c r="E2844" s="6"/>
      <c r="F2844" s="6"/>
      <c r="G2844" s="6"/>
      <c r="H2844" s="6" t="s">
        <v>1063</v>
      </c>
      <c r="I2844" s="6"/>
      <c r="K2844" s="121"/>
      <c r="L2844" s="121"/>
      <c r="M2844" s="166">
        <v>33000000</v>
      </c>
      <c r="N2844" s="166"/>
      <c r="P2844" s="166"/>
    </row>
    <row r="2845" spans="1:16" s="7" customFormat="1">
      <c r="A2845" s="156"/>
      <c r="B2845" s="165" t="s">
        <v>1052</v>
      </c>
      <c r="H2845" s="7" t="s">
        <v>1053</v>
      </c>
      <c r="K2845" s="121"/>
      <c r="L2845" s="121"/>
      <c r="M2845" s="166">
        <f>+M2844*0.88</f>
        <v>29040000</v>
      </c>
      <c r="N2845" s="166"/>
      <c r="P2845" s="166"/>
    </row>
    <row r="2846" spans="1:16" s="7" customFormat="1">
      <c r="A2846" s="156"/>
      <c r="B2846" s="167" t="s">
        <v>1049</v>
      </c>
      <c r="H2846" s="7">
        <v>880082274</v>
      </c>
      <c r="K2846" s="121"/>
      <c r="L2846" s="121"/>
      <c r="M2846" s="166"/>
      <c r="N2846" s="166"/>
      <c r="P2846" s="166"/>
    </row>
    <row r="2847" spans="1:16" s="7" customFormat="1">
      <c r="A2847" s="156"/>
      <c r="B2847" s="234" t="s">
        <v>1044</v>
      </c>
      <c r="K2847" s="121"/>
      <c r="L2847" s="121"/>
      <c r="N2847" s="166"/>
      <c r="P2847" s="166"/>
    </row>
    <row r="2848" spans="1:16" s="7" customFormat="1">
      <c r="A2848" s="156"/>
      <c r="B2848" s="168" t="s">
        <v>1033</v>
      </c>
      <c r="C2848" s="6">
        <v>84095270</v>
      </c>
      <c r="D2848" s="6"/>
      <c r="E2848" s="6"/>
      <c r="F2848" s="6"/>
      <c r="G2848" s="6"/>
      <c r="H2848" s="6" t="s">
        <v>1034</v>
      </c>
      <c r="K2848" s="121"/>
      <c r="L2848" s="121"/>
      <c r="N2848" s="166"/>
      <c r="P2848" s="166"/>
    </row>
    <row r="2849" spans="1:16" s="7" customFormat="1">
      <c r="A2849" s="156"/>
      <c r="B2849" s="162" t="s">
        <v>1029</v>
      </c>
      <c r="C2849" s="6">
        <v>46583025</v>
      </c>
      <c r="D2849" s="6"/>
      <c r="E2849" s="6"/>
      <c r="F2849" s="6"/>
      <c r="G2849" s="6"/>
      <c r="H2849" s="6" t="s">
        <v>763</v>
      </c>
      <c r="K2849" s="121"/>
      <c r="L2849" s="121"/>
      <c r="N2849" s="166"/>
      <c r="P2849" s="166"/>
    </row>
    <row r="2850" spans="1:16" s="7" customFormat="1">
      <c r="A2850" s="156"/>
      <c r="B2850" s="318" t="s">
        <v>1016</v>
      </c>
      <c r="C2850" s="2">
        <v>62456713</v>
      </c>
      <c r="D2850" s="2"/>
      <c r="E2850" s="2"/>
      <c r="F2850" s="2"/>
      <c r="G2850" s="2"/>
      <c r="H2850" s="2" t="s">
        <v>1017</v>
      </c>
      <c r="K2850" s="121"/>
      <c r="L2850" s="121"/>
      <c r="N2850" s="166"/>
      <c r="P2850" s="166"/>
    </row>
    <row r="2851" spans="1:16" s="7" customFormat="1">
      <c r="A2851" s="142"/>
      <c r="B2851" s="158" t="s">
        <v>1002</v>
      </c>
      <c r="C2851" s="6">
        <v>20790830</v>
      </c>
      <c r="D2851" s="6"/>
      <c r="E2851" s="6"/>
      <c r="F2851" s="6"/>
      <c r="G2851" s="6"/>
      <c r="H2851" s="158" t="s">
        <v>1003</v>
      </c>
      <c r="K2851" s="121"/>
      <c r="L2851" s="121"/>
      <c r="N2851" s="166"/>
      <c r="P2851" s="166"/>
    </row>
    <row r="2852" spans="1:16" s="7" customFormat="1">
      <c r="A2852" s="142"/>
      <c r="B2852" s="158" t="s">
        <v>998</v>
      </c>
      <c r="C2852" s="6">
        <v>96846876</v>
      </c>
      <c r="D2852" s="6"/>
      <c r="E2852" s="6"/>
      <c r="F2852" s="6"/>
      <c r="G2852" s="6"/>
      <c r="H2852" s="6" t="s">
        <v>999</v>
      </c>
      <c r="K2852" s="121"/>
      <c r="L2852" s="121"/>
      <c r="N2852" s="166"/>
      <c r="P2852" s="166">
        <v>15000000</v>
      </c>
    </row>
    <row r="2853" spans="1:16" s="7" customFormat="1">
      <c r="A2853" s="142"/>
      <c r="B2853" s="190" t="s">
        <v>995</v>
      </c>
      <c r="C2853" s="6">
        <v>49339448</v>
      </c>
      <c r="D2853" s="6"/>
      <c r="E2853" s="6"/>
      <c r="F2853" s="6"/>
      <c r="G2853" s="6"/>
      <c r="H2853" s="6" t="s">
        <v>996</v>
      </c>
      <c r="K2853" s="121"/>
      <c r="L2853" s="121"/>
      <c r="N2853" s="166"/>
      <c r="P2853" s="166"/>
    </row>
    <row r="2854" spans="1:16" s="7" customFormat="1">
      <c r="A2854" s="142"/>
      <c r="B2854" s="154" t="s">
        <v>976</v>
      </c>
      <c r="C2854" s="6">
        <v>95746842</v>
      </c>
      <c r="D2854" s="6"/>
      <c r="E2854" s="6"/>
      <c r="F2854" s="6"/>
      <c r="G2854" s="6"/>
      <c r="H2854" s="6" t="s">
        <v>977</v>
      </c>
      <c r="K2854" s="121"/>
      <c r="L2854" s="121"/>
      <c r="N2854" s="166"/>
      <c r="P2854" s="166"/>
    </row>
    <row r="2855" spans="1:16" s="7" customFormat="1">
      <c r="A2855" s="142"/>
      <c r="B2855" s="154" t="s">
        <v>974</v>
      </c>
      <c r="C2855" s="6">
        <v>43190024</v>
      </c>
      <c r="D2855" s="6"/>
      <c r="E2855" s="6"/>
      <c r="F2855" s="6"/>
      <c r="G2855" s="6"/>
      <c r="H2855" s="6" t="s">
        <v>975</v>
      </c>
      <c r="K2855" s="121"/>
      <c r="L2855" s="121"/>
      <c r="N2855" s="166"/>
      <c r="P2855" s="166"/>
    </row>
    <row r="2856" spans="1:16" s="7" customFormat="1">
      <c r="A2856" s="142"/>
      <c r="B2856" s="154" t="s">
        <v>969</v>
      </c>
      <c r="C2856" s="6">
        <v>76890244</v>
      </c>
      <c r="D2856" s="6"/>
      <c r="E2856" s="6"/>
      <c r="F2856" s="6"/>
      <c r="G2856" s="6"/>
      <c r="H2856" s="6" t="s">
        <v>970</v>
      </c>
      <c r="K2856" s="121"/>
      <c r="L2856" s="121"/>
      <c r="N2856" s="166"/>
      <c r="P2856" s="166"/>
    </row>
    <row r="2857" spans="1:16" s="7" customFormat="1">
      <c r="A2857" s="142"/>
      <c r="B2857" s="152" t="s">
        <v>954</v>
      </c>
      <c r="C2857" s="6">
        <v>19137087</v>
      </c>
      <c r="D2857" s="6"/>
      <c r="E2857" s="6"/>
      <c r="F2857" s="6"/>
      <c r="G2857" s="6"/>
      <c r="H2857" s="6" t="s">
        <v>955</v>
      </c>
      <c r="K2857" s="121"/>
      <c r="L2857" s="121"/>
      <c r="N2857" s="166"/>
      <c r="P2857" s="166"/>
    </row>
    <row r="2858" spans="1:16" s="7" customFormat="1">
      <c r="A2858" s="142"/>
      <c r="B2858" s="150" t="s">
        <v>952</v>
      </c>
      <c r="C2858" s="6">
        <v>90828371</v>
      </c>
      <c r="D2858" s="6"/>
      <c r="E2858" s="6"/>
      <c r="F2858" s="6"/>
      <c r="G2858" s="6"/>
      <c r="H2858" s="6"/>
      <c r="K2858" s="121"/>
      <c r="L2858" s="121"/>
      <c r="N2858" s="166"/>
      <c r="P2858" s="166"/>
    </row>
    <row r="2859" spans="1:16" s="7" customFormat="1">
      <c r="A2859" s="142"/>
      <c r="B2859" s="154" t="s">
        <v>948</v>
      </c>
      <c r="C2859" s="6">
        <v>21287041</v>
      </c>
      <c r="D2859" s="6"/>
      <c r="E2859" s="6"/>
      <c r="F2859" s="6"/>
      <c r="G2859" s="6"/>
      <c r="H2859" s="6" t="s">
        <v>949</v>
      </c>
      <c r="K2859" s="121"/>
      <c r="L2859" s="121"/>
      <c r="M2859" s="7">
        <v>337937.1</v>
      </c>
      <c r="N2859" s="166"/>
      <c r="P2859" s="166"/>
    </row>
    <row r="2860" spans="1:16" s="7" customFormat="1">
      <c r="A2860" s="142"/>
      <c r="B2860" s="150" t="s">
        <v>946</v>
      </c>
      <c r="C2860" s="6">
        <v>56743597</v>
      </c>
      <c r="D2860" s="6"/>
      <c r="E2860" s="6"/>
      <c r="F2860" s="6"/>
      <c r="G2860" s="6"/>
      <c r="H2860" s="6" t="s">
        <v>947</v>
      </c>
      <c r="K2860" s="121"/>
      <c r="L2860" s="121"/>
      <c r="M2860" s="7">
        <v>312593.27</v>
      </c>
      <c r="N2860" s="166"/>
      <c r="P2860" s="166"/>
    </row>
    <row r="2861" spans="1:16" s="7" customFormat="1">
      <c r="A2861" s="142"/>
      <c r="B2861" s="164" t="s">
        <v>943</v>
      </c>
      <c r="C2861" s="6">
        <v>81884453</v>
      </c>
      <c r="D2861" s="6"/>
      <c r="E2861" s="6"/>
      <c r="F2861" s="6"/>
      <c r="G2861" s="6"/>
      <c r="H2861" s="6" t="s">
        <v>944</v>
      </c>
      <c r="K2861" s="121"/>
      <c r="L2861" s="121"/>
      <c r="M2861" s="7">
        <f>+M2859-M2860</f>
        <v>25343.829999999958</v>
      </c>
      <c r="N2861" s="166"/>
      <c r="P2861" s="166"/>
    </row>
    <row r="2862" spans="1:16" s="7" customFormat="1">
      <c r="A2862" s="142"/>
      <c r="B2862" s="150" t="s">
        <v>941</v>
      </c>
      <c r="C2862" s="6">
        <v>90450584</v>
      </c>
      <c r="D2862" s="6"/>
      <c r="E2862" s="6"/>
      <c r="F2862" s="6"/>
      <c r="G2862" s="6"/>
      <c r="H2862" s="6" t="s">
        <v>942</v>
      </c>
      <c r="K2862" s="121"/>
      <c r="L2862" s="121"/>
      <c r="N2862" s="166"/>
      <c r="P2862" s="166"/>
    </row>
    <row r="2863" spans="1:16" s="7" customFormat="1">
      <c r="A2863" s="142"/>
      <c r="B2863" s="158" t="s">
        <v>939</v>
      </c>
      <c r="C2863" s="6">
        <v>76211658</v>
      </c>
      <c r="D2863" s="6"/>
      <c r="E2863" s="6"/>
      <c r="F2863" s="6"/>
      <c r="G2863" s="6"/>
      <c r="H2863" s="6" t="s">
        <v>940</v>
      </c>
      <c r="K2863" s="121"/>
      <c r="L2863" s="121"/>
      <c r="N2863" s="166"/>
      <c r="P2863" s="166"/>
    </row>
    <row r="2864" spans="1:16" s="7" customFormat="1">
      <c r="A2864" s="142"/>
      <c r="B2864" s="149" t="s">
        <v>931</v>
      </c>
      <c r="C2864" s="6">
        <v>96941585</v>
      </c>
      <c r="D2864" s="6"/>
      <c r="E2864" s="6"/>
      <c r="F2864" s="6"/>
      <c r="G2864" s="6"/>
      <c r="H2864" s="6" t="s">
        <v>932</v>
      </c>
      <c r="K2864" s="121"/>
      <c r="L2864" s="121"/>
      <c r="N2864" s="166"/>
      <c r="P2864" s="166"/>
    </row>
    <row r="2865" spans="1:16" s="7" customFormat="1">
      <c r="A2865" s="137"/>
      <c r="B2865" s="176" t="s">
        <v>924</v>
      </c>
      <c r="C2865" s="6">
        <v>95723285</v>
      </c>
      <c r="D2865" s="6"/>
      <c r="E2865" s="6"/>
      <c r="F2865" s="6"/>
      <c r="G2865" s="6"/>
      <c r="H2865" s="6" t="s">
        <v>925</v>
      </c>
      <c r="I2865" s="2"/>
      <c r="K2865" s="121"/>
      <c r="L2865" s="121"/>
      <c r="N2865" s="166"/>
      <c r="P2865" s="166"/>
    </row>
    <row r="2866" spans="1:16" s="7" customFormat="1">
      <c r="A2866" s="137"/>
      <c r="B2866" s="145" t="s">
        <v>922</v>
      </c>
      <c r="C2866" s="6">
        <v>16738658</v>
      </c>
      <c r="D2866" s="6"/>
      <c r="E2866" s="6"/>
      <c r="F2866" s="6"/>
      <c r="G2866" s="6"/>
      <c r="H2866" s="6" t="s">
        <v>923</v>
      </c>
      <c r="I2866" s="6"/>
      <c r="K2866" s="121"/>
      <c r="L2866" s="121"/>
      <c r="N2866" s="166"/>
      <c r="P2866" s="166"/>
    </row>
    <row r="2867" spans="1:16" s="7" customFormat="1">
      <c r="A2867" s="137"/>
      <c r="B2867" s="157" t="s">
        <v>912</v>
      </c>
      <c r="C2867" s="85">
        <v>88869990</v>
      </c>
      <c r="D2867" s="85"/>
      <c r="E2867" s="85"/>
      <c r="F2867" s="85"/>
      <c r="G2867" s="85"/>
      <c r="H2867" s="85" t="s">
        <v>913</v>
      </c>
      <c r="I2867" s="28"/>
      <c r="K2867" s="121"/>
      <c r="L2867" s="121"/>
      <c r="N2867" s="166"/>
      <c r="P2867" s="166"/>
    </row>
    <row r="2868" spans="1:16" s="7" customFormat="1">
      <c r="A2868" s="137"/>
      <c r="B2868" s="143" t="s">
        <v>909</v>
      </c>
      <c r="C2868" s="6">
        <v>12421492</v>
      </c>
      <c r="D2868" s="6"/>
      <c r="E2868" s="6"/>
      <c r="F2868" s="6"/>
      <c r="G2868" s="6"/>
      <c r="H2868" s="6" t="s">
        <v>910</v>
      </c>
      <c r="K2868" s="121"/>
      <c r="L2868" s="121"/>
      <c r="N2868" s="166"/>
      <c r="P2868" s="166"/>
    </row>
    <row r="2869" spans="1:16" s="7" customFormat="1">
      <c r="A2869" s="137"/>
      <c r="B2869" s="143" t="s">
        <v>906</v>
      </c>
      <c r="C2869" s="6">
        <v>73271837</v>
      </c>
      <c r="D2869" s="6"/>
      <c r="E2869" s="6"/>
      <c r="F2869" s="6"/>
      <c r="G2869" s="6"/>
      <c r="H2869" s="6" t="s">
        <v>907</v>
      </c>
      <c r="K2869" s="121"/>
      <c r="L2869" s="121"/>
      <c r="N2869" s="166"/>
      <c r="P2869" s="166"/>
    </row>
    <row r="2870" spans="1:16" s="7" customFormat="1">
      <c r="A2870" s="121"/>
      <c r="B2870" s="143" t="s">
        <v>902</v>
      </c>
      <c r="C2870" s="6">
        <v>21886732</v>
      </c>
      <c r="D2870" s="6"/>
      <c r="E2870" s="6"/>
      <c r="F2870" s="6"/>
      <c r="G2870" s="6"/>
      <c r="H2870" s="6" t="s">
        <v>903</v>
      </c>
      <c r="K2870" s="121"/>
      <c r="L2870" s="121"/>
      <c r="N2870" s="166"/>
      <c r="P2870" s="166"/>
    </row>
    <row r="2871" spans="1:16" s="7" customFormat="1">
      <c r="A2871" s="121"/>
      <c r="B2871" s="161" t="s">
        <v>900</v>
      </c>
      <c r="C2871" s="3">
        <v>11520559</v>
      </c>
      <c r="D2871" s="3"/>
      <c r="E2871" s="3"/>
      <c r="F2871" s="3"/>
      <c r="G2871" s="3"/>
      <c r="H2871" s="3" t="s">
        <v>901</v>
      </c>
      <c r="K2871" s="121"/>
      <c r="L2871" s="121"/>
      <c r="N2871" s="166"/>
      <c r="P2871" s="166"/>
    </row>
    <row r="2872" spans="1:16" s="7" customFormat="1">
      <c r="A2872" s="121"/>
      <c r="B2872" s="138" t="s">
        <v>898</v>
      </c>
      <c r="C2872" s="6">
        <v>25951855</v>
      </c>
      <c r="D2872" s="6"/>
      <c r="E2872" s="6"/>
      <c r="F2872" s="6"/>
      <c r="G2872" s="6"/>
      <c r="H2872" s="6" t="s">
        <v>899</v>
      </c>
      <c r="K2872" s="121"/>
      <c r="L2872" s="121"/>
      <c r="N2872" s="166"/>
      <c r="P2872" s="166"/>
    </row>
    <row r="2873" spans="1:16" s="7" customFormat="1">
      <c r="A2873" s="121"/>
      <c r="B2873" s="145" t="s">
        <v>890</v>
      </c>
      <c r="C2873" s="6">
        <v>35286600</v>
      </c>
      <c r="D2873" s="6"/>
      <c r="E2873" s="6"/>
      <c r="F2873" s="6"/>
      <c r="G2873" s="6"/>
      <c r="H2873" s="6" t="s">
        <v>891</v>
      </c>
      <c r="K2873" s="121"/>
      <c r="L2873" s="121"/>
      <c r="N2873" s="166"/>
      <c r="P2873" s="166"/>
    </row>
    <row r="2874" spans="1:16" s="7" customFormat="1">
      <c r="A2874" s="121"/>
      <c r="B2874" s="138" t="s">
        <v>883</v>
      </c>
      <c r="C2874" s="6">
        <v>85941729</v>
      </c>
      <c r="D2874" s="6"/>
      <c r="E2874" s="6"/>
      <c r="F2874" s="6"/>
      <c r="G2874" s="6"/>
      <c r="H2874" s="134" t="s">
        <v>884</v>
      </c>
      <c r="K2874" s="121"/>
      <c r="L2874" s="121"/>
      <c r="N2874" s="166"/>
      <c r="P2874" s="166"/>
    </row>
    <row r="2875" spans="1:16" s="7" customFormat="1">
      <c r="A2875" s="121"/>
      <c r="B2875" s="134" t="s">
        <v>881</v>
      </c>
      <c r="C2875" s="6">
        <v>24970683</v>
      </c>
      <c r="D2875" s="6"/>
      <c r="E2875" s="6"/>
      <c r="F2875" s="84"/>
      <c r="G2875" s="6"/>
      <c r="H2875" s="6" t="s">
        <v>882</v>
      </c>
      <c r="K2875" s="121"/>
      <c r="L2875" s="121"/>
      <c r="N2875" s="166"/>
      <c r="P2875" s="166"/>
    </row>
    <row r="2876" spans="1:16" s="7" customFormat="1">
      <c r="A2876" s="121"/>
      <c r="B2876" s="138" t="s">
        <v>874</v>
      </c>
      <c r="C2876" s="6">
        <v>29276575</v>
      </c>
      <c r="D2876" s="6"/>
      <c r="E2876" s="6"/>
      <c r="F2876" s="6"/>
      <c r="G2876" s="6"/>
      <c r="H2876" s="6" t="s">
        <v>875</v>
      </c>
      <c r="K2876" s="121"/>
      <c r="L2876" s="121"/>
      <c r="N2876" s="166"/>
      <c r="P2876" s="166"/>
    </row>
    <row r="2877" spans="1:16" s="7" customFormat="1">
      <c r="A2877" s="121"/>
      <c r="B2877" s="138" t="s">
        <v>872</v>
      </c>
      <c r="C2877" s="6">
        <v>73119289</v>
      </c>
      <c r="D2877" s="6"/>
      <c r="E2877" s="6"/>
      <c r="F2877" s="6"/>
      <c r="G2877" s="6"/>
      <c r="H2877" s="6" t="s">
        <v>873</v>
      </c>
      <c r="K2877" s="121"/>
      <c r="L2877" s="121"/>
      <c r="N2877" s="166"/>
      <c r="P2877" s="166"/>
    </row>
    <row r="2878" spans="1:16" s="7" customFormat="1">
      <c r="A2878" s="121"/>
      <c r="B2878" s="134" t="s">
        <v>870</v>
      </c>
      <c r="C2878" s="6">
        <v>86687897</v>
      </c>
      <c r="D2878" s="6"/>
      <c r="E2878" s="6"/>
      <c r="F2878" s="6"/>
      <c r="G2878" s="6"/>
      <c r="H2878" s="6" t="s">
        <v>871</v>
      </c>
      <c r="K2878" s="121"/>
      <c r="L2878" s="121"/>
      <c r="N2878" s="166"/>
      <c r="P2878" s="166"/>
    </row>
    <row r="2879" spans="1:16" s="7" customFormat="1">
      <c r="A2879" s="419" t="s">
        <v>2801</v>
      </c>
      <c r="B2879" s="425" t="s">
        <v>868</v>
      </c>
      <c r="C2879" s="3">
        <v>78261113</v>
      </c>
      <c r="D2879" s="3"/>
      <c r="E2879" s="3"/>
      <c r="F2879" s="3"/>
      <c r="G2879" s="3"/>
      <c r="H2879" s="3" t="s">
        <v>869</v>
      </c>
      <c r="I2879" s="3"/>
      <c r="J2879" s="3"/>
      <c r="K2879" s="95"/>
      <c r="L2879" s="95"/>
      <c r="N2879" s="166"/>
      <c r="P2879" s="166"/>
    </row>
    <row r="2880" spans="1:16">
      <c r="A2880" t="s">
        <v>2801</v>
      </c>
      <c r="B2880" s="420" t="s">
        <v>1345</v>
      </c>
      <c r="H2880" s="6" t="s">
        <v>1341</v>
      </c>
    </row>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sheetData>
  <autoFilter ref="A3:X1698">
    <filterColumn colId="8">
      <filters>
        <filter val="0"/>
        <filter val="0,01"/>
        <filter val="0,05"/>
        <filter val="0,4"/>
        <filter val="0,5"/>
        <filter val="1"/>
        <filter val="1,00"/>
        <filter val="1,05"/>
        <filter val="1,5"/>
        <filter val="1,50"/>
        <filter val="1,7"/>
        <filter val="10,00"/>
        <filter val="11,00"/>
        <filter val="13"/>
        <filter val="1500 $"/>
        <filter val="16"/>
        <filter val="16,8"/>
        <filter val="18"/>
        <filter val="2"/>
        <filter val="2,00"/>
        <filter val="20"/>
        <filter val="21"/>
        <filter val="22"/>
        <filter val="22,00"/>
        <filter val="23"/>
        <filter val="23,00"/>
        <filter val="3"/>
        <filter val="3,00"/>
        <filter val="33,00"/>
        <filter val="5,00"/>
        <filter val="5,5"/>
        <filter val="5,7"/>
        <filter val="6,00"/>
        <filter val="6,10"/>
        <filter val="6,5"/>
        <filter val="7"/>
        <filter val="7,50"/>
      </filters>
    </filterColumn>
  </autoFilter>
  <pageMargins left="0.23622047244094491" right="0.23622047244094491" top="0.74803149606299213" bottom="0.74803149606299213" header="0.31496062992125984" footer="0.31496062992125984"/>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129"/>
  <sheetViews>
    <sheetView topLeftCell="A7" workbookViewId="0">
      <selection activeCell="B35" sqref="B35"/>
    </sheetView>
  </sheetViews>
  <sheetFormatPr defaultRowHeight="14.4"/>
  <cols>
    <col min="1" max="1" width="9.88671875" bestFit="1" customWidth="1"/>
    <col min="2" max="2" width="32" bestFit="1" customWidth="1"/>
    <col min="14" max="14" width="16.21875" style="4" bestFit="1" customWidth="1"/>
    <col min="15" max="15" width="23.21875" style="4" customWidth="1"/>
  </cols>
  <sheetData>
    <row r="2" spans="1:16">
      <c r="A2" t="s">
        <v>636</v>
      </c>
      <c r="B2" s="94" t="s">
        <v>556</v>
      </c>
      <c r="C2" s="91"/>
      <c r="D2" s="91"/>
      <c r="E2" s="94" t="s">
        <v>486</v>
      </c>
      <c r="F2" s="94">
        <v>30</v>
      </c>
      <c r="G2" s="91"/>
      <c r="H2" t="s">
        <v>626</v>
      </c>
      <c r="I2">
        <v>2.5</v>
      </c>
    </row>
    <row r="3" spans="1:16">
      <c r="A3" s="122">
        <v>1</v>
      </c>
      <c r="B3" s="1944" t="s">
        <v>613</v>
      </c>
      <c r="C3" s="122">
        <v>88888888</v>
      </c>
      <c r="D3" s="122"/>
      <c r="E3" s="122"/>
      <c r="F3" s="122">
        <v>31</v>
      </c>
      <c r="G3" s="122"/>
      <c r="H3" t="s">
        <v>626</v>
      </c>
    </row>
    <row r="4" spans="1:16">
      <c r="A4" s="122">
        <v>2</v>
      </c>
      <c r="B4" s="1944" t="s">
        <v>625</v>
      </c>
      <c r="C4" s="122"/>
      <c r="D4" s="122"/>
      <c r="E4" s="122"/>
      <c r="F4" s="122">
        <v>26</v>
      </c>
      <c r="G4" s="122"/>
      <c r="H4" t="s">
        <v>626</v>
      </c>
    </row>
    <row r="5" spans="1:16">
      <c r="A5" s="91">
        <v>3</v>
      </c>
      <c r="B5" s="91" t="s">
        <v>627</v>
      </c>
      <c r="C5" s="91"/>
      <c r="D5" s="91"/>
      <c r="E5" s="91"/>
      <c r="F5" s="91">
        <v>33</v>
      </c>
      <c r="G5" s="91"/>
      <c r="H5" t="s">
        <v>628</v>
      </c>
    </row>
    <row r="6" spans="1:16">
      <c r="A6" s="91">
        <v>4</v>
      </c>
      <c r="B6" s="91" t="s">
        <v>629</v>
      </c>
      <c r="C6" s="91"/>
      <c r="D6" s="91"/>
      <c r="E6" s="91"/>
      <c r="F6" s="91">
        <v>33</v>
      </c>
      <c r="G6" s="91"/>
      <c r="H6" t="s">
        <v>628</v>
      </c>
    </row>
    <row r="7" spans="1:16">
      <c r="A7" s="91">
        <v>5</v>
      </c>
      <c r="B7" s="96" t="s">
        <v>630</v>
      </c>
      <c r="C7" s="91"/>
      <c r="D7" s="91"/>
      <c r="E7" s="91"/>
      <c r="F7" s="91">
        <v>33</v>
      </c>
      <c r="G7" s="91"/>
      <c r="H7" t="s">
        <v>628</v>
      </c>
    </row>
    <row r="8" spans="1:16">
      <c r="A8" s="91">
        <v>6</v>
      </c>
      <c r="B8" s="1941" t="s">
        <v>631</v>
      </c>
      <c r="C8" s="91"/>
      <c r="D8" s="107"/>
      <c r="E8" s="91"/>
      <c r="F8" s="91">
        <v>30</v>
      </c>
      <c r="G8" s="91"/>
      <c r="H8" t="s">
        <v>628</v>
      </c>
    </row>
    <row r="9" spans="1:16">
      <c r="A9" s="91">
        <v>7</v>
      </c>
      <c r="B9" s="93" t="s">
        <v>632</v>
      </c>
      <c r="C9" s="91"/>
      <c r="D9" s="91"/>
      <c r="E9" s="91"/>
      <c r="F9" s="91">
        <v>30</v>
      </c>
      <c r="G9" s="91"/>
      <c r="H9" t="s">
        <v>628</v>
      </c>
      <c r="J9" t="s">
        <v>648</v>
      </c>
      <c r="O9" s="4" t="s">
        <v>735</v>
      </c>
      <c r="P9" t="s">
        <v>1025</v>
      </c>
    </row>
    <row r="10" spans="1:16">
      <c r="A10" s="91">
        <v>8</v>
      </c>
      <c r="B10" s="91" t="s">
        <v>677</v>
      </c>
      <c r="C10" s="91"/>
      <c r="D10" s="91"/>
      <c r="E10" s="91"/>
      <c r="F10" s="91">
        <v>31</v>
      </c>
      <c r="G10" s="91"/>
      <c r="H10" t="s">
        <v>626</v>
      </c>
      <c r="O10" s="4" t="s">
        <v>1024</v>
      </c>
    </row>
    <row r="11" spans="1:16">
      <c r="A11" s="91">
        <v>9</v>
      </c>
      <c r="B11" s="93" t="s">
        <v>633</v>
      </c>
      <c r="C11" s="91"/>
      <c r="D11" s="91"/>
      <c r="E11" s="91"/>
      <c r="F11" s="91">
        <v>30</v>
      </c>
      <c r="G11" s="91"/>
      <c r="H11" t="s">
        <v>628</v>
      </c>
      <c r="O11" s="4" t="s">
        <v>1023</v>
      </c>
    </row>
    <row r="12" spans="1:16">
      <c r="A12" s="91">
        <v>10</v>
      </c>
      <c r="B12" s="104" t="s">
        <v>634</v>
      </c>
      <c r="C12" s="91"/>
      <c r="D12" s="91"/>
      <c r="E12" s="91"/>
      <c r="F12" s="91">
        <v>25</v>
      </c>
      <c r="G12" s="91"/>
      <c r="H12" t="s">
        <v>626</v>
      </c>
      <c r="O12" s="4" t="s">
        <v>1022</v>
      </c>
    </row>
    <row r="13" spans="1:16">
      <c r="A13" s="91">
        <v>11</v>
      </c>
      <c r="B13" s="91" t="s">
        <v>635</v>
      </c>
      <c r="C13" s="91"/>
      <c r="D13" s="91"/>
      <c r="E13" s="91"/>
      <c r="F13" s="91">
        <v>30</v>
      </c>
      <c r="G13" s="91"/>
      <c r="H13" t="s">
        <v>628</v>
      </c>
      <c r="O13" s="220" t="s">
        <v>1413</v>
      </c>
    </row>
    <row r="14" spans="1:16">
      <c r="A14" s="91">
        <v>12</v>
      </c>
      <c r="B14" s="96" t="s">
        <v>637</v>
      </c>
      <c r="C14" s="91"/>
      <c r="D14" s="91"/>
      <c r="E14" s="91"/>
      <c r="F14" s="91">
        <v>30</v>
      </c>
      <c r="G14" s="91"/>
      <c r="H14" t="s">
        <v>628</v>
      </c>
      <c r="O14" s="4" t="s">
        <v>1904</v>
      </c>
    </row>
    <row r="15" spans="1:16">
      <c r="A15" s="91">
        <v>13</v>
      </c>
      <c r="B15" s="93" t="s">
        <v>638</v>
      </c>
      <c r="C15" s="91"/>
      <c r="D15" s="91"/>
      <c r="E15" s="91"/>
      <c r="F15" s="91">
        <v>31</v>
      </c>
      <c r="G15" s="91"/>
      <c r="H15" t="s">
        <v>626</v>
      </c>
      <c r="J15" t="s">
        <v>122</v>
      </c>
      <c r="O15" s="4" t="s">
        <v>3483</v>
      </c>
    </row>
    <row r="16" spans="1:16">
      <c r="A16" s="91">
        <v>14</v>
      </c>
      <c r="B16" s="97" t="s">
        <v>639</v>
      </c>
      <c r="C16" s="91"/>
      <c r="D16" s="91"/>
      <c r="E16" s="91"/>
      <c r="F16" s="91">
        <v>33</v>
      </c>
      <c r="G16" s="91"/>
      <c r="H16" t="s">
        <v>628</v>
      </c>
    </row>
    <row r="17" spans="1:15">
      <c r="A17" s="91">
        <v>15</v>
      </c>
      <c r="B17" s="96" t="s">
        <v>643</v>
      </c>
      <c r="C17" s="91"/>
      <c r="D17" s="91"/>
      <c r="E17" s="91"/>
      <c r="F17" s="91">
        <v>30</v>
      </c>
      <c r="G17" s="91"/>
      <c r="H17" t="s">
        <v>628</v>
      </c>
    </row>
    <row r="18" spans="1:15">
      <c r="A18" s="91">
        <v>16</v>
      </c>
      <c r="B18" s="93" t="s">
        <v>666</v>
      </c>
      <c r="C18" s="91"/>
      <c r="D18" s="91"/>
      <c r="E18" s="91"/>
      <c r="F18" s="91">
        <v>30</v>
      </c>
      <c r="G18" s="91"/>
      <c r="H18" s="87" t="s">
        <v>628</v>
      </c>
      <c r="J18" t="s">
        <v>647</v>
      </c>
      <c r="O18" s="4">
        <v>20</v>
      </c>
    </row>
    <row r="19" spans="1:15">
      <c r="A19" s="91">
        <v>17</v>
      </c>
      <c r="B19" s="92" t="s">
        <v>644</v>
      </c>
      <c r="C19" s="91"/>
      <c r="D19" s="91"/>
      <c r="E19" s="91"/>
      <c r="F19" s="91">
        <v>33</v>
      </c>
      <c r="G19" s="91"/>
      <c r="H19" t="s">
        <v>628</v>
      </c>
      <c r="J19" t="s">
        <v>647</v>
      </c>
      <c r="O19" s="4">
        <v>10</v>
      </c>
    </row>
    <row r="20" spans="1:15">
      <c r="A20" s="91">
        <v>18</v>
      </c>
      <c r="B20" s="91" t="s">
        <v>645</v>
      </c>
      <c r="C20" s="91"/>
      <c r="D20" s="91"/>
      <c r="E20" s="91"/>
      <c r="F20" s="91">
        <v>33</v>
      </c>
      <c r="G20" s="91"/>
      <c r="H20" t="s">
        <v>628</v>
      </c>
      <c r="O20" s="4">
        <v>10</v>
      </c>
    </row>
    <row r="21" spans="1:15">
      <c r="A21" s="91">
        <v>19</v>
      </c>
      <c r="B21" s="93" t="s">
        <v>646</v>
      </c>
      <c r="C21" s="91"/>
      <c r="D21" s="91"/>
      <c r="E21" s="91"/>
      <c r="F21" s="91">
        <v>30</v>
      </c>
      <c r="G21" s="91"/>
      <c r="H21" t="s">
        <v>628</v>
      </c>
      <c r="O21" s="4">
        <v>50</v>
      </c>
    </row>
    <row r="22" spans="1:15">
      <c r="A22" s="91">
        <v>20</v>
      </c>
      <c r="B22" s="91" t="s">
        <v>652</v>
      </c>
      <c r="C22" s="91"/>
      <c r="D22" s="91"/>
      <c r="E22" s="91"/>
      <c r="F22" s="91">
        <v>31</v>
      </c>
      <c r="G22" s="91"/>
      <c r="H22" t="s">
        <v>626</v>
      </c>
      <c r="O22" s="4">
        <v>10</v>
      </c>
    </row>
    <row r="23" spans="1:15">
      <c r="A23" s="91">
        <v>21</v>
      </c>
      <c r="B23" s="93" t="s">
        <v>707</v>
      </c>
      <c r="C23" s="91"/>
      <c r="D23" s="91"/>
      <c r="E23" s="91"/>
      <c r="F23" s="91">
        <v>25</v>
      </c>
      <c r="G23" s="91"/>
      <c r="O23" s="4">
        <v>10</v>
      </c>
    </row>
    <row r="24" spans="1:15">
      <c r="A24" s="91">
        <v>22</v>
      </c>
      <c r="B24" s="91" t="s">
        <v>673</v>
      </c>
      <c r="C24" s="91"/>
      <c r="D24" s="91"/>
      <c r="E24" s="91"/>
      <c r="F24" s="91">
        <v>31</v>
      </c>
      <c r="G24" s="91"/>
      <c r="O24" s="4">
        <v>20</v>
      </c>
    </row>
    <row r="25" spans="1:15">
      <c r="A25" s="91">
        <v>23</v>
      </c>
      <c r="B25" s="91" t="s">
        <v>674</v>
      </c>
      <c r="C25" s="91"/>
      <c r="D25" s="91"/>
      <c r="E25" s="91"/>
      <c r="F25" s="91">
        <v>31</v>
      </c>
      <c r="G25" s="91"/>
    </row>
    <row r="26" spans="1:15">
      <c r="A26" s="91">
        <v>24</v>
      </c>
      <c r="B26" s="91" t="s">
        <v>675</v>
      </c>
      <c r="C26" s="91"/>
      <c r="D26" s="91"/>
      <c r="E26" s="91"/>
      <c r="F26" s="91">
        <v>33</v>
      </c>
      <c r="G26" s="91"/>
      <c r="K26">
        <f>118+7</f>
        <v>125</v>
      </c>
    </row>
    <row r="27" spans="1:15">
      <c r="A27" s="91">
        <v>25</v>
      </c>
      <c r="B27" s="91" t="s">
        <v>676</v>
      </c>
      <c r="C27" s="91"/>
      <c r="D27" s="91"/>
      <c r="E27" s="91"/>
      <c r="F27" s="91">
        <v>33</v>
      </c>
      <c r="G27" s="91"/>
      <c r="O27" s="4">
        <v>5</v>
      </c>
    </row>
    <row r="28" spans="1:15">
      <c r="A28" s="117">
        <v>26</v>
      </c>
      <c r="B28" s="117" t="s">
        <v>753</v>
      </c>
      <c r="C28" s="117"/>
      <c r="D28" s="117"/>
      <c r="E28" s="117"/>
      <c r="F28" s="117">
        <v>29</v>
      </c>
      <c r="G28" s="117"/>
    </row>
    <row r="29" spans="1:15">
      <c r="A29" s="91">
        <v>27</v>
      </c>
      <c r="B29" s="91" t="s">
        <v>687</v>
      </c>
      <c r="C29" s="91"/>
      <c r="D29" s="91"/>
      <c r="E29" s="91"/>
      <c r="F29" s="91">
        <v>31</v>
      </c>
      <c r="G29" s="91"/>
    </row>
    <row r="30" spans="1:15" ht="18.600000000000001" customHeight="1">
      <c r="A30" s="91">
        <v>28</v>
      </c>
      <c r="B30" s="98" t="s">
        <v>700</v>
      </c>
      <c r="C30" s="91"/>
      <c r="D30" s="91"/>
      <c r="E30" s="91"/>
      <c r="F30" s="91">
        <v>25</v>
      </c>
      <c r="G30" s="91"/>
      <c r="L30">
        <f>250-195-135</f>
        <v>-80</v>
      </c>
    </row>
    <row r="31" spans="1:15">
      <c r="A31" s="91">
        <v>29</v>
      </c>
      <c r="B31" s="91" t="s">
        <v>701</v>
      </c>
      <c r="C31" s="91"/>
      <c r="D31" s="91"/>
      <c r="E31" s="91"/>
      <c r="F31" s="91">
        <v>29</v>
      </c>
      <c r="G31" s="91"/>
    </row>
    <row r="32" spans="1:15">
      <c r="A32" s="91">
        <v>30</v>
      </c>
      <c r="B32" s="91" t="s">
        <v>708</v>
      </c>
      <c r="C32" s="91"/>
      <c r="D32" s="91"/>
      <c r="E32" s="91"/>
      <c r="F32" s="91">
        <v>29</v>
      </c>
      <c r="G32" s="91"/>
    </row>
    <row r="33" spans="1:9">
      <c r="A33" s="91">
        <v>31</v>
      </c>
      <c r="B33" s="91" t="s">
        <v>752</v>
      </c>
      <c r="C33" s="91" t="s">
        <v>651</v>
      </c>
      <c r="D33" s="91"/>
      <c r="E33" s="91"/>
      <c r="F33" s="91">
        <v>25</v>
      </c>
      <c r="G33" s="91"/>
    </row>
    <row r="34" spans="1:9">
      <c r="A34" s="91">
        <v>32</v>
      </c>
      <c r="B34" s="91" t="s">
        <v>732</v>
      </c>
      <c r="C34" s="91"/>
      <c r="D34" s="91"/>
      <c r="E34" s="91"/>
      <c r="F34" s="91">
        <v>33</v>
      </c>
      <c r="G34" s="91"/>
      <c r="H34">
        <v>31</v>
      </c>
    </row>
    <row r="35" spans="1:9">
      <c r="A35" s="91">
        <v>33</v>
      </c>
      <c r="B35" s="1941" t="s">
        <v>731</v>
      </c>
      <c r="C35" s="91"/>
      <c r="D35" s="91"/>
      <c r="E35" s="91"/>
      <c r="F35" s="91"/>
      <c r="G35" s="91">
        <v>2</v>
      </c>
      <c r="H35" s="91">
        <v>31</v>
      </c>
    </row>
    <row r="36" spans="1:9">
      <c r="A36" s="91">
        <v>34</v>
      </c>
      <c r="B36" s="91" t="s">
        <v>730</v>
      </c>
      <c r="C36" s="91"/>
      <c r="D36" s="91"/>
      <c r="E36" s="91"/>
      <c r="F36" s="91">
        <v>29</v>
      </c>
      <c r="G36" s="91"/>
    </row>
    <row r="37" spans="1:9">
      <c r="A37" s="91">
        <v>35</v>
      </c>
      <c r="B37" s="91" t="s">
        <v>754</v>
      </c>
      <c r="C37" s="91"/>
      <c r="D37" s="91"/>
      <c r="E37" s="91"/>
      <c r="F37" s="91"/>
      <c r="G37" s="91"/>
    </row>
    <row r="38" spans="1:9">
      <c r="A38" s="91">
        <v>36</v>
      </c>
      <c r="B38" s="91" t="s">
        <v>755</v>
      </c>
      <c r="C38" s="91"/>
      <c r="D38" s="91"/>
      <c r="E38" s="91"/>
      <c r="F38" s="91">
        <v>29</v>
      </c>
      <c r="G38" s="91"/>
    </row>
    <row r="39" spans="1:9">
      <c r="A39" s="91">
        <v>37</v>
      </c>
      <c r="B39" s="91" t="s">
        <v>756</v>
      </c>
      <c r="C39" s="91"/>
      <c r="D39" s="91"/>
      <c r="E39" s="91"/>
      <c r="F39" s="91">
        <v>29</v>
      </c>
      <c r="G39" s="91"/>
    </row>
    <row r="40" spans="1:9">
      <c r="A40" s="3">
        <v>38</v>
      </c>
      <c r="B40" s="3" t="s">
        <v>759</v>
      </c>
      <c r="C40" s="3"/>
      <c r="D40" s="3"/>
      <c r="E40" s="3"/>
      <c r="F40" s="3"/>
      <c r="G40" s="3">
        <v>0</v>
      </c>
      <c r="H40" s="3">
        <v>25</v>
      </c>
      <c r="I40" s="3" t="s">
        <v>771</v>
      </c>
    </row>
    <row r="41" spans="1:9">
      <c r="A41" s="91">
        <v>39</v>
      </c>
      <c r="B41" s="91" t="s">
        <v>758</v>
      </c>
      <c r="C41" s="91"/>
      <c r="D41" s="91"/>
      <c r="E41" s="91"/>
      <c r="F41" s="91"/>
      <c r="G41" s="91"/>
    </row>
    <row r="42" spans="1:9">
      <c r="A42" s="91">
        <v>40</v>
      </c>
      <c r="B42" s="91" t="s">
        <v>760</v>
      </c>
      <c r="C42" s="91"/>
      <c r="D42" s="91"/>
      <c r="E42" s="91"/>
      <c r="F42" s="91"/>
      <c r="G42" s="91"/>
    </row>
    <row r="43" spans="1:9">
      <c r="A43" s="107">
        <v>41</v>
      </c>
      <c r="B43" s="107" t="s">
        <v>757</v>
      </c>
      <c r="C43" s="107"/>
      <c r="D43" s="107"/>
      <c r="E43" s="107"/>
      <c r="F43" s="107">
        <v>25</v>
      </c>
      <c r="G43" s="107"/>
    </row>
    <row r="44" spans="1:9">
      <c r="A44" s="91">
        <v>42</v>
      </c>
      <c r="B44" s="91" t="s">
        <v>772</v>
      </c>
      <c r="C44" s="91"/>
      <c r="D44" s="91"/>
      <c r="E44" s="91"/>
      <c r="F44" s="91"/>
      <c r="G44" s="91"/>
    </row>
    <row r="45" spans="1:9">
      <c r="A45" s="107">
        <v>43</v>
      </c>
      <c r="B45" s="125" t="s">
        <v>761</v>
      </c>
      <c r="C45" s="107"/>
      <c r="D45" s="107"/>
      <c r="E45" s="107"/>
      <c r="F45" s="107">
        <v>29</v>
      </c>
      <c r="G45" s="107"/>
    </row>
    <row r="46" spans="1:9">
      <c r="A46" s="107">
        <v>44</v>
      </c>
      <c r="B46" s="107" t="s">
        <v>793</v>
      </c>
      <c r="C46" s="107"/>
      <c r="D46" s="107"/>
      <c r="E46" s="107"/>
      <c r="F46" s="107">
        <v>29</v>
      </c>
      <c r="G46" s="107"/>
      <c r="H46" s="109"/>
    </row>
    <row r="47" spans="1:9">
      <c r="A47" s="107">
        <v>45</v>
      </c>
      <c r="B47" s="123" t="s">
        <v>762</v>
      </c>
      <c r="C47" s="107"/>
      <c r="D47" s="107"/>
      <c r="E47" s="107"/>
      <c r="F47" s="107">
        <v>25</v>
      </c>
      <c r="G47" s="107"/>
      <c r="H47" s="109"/>
    </row>
    <row r="48" spans="1:9">
      <c r="A48" s="107">
        <v>46</v>
      </c>
      <c r="B48" s="107" t="s">
        <v>769</v>
      </c>
      <c r="C48" s="107"/>
      <c r="D48" s="107"/>
      <c r="E48" s="107"/>
      <c r="F48" s="107"/>
      <c r="G48" s="107"/>
    </row>
    <row r="49" spans="1:12">
      <c r="A49" s="107">
        <v>47</v>
      </c>
      <c r="B49" s="107" t="s">
        <v>773</v>
      </c>
      <c r="C49" s="107"/>
      <c r="D49" s="107"/>
      <c r="E49" s="107"/>
      <c r="F49" s="107">
        <v>33</v>
      </c>
      <c r="G49" s="107"/>
    </row>
    <row r="50" spans="1:12">
      <c r="A50" s="107">
        <v>48</v>
      </c>
      <c r="B50" s="139" t="s">
        <v>857</v>
      </c>
      <c r="C50" s="107"/>
      <c r="D50" s="107"/>
      <c r="E50" s="107"/>
      <c r="F50" s="107">
        <v>33</v>
      </c>
      <c r="G50" s="107"/>
    </row>
    <row r="51" spans="1:12">
      <c r="A51" s="107">
        <v>49</v>
      </c>
      <c r="B51" s="130" t="s">
        <v>827</v>
      </c>
      <c r="C51" s="107"/>
      <c r="D51" s="107"/>
      <c r="E51" s="107"/>
      <c r="F51" s="107">
        <v>33</v>
      </c>
      <c r="G51" s="107"/>
    </row>
    <row r="52" spans="1:12">
      <c r="A52" s="7">
        <v>50</v>
      </c>
      <c r="B52" s="139" t="s">
        <v>878</v>
      </c>
      <c r="C52" s="107"/>
      <c r="D52" s="107"/>
      <c r="E52" s="107"/>
      <c r="F52" s="107">
        <v>33</v>
      </c>
      <c r="G52" s="107"/>
    </row>
    <row r="53" spans="1:12">
      <c r="A53" s="107">
        <v>51</v>
      </c>
      <c r="B53" s="124" t="s">
        <v>828</v>
      </c>
      <c r="C53" s="107"/>
      <c r="D53" s="107"/>
      <c r="E53" s="107"/>
      <c r="F53" s="107">
        <v>29</v>
      </c>
      <c r="G53" s="107"/>
      <c r="H53" s="90"/>
    </row>
    <row r="54" spans="1:12">
      <c r="A54" s="91">
        <v>52</v>
      </c>
      <c r="B54" s="146" t="s">
        <v>859</v>
      </c>
      <c r="C54" s="91"/>
      <c r="D54" s="91"/>
      <c r="E54" s="91"/>
      <c r="F54" s="91">
        <v>29</v>
      </c>
      <c r="G54" s="91"/>
      <c r="H54" s="90"/>
    </row>
    <row r="55" spans="1:12">
      <c r="A55" s="91">
        <v>53</v>
      </c>
      <c r="B55" s="111" t="s">
        <v>794</v>
      </c>
      <c r="C55" s="91"/>
      <c r="D55" s="91"/>
      <c r="E55" s="91"/>
      <c r="F55" s="91">
        <v>33</v>
      </c>
      <c r="G55" s="91"/>
      <c r="H55" s="110" t="s">
        <v>628</v>
      </c>
      <c r="J55" s="109" t="s">
        <v>784</v>
      </c>
    </row>
    <row r="56" spans="1:12">
      <c r="A56" s="107">
        <v>54</v>
      </c>
      <c r="B56" s="131" t="s">
        <v>795</v>
      </c>
      <c r="C56" s="107"/>
      <c r="D56" s="107"/>
      <c r="E56" s="107"/>
      <c r="F56" s="107">
        <v>33</v>
      </c>
      <c r="G56" s="107"/>
      <c r="H56" s="110" t="s">
        <v>628</v>
      </c>
    </row>
    <row r="57" spans="1:12">
      <c r="A57" s="107">
        <v>55</v>
      </c>
      <c r="B57" s="131" t="s">
        <v>796</v>
      </c>
      <c r="C57" s="107"/>
      <c r="D57" s="107"/>
      <c r="E57" s="107"/>
      <c r="F57" s="107">
        <v>33</v>
      </c>
      <c r="G57" s="107"/>
      <c r="H57" s="110" t="s">
        <v>628</v>
      </c>
    </row>
    <row r="58" spans="1:12">
      <c r="A58" s="7">
        <v>56</v>
      </c>
      <c r="B58" s="111" t="s">
        <v>797</v>
      </c>
      <c r="C58" s="91"/>
      <c r="D58" s="91"/>
      <c r="E58" s="91"/>
      <c r="F58" s="91"/>
      <c r="G58" s="91"/>
      <c r="H58" s="111" t="s">
        <v>628</v>
      </c>
    </row>
    <row r="59" spans="1:12">
      <c r="A59" s="7">
        <v>57</v>
      </c>
      <c r="B59" s="124" t="s">
        <v>829</v>
      </c>
      <c r="C59" s="107"/>
      <c r="D59" s="107"/>
      <c r="E59" s="107"/>
      <c r="F59" s="107">
        <v>33</v>
      </c>
      <c r="G59" s="107"/>
      <c r="H59" s="106" t="s">
        <v>628</v>
      </c>
    </row>
    <row r="60" spans="1:12">
      <c r="A60" s="7">
        <v>58</v>
      </c>
      <c r="B60" s="140" t="s">
        <v>814</v>
      </c>
      <c r="C60" s="140"/>
      <c r="D60" s="140"/>
      <c r="E60" s="140"/>
      <c r="F60" s="140">
        <v>33</v>
      </c>
      <c r="G60" s="140"/>
      <c r="H60" s="106" t="s">
        <v>628</v>
      </c>
    </row>
    <row r="61" spans="1:12">
      <c r="A61" s="7">
        <v>59</v>
      </c>
      <c r="B61" s="141" t="s">
        <v>816</v>
      </c>
      <c r="C61" s="91"/>
      <c r="D61" s="91"/>
      <c r="E61" s="91"/>
      <c r="F61" s="91">
        <v>33</v>
      </c>
      <c r="G61" s="91"/>
      <c r="H61" s="106" t="s">
        <v>628</v>
      </c>
    </row>
    <row r="62" spans="1:12">
      <c r="A62">
        <f>+A61+1</f>
        <v>60</v>
      </c>
      <c r="B62" s="141" t="s">
        <v>798</v>
      </c>
      <c r="C62" s="91"/>
      <c r="D62" s="91"/>
      <c r="E62" s="91"/>
      <c r="F62" s="91">
        <v>33</v>
      </c>
      <c r="G62" s="91"/>
      <c r="H62" s="106" t="s">
        <v>628</v>
      </c>
    </row>
    <row r="63" spans="1:12">
      <c r="A63" s="107">
        <f t="shared" ref="A63:A70" si="0">+A62+1</f>
        <v>61</v>
      </c>
      <c r="B63" s="132" t="s">
        <v>815</v>
      </c>
      <c r="C63" s="107"/>
      <c r="D63" s="107"/>
      <c r="E63" s="107"/>
      <c r="F63" s="107">
        <v>33</v>
      </c>
      <c r="G63" s="107"/>
      <c r="H63" s="106" t="s">
        <v>628</v>
      </c>
      <c r="L63">
        <v>120</v>
      </c>
    </row>
    <row r="64" spans="1:12">
      <c r="A64" s="107">
        <f t="shared" si="0"/>
        <v>62</v>
      </c>
      <c r="B64" s="1943" t="s">
        <v>817</v>
      </c>
      <c r="C64" s="107"/>
      <c r="D64" s="107"/>
      <c r="E64" s="107"/>
      <c r="F64" s="107">
        <v>33</v>
      </c>
      <c r="G64" s="107"/>
      <c r="H64" s="106" t="s">
        <v>628</v>
      </c>
      <c r="I64" s="144" t="s">
        <v>917</v>
      </c>
      <c r="L64">
        <v>130</v>
      </c>
    </row>
    <row r="65" spans="1:12">
      <c r="A65" s="107">
        <f t="shared" si="0"/>
        <v>63</v>
      </c>
      <c r="B65" s="125" t="s">
        <v>818</v>
      </c>
      <c r="C65" s="107"/>
      <c r="D65" s="107"/>
      <c r="E65" s="107"/>
      <c r="F65" s="107">
        <v>33</v>
      </c>
      <c r="G65" s="107"/>
      <c r="H65" s="106" t="s">
        <v>628</v>
      </c>
      <c r="L65">
        <v>90</v>
      </c>
    </row>
    <row r="66" spans="1:12">
      <c r="A66" s="107">
        <f t="shared" si="0"/>
        <v>64</v>
      </c>
      <c r="B66" s="125" t="s">
        <v>819</v>
      </c>
      <c r="C66" s="107"/>
      <c r="D66" s="107"/>
      <c r="E66" s="107"/>
      <c r="F66" s="107">
        <v>33</v>
      </c>
      <c r="G66" s="107"/>
      <c r="H66" s="106" t="s">
        <v>628</v>
      </c>
      <c r="L66">
        <v>105</v>
      </c>
    </row>
    <row r="67" spans="1:12">
      <c r="A67" s="107">
        <f t="shared" si="0"/>
        <v>65</v>
      </c>
      <c r="B67" s="125" t="s">
        <v>820</v>
      </c>
      <c r="C67" s="107"/>
      <c r="D67" s="107"/>
      <c r="E67" s="107"/>
      <c r="F67" s="107">
        <v>33</v>
      </c>
      <c r="G67" s="107"/>
      <c r="H67" s="106" t="s">
        <v>628</v>
      </c>
    </row>
    <row r="68" spans="1:12">
      <c r="A68">
        <f t="shared" si="0"/>
        <v>66</v>
      </c>
      <c r="B68" s="159" t="s">
        <v>920</v>
      </c>
      <c r="C68" s="91"/>
      <c r="D68" s="91"/>
      <c r="E68" s="91"/>
      <c r="F68" s="91">
        <v>33</v>
      </c>
      <c r="G68" s="91"/>
      <c r="H68" s="106" t="s">
        <v>628</v>
      </c>
    </row>
    <row r="69" spans="1:12">
      <c r="A69">
        <f t="shared" si="0"/>
        <v>67</v>
      </c>
      <c r="B69" s="223" t="s">
        <v>813</v>
      </c>
      <c r="C69" s="107"/>
      <c r="D69" s="107"/>
      <c r="E69" s="107"/>
      <c r="F69" s="107">
        <v>33</v>
      </c>
      <c r="G69" s="107"/>
      <c r="H69" s="106" t="s">
        <v>628</v>
      </c>
    </row>
    <row r="70" spans="1:12">
      <c r="A70">
        <f t="shared" si="0"/>
        <v>68</v>
      </c>
      <c r="B70" s="125" t="s">
        <v>821</v>
      </c>
      <c r="C70" s="107"/>
      <c r="D70" s="107"/>
      <c r="E70" s="107"/>
      <c r="F70" s="107">
        <v>33</v>
      </c>
      <c r="G70" s="107">
        <v>0</v>
      </c>
      <c r="H70" s="106" t="s">
        <v>628</v>
      </c>
    </row>
    <row r="71" spans="1:12">
      <c r="A71">
        <v>69</v>
      </c>
      <c r="B71" s="212" t="s">
        <v>1316</v>
      </c>
      <c r="C71" s="91"/>
      <c r="D71" s="91"/>
      <c r="E71" s="91"/>
      <c r="F71" s="91">
        <v>24</v>
      </c>
      <c r="G71" s="91"/>
      <c r="H71" s="112" t="s">
        <v>626</v>
      </c>
    </row>
    <row r="72" spans="1:12">
      <c r="A72" s="107">
        <v>70</v>
      </c>
      <c r="B72" s="125" t="s">
        <v>822</v>
      </c>
      <c r="C72" s="107"/>
      <c r="D72" s="107"/>
      <c r="E72" s="107"/>
      <c r="F72" s="107">
        <v>33</v>
      </c>
      <c r="G72" s="107"/>
      <c r="H72" s="112" t="s">
        <v>628</v>
      </c>
    </row>
    <row r="73" spans="1:12">
      <c r="A73" s="107">
        <v>71</v>
      </c>
      <c r="B73" s="125" t="s">
        <v>823</v>
      </c>
      <c r="C73" s="107"/>
      <c r="D73" s="107"/>
      <c r="E73" s="107"/>
      <c r="F73" s="107">
        <v>33</v>
      </c>
      <c r="G73" s="107"/>
      <c r="H73" s="112" t="s">
        <v>628</v>
      </c>
    </row>
    <row r="74" spans="1:12">
      <c r="A74" s="107">
        <v>72</v>
      </c>
      <c r="B74" s="124" t="s">
        <v>832</v>
      </c>
      <c r="C74" s="107"/>
      <c r="D74" s="107"/>
      <c r="E74" s="107"/>
      <c r="F74" s="107">
        <v>33</v>
      </c>
      <c r="G74" s="107"/>
      <c r="H74" s="114" t="s">
        <v>628</v>
      </c>
    </row>
    <row r="75" spans="1:12">
      <c r="A75">
        <v>73</v>
      </c>
      <c r="B75" s="146" t="s">
        <v>858</v>
      </c>
      <c r="C75" s="91"/>
      <c r="D75" s="91"/>
      <c r="E75" s="91"/>
      <c r="F75" s="91">
        <v>33</v>
      </c>
      <c r="G75" s="91"/>
      <c r="H75" s="114" t="s">
        <v>628</v>
      </c>
    </row>
    <row r="76" spans="1:12">
      <c r="A76">
        <v>74</v>
      </c>
      <c r="B76" s="171" t="s">
        <v>879</v>
      </c>
      <c r="C76" s="122"/>
      <c r="D76" s="122"/>
      <c r="E76" s="122"/>
      <c r="F76" s="122">
        <v>30</v>
      </c>
      <c r="G76" s="122">
        <v>3</v>
      </c>
      <c r="H76" s="114" t="s">
        <v>628</v>
      </c>
    </row>
    <row r="77" spans="1:12">
      <c r="A77">
        <v>75</v>
      </c>
      <c r="B77" s="147" t="s">
        <v>880</v>
      </c>
      <c r="C77" s="91"/>
      <c r="D77" s="91"/>
      <c r="E77" s="91"/>
      <c r="F77" s="91">
        <v>33</v>
      </c>
      <c r="G77" s="91"/>
      <c r="H77" s="121" t="s">
        <v>628</v>
      </c>
    </row>
    <row r="78" spans="1:12">
      <c r="A78">
        <v>76</v>
      </c>
      <c r="B78" s="379" t="s">
        <v>889</v>
      </c>
      <c r="C78" s="91"/>
      <c r="D78" s="91"/>
      <c r="E78" s="91"/>
      <c r="F78" s="91">
        <v>33</v>
      </c>
      <c r="G78" s="91"/>
      <c r="H78" s="121" t="s">
        <v>628</v>
      </c>
      <c r="J78" t="s">
        <v>122</v>
      </c>
    </row>
    <row r="79" spans="1:12">
      <c r="A79">
        <v>77</v>
      </c>
      <c r="B79" s="1941" t="s">
        <v>1881</v>
      </c>
      <c r="C79" s="91"/>
      <c r="D79" s="91"/>
      <c r="E79" s="91"/>
      <c r="F79" s="91">
        <v>33</v>
      </c>
      <c r="G79" s="91"/>
      <c r="H79" s="121" t="s">
        <v>628</v>
      </c>
    </row>
    <row r="80" spans="1:12">
      <c r="A80">
        <v>78</v>
      </c>
      <c r="B80" s="172" t="s">
        <v>921</v>
      </c>
      <c r="C80" s="107"/>
      <c r="D80" s="107"/>
      <c r="E80" s="107"/>
      <c r="F80" s="107">
        <v>33</v>
      </c>
      <c r="G80" s="107"/>
      <c r="H80" s="121" t="s">
        <v>628</v>
      </c>
    </row>
    <row r="81" spans="1:14">
      <c r="A81">
        <v>79</v>
      </c>
      <c r="B81" s="142" t="s">
        <v>918</v>
      </c>
      <c r="C81" s="7"/>
      <c r="D81" s="7"/>
      <c r="E81" s="7"/>
      <c r="F81" s="7"/>
      <c r="G81" s="7">
        <v>23</v>
      </c>
      <c r="H81" s="135" t="s">
        <v>626</v>
      </c>
    </row>
    <row r="82" spans="1:14">
      <c r="A82">
        <v>80</v>
      </c>
      <c r="B82" s="173" t="s">
        <v>928</v>
      </c>
      <c r="C82" s="107"/>
      <c r="D82" s="107"/>
      <c r="E82" s="107"/>
      <c r="F82" s="107">
        <v>29</v>
      </c>
      <c r="G82" s="107"/>
      <c r="H82" s="137" t="s">
        <v>626</v>
      </c>
    </row>
    <row r="83" spans="1:14">
      <c r="A83">
        <v>81</v>
      </c>
      <c r="B83" s="174" t="s">
        <v>919</v>
      </c>
      <c r="C83" s="174"/>
      <c r="D83" s="174"/>
      <c r="E83" s="174"/>
      <c r="F83" s="174">
        <v>20</v>
      </c>
      <c r="G83" s="174"/>
      <c r="H83" s="137" t="s">
        <v>626</v>
      </c>
      <c r="N83"/>
    </row>
    <row r="84" spans="1:14">
      <c r="A84">
        <v>82</v>
      </c>
      <c r="B84" s="272" t="s">
        <v>1480</v>
      </c>
      <c r="C84" s="91"/>
      <c r="D84" s="91"/>
      <c r="E84" s="91"/>
      <c r="F84" s="91">
        <v>20</v>
      </c>
      <c r="G84" s="91"/>
      <c r="H84" s="137" t="s">
        <v>626</v>
      </c>
      <c r="N84"/>
    </row>
    <row r="85" spans="1:14" ht="28.8">
      <c r="A85">
        <v>84</v>
      </c>
      <c r="B85" s="1942" t="s">
        <v>1315</v>
      </c>
      <c r="C85" s="107"/>
      <c r="D85" s="107"/>
      <c r="E85" s="107"/>
      <c r="F85" s="107">
        <v>20</v>
      </c>
      <c r="G85" s="107"/>
      <c r="H85" s="213" t="s">
        <v>626</v>
      </c>
      <c r="N85"/>
    </row>
    <row r="86" spans="1:14">
      <c r="A86">
        <v>85</v>
      </c>
      <c r="B86" s="122" t="s">
        <v>1270</v>
      </c>
      <c r="C86" s="122"/>
      <c r="D86" s="122"/>
      <c r="E86" s="122"/>
      <c r="F86" s="122"/>
      <c r="G86" s="122">
        <v>1</v>
      </c>
      <c r="H86" s="207">
        <v>34</v>
      </c>
      <c r="J86">
        <v>1</v>
      </c>
      <c r="N86"/>
    </row>
    <row r="87" spans="1:14">
      <c r="A87">
        <v>86</v>
      </c>
      <c r="B87" s="122" t="s">
        <v>1271</v>
      </c>
      <c r="C87" s="122"/>
      <c r="D87" s="122"/>
      <c r="E87" s="122"/>
      <c r="F87" s="122"/>
      <c r="G87" s="122">
        <v>1</v>
      </c>
      <c r="H87" s="207">
        <v>34</v>
      </c>
      <c r="J87">
        <v>1</v>
      </c>
      <c r="N87"/>
    </row>
    <row r="88" spans="1:14">
      <c r="B88" s="1941" t="s">
        <v>1320</v>
      </c>
      <c r="C88" s="91"/>
      <c r="D88" s="91"/>
      <c r="E88" s="91"/>
      <c r="F88" s="91"/>
      <c r="G88" s="91"/>
      <c r="H88" s="210">
        <v>33</v>
      </c>
      <c r="N88"/>
    </row>
    <row r="89" spans="1:14" ht="28.8">
      <c r="B89" s="1942" t="s">
        <v>1321</v>
      </c>
      <c r="C89" s="107"/>
      <c r="D89" s="107"/>
      <c r="E89" s="107"/>
      <c r="F89" s="107"/>
      <c r="G89" s="107"/>
      <c r="H89" s="213">
        <v>33</v>
      </c>
      <c r="N89"/>
    </row>
    <row r="90" spans="1:14" ht="21.6" customHeight="1">
      <c r="B90" s="98" t="s">
        <v>1323</v>
      </c>
      <c r="C90" s="91"/>
      <c r="D90" s="91"/>
      <c r="E90" s="91"/>
      <c r="F90" s="91"/>
      <c r="G90" s="91"/>
      <c r="H90" s="210">
        <v>33</v>
      </c>
      <c r="N90"/>
    </row>
    <row r="91" spans="1:14">
      <c r="B91" s="91" t="s">
        <v>1324</v>
      </c>
      <c r="C91" s="91"/>
      <c r="D91" s="91"/>
      <c r="E91" s="91"/>
      <c r="F91" s="91"/>
      <c r="G91" s="91"/>
      <c r="H91" s="210">
        <v>33</v>
      </c>
      <c r="N91"/>
    </row>
    <row r="92" spans="1:14">
      <c r="B92" s="107" t="s">
        <v>1326</v>
      </c>
      <c r="C92" s="107"/>
      <c r="D92" s="107"/>
      <c r="E92" s="107"/>
      <c r="F92" s="107"/>
      <c r="G92" s="107"/>
      <c r="H92" s="213">
        <v>33</v>
      </c>
      <c r="N92"/>
    </row>
    <row r="93" spans="1:14">
      <c r="B93" s="1944" t="s">
        <v>1318</v>
      </c>
      <c r="C93" s="122"/>
      <c r="D93" s="122"/>
      <c r="E93" s="122"/>
      <c r="F93" s="122"/>
      <c r="G93" s="122">
        <v>1</v>
      </c>
      <c r="H93" s="207">
        <v>33</v>
      </c>
      <c r="J93">
        <v>1</v>
      </c>
      <c r="N93"/>
    </row>
    <row r="94" spans="1:14">
      <c r="B94" s="91" t="s">
        <v>1327</v>
      </c>
      <c r="C94" s="91"/>
      <c r="D94" s="91"/>
      <c r="E94" s="91"/>
      <c r="F94" s="91"/>
      <c r="G94" s="91"/>
      <c r="H94" s="210">
        <v>33</v>
      </c>
      <c r="N94"/>
    </row>
    <row r="95" spans="1:14">
      <c r="B95" s="91" t="s">
        <v>1328</v>
      </c>
      <c r="C95" s="91"/>
      <c r="D95" s="91"/>
      <c r="E95" s="91"/>
      <c r="F95" s="91"/>
      <c r="G95" s="91">
        <v>0</v>
      </c>
      <c r="H95" s="210">
        <v>33</v>
      </c>
      <c r="N95"/>
    </row>
    <row r="96" spans="1:14">
      <c r="B96" s="107" t="s">
        <v>1322</v>
      </c>
      <c r="C96" s="107"/>
      <c r="D96" s="107"/>
      <c r="E96" s="107"/>
      <c r="F96" s="107"/>
      <c r="G96" s="107">
        <v>1</v>
      </c>
      <c r="H96" s="213">
        <v>33</v>
      </c>
      <c r="N96"/>
    </row>
    <row r="97" spans="2:15">
      <c r="B97" s="107" t="s">
        <v>1319</v>
      </c>
      <c r="C97" s="107"/>
      <c r="D97" s="107"/>
      <c r="E97" s="107"/>
      <c r="F97" s="107"/>
      <c r="G97" s="107">
        <v>1</v>
      </c>
      <c r="H97" s="213">
        <v>33</v>
      </c>
      <c r="N97"/>
    </row>
    <row r="98" spans="2:15">
      <c r="B98" s="107" t="s">
        <v>1332</v>
      </c>
      <c r="C98" s="107"/>
      <c r="D98" s="107"/>
      <c r="E98" s="107"/>
      <c r="F98" s="107"/>
      <c r="G98" s="107"/>
      <c r="H98" s="213">
        <v>33</v>
      </c>
      <c r="N98"/>
    </row>
    <row r="99" spans="2:15">
      <c r="B99" s="107" t="s">
        <v>1325</v>
      </c>
      <c r="C99" s="107"/>
      <c r="D99" s="107"/>
      <c r="E99" s="107"/>
      <c r="F99" s="107"/>
      <c r="G99" s="107">
        <v>1</v>
      </c>
      <c r="H99" s="213">
        <v>33</v>
      </c>
      <c r="N99"/>
    </row>
    <row r="100" spans="2:15">
      <c r="B100" s="107" t="s">
        <v>1482</v>
      </c>
      <c r="C100" s="107"/>
      <c r="D100" s="107"/>
      <c r="E100" s="107"/>
      <c r="F100" s="107"/>
      <c r="G100" s="107">
        <v>0</v>
      </c>
      <c r="H100" s="213">
        <v>33</v>
      </c>
      <c r="N100"/>
    </row>
    <row r="101" spans="2:15">
      <c r="B101" s="91" t="s">
        <v>1333</v>
      </c>
      <c r="C101" s="91"/>
      <c r="D101" s="91"/>
      <c r="E101" s="91"/>
      <c r="F101" s="91"/>
      <c r="G101" s="91"/>
      <c r="H101" s="210">
        <v>24</v>
      </c>
      <c r="N101"/>
    </row>
    <row r="102" spans="2:15">
      <c r="B102" s="91" t="s">
        <v>1334</v>
      </c>
      <c r="C102" s="91"/>
      <c r="D102" s="91"/>
      <c r="E102" s="91"/>
      <c r="F102" s="91"/>
      <c r="G102" s="91"/>
      <c r="H102" s="210">
        <v>24</v>
      </c>
      <c r="N102"/>
      <c r="O102" s="4">
        <f>92*1400*11450</f>
        <v>1474760000</v>
      </c>
    </row>
    <row r="103" spans="2:15">
      <c r="B103" s="91" t="s">
        <v>1582</v>
      </c>
      <c r="C103" s="91"/>
      <c r="D103" s="91"/>
      <c r="E103" s="91"/>
      <c r="F103" s="91"/>
      <c r="G103" s="91"/>
      <c r="H103" s="210">
        <v>33</v>
      </c>
      <c r="N103"/>
      <c r="O103" s="4">
        <v>-515750000</v>
      </c>
    </row>
    <row r="104" spans="2:15">
      <c r="B104" s="91" t="s">
        <v>1314</v>
      </c>
      <c r="C104" s="91"/>
      <c r="D104" s="91"/>
      <c r="E104" s="91"/>
      <c r="F104" s="91"/>
      <c r="G104" s="91"/>
      <c r="H104" s="210">
        <v>23</v>
      </c>
      <c r="N104"/>
    </row>
    <row r="105" spans="2:15">
      <c r="B105" s="91" t="s">
        <v>2015</v>
      </c>
      <c r="C105" s="91"/>
      <c r="D105" s="91"/>
      <c r="E105" s="91"/>
      <c r="F105" s="91"/>
      <c r="G105" s="91"/>
      <c r="H105" s="210">
        <v>33</v>
      </c>
      <c r="N105"/>
    </row>
    <row r="106" spans="2:15">
      <c r="B106" s="91" t="s">
        <v>1473</v>
      </c>
      <c r="C106" s="91"/>
      <c r="D106" s="91"/>
      <c r="E106" s="91"/>
      <c r="F106" s="91"/>
      <c r="G106" s="91">
        <v>1</v>
      </c>
      <c r="H106" s="210">
        <v>33</v>
      </c>
      <c r="N106"/>
    </row>
    <row r="107" spans="2:15">
      <c r="B107" s="107" t="s">
        <v>1335</v>
      </c>
      <c r="C107" s="107"/>
      <c r="D107" s="107"/>
      <c r="E107" s="107"/>
      <c r="F107" s="107"/>
      <c r="G107" s="107">
        <v>1</v>
      </c>
      <c r="H107" s="213">
        <v>33</v>
      </c>
      <c r="N107"/>
    </row>
    <row r="108" spans="2:15">
      <c r="B108" s="91" t="s">
        <v>1472</v>
      </c>
      <c r="C108" s="91"/>
      <c r="D108" s="91"/>
      <c r="E108" s="91"/>
      <c r="F108" s="91"/>
      <c r="G108" s="91">
        <v>1</v>
      </c>
      <c r="H108" s="210">
        <v>33</v>
      </c>
      <c r="N108"/>
    </row>
    <row r="109" spans="2:15">
      <c r="B109" s="91" t="s">
        <v>2013</v>
      </c>
      <c r="C109" s="91"/>
      <c r="D109" s="91"/>
      <c r="E109" s="91"/>
      <c r="F109" s="91"/>
      <c r="G109" s="91"/>
      <c r="H109" s="210">
        <v>24</v>
      </c>
      <c r="N109"/>
    </row>
    <row r="110" spans="2:15">
      <c r="B110" s="91" t="s">
        <v>2014</v>
      </c>
      <c r="C110" s="91"/>
      <c r="D110" s="91"/>
      <c r="E110" s="91"/>
      <c r="F110" s="91"/>
      <c r="G110" s="91"/>
      <c r="H110" s="210">
        <v>24</v>
      </c>
      <c r="N110"/>
    </row>
    <row r="111" spans="2:15">
      <c r="B111" s="576" t="s">
        <v>3345</v>
      </c>
      <c r="C111" s="91"/>
      <c r="D111" s="91"/>
      <c r="E111" s="91"/>
      <c r="F111" s="91"/>
      <c r="G111" s="91"/>
      <c r="H111" s="210">
        <v>33</v>
      </c>
      <c r="I111" s="581" t="s">
        <v>3335</v>
      </c>
    </row>
    <row r="112" spans="2:15">
      <c r="B112" s="91" t="s">
        <v>3361</v>
      </c>
      <c r="C112" s="91"/>
      <c r="D112" s="91"/>
      <c r="E112" s="91"/>
      <c r="F112" s="91"/>
      <c r="G112" s="91"/>
      <c r="H112" s="111">
        <v>33</v>
      </c>
      <c r="I112" t="s">
        <v>3362</v>
      </c>
    </row>
    <row r="113" spans="1:14">
      <c r="B113" s="91" t="s">
        <v>2198</v>
      </c>
      <c r="C113" s="91"/>
      <c r="D113" s="91"/>
      <c r="E113" s="91"/>
      <c r="F113" s="91"/>
      <c r="G113" s="91"/>
      <c r="H113" s="111"/>
      <c r="N113" s="4">
        <v>111000</v>
      </c>
    </row>
    <row r="114" spans="1:14">
      <c r="B114" s="91" t="s">
        <v>3359</v>
      </c>
      <c r="C114" s="91"/>
      <c r="D114" s="91"/>
      <c r="E114" s="91"/>
      <c r="F114" s="91"/>
      <c r="G114" s="91"/>
      <c r="H114" s="111">
        <v>24</v>
      </c>
      <c r="I114" t="s">
        <v>3360</v>
      </c>
    </row>
    <row r="115" spans="1:14">
      <c r="B115" s="28" t="s">
        <v>3484</v>
      </c>
      <c r="C115" s="28"/>
      <c r="D115" s="28"/>
      <c r="E115" s="28"/>
      <c r="F115" s="28"/>
      <c r="G115" s="28"/>
      <c r="H115" s="624">
        <v>33</v>
      </c>
      <c r="I115">
        <v>35</v>
      </c>
      <c r="K115" t="s">
        <v>3485</v>
      </c>
    </row>
    <row r="116" spans="1:14">
      <c r="A116" t="s">
        <v>3244</v>
      </c>
      <c r="B116" s="28" t="s">
        <v>3388</v>
      </c>
      <c r="C116" s="28"/>
      <c r="D116" s="28"/>
      <c r="E116" s="28"/>
      <c r="F116" s="28"/>
      <c r="G116" s="28"/>
      <c r="H116" s="624">
        <v>24</v>
      </c>
      <c r="I116" t="s">
        <v>3251</v>
      </c>
    </row>
    <row r="117" spans="1:14">
      <c r="A117" t="s">
        <v>3244</v>
      </c>
      <c r="B117" s="28" t="s">
        <v>3460</v>
      </c>
      <c r="C117" s="28"/>
      <c r="D117" s="28"/>
      <c r="E117" s="28"/>
      <c r="F117" s="28"/>
      <c r="G117" s="28"/>
      <c r="H117" s="624">
        <v>24</v>
      </c>
      <c r="I117" t="s">
        <v>3251</v>
      </c>
      <c r="K117" t="s">
        <v>3444</v>
      </c>
    </row>
    <row r="118" spans="1:14">
      <c r="A118" t="s">
        <v>3244</v>
      </c>
      <c r="B118" s="28" t="s">
        <v>3461</v>
      </c>
      <c r="C118" s="28"/>
      <c r="D118" s="28"/>
      <c r="E118" s="28"/>
      <c r="F118" s="28"/>
      <c r="G118" s="28"/>
      <c r="H118" s="624">
        <v>24</v>
      </c>
      <c r="I118" t="s">
        <v>3251</v>
      </c>
      <c r="K118" t="s">
        <v>3444</v>
      </c>
    </row>
    <row r="119" spans="1:14">
      <c r="A119" t="s">
        <v>3244</v>
      </c>
      <c r="B119" s="7">
        <v>5</v>
      </c>
      <c r="C119" s="7"/>
      <c r="D119" s="7"/>
      <c r="E119" s="7"/>
      <c r="F119" s="7"/>
      <c r="G119" s="7">
        <v>20</v>
      </c>
      <c r="H119" s="106">
        <v>29</v>
      </c>
      <c r="I119" t="s">
        <v>3252</v>
      </c>
    </row>
    <row r="120" spans="1:14">
      <c r="A120" t="s">
        <v>3244</v>
      </c>
      <c r="B120" s="28" t="s">
        <v>3486</v>
      </c>
      <c r="C120" s="28"/>
      <c r="D120" s="28"/>
      <c r="E120" s="28"/>
      <c r="F120" s="28"/>
      <c r="G120" s="28"/>
      <c r="H120" s="624">
        <v>24</v>
      </c>
      <c r="I120" t="s">
        <v>3252</v>
      </c>
    </row>
    <row r="121" spans="1:14">
      <c r="A121" t="s">
        <v>3244</v>
      </c>
      <c r="B121" s="833" t="s">
        <v>3912</v>
      </c>
      <c r="C121" s="6"/>
      <c r="D121" s="6"/>
      <c r="E121" s="6"/>
      <c r="F121" s="6"/>
      <c r="G121" s="6"/>
      <c r="H121" s="105">
        <v>24</v>
      </c>
      <c r="I121" t="s">
        <v>3252</v>
      </c>
    </row>
    <row r="122" spans="1:14">
      <c r="A122" t="s">
        <v>3244</v>
      </c>
      <c r="B122" s="7">
        <v>5</v>
      </c>
      <c r="C122" s="7"/>
      <c r="D122" s="7"/>
      <c r="E122" s="7"/>
      <c r="F122" s="7"/>
      <c r="G122" s="7">
        <v>23</v>
      </c>
      <c r="H122" s="106">
        <v>24</v>
      </c>
      <c r="I122" t="s">
        <v>3252</v>
      </c>
    </row>
    <row r="123" spans="1:14">
      <c r="A123" s="581" t="s">
        <v>3328</v>
      </c>
      <c r="B123" s="6" t="s">
        <v>4154</v>
      </c>
      <c r="C123" s="6"/>
      <c r="D123" s="6"/>
      <c r="E123" s="6"/>
      <c r="F123" s="6"/>
      <c r="G123" s="6"/>
      <c r="H123" s="105">
        <v>23</v>
      </c>
      <c r="N123" s="4">
        <v>296000</v>
      </c>
    </row>
    <row r="124" spans="1:14">
      <c r="A124" s="600" t="s">
        <v>3377</v>
      </c>
      <c r="B124" s="1748" t="s">
        <v>7081</v>
      </c>
      <c r="C124" s="418">
        <v>12345678</v>
      </c>
      <c r="D124" s="91"/>
      <c r="E124" s="91"/>
      <c r="F124" s="91"/>
      <c r="G124" s="91">
        <v>35</v>
      </c>
      <c r="H124" s="7" t="s">
        <v>3384</v>
      </c>
      <c r="N124" s="4">
        <v>59000</v>
      </c>
    </row>
    <row r="125" spans="1:14">
      <c r="A125" s="600" t="s">
        <v>3376</v>
      </c>
      <c r="B125" s="385">
        <v>5</v>
      </c>
      <c r="C125" s="385"/>
      <c r="D125" s="7"/>
      <c r="E125" s="7"/>
      <c r="G125" s="7">
        <v>23</v>
      </c>
      <c r="H125" s="7"/>
      <c r="N125" s="4">
        <v>48300</v>
      </c>
    </row>
    <row r="126" spans="1:14">
      <c r="A126" s="693" t="s">
        <v>3630</v>
      </c>
      <c r="B126" s="6" t="s">
        <v>6432</v>
      </c>
      <c r="C126" s="6">
        <v>24717124</v>
      </c>
      <c r="D126" s="6"/>
      <c r="E126" s="6"/>
      <c r="F126" s="6"/>
      <c r="G126" s="6">
        <v>34</v>
      </c>
      <c r="N126" s="4">
        <v>1566000</v>
      </c>
    </row>
    <row r="127" spans="1:14">
      <c r="A127" s="693" t="s">
        <v>3630</v>
      </c>
      <c r="B127">
        <v>5</v>
      </c>
      <c r="G127" s="7">
        <v>23</v>
      </c>
      <c r="N127" s="4">
        <v>122000</v>
      </c>
    </row>
    <row r="129" spans="14:14">
      <c r="N129"/>
    </row>
  </sheetData>
  <pageMargins left="0.7" right="0.7" top="0.75" bottom="0.75" header="0.3" footer="0.3"/>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3:N69"/>
  <sheetViews>
    <sheetView workbookViewId="0">
      <selection activeCell="O33" sqref="O33"/>
    </sheetView>
  </sheetViews>
  <sheetFormatPr defaultRowHeight="14.4"/>
  <cols>
    <col min="2" max="2" width="35.6640625" customWidth="1"/>
    <col min="3" max="3" width="21.21875" customWidth="1"/>
    <col min="4" max="4" width="10" bestFit="1" customWidth="1"/>
    <col min="7" max="7" width="16" bestFit="1" customWidth="1"/>
  </cols>
  <sheetData>
    <row r="3" spans="1:14" ht="16.2" customHeight="1">
      <c r="B3" s="108" t="s">
        <v>770</v>
      </c>
      <c r="C3" s="108"/>
      <c r="D3" s="85"/>
      <c r="E3" s="85" t="s">
        <v>792</v>
      </c>
    </row>
    <row r="4" spans="1:14" hidden="1">
      <c r="B4" s="85" t="s">
        <v>791</v>
      </c>
      <c r="C4" s="85"/>
      <c r="D4" s="85"/>
      <c r="E4" s="85" t="s">
        <v>1067</v>
      </c>
    </row>
    <row r="5" spans="1:14" hidden="1">
      <c r="B5" s="3" t="s">
        <v>759</v>
      </c>
      <c r="C5" s="3"/>
      <c r="D5" s="3">
        <v>0</v>
      </c>
      <c r="E5" s="3" t="s">
        <v>626</v>
      </c>
      <c r="F5">
        <v>25</v>
      </c>
    </row>
    <row r="6" spans="1:14">
      <c r="B6" s="430" t="s">
        <v>620</v>
      </c>
      <c r="C6" s="430"/>
      <c r="D6" s="6">
        <f>45+21-33</f>
        <v>33</v>
      </c>
      <c r="E6" s="6">
        <v>38594035</v>
      </c>
    </row>
    <row r="7" spans="1:14" hidden="1">
      <c r="B7" s="91" t="s">
        <v>1763</v>
      </c>
      <c r="C7" s="91"/>
      <c r="D7" s="91"/>
      <c r="E7" s="91">
        <v>33</v>
      </c>
      <c r="F7" t="s">
        <v>1331</v>
      </c>
    </row>
    <row r="8" spans="1:14" hidden="1">
      <c r="B8" s="91" t="s">
        <v>1269</v>
      </c>
      <c r="C8" s="91"/>
      <c r="D8" s="91"/>
      <c r="E8" s="91">
        <v>24</v>
      </c>
    </row>
    <row r="9" spans="1:14" hidden="1">
      <c r="B9" s="91" t="s">
        <v>1406</v>
      </c>
      <c r="C9" s="91"/>
      <c r="D9" s="91"/>
      <c r="E9" s="91">
        <v>33</v>
      </c>
      <c r="F9" t="s">
        <v>1330</v>
      </c>
    </row>
    <row r="10" spans="1:14" hidden="1">
      <c r="B10" s="91" t="s">
        <v>2145</v>
      </c>
      <c r="C10" s="91"/>
      <c r="D10" s="91"/>
      <c r="E10" s="91"/>
      <c r="N10">
        <v>10</v>
      </c>
    </row>
    <row r="11" spans="1:14" hidden="1">
      <c r="B11" s="418" t="s">
        <v>2604</v>
      </c>
      <c r="C11" s="418"/>
      <c r="D11" s="91"/>
      <c r="E11" s="91"/>
    </row>
    <row r="12" spans="1:14" hidden="1">
      <c r="B12" s="91" t="s">
        <v>3441</v>
      </c>
      <c r="C12" s="91"/>
      <c r="D12" s="91"/>
      <c r="E12" s="91"/>
      <c r="F12" t="s">
        <v>3427</v>
      </c>
    </row>
    <row r="13" spans="1:14">
      <c r="B13" s="385" t="s">
        <v>2637</v>
      </c>
      <c r="C13" s="385"/>
      <c r="D13" s="7">
        <f>32-24</f>
        <v>8</v>
      </c>
      <c r="E13" s="7"/>
      <c r="N13">
        <v>4.7</v>
      </c>
    </row>
    <row r="14" spans="1:14" hidden="1">
      <c r="A14" s="515" t="s">
        <v>3153</v>
      </c>
      <c r="B14" s="558" t="s">
        <v>3186</v>
      </c>
      <c r="C14" s="521">
        <v>73274529</v>
      </c>
      <c r="D14" s="6"/>
      <c r="E14" s="6"/>
      <c r="F14" t="s">
        <v>3171</v>
      </c>
    </row>
    <row r="15" spans="1:14" hidden="1">
      <c r="A15" s="515" t="s">
        <v>3153</v>
      </c>
      <c r="B15" s="520" t="s">
        <v>3187</v>
      </c>
      <c r="C15" s="387">
        <v>55173444</v>
      </c>
      <c r="D15" s="6"/>
      <c r="E15" s="6"/>
      <c r="F15" t="s">
        <v>3172</v>
      </c>
      <c r="G15">
        <v>23.5</v>
      </c>
      <c r="H15" s="581" t="s">
        <v>3335</v>
      </c>
    </row>
    <row r="16" spans="1:14">
      <c r="A16" s="515" t="s">
        <v>3153</v>
      </c>
      <c r="B16" s="1399" t="s">
        <v>3723</v>
      </c>
      <c r="C16" s="385">
        <v>68989758</v>
      </c>
      <c r="D16" s="7">
        <v>23</v>
      </c>
      <c r="E16" s="7"/>
      <c r="F16" t="s">
        <v>3172</v>
      </c>
      <c r="G16" s="746" t="s">
        <v>3724</v>
      </c>
    </row>
    <row r="17" spans="1:7">
      <c r="A17" s="515" t="s">
        <v>3153</v>
      </c>
      <c r="B17" s="1613" t="s">
        <v>6714</v>
      </c>
      <c r="C17" s="387">
        <v>94531773</v>
      </c>
      <c r="D17" s="6">
        <v>32</v>
      </c>
      <c r="E17" s="6"/>
      <c r="F17" t="s">
        <v>1285</v>
      </c>
      <c r="G17" s="746" t="s">
        <v>3733</v>
      </c>
    </row>
    <row r="18" spans="1:7">
      <c r="A18" s="515" t="s">
        <v>3173</v>
      </c>
      <c r="B18" s="828" t="s">
        <v>3726</v>
      </c>
      <c r="C18" s="385">
        <v>55527621</v>
      </c>
      <c r="D18" s="7">
        <v>23</v>
      </c>
      <c r="E18" s="7"/>
      <c r="G18" s="746" t="s">
        <v>3725</v>
      </c>
    </row>
    <row r="19" spans="1:7">
      <c r="A19" s="581" t="s">
        <v>3335</v>
      </c>
      <c r="B19" s="765" t="s">
        <v>3730</v>
      </c>
      <c r="C19" s="387">
        <v>56224331</v>
      </c>
      <c r="D19" s="6">
        <v>-3</v>
      </c>
      <c r="E19" s="6" t="s">
        <v>4066</v>
      </c>
      <c r="F19" s="6"/>
      <c r="G19" t="s">
        <v>3724</v>
      </c>
    </row>
    <row r="20" spans="1:7">
      <c r="A20" s="581" t="s">
        <v>3335</v>
      </c>
      <c r="B20" s="1612" t="s">
        <v>3734</v>
      </c>
      <c r="C20" s="385">
        <v>94814015</v>
      </c>
      <c r="D20" s="7">
        <v>23</v>
      </c>
      <c r="E20" s="7"/>
      <c r="G20" s="746" t="s">
        <v>3724</v>
      </c>
    </row>
    <row r="21" spans="1:7">
      <c r="A21" s="581" t="s">
        <v>3335</v>
      </c>
      <c r="B21" s="1612" t="s">
        <v>3728</v>
      </c>
      <c r="C21" s="385">
        <v>23490004</v>
      </c>
      <c r="D21" s="7">
        <v>33</v>
      </c>
      <c r="E21" s="7"/>
      <c r="G21" s="746" t="s">
        <v>3727</v>
      </c>
    </row>
    <row r="22" spans="1:7">
      <c r="A22" s="581" t="s">
        <v>3335</v>
      </c>
      <c r="B22" s="1612" t="s">
        <v>3729</v>
      </c>
      <c r="C22" s="385">
        <v>23672131</v>
      </c>
      <c r="D22" s="7">
        <v>35</v>
      </c>
      <c r="E22" s="7"/>
      <c r="G22" s="746" t="s">
        <v>3727</v>
      </c>
    </row>
    <row r="23" spans="1:7">
      <c r="A23" s="588" t="s">
        <v>3347</v>
      </c>
      <c r="B23" s="1613" t="s">
        <v>3738</v>
      </c>
      <c r="C23" s="387">
        <v>73160674</v>
      </c>
      <c r="D23" s="6">
        <v>23</v>
      </c>
      <c r="E23" s="6"/>
      <c r="F23" s="6"/>
    </row>
    <row r="24" spans="1:7" hidden="1">
      <c r="A24" s="588" t="s">
        <v>3347</v>
      </c>
      <c r="B24" s="829" t="s">
        <v>3440</v>
      </c>
      <c r="C24" s="418"/>
      <c r="D24" s="91"/>
      <c r="E24" s="91"/>
      <c r="F24" t="s">
        <v>3427</v>
      </c>
    </row>
    <row r="25" spans="1:7" hidden="1">
      <c r="A25" s="605" t="s">
        <v>3391</v>
      </c>
      <c r="B25" s="627" t="s">
        <v>3475</v>
      </c>
      <c r="C25" s="631"/>
      <c r="D25" s="85"/>
      <c r="E25" s="85">
        <v>20</v>
      </c>
    </row>
    <row r="26" spans="1:7">
      <c r="A26" s="693" t="s">
        <v>3630</v>
      </c>
      <c r="B26" s="1612" t="s">
        <v>3731</v>
      </c>
      <c r="C26" s="385">
        <v>81370775</v>
      </c>
      <c r="D26" s="7">
        <v>35</v>
      </c>
      <c r="E26" s="7"/>
      <c r="G26" s="746" t="s">
        <v>3732</v>
      </c>
    </row>
    <row r="27" spans="1:7">
      <c r="A27" s="693" t="s">
        <v>3631</v>
      </c>
      <c r="B27" s="385"/>
      <c r="C27" s="385"/>
      <c r="D27" s="7">
        <v>32</v>
      </c>
      <c r="E27" s="7"/>
    </row>
    <row r="28" spans="1:7">
      <c r="A28" s="693" t="s">
        <v>3631</v>
      </c>
      <c r="B28" s="385"/>
      <c r="C28" s="385"/>
      <c r="D28" s="7">
        <v>32</v>
      </c>
      <c r="E28" s="7"/>
    </row>
    <row r="29" spans="1:7">
      <c r="A29" s="713" t="s">
        <v>3653</v>
      </c>
      <c r="B29" s="873"/>
      <c r="C29" s="387"/>
      <c r="D29" s="6">
        <f>29</f>
        <v>29</v>
      </c>
      <c r="E29" s="6"/>
      <c r="F29" s="6"/>
    </row>
    <row r="30" spans="1:7">
      <c r="A30" s="795" t="s">
        <v>4056</v>
      </c>
      <c r="B30" s="385"/>
      <c r="C30" s="385"/>
      <c r="D30" s="7">
        <v>35</v>
      </c>
      <c r="E30" s="7"/>
    </row>
    <row r="31" spans="1:7">
      <c r="A31" s="713"/>
      <c r="B31" s="385"/>
      <c r="C31" s="385"/>
      <c r="D31" s="7"/>
      <c r="E31" s="7"/>
    </row>
    <row r="32" spans="1:7">
      <c r="A32" s="713"/>
      <c r="B32" s="1612" t="s">
        <v>3735</v>
      </c>
      <c r="C32" s="385">
        <v>34077158</v>
      </c>
      <c r="D32" s="7"/>
      <c r="E32" s="7"/>
    </row>
    <row r="33" spans="1:14">
      <c r="A33" s="713"/>
      <c r="B33" s="743" t="s">
        <v>3736</v>
      </c>
      <c r="C33" s="743" t="s">
        <v>3737</v>
      </c>
      <c r="D33" s="7"/>
      <c r="E33" s="7"/>
    </row>
    <row r="34" spans="1:14">
      <c r="A34" s="713"/>
      <c r="B34" s="1686" t="s">
        <v>6794</v>
      </c>
      <c r="C34" s="387">
        <v>64077410</v>
      </c>
      <c r="D34" s="6">
        <v>-23</v>
      </c>
      <c r="E34" s="6" t="s">
        <v>6939</v>
      </c>
    </row>
    <row r="35" spans="1:14">
      <c r="A35" s="515"/>
      <c r="B35" s="1614" t="s">
        <v>6715</v>
      </c>
      <c r="C35" s="1615"/>
      <c r="D35" s="2">
        <v>33</v>
      </c>
      <c r="E35" s="2"/>
    </row>
    <row r="36" spans="1:14">
      <c r="A36" s="515" t="s">
        <v>3173</v>
      </c>
      <c r="B36" s="1680" t="s">
        <v>6813</v>
      </c>
      <c r="C36" s="387">
        <v>39210420</v>
      </c>
      <c r="D36" s="6">
        <v>-33</v>
      </c>
      <c r="E36" s="7"/>
      <c r="F36" s="535"/>
    </row>
    <row r="37" spans="1:14">
      <c r="N37">
        <v>52.5</v>
      </c>
    </row>
    <row r="38" spans="1:14">
      <c r="A38" t="s">
        <v>3206</v>
      </c>
      <c r="N38">
        <v>61.5</v>
      </c>
    </row>
    <row r="39" spans="1:14">
      <c r="A39" t="s">
        <v>3244</v>
      </c>
      <c r="N39">
        <v>270.5</v>
      </c>
    </row>
    <row r="40" spans="1:14">
      <c r="A40" t="s">
        <v>3244</v>
      </c>
      <c r="F40" s="544"/>
      <c r="N40">
        <v>304.60000000000002</v>
      </c>
    </row>
    <row r="41" spans="1:14">
      <c r="A41" t="s">
        <v>3347</v>
      </c>
      <c r="E41">
        <v>1</v>
      </c>
      <c r="F41" t="s">
        <v>3358</v>
      </c>
      <c r="N41">
        <v>24</v>
      </c>
    </row>
    <row r="42" spans="1:14">
      <c r="A42" t="s">
        <v>3347</v>
      </c>
      <c r="E42">
        <v>1</v>
      </c>
      <c r="F42" t="s">
        <v>3639</v>
      </c>
      <c r="N42">
        <v>60</v>
      </c>
    </row>
    <row r="43" spans="1:14">
      <c r="F43" s="713"/>
      <c r="G43" s="763"/>
      <c r="N43">
        <v>9.3000000000000007</v>
      </c>
    </row>
    <row r="44" spans="1:14">
      <c r="N44">
        <v>0.9</v>
      </c>
    </row>
    <row r="45" spans="1:14">
      <c r="N45">
        <v>1.74</v>
      </c>
    </row>
    <row r="46" spans="1:14">
      <c r="N46">
        <v>2.8</v>
      </c>
    </row>
    <row r="47" spans="1:14">
      <c r="N47">
        <v>15</v>
      </c>
    </row>
    <row r="48" spans="1:14">
      <c r="N48">
        <v>4.5</v>
      </c>
    </row>
    <row r="49" spans="14:14">
      <c r="N49">
        <v>4.5</v>
      </c>
    </row>
    <row r="50" spans="14:14">
      <c r="N50">
        <v>4</v>
      </c>
    </row>
    <row r="51" spans="14:14">
      <c r="N51">
        <v>6.3</v>
      </c>
    </row>
    <row r="52" spans="14:14">
      <c r="N52">
        <v>25</v>
      </c>
    </row>
    <row r="53" spans="14:14">
      <c r="N53">
        <v>25</v>
      </c>
    </row>
    <row r="54" spans="14:14">
      <c r="N54">
        <v>20</v>
      </c>
    </row>
    <row r="55" spans="14:14">
      <c r="N55">
        <v>20</v>
      </c>
    </row>
    <row r="56" spans="14:14">
      <c r="N56">
        <v>287.5</v>
      </c>
    </row>
    <row r="57" spans="14:14">
      <c r="N57">
        <v>2196.8000000000002</v>
      </c>
    </row>
    <row r="58" spans="14:14">
      <c r="N58">
        <v>17.100000000000001</v>
      </c>
    </row>
    <row r="59" spans="14:14">
      <c r="N59">
        <v>195</v>
      </c>
    </row>
    <row r="60" spans="14:14">
      <c r="N60">
        <v>33</v>
      </c>
    </row>
    <row r="61" spans="14:14">
      <c r="N61">
        <v>231</v>
      </c>
    </row>
    <row r="62" spans="14:14">
      <c r="N62">
        <v>96.5</v>
      </c>
    </row>
    <row r="63" spans="14:14">
      <c r="N63">
        <v>450</v>
      </c>
    </row>
    <row r="64" spans="14:14">
      <c r="N64">
        <v>8.6999999999999993</v>
      </c>
    </row>
    <row r="65" spans="14:14">
      <c r="N65">
        <v>-558.5</v>
      </c>
    </row>
    <row r="66" spans="14:14">
      <c r="N66">
        <v>17</v>
      </c>
    </row>
    <row r="67" spans="14:14">
      <c r="N67">
        <v>0.5</v>
      </c>
    </row>
    <row r="68" spans="14:14">
      <c r="N68">
        <v>56</v>
      </c>
    </row>
    <row r="69" spans="14:14">
      <c r="N69">
        <v>56</v>
      </c>
    </row>
  </sheetData>
  <autoFilter ref="A3:N30">
    <filterColumn colId="3">
      <filters>
        <filter val="23"/>
        <filter val="29"/>
        <filter val="-3"/>
        <filter val="32"/>
        <filter val="33"/>
        <filter val="35"/>
        <filter val="8"/>
      </filters>
    </filterColumn>
  </autoFilter>
  <pageMargins left="0.70866141732283472" right="0.70866141732283472" top="0.74803149606299213" bottom="0.74803149606299213" header="0.31496062992125984" footer="0.31496062992125984"/>
  <pageSetup paperSize="9" scale="48"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79"/>
  <sheetViews>
    <sheetView topLeftCell="A40" zoomScaleNormal="100" workbookViewId="0">
      <selection activeCell="C79" sqref="C79"/>
    </sheetView>
  </sheetViews>
  <sheetFormatPr defaultRowHeight="14.4"/>
  <cols>
    <col min="1" max="1" width="9.109375" style="1"/>
    <col min="2" max="2" width="36.88671875" style="8" customWidth="1"/>
    <col min="3" max="3" width="17.44140625" style="49" customWidth="1"/>
    <col min="4" max="4" width="17.44140625" style="269" customWidth="1"/>
    <col min="5" max="5" width="16.6640625" style="49" customWidth="1"/>
    <col min="6" max="6" width="16.6640625" style="53" customWidth="1"/>
    <col min="7" max="7" width="10" style="1" hidden="1" customWidth="1"/>
    <col min="8" max="8" width="15.44140625" style="1" hidden="1" customWidth="1"/>
    <col min="9" max="9" width="17.109375" style="1" hidden="1" customWidth="1"/>
    <col min="13" max="13" width="16.5546875" customWidth="1"/>
    <col min="15" max="16" width="10" bestFit="1" customWidth="1"/>
  </cols>
  <sheetData>
    <row r="2" spans="1:17">
      <c r="A2" s="9"/>
      <c r="B2" s="446" t="s">
        <v>1</v>
      </c>
      <c r="C2" s="51" t="s">
        <v>467</v>
      </c>
      <c r="D2" s="456" t="s">
        <v>2952</v>
      </c>
      <c r="E2" s="51" t="s">
        <v>468</v>
      </c>
      <c r="F2" s="51"/>
      <c r="G2" s="10" t="s">
        <v>2</v>
      </c>
      <c r="H2" s="10" t="s">
        <v>3</v>
      </c>
      <c r="I2" s="10" t="s">
        <v>4</v>
      </c>
    </row>
    <row r="3" spans="1:17">
      <c r="A3" s="136">
        <v>1</v>
      </c>
      <c r="B3" s="36" t="s">
        <v>5</v>
      </c>
      <c r="C3" s="36">
        <v>305426920</v>
      </c>
      <c r="D3" s="457" t="s">
        <v>2953</v>
      </c>
      <c r="E3" s="36">
        <v>7</v>
      </c>
      <c r="F3" s="36">
        <v>83009663</v>
      </c>
      <c r="G3" s="9">
        <v>1</v>
      </c>
      <c r="H3" s="9">
        <v>1</v>
      </c>
      <c r="I3" s="9">
        <v>1</v>
      </c>
      <c r="M3" t="s">
        <v>460</v>
      </c>
      <c r="N3" t="s">
        <v>469</v>
      </c>
      <c r="O3">
        <v>86429403</v>
      </c>
      <c r="P3">
        <v>307364182</v>
      </c>
      <c r="Q3">
        <v>22</v>
      </c>
    </row>
    <row r="4" spans="1:17">
      <c r="A4" s="136">
        <v>2</v>
      </c>
      <c r="B4" s="36" t="s">
        <v>6</v>
      </c>
      <c r="C4" s="36">
        <v>302341341</v>
      </c>
      <c r="D4" s="457" t="s">
        <v>2953</v>
      </c>
      <c r="E4" s="36">
        <v>7</v>
      </c>
      <c r="F4" s="36"/>
      <c r="G4" s="9">
        <v>1</v>
      </c>
      <c r="H4" s="9">
        <v>1</v>
      </c>
      <c r="I4" s="9"/>
      <c r="M4" t="s">
        <v>461</v>
      </c>
      <c r="N4" t="s">
        <v>469</v>
      </c>
      <c r="O4">
        <v>74836968</v>
      </c>
      <c r="P4">
        <v>309663632</v>
      </c>
      <c r="Q4">
        <v>40</v>
      </c>
    </row>
    <row r="5" spans="1:17">
      <c r="A5" s="9">
        <v>3</v>
      </c>
      <c r="B5" s="26" t="s">
        <v>7</v>
      </c>
      <c r="C5" s="26">
        <v>306311755</v>
      </c>
      <c r="D5" s="26"/>
      <c r="E5" s="26">
        <v>29894396</v>
      </c>
      <c r="F5" s="26"/>
      <c r="G5" s="9">
        <v>1</v>
      </c>
      <c r="H5" s="9">
        <v>1</v>
      </c>
      <c r="I5" s="9"/>
      <c r="M5" t="s">
        <v>462</v>
      </c>
      <c r="N5" t="s">
        <v>469</v>
      </c>
      <c r="P5">
        <v>309716414</v>
      </c>
    </row>
    <row r="6" spans="1:17">
      <c r="A6" s="136">
        <v>4</v>
      </c>
      <c r="B6" s="26" t="s">
        <v>8</v>
      </c>
      <c r="C6" s="26">
        <v>306767544</v>
      </c>
      <c r="D6" s="457" t="s">
        <v>2953</v>
      </c>
      <c r="E6" s="26">
        <v>7</v>
      </c>
      <c r="F6" s="26"/>
      <c r="G6" s="9">
        <v>1</v>
      </c>
      <c r="H6" s="9">
        <v>1</v>
      </c>
      <c r="I6" s="9"/>
      <c r="M6" t="s">
        <v>463</v>
      </c>
      <c r="P6">
        <v>309745244</v>
      </c>
    </row>
    <row r="7" spans="1:17" s="7" customFormat="1">
      <c r="A7" s="55">
        <v>5</v>
      </c>
      <c r="B7" s="56" t="s">
        <v>9</v>
      </c>
      <c r="C7" s="57">
        <v>307599285</v>
      </c>
      <c r="D7" s="457" t="s">
        <v>2953</v>
      </c>
      <c r="E7" s="56"/>
      <c r="F7" s="56"/>
      <c r="G7" s="55"/>
      <c r="H7" s="55"/>
      <c r="I7" s="55"/>
      <c r="M7" s="7" t="s">
        <v>464</v>
      </c>
      <c r="O7">
        <v>31258328</v>
      </c>
      <c r="P7" s="7">
        <v>309825896</v>
      </c>
      <c r="Q7" s="7">
        <v>38</v>
      </c>
    </row>
    <row r="8" spans="1:17">
      <c r="A8" s="9">
        <v>6</v>
      </c>
      <c r="B8" s="26" t="s">
        <v>11</v>
      </c>
      <c r="C8" s="26">
        <v>306954264</v>
      </c>
      <c r="D8" s="457" t="s">
        <v>2953</v>
      </c>
      <c r="E8" s="26">
        <v>7</v>
      </c>
      <c r="F8" s="26">
        <v>44707213</v>
      </c>
      <c r="G8" s="9">
        <v>1</v>
      </c>
      <c r="H8" s="9">
        <v>1</v>
      </c>
      <c r="I8" s="9"/>
      <c r="M8" t="s">
        <v>465</v>
      </c>
      <c r="P8" s="7">
        <v>309885941</v>
      </c>
    </row>
    <row r="9" spans="1:17">
      <c r="A9" s="9">
        <v>7</v>
      </c>
      <c r="B9" s="36" t="s">
        <v>10</v>
      </c>
      <c r="C9" s="36">
        <v>309484665</v>
      </c>
      <c r="D9" s="457" t="s">
        <v>2953</v>
      </c>
      <c r="E9" s="36">
        <v>7</v>
      </c>
      <c r="F9" s="36">
        <v>44707213</v>
      </c>
      <c r="G9" s="9">
        <v>1</v>
      </c>
      <c r="H9" s="9">
        <v>1</v>
      </c>
      <c r="I9" s="9"/>
    </row>
    <row r="10" spans="1:17">
      <c r="A10" s="136">
        <v>8</v>
      </c>
      <c r="B10" s="26" t="s">
        <v>12</v>
      </c>
      <c r="C10" s="26">
        <v>309406824</v>
      </c>
      <c r="D10" s="457" t="s">
        <v>2953</v>
      </c>
      <c r="E10" s="26">
        <v>7</v>
      </c>
      <c r="F10" s="26">
        <v>42927970</v>
      </c>
      <c r="G10" s="9"/>
      <c r="H10" s="9"/>
      <c r="I10" s="9"/>
    </row>
    <row r="11" spans="1:17">
      <c r="A11" s="136" t="s">
        <v>603</v>
      </c>
      <c r="B11" s="27" t="s">
        <v>120</v>
      </c>
      <c r="C11" s="27">
        <v>309717524</v>
      </c>
      <c r="D11" s="457" t="s">
        <v>2954</v>
      </c>
      <c r="E11" s="27">
        <v>7</v>
      </c>
      <c r="F11" s="27">
        <v>49052002</v>
      </c>
      <c r="G11" s="9"/>
      <c r="H11" s="9"/>
      <c r="I11" s="9"/>
      <c r="K11" t="s">
        <v>155</v>
      </c>
    </row>
    <row r="12" spans="1:17">
      <c r="A12" s="136">
        <v>10</v>
      </c>
      <c r="B12" s="27" t="s">
        <v>123</v>
      </c>
      <c r="C12" s="27">
        <v>309850922</v>
      </c>
      <c r="D12" s="27" t="s">
        <v>2953</v>
      </c>
      <c r="E12" s="27">
        <v>7</v>
      </c>
      <c r="F12" s="27">
        <v>92378960</v>
      </c>
      <c r="G12" s="9"/>
      <c r="H12" s="9"/>
      <c r="I12" s="136"/>
      <c r="L12" t="s">
        <v>1276</v>
      </c>
    </row>
    <row r="13" spans="1:17">
      <c r="A13" s="136">
        <v>11</v>
      </c>
      <c r="B13" s="36" t="s">
        <v>124</v>
      </c>
      <c r="C13" s="36">
        <v>309860238</v>
      </c>
      <c r="D13" s="27" t="s">
        <v>2953</v>
      </c>
      <c r="E13" s="36">
        <v>7</v>
      </c>
      <c r="F13" s="36">
        <v>83555925</v>
      </c>
      <c r="G13" s="9"/>
      <c r="H13" s="9"/>
      <c r="I13" s="136"/>
      <c r="L13" t="s">
        <v>1276</v>
      </c>
    </row>
    <row r="14" spans="1:17">
      <c r="A14" s="136">
        <v>12</v>
      </c>
      <c r="B14" s="27" t="s">
        <v>127</v>
      </c>
      <c r="C14" s="27">
        <v>309879434</v>
      </c>
      <c r="D14" s="27" t="s">
        <v>2953</v>
      </c>
      <c r="E14" s="27">
        <v>7</v>
      </c>
      <c r="F14" s="54">
        <v>56248347</v>
      </c>
      <c r="G14" s="9"/>
      <c r="H14" s="9"/>
      <c r="I14" s="9"/>
      <c r="J14" s="6" t="s">
        <v>154</v>
      </c>
      <c r="K14" s="6" t="s">
        <v>171</v>
      </c>
    </row>
    <row r="15" spans="1:17">
      <c r="A15" s="136">
        <v>13</v>
      </c>
      <c r="B15" s="27" t="s">
        <v>125</v>
      </c>
      <c r="C15" s="27">
        <v>309878919</v>
      </c>
      <c r="D15" s="27" t="s">
        <v>2953</v>
      </c>
      <c r="E15" s="27">
        <v>7</v>
      </c>
      <c r="F15">
        <v>19454929</v>
      </c>
      <c r="G15" s="9"/>
      <c r="H15" s="9"/>
      <c r="I15" s="136"/>
      <c r="L15" t="s">
        <v>1276</v>
      </c>
    </row>
    <row r="16" spans="1:17">
      <c r="A16" s="136">
        <v>14</v>
      </c>
      <c r="B16" s="36" t="s">
        <v>126</v>
      </c>
      <c r="C16" s="36">
        <v>309885712</v>
      </c>
      <c r="D16" s="27" t="s">
        <v>2953</v>
      </c>
      <c r="E16" s="36">
        <v>7</v>
      </c>
      <c r="F16" s="7">
        <v>85000020</v>
      </c>
      <c r="G16" s="9"/>
      <c r="H16" s="9"/>
      <c r="I16" s="136"/>
      <c r="L16" t="s">
        <v>1276</v>
      </c>
    </row>
    <row r="17" spans="1:13">
      <c r="A17" s="136">
        <v>15</v>
      </c>
      <c r="B17" s="59" t="s">
        <v>169</v>
      </c>
      <c r="C17" s="52">
        <v>309965873</v>
      </c>
      <c r="D17" s="27" t="s">
        <v>2953</v>
      </c>
      <c r="E17" s="52">
        <v>7</v>
      </c>
      <c r="F17" s="52"/>
      <c r="G17" s="9">
        <v>1</v>
      </c>
      <c r="H17" s="9">
        <v>1</v>
      </c>
      <c r="I17" s="9"/>
      <c r="J17" s="3" t="s">
        <v>154</v>
      </c>
      <c r="K17" s="3" t="s">
        <v>171</v>
      </c>
    </row>
    <row r="18" spans="1:13">
      <c r="A18" s="136">
        <v>16</v>
      </c>
      <c r="B18" s="52" t="s">
        <v>170</v>
      </c>
      <c r="C18" s="52">
        <v>310005786</v>
      </c>
      <c r="D18" s="27" t="s">
        <v>2953</v>
      </c>
      <c r="E18" s="52">
        <v>7</v>
      </c>
      <c r="F18" s="52"/>
      <c r="G18" s="9">
        <v>1</v>
      </c>
      <c r="H18" s="9">
        <v>1</v>
      </c>
      <c r="I18" s="9"/>
      <c r="J18" s="6" t="s">
        <v>154</v>
      </c>
      <c r="K18" t="s">
        <v>171</v>
      </c>
    </row>
    <row r="19" spans="1:13">
      <c r="A19" s="136">
        <v>17</v>
      </c>
      <c r="B19" s="52" t="s">
        <v>455</v>
      </c>
      <c r="C19" s="52">
        <v>310017573</v>
      </c>
      <c r="D19" s="27" t="s">
        <v>2953</v>
      </c>
      <c r="E19" s="52">
        <v>7</v>
      </c>
      <c r="F19" s="52"/>
      <c r="G19" s="9"/>
      <c r="H19" s="9"/>
      <c r="I19" s="9"/>
      <c r="J19" s="6" t="s">
        <v>154</v>
      </c>
      <c r="K19" s="6" t="s">
        <v>171</v>
      </c>
    </row>
    <row r="20" spans="1:13">
      <c r="A20" s="136" t="s">
        <v>590</v>
      </c>
      <c r="B20" s="199" t="s">
        <v>456</v>
      </c>
      <c r="C20" s="52">
        <v>310017637</v>
      </c>
      <c r="D20" s="52" t="s">
        <v>2954</v>
      </c>
      <c r="E20" s="52">
        <v>7</v>
      </c>
      <c r="F20" s="52"/>
      <c r="G20" s="9"/>
      <c r="H20" s="9"/>
      <c r="I20" s="9"/>
      <c r="J20" s="6" t="s">
        <v>154</v>
      </c>
      <c r="K20" s="6" t="s">
        <v>171</v>
      </c>
      <c r="L20" t="s">
        <v>1276</v>
      </c>
      <c r="M20" t="s">
        <v>1277</v>
      </c>
    </row>
    <row r="21" spans="1:13">
      <c r="A21" s="136" t="s">
        <v>602</v>
      </c>
      <c r="B21" s="64" t="s">
        <v>457</v>
      </c>
      <c r="C21" s="64">
        <v>310001562</v>
      </c>
      <c r="D21" s="52" t="s">
        <v>2954</v>
      </c>
      <c r="E21" s="64">
        <v>7</v>
      </c>
      <c r="F21" s="64">
        <v>15320653</v>
      </c>
      <c r="G21" s="9"/>
      <c r="H21" s="9"/>
      <c r="I21" s="9"/>
      <c r="J21" s="6" t="s">
        <v>154</v>
      </c>
      <c r="K21" s="6" t="s">
        <v>171</v>
      </c>
      <c r="L21" t="s">
        <v>1276</v>
      </c>
      <c r="M21" t="s">
        <v>1278</v>
      </c>
    </row>
    <row r="22" spans="1:13">
      <c r="A22" s="136">
        <v>20</v>
      </c>
      <c r="B22" s="64" t="s">
        <v>458</v>
      </c>
      <c r="C22" s="64">
        <v>309966397</v>
      </c>
      <c r="D22" s="64"/>
      <c r="E22" s="64">
        <v>7</v>
      </c>
      <c r="F22" s="64"/>
      <c r="G22" s="9"/>
      <c r="H22" s="9"/>
      <c r="I22" s="9"/>
      <c r="J22" s="3" t="s">
        <v>154</v>
      </c>
      <c r="K22" s="3"/>
    </row>
    <row r="23" spans="1:13">
      <c r="A23" s="136" t="s">
        <v>826</v>
      </c>
      <c r="B23" s="199" t="s">
        <v>459</v>
      </c>
      <c r="C23" s="64">
        <v>310062915</v>
      </c>
      <c r="D23" s="64" t="s">
        <v>2953</v>
      </c>
      <c r="E23" s="64">
        <v>7</v>
      </c>
      <c r="F23" s="64"/>
      <c r="G23" s="9"/>
      <c r="H23" s="9"/>
      <c r="I23" s="9"/>
      <c r="J23" s="6" t="s">
        <v>154</v>
      </c>
      <c r="K23" s="6" t="s">
        <v>171</v>
      </c>
      <c r="L23" s="7" t="s">
        <v>1504</v>
      </c>
      <c r="M23" s="6" t="s">
        <v>1279</v>
      </c>
    </row>
    <row r="24" spans="1:13">
      <c r="A24" s="136" t="s">
        <v>601</v>
      </c>
      <c r="B24" s="64" t="s">
        <v>562</v>
      </c>
      <c r="C24" s="64">
        <v>310065626</v>
      </c>
      <c r="D24" s="64" t="s">
        <v>2954</v>
      </c>
      <c r="E24" s="64">
        <v>7</v>
      </c>
      <c r="F24" s="64">
        <v>41858776</v>
      </c>
      <c r="G24" s="9"/>
      <c r="H24" s="9"/>
      <c r="I24" s="9"/>
      <c r="J24" s="6" t="s">
        <v>154</v>
      </c>
      <c r="K24" t="s">
        <v>171</v>
      </c>
    </row>
    <row r="25" spans="1:13">
      <c r="A25" s="78" t="s">
        <v>589</v>
      </c>
      <c r="B25" s="71" t="s">
        <v>516</v>
      </c>
      <c r="C25" s="49">
        <v>310108634</v>
      </c>
      <c r="D25" s="269" t="s">
        <v>2955</v>
      </c>
      <c r="F25" s="53">
        <v>80540173</v>
      </c>
      <c r="J25" s="6" t="s">
        <v>154</v>
      </c>
    </row>
    <row r="26" spans="1:13">
      <c r="A26" s="78" t="s">
        <v>587</v>
      </c>
      <c r="B26" s="201" t="s">
        <v>563</v>
      </c>
      <c r="C26" s="72">
        <v>310152827</v>
      </c>
      <c r="D26" s="269" t="s">
        <v>2953</v>
      </c>
      <c r="F26" s="53">
        <v>24252650</v>
      </c>
      <c r="J26" t="s">
        <v>1280</v>
      </c>
    </row>
    <row r="27" spans="1:13">
      <c r="A27" s="445" t="s">
        <v>588</v>
      </c>
      <c r="B27" s="195" t="s">
        <v>570</v>
      </c>
      <c r="C27" s="49">
        <v>310143379</v>
      </c>
      <c r="D27" s="269" t="s">
        <v>2953</v>
      </c>
      <c r="F27" s="53">
        <v>88206237</v>
      </c>
      <c r="J27" s="6" t="s">
        <v>1280</v>
      </c>
    </row>
    <row r="28" spans="1:13">
      <c r="A28" s="445" t="s">
        <v>650</v>
      </c>
      <c r="B28" s="200" t="s">
        <v>649</v>
      </c>
      <c r="C28" s="49">
        <v>310203571</v>
      </c>
      <c r="D28" s="269" t="s">
        <v>2954</v>
      </c>
      <c r="F28" s="53">
        <v>25822941</v>
      </c>
      <c r="J28" t="s">
        <v>1280</v>
      </c>
    </row>
    <row r="29" spans="1:13">
      <c r="A29" s="445">
        <v>27</v>
      </c>
      <c r="B29" s="201" t="s">
        <v>653</v>
      </c>
      <c r="C29" s="49">
        <v>310215446</v>
      </c>
      <c r="D29" s="269" t="s">
        <v>2954</v>
      </c>
      <c r="F29" s="53">
        <v>70792860</v>
      </c>
      <c r="J29" s="196" t="s">
        <v>1280</v>
      </c>
    </row>
    <row r="30" spans="1:13">
      <c r="A30" s="445">
        <v>28</v>
      </c>
      <c r="B30" s="394" t="s">
        <v>654</v>
      </c>
      <c r="C30" s="394">
        <v>310215461</v>
      </c>
      <c r="D30" s="269" t="s">
        <v>2954</v>
      </c>
      <c r="E30" s="394"/>
      <c r="F30" s="394">
        <v>93562555</v>
      </c>
      <c r="G30" s="395"/>
      <c r="H30" s="395"/>
      <c r="I30" s="395"/>
      <c r="J30" s="3" t="s">
        <v>1280</v>
      </c>
      <c r="K30" s="3"/>
      <c r="L30" s="3" t="s">
        <v>1276</v>
      </c>
      <c r="M30" s="3" t="s">
        <v>1281</v>
      </c>
    </row>
    <row r="31" spans="1:13">
      <c r="A31" s="445">
        <v>29</v>
      </c>
      <c r="B31" s="201" t="s">
        <v>779</v>
      </c>
      <c r="C31" s="49">
        <v>310266415</v>
      </c>
      <c r="D31" s="269" t="s">
        <v>2954</v>
      </c>
      <c r="E31" s="49">
        <v>7</v>
      </c>
      <c r="J31" s="2" t="s">
        <v>1282</v>
      </c>
    </row>
    <row r="32" spans="1:13">
      <c r="A32" s="445">
        <v>30</v>
      </c>
      <c r="B32" s="200" t="s">
        <v>780</v>
      </c>
      <c r="C32" s="49">
        <v>310266390</v>
      </c>
      <c r="D32" s="269" t="s">
        <v>2954</v>
      </c>
      <c r="E32" s="49">
        <v>7</v>
      </c>
      <c r="J32" s="2" t="s">
        <v>1282</v>
      </c>
    </row>
    <row r="33" spans="1:13">
      <c r="A33" s="445">
        <v>31</v>
      </c>
      <c r="B33" s="398" t="s">
        <v>781</v>
      </c>
      <c r="C33" s="394">
        <v>310266408</v>
      </c>
      <c r="D33" s="269" t="s">
        <v>2954</v>
      </c>
      <c r="E33" s="394">
        <v>7</v>
      </c>
      <c r="F33" s="394"/>
      <c r="J33" s="3" t="s">
        <v>1282</v>
      </c>
      <c r="K33" s="3"/>
      <c r="L33" s="3" t="s">
        <v>1276</v>
      </c>
      <c r="M33" s="3" t="s">
        <v>1281</v>
      </c>
    </row>
    <row r="34" spans="1:13">
      <c r="A34" s="445">
        <v>32</v>
      </c>
      <c r="B34" s="200" t="s">
        <v>782</v>
      </c>
      <c r="C34" s="58">
        <v>310266423</v>
      </c>
      <c r="D34" s="269" t="s">
        <v>2954</v>
      </c>
      <c r="E34" s="49">
        <v>7</v>
      </c>
      <c r="J34" s="2" t="s">
        <v>1282</v>
      </c>
    </row>
    <row r="35" spans="1:13">
      <c r="A35" s="445">
        <v>33</v>
      </c>
      <c r="B35" s="198" t="s">
        <v>929</v>
      </c>
      <c r="C35" s="49">
        <v>310337698</v>
      </c>
      <c r="D35" s="269" t="s">
        <v>2954</v>
      </c>
      <c r="E35" s="49">
        <v>7</v>
      </c>
      <c r="F35" s="53">
        <v>49020318</v>
      </c>
      <c r="J35" s="3" t="s">
        <v>1283</v>
      </c>
    </row>
    <row r="36" spans="1:13">
      <c r="A36" s="445">
        <v>34</v>
      </c>
      <c r="B36" s="200" t="s">
        <v>959</v>
      </c>
      <c r="C36" s="49">
        <v>310337738</v>
      </c>
      <c r="D36" s="269" t="s">
        <v>2954</v>
      </c>
      <c r="E36" s="49">
        <v>7</v>
      </c>
      <c r="F36" s="53">
        <v>52216938</v>
      </c>
      <c r="J36" s="2" t="s">
        <v>1282</v>
      </c>
    </row>
    <row r="37" spans="1:13">
      <c r="A37" s="445">
        <v>35</v>
      </c>
      <c r="B37" s="200" t="s">
        <v>1068</v>
      </c>
      <c r="C37" s="49">
        <v>310337659</v>
      </c>
      <c r="D37" s="269" t="s">
        <v>2954</v>
      </c>
      <c r="E37" s="49">
        <v>7</v>
      </c>
      <c r="F37" s="53">
        <v>83039465</v>
      </c>
      <c r="J37" s="2" t="s">
        <v>1282</v>
      </c>
    </row>
    <row r="38" spans="1:13">
      <c r="A38" s="445">
        <v>36</v>
      </c>
      <c r="B38" s="77" t="s">
        <v>1069</v>
      </c>
      <c r="C38" s="49">
        <v>310337674</v>
      </c>
      <c r="D38" s="269" t="s">
        <v>2954</v>
      </c>
      <c r="E38" s="49">
        <v>7</v>
      </c>
      <c r="F38" s="53">
        <v>54788983</v>
      </c>
      <c r="J38" s="3" t="s">
        <v>1283</v>
      </c>
    </row>
    <row r="39" spans="1:13">
      <c r="A39" s="445">
        <v>37</v>
      </c>
      <c r="B39" s="200" t="s">
        <v>1181</v>
      </c>
      <c r="C39" s="49">
        <v>310375533</v>
      </c>
      <c r="D39" s="269" t="s">
        <v>2954</v>
      </c>
      <c r="E39" s="49">
        <v>7</v>
      </c>
      <c r="F39" s="53">
        <v>29022269</v>
      </c>
      <c r="J39" s="2" t="s">
        <v>1282</v>
      </c>
    </row>
    <row r="40" spans="1:13">
      <c r="A40" s="445">
        <v>38</v>
      </c>
      <c r="B40" s="77" t="s">
        <v>1204</v>
      </c>
      <c r="C40" s="901">
        <v>310401800</v>
      </c>
      <c r="E40" s="49">
        <v>7</v>
      </c>
      <c r="F40" s="53">
        <v>46890474</v>
      </c>
      <c r="J40" s="3" t="s">
        <v>1283</v>
      </c>
    </row>
    <row r="41" spans="1:13">
      <c r="A41" s="78">
        <v>39</v>
      </c>
      <c r="B41" s="77" t="s">
        <v>1206</v>
      </c>
      <c r="C41" s="243">
        <v>310401792</v>
      </c>
      <c r="E41" s="77">
        <v>7</v>
      </c>
      <c r="F41" s="53">
        <v>65672271</v>
      </c>
      <c r="J41" s="3" t="s">
        <v>1283</v>
      </c>
    </row>
    <row r="42" spans="1:13">
      <c r="A42" s="445">
        <v>40</v>
      </c>
      <c r="B42" s="249" t="s">
        <v>1376</v>
      </c>
      <c r="C42" s="249">
        <v>310423741</v>
      </c>
      <c r="D42" s="249"/>
      <c r="E42" s="49">
        <v>7</v>
      </c>
      <c r="K42">
        <v>100</v>
      </c>
    </row>
    <row r="43" spans="1:13">
      <c r="A43" s="445">
        <v>41</v>
      </c>
      <c r="B43" s="249" t="s">
        <v>1462</v>
      </c>
      <c r="C43" s="249">
        <v>310423575</v>
      </c>
      <c r="D43" s="249"/>
      <c r="E43" s="49">
        <v>7</v>
      </c>
      <c r="K43">
        <v>100</v>
      </c>
    </row>
    <row r="44" spans="1:13">
      <c r="A44" s="445">
        <v>42</v>
      </c>
      <c r="B44" s="248" t="s">
        <v>1641</v>
      </c>
      <c r="C44" s="243">
        <v>310453508</v>
      </c>
      <c r="E44" s="49">
        <v>7</v>
      </c>
      <c r="F44" s="53">
        <v>61341997</v>
      </c>
      <c r="K44">
        <v>100</v>
      </c>
    </row>
    <row r="45" spans="1:13">
      <c r="A45" s="445">
        <v>43</v>
      </c>
      <c r="B45" s="243" t="s">
        <v>1642</v>
      </c>
      <c r="C45" s="243">
        <v>310453174</v>
      </c>
      <c r="E45" s="49">
        <v>7</v>
      </c>
      <c r="F45" s="53">
        <v>84076748</v>
      </c>
      <c r="K45">
        <v>100</v>
      </c>
    </row>
    <row r="46" spans="1:13">
      <c r="A46" s="445">
        <v>44</v>
      </c>
      <c r="B46" s="8" t="s">
        <v>1688</v>
      </c>
      <c r="C46" s="49">
        <v>310455544</v>
      </c>
      <c r="E46" s="269">
        <v>7</v>
      </c>
      <c r="F46" s="269">
        <v>98374964</v>
      </c>
      <c r="K46">
        <v>100</v>
      </c>
    </row>
    <row r="47" spans="1:13">
      <c r="A47" s="445">
        <v>46</v>
      </c>
      <c r="B47" s="8" t="s">
        <v>1689</v>
      </c>
      <c r="C47" s="49">
        <v>310455536</v>
      </c>
      <c r="E47" s="49">
        <v>7</v>
      </c>
      <c r="F47" s="53">
        <v>97303274</v>
      </c>
    </row>
    <row r="48" spans="1:13">
      <c r="A48" s="445">
        <v>47</v>
      </c>
      <c r="B48" s="8" t="s">
        <v>1733</v>
      </c>
      <c r="C48" s="49">
        <v>310401136</v>
      </c>
      <c r="E48" s="49">
        <v>7</v>
      </c>
      <c r="F48" s="53">
        <v>73032277</v>
      </c>
    </row>
    <row r="49" spans="1:13">
      <c r="A49" s="445">
        <v>48</v>
      </c>
      <c r="B49" s="8" t="s">
        <v>1870</v>
      </c>
      <c r="C49" s="49">
        <v>310483842</v>
      </c>
      <c r="E49" s="49">
        <v>7</v>
      </c>
      <c r="F49" s="53">
        <v>45650861</v>
      </c>
      <c r="K49">
        <v>100</v>
      </c>
    </row>
    <row r="50" spans="1:13">
      <c r="A50" s="445">
        <v>49</v>
      </c>
      <c r="B50" s="8" t="s">
        <v>1888</v>
      </c>
      <c r="C50" s="49">
        <v>310488749</v>
      </c>
      <c r="E50" s="49">
        <v>7</v>
      </c>
      <c r="F50" s="53">
        <v>77902336</v>
      </c>
      <c r="K50">
        <v>100</v>
      </c>
    </row>
    <row r="51" spans="1:13">
      <c r="A51" s="445">
        <v>50</v>
      </c>
      <c r="B51" s="8" t="s">
        <v>1886</v>
      </c>
      <c r="C51" s="49">
        <v>310495337</v>
      </c>
      <c r="E51" s="49">
        <v>7</v>
      </c>
      <c r="F51" s="53">
        <v>34919179</v>
      </c>
      <c r="K51">
        <v>100</v>
      </c>
    </row>
    <row r="52" spans="1:13">
      <c r="A52" s="445">
        <v>51</v>
      </c>
      <c r="B52" s="8" t="s">
        <v>1887</v>
      </c>
      <c r="C52" s="49">
        <v>310495320</v>
      </c>
      <c r="E52" s="49">
        <v>7</v>
      </c>
      <c r="F52" s="53">
        <v>35120509</v>
      </c>
      <c r="K52">
        <v>100</v>
      </c>
    </row>
    <row r="53" spans="1:13">
      <c r="A53" s="445">
        <v>52</v>
      </c>
      <c r="B53" s="8" t="s">
        <v>2005</v>
      </c>
      <c r="C53" s="49">
        <v>310510278</v>
      </c>
      <c r="E53" s="49">
        <v>7</v>
      </c>
      <c r="F53" s="53">
        <v>74009773</v>
      </c>
    </row>
    <row r="54" spans="1:13">
      <c r="A54" s="445">
        <v>53</v>
      </c>
      <c r="B54" s="8" t="s">
        <v>713</v>
      </c>
      <c r="C54" s="49">
        <v>310523499</v>
      </c>
      <c r="E54" s="49">
        <v>7</v>
      </c>
      <c r="F54" s="53">
        <v>65302334</v>
      </c>
      <c r="J54">
        <v>95594245</v>
      </c>
    </row>
    <row r="55" spans="1:13">
      <c r="A55" s="1">
        <v>54</v>
      </c>
      <c r="B55" s="8" t="s">
        <v>2380</v>
      </c>
      <c r="C55" s="49">
        <v>310561982</v>
      </c>
      <c r="E55" s="49">
        <v>7</v>
      </c>
      <c r="F55" s="53">
        <v>99432450</v>
      </c>
    </row>
    <row r="56" spans="1:13">
      <c r="A56" s="1">
        <v>55</v>
      </c>
      <c r="B56" s="8" t="s">
        <v>2438</v>
      </c>
      <c r="C56" s="49">
        <v>310572178</v>
      </c>
    </row>
    <row r="57" spans="1:13">
      <c r="A57" s="1">
        <v>56</v>
      </c>
      <c r="B57" s="8" t="s">
        <v>2664</v>
      </c>
      <c r="C57" s="49">
        <v>310573334</v>
      </c>
    </row>
    <row r="58" spans="1:13">
      <c r="A58" s="1">
        <v>57</v>
      </c>
      <c r="B58" s="8" t="s">
        <v>2665</v>
      </c>
      <c r="C58" s="49">
        <v>310572408</v>
      </c>
      <c r="M58">
        <f>198350+70000-30000</f>
        <v>238350</v>
      </c>
    </row>
    <row r="59" spans="1:13">
      <c r="A59" s="240">
        <v>58</v>
      </c>
      <c r="B59" s="269" t="s">
        <v>2666</v>
      </c>
      <c r="C59" s="269">
        <v>310572312</v>
      </c>
      <c r="E59" s="269"/>
      <c r="F59" s="269"/>
      <c r="G59" s="240"/>
      <c r="H59" s="240"/>
      <c r="I59" s="240"/>
    </row>
    <row r="60" spans="1:13">
      <c r="A60" s="240">
        <v>59</v>
      </c>
      <c r="B60" s="432" t="s">
        <v>2866</v>
      </c>
      <c r="C60" s="269">
        <v>310626773</v>
      </c>
      <c r="E60" s="269">
        <v>7</v>
      </c>
      <c r="F60" s="269">
        <v>23364168</v>
      </c>
      <c r="G60" s="240"/>
      <c r="H60" s="240"/>
      <c r="I60" s="240"/>
    </row>
    <row r="61" spans="1:13">
      <c r="A61" s="1">
        <v>60</v>
      </c>
      <c r="B61" s="74" t="s">
        <v>2920</v>
      </c>
      <c r="C61" s="74">
        <v>310616929</v>
      </c>
      <c r="D61" s="284"/>
      <c r="E61" s="49">
        <v>7</v>
      </c>
      <c r="F61" s="53">
        <v>94353625</v>
      </c>
    </row>
    <row r="62" spans="1:13">
      <c r="B62" s="658" t="s">
        <v>3418</v>
      </c>
      <c r="C62" s="658">
        <v>310698154</v>
      </c>
      <c r="F62" s="53">
        <v>94867395</v>
      </c>
    </row>
    <row r="63" spans="1:13">
      <c r="B63" s="658" t="s">
        <v>3419</v>
      </c>
      <c r="C63" s="658">
        <v>310732491</v>
      </c>
    </row>
    <row r="64" spans="1:13">
      <c r="B64" s="658" t="s">
        <v>3420</v>
      </c>
      <c r="C64" s="658">
        <v>310737073</v>
      </c>
    </row>
    <row r="65" spans="2:6">
      <c r="B65" s="658" t="s">
        <v>3421</v>
      </c>
      <c r="C65" s="658">
        <v>310738468</v>
      </c>
    </row>
    <row r="66" spans="2:6">
      <c r="B66" s="658" t="s">
        <v>3422</v>
      </c>
      <c r="C66" s="658">
        <v>310742622</v>
      </c>
    </row>
    <row r="67" spans="2:6">
      <c r="B67" s="742" t="s">
        <v>3423</v>
      </c>
      <c r="C67" s="733">
        <v>310749644</v>
      </c>
    </row>
    <row r="68" spans="2:6">
      <c r="B68" s="733" t="s">
        <v>3424</v>
      </c>
      <c r="C68" s="733">
        <v>310750881</v>
      </c>
    </row>
    <row r="69" spans="2:6">
      <c r="B69" s="736" t="s">
        <v>3697</v>
      </c>
      <c r="C69" s="74">
        <v>310778474</v>
      </c>
      <c r="F69" s="53">
        <v>66294674</v>
      </c>
    </row>
    <row r="70" spans="2:6">
      <c r="B70" s="736" t="s">
        <v>3696</v>
      </c>
      <c r="C70" s="74">
        <v>310778498</v>
      </c>
      <c r="F70" s="53">
        <v>69602490</v>
      </c>
    </row>
    <row r="71" spans="2:6">
      <c r="B71" s="736" t="s">
        <v>3695</v>
      </c>
      <c r="C71" s="74">
        <v>310790152</v>
      </c>
      <c r="F71" s="53">
        <v>60684971</v>
      </c>
    </row>
    <row r="72" spans="2:6">
      <c r="B72" s="736" t="s">
        <v>3698</v>
      </c>
      <c r="C72" s="74">
        <v>310808561</v>
      </c>
      <c r="F72" s="53">
        <v>55192840</v>
      </c>
    </row>
    <row r="73" spans="2:6">
      <c r="B73" s="736" t="s">
        <v>3699</v>
      </c>
      <c r="C73" s="74">
        <v>310813819</v>
      </c>
      <c r="F73" s="53">
        <v>22582539</v>
      </c>
    </row>
    <row r="74" spans="2:6">
      <c r="B74" s="736" t="s">
        <v>3694</v>
      </c>
      <c r="C74" s="74">
        <v>310819604</v>
      </c>
      <c r="F74" s="53">
        <v>50708606</v>
      </c>
    </row>
    <row r="79" spans="2:6">
      <c r="C79" s="269"/>
    </row>
  </sheetData>
  <autoFilter ref="A2:Q61"/>
  <pageMargins left="0.25" right="0.25"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5"/>
  <sheetViews>
    <sheetView workbookViewId="0">
      <selection activeCell="D6" sqref="D6"/>
    </sheetView>
  </sheetViews>
  <sheetFormatPr defaultRowHeight="14.4"/>
  <cols>
    <col min="1" max="1" width="35.44140625" bestFit="1" customWidth="1"/>
    <col min="2" max="2" width="19.88671875" style="61" customWidth="1"/>
    <col min="3" max="3" width="34.88671875" style="5" bestFit="1" customWidth="1"/>
    <col min="4" max="4" width="255.6640625" bestFit="1" customWidth="1"/>
  </cols>
  <sheetData>
    <row r="3" spans="1:4">
      <c r="D3" t="s">
        <v>75</v>
      </c>
    </row>
    <row r="5" spans="1:4" s="6" customFormat="1" ht="28.8">
      <c r="A5" s="2458" t="s">
        <v>13</v>
      </c>
      <c r="B5" s="2461" t="s">
        <v>484</v>
      </c>
      <c r="C5" s="17" t="s">
        <v>15</v>
      </c>
      <c r="D5" s="1907" t="s">
        <v>14</v>
      </c>
    </row>
    <row r="6" spans="1:4" s="6" customFormat="1">
      <c r="A6" s="2447" t="s">
        <v>16</v>
      </c>
      <c r="B6" s="2475" t="s">
        <v>824</v>
      </c>
      <c r="C6" s="17" t="s">
        <v>17</v>
      </c>
      <c r="D6" s="18" t="s">
        <v>18</v>
      </c>
    </row>
    <row r="7" spans="1:4" s="6" customFormat="1" ht="28.8">
      <c r="A7" s="1738" t="s">
        <v>20</v>
      </c>
      <c r="B7" s="1775" t="s">
        <v>930</v>
      </c>
      <c r="C7" s="17" t="s">
        <v>19</v>
      </c>
      <c r="D7" s="6" t="s">
        <v>21</v>
      </c>
    </row>
    <row r="8" spans="1:4" s="6" customFormat="1">
      <c r="A8" s="2458" t="s">
        <v>22</v>
      </c>
      <c r="B8" s="2457" t="s">
        <v>23</v>
      </c>
      <c r="C8" s="17" t="s">
        <v>24</v>
      </c>
      <c r="D8" s="18" t="s">
        <v>25</v>
      </c>
    </row>
    <row r="9" spans="1:4" s="6" customFormat="1">
      <c r="A9" s="25" t="s">
        <v>26</v>
      </c>
      <c r="B9" s="153" t="s">
        <v>27</v>
      </c>
      <c r="C9" s="17" t="s">
        <v>28</v>
      </c>
      <c r="D9" s="19" t="s">
        <v>29</v>
      </c>
    </row>
    <row r="10" spans="1:4" s="6" customFormat="1">
      <c r="A10" s="119" t="s">
        <v>31</v>
      </c>
      <c r="B10" s="116" t="s">
        <v>32</v>
      </c>
      <c r="C10" s="20" t="s">
        <v>30</v>
      </c>
      <c r="D10" s="19" t="s">
        <v>33</v>
      </c>
    </row>
    <row r="11" spans="1:4" s="6" customFormat="1">
      <c r="A11" s="2414" t="s">
        <v>62</v>
      </c>
      <c r="B11" s="2413" t="s">
        <v>825</v>
      </c>
      <c r="C11" s="20" t="s">
        <v>63</v>
      </c>
      <c r="D11" s="21" t="s">
        <v>64</v>
      </c>
    </row>
    <row r="12" spans="1:4" s="6" customFormat="1">
      <c r="A12" s="1891" t="s">
        <v>35</v>
      </c>
      <c r="B12" s="1975" t="s">
        <v>36</v>
      </c>
      <c r="C12" s="20" t="s">
        <v>34</v>
      </c>
      <c r="D12" s="1472" t="s">
        <v>37</v>
      </c>
    </row>
    <row r="13" spans="1:4">
      <c r="A13" s="1245" t="s">
        <v>38</v>
      </c>
      <c r="B13" s="1838" t="s">
        <v>40</v>
      </c>
      <c r="C13" s="12" t="s">
        <v>41</v>
      </c>
      <c r="D13" s="11" t="s">
        <v>39</v>
      </c>
    </row>
    <row r="14" spans="1:4">
      <c r="A14" s="2451" t="s">
        <v>42</v>
      </c>
      <c r="B14" s="2462" t="s">
        <v>741</v>
      </c>
      <c r="C14" s="12" t="s">
        <v>43</v>
      </c>
      <c r="D14" s="1088" t="s">
        <v>44</v>
      </c>
    </row>
    <row r="15" spans="1:4">
      <c r="A15" s="2468" t="s">
        <v>45</v>
      </c>
      <c r="B15" s="2462" t="s">
        <v>715</v>
      </c>
      <c r="C15" s="12" t="s">
        <v>46</v>
      </c>
      <c r="D15" s="11" t="s">
        <v>47</v>
      </c>
    </row>
    <row r="16" spans="1:4">
      <c r="A16" s="2451" t="s">
        <v>48</v>
      </c>
      <c r="B16" s="2450" t="s">
        <v>49</v>
      </c>
      <c r="C16" s="12" t="s">
        <v>51</v>
      </c>
      <c r="D16" s="11" t="s">
        <v>50</v>
      </c>
    </row>
    <row r="17" spans="1:4" ht="15.6">
      <c r="A17" s="1857" t="s">
        <v>52</v>
      </c>
      <c r="B17" s="1866" t="s">
        <v>53</v>
      </c>
      <c r="C17" s="12" t="s">
        <v>54</v>
      </c>
      <c r="D17" s="13" t="s">
        <v>55</v>
      </c>
    </row>
    <row r="18" spans="1:4" ht="15.6">
      <c r="A18" s="1885" t="s">
        <v>56</v>
      </c>
      <c r="B18" s="1886" t="s">
        <v>1675</v>
      </c>
      <c r="C18" s="12" t="s">
        <v>58</v>
      </c>
      <c r="D18" s="14" t="s">
        <v>57</v>
      </c>
    </row>
    <row r="19" spans="1:4" ht="15.6">
      <c r="A19" s="2451" t="s">
        <v>59</v>
      </c>
      <c r="B19" s="2450" t="s">
        <v>895</v>
      </c>
      <c r="C19" s="12" t="s">
        <v>60</v>
      </c>
      <c r="D19" s="13" t="s">
        <v>61</v>
      </c>
    </row>
    <row r="20" spans="1:4" ht="15.6">
      <c r="A20" s="24" t="s">
        <v>65</v>
      </c>
      <c r="B20" s="62" t="s">
        <v>66</v>
      </c>
      <c r="C20" s="12" t="s">
        <v>68</v>
      </c>
      <c r="D20" s="14" t="s">
        <v>67</v>
      </c>
    </row>
    <row r="21" spans="1:4" ht="15.6">
      <c r="A21" s="1194" t="s">
        <v>69</v>
      </c>
      <c r="B21" s="1584" t="s">
        <v>6595</v>
      </c>
      <c r="C21" s="12" t="s">
        <v>70</v>
      </c>
      <c r="D21" s="13" t="s">
        <v>71</v>
      </c>
    </row>
    <row r="22" spans="1:4" ht="12" customHeight="1">
      <c r="A22" s="1971" t="s">
        <v>72</v>
      </c>
      <c r="B22" s="1974" t="s">
        <v>2795</v>
      </c>
      <c r="C22" s="12" t="s">
        <v>73</v>
      </c>
      <c r="D22" s="15" t="s">
        <v>74</v>
      </c>
    </row>
    <row r="23" spans="1:4">
      <c r="A23" s="2449" t="s">
        <v>128</v>
      </c>
      <c r="B23" s="2459" t="s">
        <v>911</v>
      </c>
      <c r="C23" s="16"/>
      <c r="D23" s="30" t="s">
        <v>129</v>
      </c>
    </row>
    <row r="24" spans="1:4">
      <c r="A24" s="1585" t="s">
        <v>132</v>
      </c>
      <c r="B24" s="1993" t="s">
        <v>130</v>
      </c>
      <c r="D24" s="30" t="s">
        <v>131</v>
      </c>
    </row>
    <row r="25" spans="1:4">
      <c r="A25" s="1740" t="s">
        <v>133</v>
      </c>
      <c r="B25" s="1869" t="s">
        <v>766</v>
      </c>
      <c r="D25" s="30" t="s">
        <v>134</v>
      </c>
    </row>
    <row r="26" spans="1:4">
      <c r="A26" s="1747" t="s">
        <v>136</v>
      </c>
      <c r="B26" s="1746" t="s">
        <v>135</v>
      </c>
      <c r="D26" s="29" t="s">
        <v>137</v>
      </c>
    </row>
    <row r="27" spans="1:4">
      <c r="A27" s="1675" t="s">
        <v>139</v>
      </c>
      <c r="B27" s="1757" t="s">
        <v>138</v>
      </c>
      <c r="D27" s="30" t="s">
        <v>140</v>
      </c>
    </row>
    <row r="28" spans="1:4" ht="15.6">
      <c r="A28" s="65" t="s">
        <v>142</v>
      </c>
      <c r="B28" s="1490" t="s">
        <v>141</v>
      </c>
      <c r="D28" s="31" t="s">
        <v>143</v>
      </c>
    </row>
    <row r="29" spans="1:4">
      <c r="A29" s="32" t="s">
        <v>148</v>
      </c>
      <c r="B29" s="63"/>
      <c r="D29" s="22" t="s">
        <v>147</v>
      </c>
    </row>
    <row r="30" spans="1:4">
      <c r="A30" s="32" t="s">
        <v>150</v>
      </c>
      <c r="B30" s="63"/>
      <c r="D30" s="22" t="s">
        <v>149</v>
      </c>
    </row>
    <row r="31" spans="1:4">
      <c r="D31" s="22" t="s">
        <v>151</v>
      </c>
    </row>
    <row r="32" spans="1:4">
      <c r="A32" s="1724" t="s">
        <v>153</v>
      </c>
      <c r="B32" s="1719" t="s">
        <v>897</v>
      </c>
      <c r="D32" s="33" t="s">
        <v>152</v>
      </c>
    </row>
    <row r="33" spans="1:4" ht="15.6">
      <c r="A33" s="2449" t="s">
        <v>156</v>
      </c>
      <c r="B33" s="63" t="s">
        <v>714</v>
      </c>
      <c r="C33" s="34" t="s">
        <v>157</v>
      </c>
      <c r="D33" s="13" t="s">
        <v>158</v>
      </c>
    </row>
    <row r="34" spans="1:4" ht="15.6">
      <c r="A34" s="211" t="s">
        <v>159</v>
      </c>
      <c r="B34" s="63" t="s">
        <v>160</v>
      </c>
      <c r="C34" s="5">
        <v>2</v>
      </c>
      <c r="D34" s="13" t="s">
        <v>161</v>
      </c>
    </row>
    <row r="35" spans="1:4">
      <c r="A35" s="211" t="s">
        <v>65</v>
      </c>
      <c r="B35" s="63" t="s">
        <v>66</v>
      </c>
      <c r="C35" s="5">
        <v>3</v>
      </c>
      <c r="D35" s="22" t="s">
        <v>67</v>
      </c>
    </row>
    <row r="36" spans="1:4">
      <c r="A36" s="35" t="s">
        <v>162</v>
      </c>
      <c r="B36" s="63" t="s">
        <v>163</v>
      </c>
      <c r="C36" s="5">
        <v>2</v>
      </c>
      <c r="D36" s="22" t="s">
        <v>67</v>
      </c>
    </row>
    <row r="37" spans="1:4">
      <c r="A37" s="148" t="s">
        <v>164</v>
      </c>
      <c r="B37" s="63" t="s">
        <v>165</v>
      </c>
      <c r="C37" s="5">
        <v>4</v>
      </c>
      <c r="D37" s="22" t="s">
        <v>166</v>
      </c>
    </row>
    <row r="38" spans="1:4">
      <c r="A38" s="749" t="s">
        <v>167</v>
      </c>
      <c r="B38" s="63" t="s">
        <v>896</v>
      </c>
      <c r="C38" s="5">
        <v>2</v>
      </c>
      <c r="D38" s="22" t="s">
        <v>168</v>
      </c>
    </row>
    <row r="39" spans="1:4">
      <c r="A39" s="2456" t="s">
        <v>172</v>
      </c>
      <c r="B39" s="2459" t="s">
        <v>812</v>
      </c>
      <c r="D39" s="22" t="s">
        <v>173</v>
      </c>
    </row>
    <row r="40" spans="1:4">
      <c r="A40" s="2465" t="s">
        <v>744</v>
      </c>
      <c r="B40" s="2464" t="s">
        <v>743</v>
      </c>
      <c r="D40" s="22" t="s">
        <v>742</v>
      </c>
    </row>
    <row r="41" spans="1:4">
      <c r="A41" s="100" t="s">
        <v>746</v>
      </c>
      <c r="B41" s="63" t="s">
        <v>745</v>
      </c>
    </row>
    <row r="42" spans="1:4">
      <c r="A42" s="100" t="s">
        <v>748</v>
      </c>
      <c r="B42" s="63" t="s">
        <v>747</v>
      </c>
    </row>
    <row r="43" spans="1:4">
      <c r="B43" s="63"/>
    </row>
    <row r="44" spans="1:4">
      <c r="B44" s="63"/>
    </row>
    <row r="45" spans="1:4">
      <c r="B45" s="63" t="s">
        <v>7947</v>
      </c>
    </row>
    <row r="46" spans="1:4">
      <c r="B46" s="63" t="s">
        <v>7946</v>
      </c>
    </row>
    <row r="47" spans="1:4">
      <c r="B47" s="63"/>
    </row>
    <row r="48" spans="1:4">
      <c r="B48" s="63"/>
    </row>
    <row r="60" spans="3:3">
      <c r="C60" s="5">
        <v>61</v>
      </c>
    </row>
    <row r="61" spans="3:3">
      <c r="C61" s="5">
        <v>100</v>
      </c>
    </row>
    <row r="62" spans="3:3">
      <c r="C62" s="5">
        <v>27</v>
      </c>
    </row>
    <row r="63" spans="3:3">
      <c r="C63" s="5">
        <v>41</v>
      </c>
    </row>
    <row r="64" spans="3:3">
      <c r="C64" s="5">
        <v>33</v>
      </c>
    </row>
    <row r="65" spans="3:3">
      <c r="C65" s="5">
        <v>22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topLeftCell="A13" zoomScaleNormal="100" workbookViewId="0">
      <selection activeCell="E45" sqref="E45"/>
    </sheetView>
  </sheetViews>
  <sheetFormatPr defaultRowHeight="14.4"/>
  <cols>
    <col min="2" max="2" width="23.6640625" style="4" customWidth="1"/>
    <col min="3" max="3" width="16.21875" style="4" bestFit="1" customWidth="1"/>
    <col min="4" max="4" width="18.44140625" style="4" customWidth="1"/>
    <col min="5" max="5" width="16.88671875" style="4" bestFit="1" customWidth="1"/>
    <col min="8" max="8" width="7.44140625" style="81" customWidth="1"/>
    <col min="9" max="9" width="46.5546875" style="79" customWidth="1"/>
    <col min="10" max="11" width="17.6640625" style="81" customWidth="1"/>
  </cols>
  <sheetData>
    <row r="1" spans="1:9">
      <c r="A1" s="74"/>
      <c r="B1" s="75"/>
      <c r="C1" s="75" t="s">
        <v>145</v>
      </c>
      <c r="D1" s="75" t="s">
        <v>146</v>
      </c>
      <c r="E1" s="75" t="s">
        <v>144</v>
      </c>
    </row>
    <row r="2" spans="1:9">
      <c r="A2" s="74">
        <v>1</v>
      </c>
      <c r="B2" s="75">
        <v>0</v>
      </c>
      <c r="C2" s="75">
        <f>+E2*18/100*0.0821917808219178</f>
        <v>488219.17808219173</v>
      </c>
      <c r="D2" s="75">
        <f>+B2+C2</f>
        <v>488219.17808219173</v>
      </c>
      <c r="E2" s="75">
        <f>+I2</f>
        <v>33000000</v>
      </c>
      <c r="H2" s="84" t="s">
        <v>564</v>
      </c>
      <c r="I2" s="80">
        <v>33000000</v>
      </c>
    </row>
    <row r="3" spans="1:9">
      <c r="A3" s="74">
        <v>2</v>
      </c>
      <c r="B3" s="75">
        <v>0</v>
      </c>
      <c r="C3" s="75">
        <f t="shared" ref="C3:C37" si="0">+E3*18/100*0.0821917808219178</f>
        <v>488219.17808219173</v>
      </c>
      <c r="D3" s="75">
        <f t="shared" ref="D3:D37" si="1">+B3+C3</f>
        <v>488219.17808219173</v>
      </c>
      <c r="E3" s="75">
        <f t="shared" ref="E3:E8" si="2">+E2</f>
        <v>33000000</v>
      </c>
      <c r="H3" s="84" t="s">
        <v>145</v>
      </c>
      <c r="I3" s="80">
        <v>14</v>
      </c>
    </row>
    <row r="4" spans="1:9">
      <c r="A4" s="74">
        <v>3</v>
      </c>
      <c r="B4" s="75">
        <v>0</v>
      </c>
      <c r="C4" s="75">
        <f t="shared" si="0"/>
        <v>488219.17808219173</v>
      </c>
      <c r="D4" s="75">
        <f t="shared" si="1"/>
        <v>488219.17808219173</v>
      </c>
      <c r="E4" s="75">
        <f t="shared" si="2"/>
        <v>33000000</v>
      </c>
    </row>
    <row r="5" spans="1:9">
      <c r="A5" s="74">
        <f>+A4+1</f>
        <v>4</v>
      </c>
      <c r="B5" s="75">
        <v>0</v>
      </c>
      <c r="C5" s="75">
        <f t="shared" si="0"/>
        <v>488219.17808219173</v>
      </c>
      <c r="D5" s="75">
        <f t="shared" si="1"/>
        <v>488219.17808219173</v>
      </c>
      <c r="E5" s="75">
        <f t="shared" si="2"/>
        <v>33000000</v>
      </c>
    </row>
    <row r="6" spans="1:9">
      <c r="A6" s="74">
        <f t="shared" ref="A6:A37" si="3">+A5+1</f>
        <v>5</v>
      </c>
      <c r="B6" s="75">
        <v>0</v>
      </c>
      <c r="C6" s="75">
        <f t="shared" si="0"/>
        <v>488219.17808219173</v>
      </c>
      <c r="D6" s="75">
        <f t="shared" si="1"/>
        <v>488219.17808219173</v>
      </c>
      <c r="E6" s="75">
        <f t="shared" si="2"/>
        <v>33000000</v>
      </c>
    </row>
    <row r="7" spans="1:9">
      <c r="A7" s="74">
        <f t="shared" si="3"/>
        <v>6</v>
      </c>
      <c r="B7" s="75">
        <v>0</v>
      </c>
      <c r="C7" s="75">
        <f t="shared" si="0"/>
        <v>488219.17808219173</v>
      </c>
      <c r="D7" s="75">
        <f t="shared" si="1"/>
        <v>488219.17808219173</v>
      </c>
      <c r="E7" s="75">
        <f t="shared" si="2"/>
        <v>33000000</v>
      </c>
    </row>
    <row r="8" spans="1:9">
      <c r="A8" s="74">
        <f t="shared" si="3"/>
        <v>7</v>
      </c>
      <c r="B8" s="75">
        <f>+I2/30</f>
        <v>1100000</v>
      </c>
      <c r="C8" s="75">
        <f t="shared" si="0"/>
        <v>488219.17808219173</v>
      </c>
      <c r="D8" s="75">
        <f t="shared" si="1"/>
        <v>1588219.1780821919</v>
      </c>
      <c r="E8" s="75">
        <f t="shared" si="2"/>
        <v>33000000</v>
      </c>
    </row>
    <row r="9" spans="1:9">
      <c r="A9" s="74">
        <f t="shared" si="3"/>
        <v>8</v>
      </c>
      <c r="B9" s="75">
        <f>+B8</f>
        <v>1100000</v>
      </c>
      <c r="C9" s="75">
        <f t="shared" si="0"/>
        <v>471945.20547945204</v>
      </c>
      <c r="D9" s="75">
        <f t="shared" si="1"/>
        <v>1571945.2054794519</v>
      </c>
      <c r="E9" s="75">
        <f>+E8-B9</f>
        <v>31900000</v>
      </c>
      <c r="I9" s="79" t="s">
        <v>2811</v>
      </c>
    </row>
    <row r="10" spans="1:9">
      <c r="A10" s="74">
        <f t="shared" si="3"/>
        <v>9</v>
      </c>
      <c r="B10" s="75">
        <f t="shared" ref="B10:B37" si="4">+B9</f>
        <v>1100000</v>
      </c>
      <c r="C10" s="75">
        <f t="shared" si="0"/>
        <v>455671.23287671228</v>
      </c>
      <c r="D10" s="75">
        <f t="shared" si="1"/>
        <v>1555671.2328767122</v>
      </c>
      <c r="E10" s="75">
        <f t="shared" ref="E10:E37" si="5">+E9-B10</f>
        <v>30800000</v>
      </c>
    </row>
    <row r="11" spans="1:9">
      <c r="A11" s="74">
        <f t="shared" si="3"/>
        <v>10</v>
      </c>
      <c r="B11" s="75">
        <f t="shared" si="4"/>
        <v>1100000</v>
      </c>
      <c r="C11" s="75">
        <f t="shared" si="0"/>
        <v>439397.26027397258</v>
      </c>
      <c r="D11" s="75">
        <f t="shared" si="1"/>
        <v>1539397.2602739725</v>
      </c>
      <c r="E11" s="75">
        <f t="shared" si="5"/>
        <v>29700000</v>
      </c>
    </row>
    <row r="12" spans="1:9">
      <c r="A12" s="74">
        <f t="shared" si="3"/>
        <v>11</v>
      </c>
      <c r="B12" s="75">
        <f t="shared" si="4"/>
        <v>1100000</v>
      </c>
      <c r="C12" s="75">
        <f t="shared" si="0"/>
        <v>423123.28767123283</v>
      </c>
      <c r="D12" s="75">
        <f t="shared" si="1"/>
        <v>1523123.2876712328</v>
      </c>
      <c r="E12" s="75">
        <f t="shared" si="5"/>
        <v>28600000</v>
      </c>
    </row>
    <row r="13" spans="1:9">
      <c r="A13" s="74">
        <f t="shared" si="3"/>
        <v>12</v>
      </c>
      <c r="B13" s="75">
        <f t="shared" si="4"/>
        <v>1100000</v>
      </c>
      <c r="C13" s="75">
        <f t="shared" si="0"/>
        <v>406849.31506849313</v>
      </c>
      <c r="D13" s="75">
        <f t="shared" si="1"/>
        <v>1506849.3150684931</v>
      </c>
      <c r="E13" s="75">
        <f t="shared" si="5"/>
        <v>27500000</v>
      </c>
    </row>
    <row r="14" spans="1:9">
      <c r="A14" s="74">
        <f t="shared" si="3"/>
        <v>13</v>
      </c>
      <c r="B14" s="75">
        <f t="shared" si="4"/>
        <v>1100000</v>
      </c>
      <c r="C14" s="75">
        <f t="shared" si="0"/>
        <v>390575.34246575338</v>
      </c>
      <c r="D14" s="75">
        <f t="shared" si="1"/>
        <v>1490575.3424657534</v>
      </c>
      <c r="E14" s="75">
        <f t="shared" si="5"/>
        <v>26400000</v>
      </c>
    </row>
    <row r="15" spans="1:9">
      <c r="A15" s="74">
        <f t="shared" si="3"/>
        <v>14</v>
      </c>
      <c r="B15" s="75">
        <f t="shared" si="4"/>
        <v>1100000</v>
      </c>
      <c r="C15" s="75">
        <f t="shared" si="0"/>
        <v>374301.36986301368</v>
      </c>
      <c r="D15" s="75">
        <f t="shared" si="1"/>
        <v>1474301.3698630137</v>
      </c>
      <c r="E15" s="75">
        <f t="shared" si="5"/>
        <v>25300000</v>
      </c>
    </row>
    <row r="16" spans="1:9">
      <c r="A16" s="74">
        <f t="shared" si="3"/>
        <v>15</v>
      </c>
      <c r="B16" s="75">
        <f t="shared" si="4"/>
        <v>1100000</v>
      </c>
      <c r="C16" s="75">
        <f t="shared" si="0"/>
        <v>358027.39726027398</v>
      </c>
      <c r="D16" s="75">
        <f>+B16+C16</f>
        <v>1458027.397260274</v>
      </c>
      <c r="E16" s="75">
        <f t="shared" si="5"/>
        <v>24200000</v>
      </c>
    </row>
    <row r="17" spans="1:5">
      <c r="A17" s="74">
        <f t="shared" si="3"/>
        <v>16</v>
      </c>
      <c r="B17" s="75">
        <f t="shared" si="4"/>
        <v>1100000</v>
      </c>
      <c r="C17" s="75">
        <f t="shared" si="0"/>
        <v>341753.42465753423</v>
      </c>
      <c r="D17" s="75">
        <f t="shared" si="1"/>
        <v>1441753.4246575343</v>
      </c>
      <c r="E17" s="75">
        <f t="shared" si="5"/>
        <v>23100000</v>
      </c>
    </row>
    <row r="18" spans="1:5">
      <c r="A18" s="74">
        <f t="shared" si="3"/>
        <v>17</v>
      </c>
      <c r="B18" s="75">
        <f t="shared" si="4"/>
        <v>1100000</v>
      </c>
      <c r="C18" s="75">
        <f t="shared" si="0"/>
        <v>325479.45205479453</v>
      </c>
      <c r="D18" s="75">
        <f t="shared" si="1"/>
        <v>1425479.4520547944</v>
      </c>
      <c r="E18" s="75">
        <f t="shared" si="5"/>
        <v>22000000</v>
      </c>
    </row>
    <row r="19" spans="1:5">
      <c r="A19" s="74">
        <f t="shared" si="3"/>
        <v>18</v>
      </c>
      <c r="B19" s="75">
        <f t="shared" si="4"/>
        <v>1100000</v>
      </c>
      <c r="C19" s="75">
        <f t="shared" si="0"/>
        <v>309205.47945205477</v>
      </c>
      <c r="D19" s="75">
        <f t="shared" si="1"/>
        <v>1409205.4794520547</v>
      </c>
      <c r="E19" s="75">
        <f t="shared" si="5"/>
        <v>20900000</v>
      </c>
    </row>
    <row r="20" spans="1:5">
      <c r="A20" s="74">
        <f t="shared" si="3"/>
        <v>19</v>
      </c>
      <c r="B20" s="75">
        <f t="shared" si="4"/>
        <v>1100000</v>
      </c>
      <c r="C20" s="75">
        <f t="shared" si="0"/>
        <v>292931.50684931508</v>
      </c>
      <c r="D20" s="75">
        <f t="shared" si="1"/>
        <v>1392931.506849315</v>
      </c>
      <c r="E20" s="75">
        <f t="shared" si="5"/>
        <v>19800000</v>
      </c>
    </row>
    <row r="21" spans="1:5">
      <c r="A21" s="74">
        <f t="shared" si="3"/>
        <v>20</v>
      </c>
      <c r="B21" s="75">
        <f t="shared" si="4"/>
        <v>1100000</v>
      </c>
      <c r="C21" s="75">
        <f t="shared" si="0"/>
        <v>276657.53424657532</v>
      </c>
      <c r="D21" s="75">
        <f t="shared" si="1"/>
        <v>1376657.5342465753</v>
      </c>
      <c r="E21" s="75">
        <f t="shared" si="5"/>
        <v>18700000</v>
      </c>
    </row>
    <row r="22" spans="1:5">
      <c r="A22" s="74">
        <f t="shared" si="3"/>
        <v>21</v>
      </c>
      <c r="B22" s="75">
        <f t="shared" si="4"/>
        <v>1100000</v>
      </c>
      <c r="C22" s="75">
        <f t="shared" si="0"/>
        <v>260383.56164383559</v>
      </c>
      <c r="D22" s="75">
        <f t="shared" si="1"/>
        <v>1360383.5616438356</v>
      </c>
      <c r="E22" s="75">
        <f t="shared" si="5"/>
        <v>17600000</v>
      </c>
    </row>
    <row r="23" spans="1:5">
      <c r="A23" s="74">
        <f t="shared" si="3"/>
        <v>22</v>
      </c>
      <c r="B23" s="75">
        <f t="shared" si="4"/>
        <v>1100000</v>
      </c>
      <c r="C23" s="75">
        <f t="shared" si="0"/>
        <v>244109.58904109587</v>
      </c>
      <c r="D23" s="75">
        <f t="shared" si="1"/>
        <v>1344109.5890410959</v>
      </c>
      <c r="E23" s="75">
        <f t="shared" si="5"/>
        <v>16500000</v>
      </c>
    </row>
    <row r="24" spans="1:5">
      <c r="A24" s="74">
        <f t="shared" si="3"/>
        <v>23</v>
      </c>
      <c r="B24" s="75">
        <f t="shared" si="4"/>
        <v>1100000</v>
      </c>
      <c r="C24" s="75">
        <f t="shared" si="0"/>
        <v>227835.61643835614</v>
      </c>
      <c r="D24" s="75">
        <f t="shared" si="1"/>
        <v>1327835.6164383562</v>
      </c>
      <c r="E24" s="75">
        <f t="shared" si="5"/>
        <v>15400000</v>
      </c>
    </row>
    <row r="25" spans="1:5">
      <c r="A25" s="74">
        <f t="shared" si="3"/>
        <v>24</v>
      </c>
      <c r="B25" s="75">
        <f t="shared" si="4"/>
        <v>1100000</v>
      </c>
      <c r="C25" s="75">
        <f t="shared" si="0"/>
        <v>211561.64383561641</v>
      </c>
      <c r="D25" s="75">
        <f t="shared" si="1"/>
        <v>1311561.6438356163</v>
      </c>
      <c r="E25" s="75">
        <f t="shared" si="5"/>
        <v>14300000</v>
      </c>
    </row>
    <row r="26" spans="1:5">
      <c r="A26" s="74">
        <f t="shared" si="3"/>
        <v>25</v>
      </c>
      <c r="B26" s="75">
        <f t="shared" si="4"/>
        <v>1100000</v>
      </c>
      <c r="C26" s="75">
        <f t="shared" si="0"/>
        <v>195287.67123287669</v>
      </c>
      <c r="D26" s="75">
        <f t="shared" si="1"/>
        <v>1295287.6712328766</v>
      </c>
      <c r="E26" s="75">
        <f t="shared" si="5"/>
        <v>13200000</v>
      </c>
    </row>
    <row r="27" spans="1:5">
      <c r="A27" s="74">
        <f t="shared" si="3"/>
        <v>26</v>
      </c>
      <c r="B27" s="75">
        <f t="shared" si="4"/>
        <v>1100000</v>
      </c>
      <c r="C27" s="75">
        <f t="shared" si="0"/>
        <v>179013.69863013699</v>
      </c>
      <c r="D27" s="75">
        <f t="shared" si="1"/>
        <v>1279013.6986301369</v>
      </c>
      <c r="E27" s="75">
        <f t="shared" si="5"/>
        <v>12100000</v>
      </c>
    </row>
    <row r="28" spans="1:5">
      <c r="A28" s="74">
        <f t="shared" si="3"/>
        <v>27</v>
      </c>
      <c r="B28" s="75">
        <f t="shared" si="4"/>
        <v>1100000</v>
      </c>
      <c r="C28" s="75">
        <f t="shared" si="0"/>
        <v>162739.72602739726</v>
      </c>
      <c r="D28" s="75">
        <f t="shared" si="1"/>
        <v>1262739.7260273972</v>
      </c>
      <c r="E28" s="75">
        <f t="shared" si="5"/>
        <v>11000000</v>
      </c>
    </row>
    <row r="29" spans="1:5">
      <c r="A29" s="74">
        <f t="shared" si="3"/>
        <v>28</v>
      </c>
      <c r="B29" s="75">
        <f t="shared" si="4"/>
        <v>1100000</v>
      </c>
      <c r="C29" s="75">
        <f t="shared" si="0"/>
        <v>146465.75342465754</v>
      </c>
      <c r="D29" s="75">
        <f t="shared" si="1"/>
        <v>1246465.7534246575</v>
      </c>
      <c r="E29" s="75">
        <f t="shared" si="5"/>
        <v>9900000</v>
      </c>
    </row>
    <row r="30" spans="1:5">
      <c r="A30" s="74">
        <f t="shared" si="3"/>
        <v>29</v>
      </c>
      <c r="B30" s="75">
        <f t="shared" si="4"/>
        <v>1100000</v>
      </c>
      <c r="C30" s="75">
        <f t="shared" si="0"/>
        <v>130191.7808219178</v>
      </c>
      <c r="D30" s="75">
        <f t="shared" si="1"/>
        <v>1230191.7808219178</v>
      </c>
      <c r="E30" s="75">
        <f t="shared" si="5"/>
        <v>8800000</v>
      </c>
    </row>
    <row r="31" spans="1:5">
      <c r="A31" s="74">
        <f>+A30+1</f>
        <v>30</v>
      </c>
      <c r="B31" s="75">
        <f t="shared" si="4"/>
        <v>1100000</v>
      </c>
      <c r="C31" s="75">
        <f t="shared" si="0"/>
        <v>113917.80821917807</v>
      </c>
      <c r="D31" s="75">
        <f t="shared" si="1"/>
        <v>1213917.8082191781</v>
      </c>
      <c r="E31" s="75">
        <f t="shared" si="5"/>
        <v>7700000</v>
      </c>
    </row>
    <row r="32" spans="1:5">
      <c r="A32" s="74">
        <f t="shared" si="3"/>
        <v>31</v>
      </c>
      <c r="B32" s="75">
        <f t="shared" si="4"/>
        <v>1100000</v>
      </c>
      <c r="C32" s="75">
        <f t="shared" si="0"/>
        <v>97643.835616438344</v>
      </c>
      <c r="D32" s="75">
        <f t="shared" si="1"/>
        <v>1197643.8356164384</v>
      </c>
      <c r="E32" s="75">
        <f t="shared" si="5"/>
        <v>6600000</v>
      </c>
    </row>
    <row r="33" spans="1:9">
      <c r="A33" s="74">
        <f t="shared" si="3"/>
        <v>32</v>
      </c>
      <c r="B33" s="75">
        <f t="shared" si="4"/>
        <v>1100000</v>
      </c>
      <c r="C33" s="75">
        <f t="shared" si="0"/>
        <v>81369.863013698632</v>
      </c>
      <c r="D33" s="75">
        <f t="shared" si="1"/>
        <v>1181369.8630136987</v>
      </c>
      <c r="E33" s="75">
        <f t="shared" si="5"/>
        <v>5500000</v>
      </c>
    </row>
    <row r="34" spans="1:9">
      <c r="A34" s="74">
        <f t="shared" si="3"/>
        <v>33</v>
      </c>
      <c r="B34" s="75">
        <f t="shared" si="4"/>
        <v>1100000</v>
      </c>
      <c r="C34" s="75">
        <f t="shared" si="0"/>
        <v>65095.890410958898</v>
      </c>
      <c r="D34" s="75">
        <f t="shared" si="1"/>
        <v>1165095.8904109588</v>
      </c>
      <c r="E34" s="75">
        <f t="shared" si="5"/>
        <v>4400000</v>
      </c>
    </row>
    <row r="35" spans="1:9">
      <c r="A35" s="74">
        <f t="shared" si="3"/>
        <v>34</v>
      </c>
      <c r="B35" s="75">
        <f t="shared" si="4"/>
        <v>1100000</v>
      </c>
      <c r="C35" s="75">
        <f t="shared" si="0"/>
        <v>48821.917808219172</v>
      </c>
      <c r="D35" s="75">
        <f t="shared" si="1"/>
        <v>1148821.9178082191</v>
      </c>
      <c r="E35" s="75">
        <f t="shared" si="5"/>
        <v>3300000</v>
      </c>
    </row>
    <row r="36" spans="1:9">
      <c r="A36" s="74">
        <f>+A35+1</f>
        <v>35</v>
      </c>
      <c r="B36" s="75">
        <f t="shared" si="4"/>
        <v>1100000</v>
      </c>
      <c r="C36" s="75">
        <f t="shared" si="0"/>
        <v>32547.945205479449</v>
      </c>
      <c r="D36" s="75">
        <f t="shared" si="1"/>
        <v>1132547.9452054794</v>
      </c>
      <c r="E36" s="75">
        <f t="shared" si="5"/>
        <v>2200000</v>
      </c>
    </row>
    <row r="37" spans="1:9">
      <c r="A37" s="74">
        <f t="shared" si="3"/>
        <v>36</v>
      </c>
      <c r="B37" s="75">
        <f t="shared" si="4"/>
        <v>1100000</v>
      </c>
      <c r="C37" s="75">
        <f t="shared" si="0"/>
        <v>16273.972602739725</v>
      </c>
      <c r="D37" s="75">
        <f t="shared" si="1"/>
        <v>1116273.9726027397</v>
      </c>
      <c r="E37" s="75">
        <f t="shared" si="5"/>
        <v>1100000</v>
      </c>
      <c r="I37" s="79">
        <v>450</v>
      </c>
    </row>
    <row r="38" spans="1:9">
      <c r="A38" s="74"/>
      <c r="B38" s="76">
        <f>SUM(B2:B37)</f>
        <v>33000000</v>
      </c>
      <c r="C38" s="76">
        <f>SUM(C2:C37)</f>
        <v>10496712.328767123</v>
      </c>
      <c r="D38" s="76">
        <v>41496712.329999998</v>
      </c>
      <c r="E38" s="75"/>
      <c r="I38" s="79">
        <f>300*3</f>
        <v>900</v>
      </c>
    </row>
    <row r="39" spans="1:9">
      <c r="A39" s="74"/>
      <c r="B39" s="75"/>
      <c r="C39" s="75"/>
      <c r="D39" s="75"/>
      <c r="E39" s="75"/>
      <c r="I39" s="79">
        <v>150</v>
      </c>
    </row>
    <row r="40" spans="1:9">
      <c r="D40" s="73"/>
    </row>
    <row r="61" spans="8:11">
      <c r="K61" s="81">
        <f>2300*11350</f>
        <v>26105000</v>
      </c>
    </row>
    <row r="62" spans="8:11">
      <c r="H62" s="83" t="s">
        <v>0</v>
      </c>
      <c r="I62" s="82" t="s">
        <v>592</v>
      </c>
      <c r="J62" s="83" t="s">
        <v>593</v>
      </c>
      <c r="K62" s="83" t="s">
        <v>594</v>
      </c>
    </row>
    <row r="63" spans="8:11">
      <c r="H63" s="83">
        <v>1</v>
      </c>
      <c r="I63" s="82" t="s">
        <v>595</v>
      </c>
      <c r="J63" s="82">
        <v>31000000</v>
      </c>
      <c r="K63" s="82">
        <v>28000000</v>
      </c>
    </row>
    <row r="64" spans="8:11">
      <c r="H64" s="83">
        <f>+H63+1</f>
        <v>2</v>
      </c>
      <c r="I64" s="82" t="s">
        <v>596</v>
      </c>
      <c r="J64" s="82">
        <v>29000000</v>
      </c>
      <c r="K64" s="82">
        <v>25000000</v>
      </c>
    </row>
    <row r="65" spans="8:11">
      <c r="H65" s="83">
        <f>+H64+1</f>
        <v>3</v>
      </c>
      <c r="I65" s="82" t="s">
        <v>597</v>
      </c>
      <c r="J65" s="82">
        <v>26000000</v>
      </c>
      <c r="K65" s="82">
        <v>22000000</v>
      </c>
    </row>
    <row r="66" spans="8:11">
      <c r="H66" s="83">
        <f>+H65+1</f>
        <v>4</v>
      </c>
      <c r="I66" s="82" t="s">
        <v>598</v>
      </c>
      <c r="J66" s="82">
        <v>24000000</v>
      </c>
      <c r="K66" s="82">
        <v>17500000</v>
      </c>
    </row>
    <row r="67" spans="8:11">
      <c r="H67" s="83">
        <f>+H66+1</f>
        <v>5</v>
      </c>
      <c r="I67" s="82" t="s">
        <v>599</v>
      </c>
      <c r="J67" s="82">
        <v>20000000</v>
      </c>
      <c r="K67" s="82">
        <v>15500000</v>
      </c>
    </row>
    <row r="68" spans="8:11">
      <c r="H68" s="83">
        <f>+H67+1</f>
        <v>6</v>
      </c>
      <c r="I68" s="82" t="s">
        <v>600</v>
      </c>
      <c r="J68" s="82">
        <v>19000000</v>
      </c>
      <c r="K68" s="82">
        <v>15000000</v>
      </c>
    </row>
    <row r="69" spans="8:11">
      <c r="J69" s="79"/>
      <c r="K69" s="79"/>
    </row>
    <row r="70" spans="8:11">
      <c r="J70" s="79"/>
      <c r="K70" s="79"/>
    </row>
    <row r="71" spans="8:11">
      <c r="J71" s="79"/>
      <c r="K71" s="79"/>
    </row>
    <row r="72" spans="8:11">
      <c r="J72" s="79"/>
      <c r="K72" s="79"/>
    </row>
    <row r="73" spans="8:11">
      <c r="J73" s="79"/>
      <c r="K73" s="79">
        <v>7</v>
      </c>
    </row>
  </sheetData>
  <pageMargins left="0.7" right="0.7" top="0.75" bottom="0.75" header="0.3" footer="0.3"/>
  <pageSetup paperSize="9" orientation="portrait"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5"/>
  <sheetViews>
    <sheetView topLeftCell="A58" workbookViewId="0">
      <selection activeCell="I74" sqref="I74"/>
    </sheetView>
  </sheetViews>
  <sheetFormatPr defaultRowHeight="14.4"/>
  <cols>
    <col min="2" max="2" width="37.77734375" style="4" bestFit="1" customWidth="1"/>
    <col min="3" max="4" width="15.88671875" style="4" bestFit="1" customWidth="1"/>
    <col min="5" max="5" width="16.88671875" style="4" bestFit="1" customWidth="1"/>
    <col min="9" max="9" width="16.88671875" style="4" bestFit="1" customWidth="1"/>
  </cols>
  <sheetData>
    <row r="1" spans="1:9">
      <c r="A1" s="74"/>
      <c r="B1" s="75"/>
      <c r="C1" s="75" t="s">
        <v>145</v>
      </c>
      <c r="D1" s="75" t="s">
        <v>146</v>
      </c>
      <c r="E1" s="75" t="s">
        <v>144</v>
      </c>
    </row>
    <row r="2" spans="1:9">
      <c r="A2" s="74">
        <v>1</v>
      </c>
      <c r="B2" s="75">
        <v>0</v>
      </c>
      <c r="C2" s="75">
        <f>+E2*14/100*0.0821917808219178</f>
        <v>310684.9315068493</v>
      </c>
      <c r="D2" s="75">
        <f>+B2+C2</f>
        <v>310684.9315068493</v>
      </c>
      <c r="E2" s="75">
        <f>+I2</f>
        <v>27000000</v>
      </c>
      <c r="H2" s="6" t="s">
        <v>564</v>
      </c>
      <c r="I2" s="67">
        <v>27000000</v>
      </c>
    </row>
    <row r="3" spans="1:9">
      <c r="A3" s="74">
        <v>2</v>
      </c>
      <c r="B3" s="75">
        <v>0</v>
      </c>
      <c r="C3" s="75">
        <f t="shared" ref="C3:C85" si="0">+E3*14/100*0.0821917808219178</f>
        <v>310684.9315068493</v>
      </c>
      <c r="D3" s="75">
        <f t="shared" ref="D3:D85" si="1">+B3+C3</f>
        <v>310684.9315068493</v>
      </c>
      <c r="E3" s="75">
        <f>+E2</f>
        <v>27000000</v>
      </c>
      <c r="H3" s="6" t="s">
        <v>145</v>
      </c>
      <c r="I3" s="67">
        <v>14</v>
      </c>
    </row>
    <row r="4" spans="1:9">
      <c r="A4" s="74">
        <v>3</v>
      </c>
      <c r="B4" s="75">
        <v>0</v>
      </c>
      <c r="C4" s="75">
        <f t="shared" si="0"/>
        <v>310684.9315068493</v>
      </c>
      <c r="D4" s="75">
        <f t="shared" si="1"/>
        <v>310684.9315068493</v>
      </c>
      <c r="E4" s="75">
        <f>+E3</f>
        <v>27000000</v>
      </c>
    </row>
    <row r="5" spans="1:9">
      <c r="A5" s="74">
        <f>+A4+1</f>
        <v>4</v>
      </c>
      <c r="B5" s="75">
        <v>0</v>
      </c>
      <c r="C5" s="75">
        <f t="shared" si="0"/>
        <v>310684.9315068493</v>
      </c>
      <c r="D5" s="75">
        <f t="shared" si="1"/>
        <v>310684.9315068493</v>
      </c>
      <c r="E5" s="75">
        <f>+E4</f>
        <v>27000000</v>
      </c>
    </row>
    <row r="6" spans="1:9">
      <c r="A6" s="74">
        <f>+A5+1</f>
        <v>5</v>
      </c>
      <c r="B6" s="75">
        <v>0</v>
      </c>
      <c r="C6" s="75">
        <f t="shared" si="0"/>
        <v>310684.9315068493</v>
      </c>
      <c r="D6" s="75">
        <f t="shared" si="1"/>
        <v>310684.9315068493</v>
      </c>
      <c r="E6" s="75">
        <f>+E5</f>
        <v>27000000</v>
      </c>
    </row>
    <row r="7" spans="1:9">
      <c r="A7" s="74">
        <f>+A6+1</f>
        <v>6</v>
      </c>
      <c r="B7" s="75">
        <v>0</v>
      </c>
      <c r="C7" s="75">
        <f t="shared" si="0"/>
        <v>310684.9315068493</v>
      </c>
      <c r="D7" s="75">
        <f t="shared" si="1"/>
        <v>310684.9315068493</v>
      </c>
      <c r="E7" s="75">
        <f>+E6</f>
        <v>27000000</v>
      </c>
    </row>
    <row r="8" spans="1:9">
      <c r="A8" s="74">
        <f>+A7+1</f>
        <v>7</v>
      </c>
      <c r="B8" s="75">
        <v>0</v>
      </c>
      <c r="C8" s="75">
        <f t="shared" si="0"/>
        <v>310684.9315068493</v>
      </c>
      <c r="D8" s="75">
        <f t="shared" si="1"/>
        <v>310684.9315068493</v>
      </c>
      <c r="E8" s="75">
        <f t="shared" ref="E8:E37" si="2">+E7</f>
        <v>27000000</v>
      </c>
    </row>
    <row r="9" spans="1:9">
      <c r="A9" s="74">
        <f t="shared" ref="A9:A72" si="3">+A8+1</f>
        <v>8</v>
      </c>
      <c r="B9" s="75">
        <v>0</v>
      </c>
      <c r="C9" s="75">
        <f t="shared" si="0"/>
        <v>310684.9315068493</v>
      </c>
      <c r="D9" s="75">
        <f t="shared" si="1"/>
        <v>310684.9315068493</v>
      </c>
      <c r="E9" s="75">
        <f t="shared" si="2"/>
        <v>27000000</v>
      </c>
    </row>
    <row r="10" spans="1:9">
      <c r="A10" s="74">
        <f t="shared" si="3"/>
        <v>9</v>
      </c>
      <c r="B10" s="75">
        <v>0</v>
      </c>
      <c r="C10" s="75">
        <f t="shared" si="0"/>
        <v>310684.9315068493</v>
      </c>
      <c r="D10" s="75">
        <f t="shared" si="1"/>
        <v>310684.9315068493</v>
      </c>
      <c r="E10" s="75">
        <f t="shared" si="2"/>
        <v>27000000</v>
      </c>
    </row>
    <row r="11" spans="1:9">
      <c r="A11" s="74">
        <f t="shared" si="3"/>
        <v>10</v>
      </c>
      <c r="B11" s="75">
        <v>0</v>
      </c>
      <c r="C11" s="75">
        <f t="shared" si="0"/>
        <v>310684.9315068493</v>
      </c>
      <c r="D11" s="75">
        <f t="shared" si="1"/>
        <v>310684.9315068493</v>
      </c>
      <c r="E11" s="75">
        <f t="shared" si="2"/>
        <v>27000000</v>
      </c>
    </row>
    <row r="12" spans="1:9">
      <c r="A12" s="74">
        <f t="shared" si="3"/>
        <v>11</v>
      </c>
      <c r="B12" s="75">
        <v>0</v>
      </c>
      <c r="C12" s="75">
        <f t="shared" si="0"/>
        <v>310684.9315068493</v>
      </c>
      <c r="D12" s="75">
        <f t="shared" si="1"/>
        <v>310684.9315068493</v>
      </c>
      <c r="E12" s="75">
        <f t="shared" si="2"/>
        <v>27000000</v>
      </c>
    </row>
    <row r="13" spans="1:9">
      <c r="A13" s="74">
        <f t="shared" si="3"/>
        <v>12</v>
      </c>
      <c r="B13" s="75">
        <v>0</v>
      </c>
      <c r="C13" s="75">
        <f t="shared" si="0"/>
        <v>310684.9315068493</v>
      </c>
      <c r="D13" s="75">
        <f t="shared" si="1"/>
        <v>310684.9315068493</v>
      </c>
      <c r="E13" s="75">
        <f t="shared" si="2"/>
        <v>27000000</v>
      </c>
    </row>
    <row r="14" spans="1:9">
      <c r="A14" s="74">
        <f t="shared" si="3"/>
        <v>13</v>
      </c>
      <c r="B14" s="75">
        <v>0</v>
      </c>
      <c r="C14" s="75">
        <f t="shared" si="0"/>
        <v>310684.9315068493</v>
      </c>
      <c r="D14" s="75">
        <f t="shared" si="1"/>
        <v>310684.9315068493</v>
      </c>
      <c r="E14" s="75">
        <f t="shared" si="2"/>
        <v>27000000</v>
      </c>
    </row>
    <row r="15" spans="1:9">
      <c r="A15" s="74">
        <f t="shared" si="3"/>
        <v>14</v>
      </c>
      <c r="B15" s="75">
        <v>0</v>
      </c>
      <c r="C15" s="75">
        <f t="shared" si="0"/>
        <v>310684.9315068493</v>
      </c>
      <c r="D15" s="75">
        <f t="shared" si="1"/>
        <v>310684.9315068493</v>
      </c>
      <c r="E15" s="75">
        <f t="shared" si="2"/>
        <v>27000000</v>
      </c>
    </row>
    <row r="16" spans="1:9">
      <c r="A16" s="74">
        <f t="shared" si="3"/>
        <v>15</v>
      </c>
      <c r="B16" s="75">
        <v>0</v>
      </c>
      <c r="C16" s="75">
        <f t="shared" si="0"/>
        <v>310684.9315068493</v>
      </c>
      <c r="D16" s="75">
        <f t="shared" si="1"/>
        <v>310684.9315068493</v>
      </c>
      <c r="E16" s="75">
        <f t="shared" si="2"/>
        <v>27000000</v>
      </c>
    </row>
    <row r="17" spans="1:5">
      <c r="A17" s="74">
        <f t="shared" si="3"/>
        <v>16</v>
      </c>
      <c r="B17" s="75">
        <v>0</v>
      </c>
      <c r="C17" s="75">
        <f t="shared" si="0"/>
        <v>310684.9315068493</v>
      </c>
      <c r="D17" s="75">
        <f t="shared" si="1"/>
        <v>310684.9315068493</v>
      </c>
      <c r="E17" s="75">
        <f t="shared" si="2"/>
        <v>27000000</v>
      </c>
    </row>
    <row r="18" spans="1:5">
      <c r="A18" s="74">
        <f t="shared" si="3"/>
        <v>17</v>
      </c>
      <c r="B18" s="75">
        <v>0</v>
      </c>
      <c r="C18" s="75">
        <f t="shared" si="0"/>
        <v>310684.9315068493</v>
      </c>
      <c r="D18" s="75">
        <f t="shared" si="1"/>
        <v>310684.9315068493</v>
      </c>
      <c r="E18" s="75">
        <f t="shared" si="2"/>
        <v>27000000</v>
      </c>
    </row>
    <row r="19" spans="1:5">
      <c r="A19" s="74">
        <f t="shared" si="3"/>
        <v>18</v>
      </c>
      <c r="B19" s="75">
        <v>0</v>
      </c>
      <c r="C19" s="75">
        <f t="shared" si="0"/>
        <v>310684.9315068493</v>
      </c>
      <c r="D19" s="75">
        <f t="shared" si="1"/>
        <v>310684.9315068493</v>
      </c>
      <c r="E19" s="75">
        <f t="shared" si="2"/>
        <v>27000000</v>
      </c>
    </row>
    <row r="20" spans="1:5">
      <c r="A20" s="74">
        <f t="shared" si="3"/>
        <v>19</v>
      </c>
      <c r="B20" s="75">
        <v>0</v>
      </c>
      <c r="C20" s="75">
        <f t="shared" si="0"/>
        <v>310684.9315068493</v>
      </c>
      <c r="D20" s="75">
        <f t="shared" si="1"/>
        <v>310684.9315068493</v>
      </c>
      <c r="E20" s="75">
        <f t="shared" si="2"/>
        <v>27000000</v>
      </c>
    </row>
    <row r="21" spans="1:5">
      <c r="A21" s="74">
        <f t="shared" si="3"/>
        <v>20</v>
      </c>
      <c r="B21" s="75">
        <v>0</v>
      </c>
      <c r="C21" s="75">
        <f t="shared" si="0"/>
        <v>310684.9315068493</v>
      </c>
      <c r="D21" s="75">
        <f t="shared" si="1"/>
        <v>310684.9315068493</v>
      </c>
      <c r="E21" s="75">
        <f t="shared" si="2"/>
        <v>27000000</v>
      </c>
    </row>
    <row r="22" spans="1:5">
      <c r="A22" s="74">
        <f t="shared" si="3"/>
        <v>21</v>
      </c>
      <c r="B22" s="75">
        <v>0</v>
      </c>
      <c r="C22" s="75">
        <f t="shared" si="0"/>
        <v>310684.9315068493</v>
      </c>
      <c r="D22" s="75">
        <f t="shared" si="1"/>
        <v>310684.9315068493</v>
      </c>
      <c r="E22" s="75">
        <f t="shared" si="2"/>
        <v>27000000</v>
      </c>
    </row>
    <row r="23" spans="1:5">
      <c r="A23" s="74">
        <f t="shared" si="3"/>
        <v>22</v>
      </c>
      <c r="B23" s="75">
        <v>0</v>
      </c>
      <c r="C23" s="75">
        <f t="shared" si="0"/>
        <v>310684.9315068493</v>
      </c>
      <c r="D23" s="75">
        <f t="shared" si="1"/>
        <v>310684.9315068493</v>
      </c>
      <c r="E23" s="75">
        <f t="shared" si="2"/>
        <v>27000000</v>
      </c>
    </row>
    <row r="24" spans="1:5">
      <c r="A24" s="74">
        <f t="shared" si="3"/>
        <v>23</v>
      </c>
      <c r="B24" s="75">
        <v>0</v>
      </c>
      <c r="C24" s="75">
        <f t="shared" si="0"/>
        <v>310684.9315068493</v>
      </c>
      <c r="D24" s="75">
        <f t="shared" si="1"/>
        <v>310684.9315068493</v>
      </c>
      <c r="E24" s="75">
        <f t="shared" si="2"/>
        <v>27000000</v>
      </c>
    </row>
    <row r="25" spans="1:5">
      <c r="A25" s="74">
        <f t="shared" si="3"/>
        <v>24</v>
      </c>
      <c r="B25" s="75">
        <v>0</v>
      </c>
      <c r="C25" s="75">
        <f t="shared" si="0"/>
        <v>310684.9315068493</v>
      </c>
      <c r="D25" s="75">
        <f t="shared" si="1"/>
        <v>310684.9315068493</v>
      </c>
      <c r="E25" s="75">
        <f t="shared" si="2"/>
        <v>27000000</v>
      </c>
    </row>
    <row r="26" spans="1:5">
      <c r="A26" s="74">
        <f t="shared" si="3"/>
        <v>25</v>
      </c>
      <c r="B26" s="75">
        <v>0</v>
      </c>
      <c r="C26" s="75">
        <f t="shared" si="0"/>
        <v>310684.9315068493</v>
      </c>
      <c r="D26" s="75">
        <f t="shared" si="1"/>
        <v>310684.9315068493</v>
      </c>
      <c r="E26" s="75">
        <f t="shared" si="2"/>
        <v>27000000</v>
      </c>
    </row>
    <row r="27" spans="1:5">
      <c r="A27" s="74">
        <f t="shared" si="3"/>
        <v>26</v>
      </c>
      <c r="B27" s="75">
        <v>0</v>
      </c>
      <c r="C27" s="75">
        <f t="shared" si="0"/>
        <v>310684.9315068493</v>
      </c>
      <c r="D27" s="75">
        <f t="shared" si="1"/>
        <v>310684.9315068493</v>
      </c>
      <c r="E27" s="75">
        <f t="shared" si="2"/>
        <v>27000000</v>
      </c>
    </row>
    <row r="28" spans="1:5">
      <c r="A28" s="74">
        <f t="shared" si="3"/>
        <v>27</v>
      </c>
      <c r="B28" s="75">
        <v>0</v>
      </c>
      <c r="C28" s="75">
        <f t="shared" si="0"/>
        <v>310684.9315068493</v>
      </c>
      <c r="D28" s="75">
        <f t="shared" si="1"/>
        <v>310684.9315068493</v>
      </c>
      <c r="E28" s="75">
        <f t="shared" si="2"/>
        <v>27000000</v>
      </c>
    </row>
    <row r="29" spans="1:5">
      <c r="A29" s="74">
        <f t="shared" si="3"/>
        <v>28</v>
      </c>
      <c r="B29" s="75">
        <v>0</v>
      </c>
      <c r="C29" s="75">
        <f t="shared" si="0"/>
        <v>310684.9315068493</v>
      </c>
      <c r="D29" s="75">
        <f t="shared" si="1"/>
        <v>310684.9315068493</v>
      </c>
      <c r="E29" s="75">
        <f t="shared" si="2"/>
        <v>27000000</v>
      </c>
    </row>
    <row r="30" spans="1:5">
      <c r="A30" s="74">
        <f t="shared" si="3"/>
        <v>29</v>
      </c>
      <c r="B30" s="75">
        <v>0</v>
      </c>
      <c r="C30" s="75">
        <f t="shared" si="0"/>
        <v>310684.9315068493</v>
      </c>
      <c r="D30" s="75">
        <f t="shared" si="1"/>
        <v>310684.9315068493</v>
      </c>
      <c r="E30" s="75">
        <f t="shared" si="2"/>
        <v>27000000</v>
      </c>
    </row>
    <row r="31" spans="1:5">
      <c r="A31" s="74">
        <f t="shared" si="3"/>
        <v>30</v>
      </c>
      <c r="B31" s="75">
        <v>0</v>
      </c>
      <c r="C31" s="75">
        <f t="shared" si="0"/>
        <v>310684.9315068493</v>
      </c>
      <c r="D31" s="75">
        <f t="shared" si="1"/>
        <v>310684.9315068493</v>
      </c>
      <c r="E31" s="75">
        <f t="shared" si="2"/>
        <v>27000000</v>
      </c>
    </row>
    <row r="32" spans="1:5">
      <c r="A32" s="74">
        <f t="shared" si="3"/>
        <v>31</v>
      </c>
      <c r="B32" s="75">
        <v>0</v>
      </c>
      <c r="C32" s="75">
        <f t="shared" si="0"/>
        <v>310684.9315068493</v>
      </c>
      <c r="D32" s="75">
        <f t="shared" si="1"/>
        <v>310684.9315068493</v>
      </c>
      <c r="E32" s="75">
        <f t="shared" si="2"/>
        <v>27000000</v>
      </c>
    </row>
    <row r="33" spans="1:5">
      <c r="A33" s="74">
        <f t="shared" si="3"/>
        <v>32</v>
      </c>
      <c r="B33" s="75">
        <v>0</v>
      </c>
      <c r="C33" s="75">
        <f t="shared" si="0"/>
        <v>310684.9315068493</v>
      </c>
      <c r="D33" s="75">
        <f t="shared" si="1"/>
        <v>310684.9315068493</v>
      </c>
      <c r="E33" s="75">
        <f t="shared" si="2"/>
        <v>27000000</v>
      </c>
    </row>
    <row r="34" spans="1:5">
      <c r="A34" s="74">
        <f t="shared" si="3"/>
        <v>33</v>
      </c>
      <c r="B34" s="75">
        <v>0</v>
      </c>
      <c r="C34" s="75">
        <f t="shared" si="0"/>
        <v>310684.9315068493</v>
      </c>
      <c r="D34" s="75">
        <f t="shared" si="1"/>
        <v>310684.9315068493</v>
      </c>
      <c r="E34" s="75">
        <f t="shared" si="2"/>
        <v>27000000</v>
      </c>
    </row>
    <row r="35" spans="1:5">
      <c r="A35" s="74">
        <f t="shared" si="3"/>
        <v>34</v>
      </c>
      <c r="B35" s="75">
        <v>0</v>
      </c>
      <c r="C35" s="75">
        <f t="shared" si="0"/>
        <v>310684.9315068493</v>
      </c>
      <c r="D35" s="75">
        <f t="shared" si="1"/>
        <v>310684.9315068493</v>
      </c>
      <c r="E35" s="75">
        <f t="shared" si="2"/>
        <v>27000000</v>
      </c>
    </row>
    <row r="36" spans="1:5">
      <c r="A36" s="74">
        <f t="shared" si="3"/>
        <v>35</v>
      </c>
      <c r="B36" s="75">
        <v>0</v>
      </c>
      <c r="C36" s="75">
        <f t="shared" si="0"/>
        <v>310684.9315068493</v>
      </c>
      <c r="D36" s="75">
        <f t="shared" si="1"/>
        <v>310684.9315068493</v>
      </c>
      <c r="E36" s="75">
        <f t="shared" si="2"/>
        <v>27000000</v>
      </c>
    </row>
    <row r="37" spans="1:5">
      <c r="A37" s="74">
        <f t="shared" si="3"/>
        <v>36</v>
      </c>
      <c r="B37" s="75">
        <v>0</v>
      </c>
      <c r="C37" s="75">
        <f t="shared" si="0"/>
        <v>310684.9315068493</v>
      </c>
      <c r="D37" s="75">
        <f t="shared" si="1"/>
        <v>310684.9315068493</v>
      </c>
      <c r="E37" s="75">
        <f t="shared" si="2"/>
        <v>27000000</v>
      </c>
    </row>
    <row r="38" spans="1:5">
      <c r="A38" s="74">
        <f t="shared" si="3"/>
        <v>37</v>
      </c>
      <c r="B38" s="75">
        <f>+I2/48</f>
        <v>562500</v>
      </c>
      <c r="C38" s="75">
        <f t="shared" si="0"/>
        <v>310684.9315068493</v>
      </c>
      <c r="D38" s="75">
        <f t="shared" si="1"/>
        <v>873184.93150684936</v>
      </c>
      <c r="E38" s="75">
        <f>+E7</f>
        <v>27000000</v>
      </c>
    </row>
    <row r="39" spans="1:5">
      <c r="A39" s="74">
        <f t="shared" si="3"/>
        <v>38</v>
      </c>
      <c r="B39" s="75">
        <f>+B38</f>
        <v>562500</v>
      </c>
      <c r="C39" s="75">
        <f t="shared" si="0"/>
        <v>304212.32876712328</v>
      </c>
      <c r="D39" s="75">
        <f t="shared" si="1"/>
        <v>866712.32876712328</v>
      </c>
      <c r="E39" s="75">
        <f>+E38-B39</f>
        <v>26437500</v>
      </c>
    </row>
    <row r="40" spans="1:5">
      <c r="A40" s="74">
        <f t="shared" si="3"/>
        <v>39</v>
      </c>
      <c r="B40" s="75">
        <f t="shared" ref="B40:B85" si="4">+B39</f>
        <v>562500</v>
      </c>
      <c r="C40" s="75">
        <f t="shared" si="0"/>
        <v>297739.72602739726</v>
      </c>
      <c r="D40" s="75">
        <f t="shared" si="1"/>
        <v>860239.72602739721</v>
      </c>
      <c r="E40" s="75">
        <f t="shared" ref="E40:E85" si="5">+E39-B40</f>
        <v>25875000</v>
      </c>
    </row>
    <row r="41" spans="1:5">
      <c r="A41" s="74">
        <f t="shared" si="3"/>
        <v>40</v>
      </c>
      <c r="B41" s="75">
        <f t="shared" si="4"/>
        <v>562500</v>
      </c>
      <c r="C41" s="75">
        <f t="shared" si="0"/>
        <v>291267.12328767125</v>
      </c>
      <c r="D41" s="75">
        <f t="shared" si="1"/>
        <v>853767.12328767125</v>
      </c>
      <c r="E41" s="75">
        <f t="shared" si="5"/>
        <v>25312500</v>
      </c>
    </row>
    <row r="42" spans="1:5">
      <c r="A42" s="74">
        <f t="shared" si="3"/>
        <v>41</v>
      </c>
      <c r="B42" s="75">
        <f t="shared" si="4"/>
        <v>562500</v>
      </c>
      <c r="C42" s="75">
        <f t="shared" si="0"/>
        <v>284794.52054794517</v>
      </c>
      <c r="D42" s="75">
        <f t="shared" si="1"/>
        <v>847294.52054794517</v>
      </c>
      <c r="E42" s="75">
        <f t="shared" si="5"/>
        <v>24750000</v>
      </c>
    </row>
    <row r="43" spans="1:5">
      <c r="A43" s="74">
        <f t="shared" si="3"/>
        <v>42</v>
      </c>
      <c r="B43" s="75">
        <f t="shared" si="4"/>
        <v>562500</v>
      </c>
      <c r="C43" s="75">
        <f t="shared" si="0"/>
        <v>278321.91780821915</v>
      </c>
      <c r="D43" s="75">
        <f t="shared" si="1"/>
        <v>840821.91780821909</v>
      </c>
      <c r="E43" s="75">
        <f t="shared" si="5"/>
        <v>24187500</v>
      </c>
    </row>
    <row r="44" spans="1:5">
      <c r="A44" s="74">
        <f t="shared" si="3"/>
        <v>43</v>
      </c>
      <c r="B44" s="75">
        <f t="shared" si="4"/>
        <v>562500</v>
      </c>
      <c r="C44" s="75">
        <f t="shared" si="0"/>
        <v>271849.31506849313</v>
      </c>
      <c r="D44" s="75">
        <f t="shared" si="1"/>
        <v>834349.31506849313</v>
      </c>
      <c r="E44" s="75">
        <f t="shared" si="5"/>
        <v>23625000</v>
      </c>
    </row>
    <row r="45" spans="1:5">
      <c r="A45" s="74">
        <f t="shared" si="3"/>
        <v>44</v>
      </c>
      <c r="B45" s="75">
        <f t="shared" si="4"/>
        <v>562500</v>
      </c>
      <c r="C45" s="75">
        <f t="shared" si="0"/>
        <v>265376.71232876711</v>
      </c>
      <c r="D45" s="75">
        <f t="shared" si="1"/>
        <v>827876.71232876717</v>
      </c>
      <c r="E45" s="75">
        <f t="shared" si="5"/>
        <v>23062500</v>
      </c>
    </row>
    <row r="46" spans="1:5">
      <c r="A46" s="74">
        <f t="shared" si="3"/>
        <v>45</v>
      </c>
      <c r="B46" s="75">
        <f t="shared" si="4"/>
        <v>562500</v>
      </c>
      <c r="C46" s="75">
        <f t="shared" si="0"/>
        <v>258904.10958904109</v>
      </c>
      <c r="D46" s="75">
        <f t="shared" si="1"/>
        <v>821404.10958904109</v>
      </c>
      <c r="E46" s="75">
        <f t="shared" si="5"/>
        <v>22500000</v>
      </c>
    </row>
    <row r="47" spans="1:5">
      <c r="A47" s="74">
        <f t="shared" si="3"/>
        <v>46</v>
      </c>
      <c r="B47" s="75">
        <f t="shared" si="4"/>
        <v>562500</v>
      </c>
      <c r="C47" s="75">
        <f t="shared" si="0"/>
        <v>252431.50684931505</v>
      </c>
      <c r="D47" s="75">
        <f t="shared" si="1"/>
        <v>814931.50684931502</v>
      </c>
      <c r="E47" s="75">
        <f t="shared" si="5"/>
        <v>21937500</v>
      </c>
    </row>
    <row r="48" spans="1:5">
      <c r="A48" s="74">
        <f t="shared" si="3"/>
        <v>47</v>
      </c>
      <c r="B48" s="75">
        <f t="shared" si="4"/>
        <v>562500</v>
      </c>
      <c r="C48" s="75">
        <f t="shared" si="0"/>
        <v>245958.90410958903</v>
      </c>
      <c r="D48" s="75">
        <f t="shared" si="1"/>
        <v>808458.90410958906</v>
      </c>
      <c r="E48" s="75">
        <f t="shared" si="5"/>
        <v>21375000</v>
      </c>
    </row>
    <row r="49" spans="1:5">
      <c r="A49" s="74">
        <f t="shared" si="3"/>
        <v>48</v>
      </c>
      <c r="B49" s="75">
        <f t="shared" si="4"/>
        <v>562500</v>
      </c>
      <c r="C49" s="75">
        <f t="shared" si="0"/>
        <v>239486.30136986301</v>
      </c>
      <c r="D49" s="75">
        <f t="shared" si="1"/>
        <v>801986.30136986298</v>
      </c>
      <c r="E49" s="75">
        <f t="shared" si="5"/>
        <v>20812500</v>
      </c>
    </row>
    <row r="50" spans="1:5">
      <c r="A50" s="74">
        <f t="shared" si="3"/>
        <v>49</v>
      </c>
      <c r="B50" s="75">
        <f t="shared" si="4"/>
        <v>562500</v>
      </c>
      <c r="C50" s="75">
        <f t="shared" si="0"/>
        <v>233013.69863013696</v>
      </c>
      <c r="D50" s="75">
        <f t="shared" si="1"/>
        <v>795513.6986301369</v>
      </c>
      <c r="E50" s="75">
        <f t="shared" si="5"/>
        <v>20250000</v>
      </c>
    </row>
    <row r="51" spans="1:5">
      <c r="A51" s="74">
        <f t="shared" si="3"/>
        <v>50</v>
      </c>
      <c r="B51" s="75">
        <f t="shared" si="4"/>
        <v>562500</v>
      </c>
      <c r="C51" s="75">
        <f t="shared" si="0"/>
        <v>226541.09589041094</v>
      </c>
      <c r="D51" s="75">
        <f t="shared" si="1"/>
        <v>789041.09589041094</v>
      </c>
      <c r="E51" s="75">
        <f t="shared" si="5"/>
        <v>19687500</v>
      </c>
    </row>
    <row r="52" spans="1:5">
      <c r="A52" s="74">
        <f t="shared" si="3"/>
        <v>51</v>
      </c>
      <c r="B52" s="75">
        <f t="shared" si="4"/>
        <v>562500</v>
      </c>
      <c r="C52" s="75">
        <f t="shared" si="0"/>
        <v>220068.49315068492</v>
      </c>
      <c r="D52" s="75">
        <f t="shared" si="1"/>
        <v>782568.49315068498</v>
      </c>
      <c r="E52" s="75">
        <f t="shared" si="5"/>
        <v>19125000</v>
      </c>
    </row>
    <row r="53" spans="1:5">
      <c r="A53" s="74">
        <f t="shared" si="3"/>
        <v>52</v>
      </c>
      <c r="B53" s="75">
        <f t="shared" si="4"/>
        <v>562500</v>
      </c>
      <c r="C53" s="75">
        <f t="shared" si="0"/>
        <v>213595.89041095891</v>
      </c>
      <c r="D53" s="75">
        <f t="shared" si="1"/>
        <v>776095.89041095891</v>
      </c>
      <c r="E53" s="75">
        <f t="shared" si="5"/>
        <v>18562500</v>
      </c>
    </row>
    <row r="54" spans="1:5">
      <c r="A54" s="74">
        <f t="shared" si="3"/>
        <v>53</v>
      </c>
      <c r="B54" s="75">
        <f t="shared" si="4"/>
        <v>562500</v>
      </c>
      <c r="C54" s="75">
        <f t="shared" si="0"/>
        <v>207123.28767123286</v>
      </c>
      <c r="D54" s="75">
        <f t="shared" si="1"/>
        <v>769623.28767123283</v>
      </c>
      <c r="E54" s="75">
        <f t="shared" si="5"/>
        <v>18000000</v>
      </c>
    </row>
    <row r="55" spans="1:5">
      <c r="A55" s="74">
        <f t="shared" si="3"/>
        <v>54</v>
      </c>
      <c r="B55" s="75">
        <f t="shared" si="4"/>
        <v>562500</v>
      </c>
      <c r="C55" s="75">
        <f t="shared" si="0"/>
        <v>200650.68493150684</v>
      </c>
      <c r="D55" s="75">
        <f t="shared" si="1"/>
        <v>763150.68493150687</v>
      </c>
      <c r="E55" s="75">
        <f t="shared" si="5"/>
        <v>17437500</v>
      </c>
    </row>
    <row r="56" spans="1:5">
      <c r="A56" s="74">
        <f t="shared" si="3"/>
        <v>55</v>
      </c>
      <c r="B56" s="75">
        <f t="shared" si="4"/>
        <v>562500</v>
      </c>
      <c r="C56" s="75">
        <f t="shared" si="0"/>
        <v>194178.08219178082</v>
      </c>
      <c r="D56" s="75">
        <f t="shared" si="1"/>
        <v>756678.08219178079</v>
      </c>
      <c r="E56" s="75">
        <f t="shared" si="5"/>
        <v>16875000</v>
      </c>
    </row>
    <row r="57" spans="1:5">
      <c r="A57" s="74">
        <f t="shared" si="3"/>
        <v>56</v>
      </c>
      <c r="B57" s="75">
        <f t="shared" si="4"/>
        <v>562500</v>
      </c>
      <c r="C57" s="75">
        <f t="shared" si="0"/>
        <v>187705.47945205477</v>
      </c>
      <c r="D57" s="75">
        <f t="shared" si="1"/>
        <v>750205.47945205471</v>
      </c>
      <c r="E57" s="75">
        <f t="shared" si="5"/>
        <v>16312500</v>
      </c>
    </row>
    <row r="58" spans="1:5">
      <c r="A58" s="74">
        <f t="shared" si="3"/>
        <v>57</v>
      </c>
      <c r="B58" s="75">
        <f t="shared" si="4"/>
        <v>562500</v>
      </c>
      <c r="C58" s="75">
        <f t="shared" si="0"/>
        <v>181232.87671232875</v>
      </c>
      <c r="D58" s="75">
        <f t="shared" si="1"/>
        <v>743732.87671232875</v>
      </c>
      <c r="E58" s="75">
        <f t="shared" si="5"/>
        <v>15750000</v>
      </c>
    </row>
    <row r="59" spans="1:5">
      <c r="A59" s="74">
        <f t="shared" si="3"/>
        <v>58</v>
      </c>
      <c r="B59" s="75">
        <f t="shared" si="4"/>
        <v>562500</v>
      </c>
      <c r="C59" s="75">
        <f t="shared" si="0"/>
        <v>174760.27397260274</v>
      </c>
      <c r="D59" s="75">
        <f t="shared" si="1"/>
        <v>737260.27397260279</v>
      </c>
      <c r="E59" s="75">
        <f t="shared" si="5"/>
        <v>15187500</v>
      </c>
    </row>
    <row r="60" spans="1:5">
      <c r="A60" s="74">
        <f t="shared" si="3"/>
        <v>59</v>
      </c>
      <c r="B60" s="75">
        <f t="shared" si="4"/>
        <v>562500</v>
      </c>
      <c r="C60" s="75">
        <f t="shared" si="0"/>
        <v>168287.67123287672</v>
      </c>
      <c r="D60" s="75">
        <f t="shared" si="1"/>
        <v>730787.67123287672</v>
      </c>
      <c r="E60" s="75">
        <f t="shared" si="5"/>
        <v>14625000</v>
      </c>
    </row>
    <row r="61" spans="1:5">
      <c r="A61" s="74">
        <f t="shared" si="3"/>
        <v>60</v>
      </c>
      <c r="B61" s="75">
        <f t="shared" si="4"/>
        <v>562500</v>
      </c>
      <c r="C61" s="75">
        <f t="shared" si="0"/>
        <v>161815.06849315067</v>
      </c>
      <c r="D61" s="75">
        <f t="shared" si="1"/>
        <v>724315.06849315064</v>
      </c>
      <c r="E61" s="75">
        <f t="shared" si="5"/>
        <v>14062500</v>
      </c>
    </row>
    <row r="62" spans="1:5">
      <c r="A62" s="74">
        <f t="shared" si="3"/>
        <v>61</v>
      </c>
      <c r="B62" s="75">
        <f t="shared" si="4"/>
        <v>562500</v>
      </c>
      <c r="C62" s="75">
        <f t="shared" si="0"/>
        <v>155342.46575342465</v>
      </c>
      <c r="D62" s="75">
        <f t="shared" si="1"/>
        <v>717842.46575342468</v>
      </c>
      <c r="E62" s="75">
        <f t="shared" si="5"/>
        <v>13500000</v>
      </c>
    </row>
    <row r="63" spans="1:5">
      <c r="A63" s="74">
        <f t="shared" si="3"/>
        <v>62</v>
      </c>
      <c r="B63" s="75">
        <f t="shared" si="4"/>
        <v>562500</v>
      </c>
      <c r="C63" s="75">
        <f t="shared" si="0"/>
        <v>148869.86301369863</v>
      </c>
      <c r="D63" s="75">
        <f t="shared" si="1"/>
        <v>711369.8630136986</v>
      </c>
      <c r="E63" s="75">
        <f t="shared" si="5"/>
        <v>12937500</v>
      </c>
    </row>
    <row r="64" spans="1:5">
      <c r="A64" s="74">
        <f t="shared" si="3"/>
        <v>63</v>
      </c>
      <c r="B64" s="75">
        <f t="shared" si="4"/>
        <v>562500</v>
      </c>
      <c r="C64" s="75">
        <f t="shared" si="0"/>
        <v>142397.26027397258</v>
      </c>
      <c r="D64" s="75">
        <f t="shared" si="1"/>
        <v>704897.26027397253</v>
      </c>
      <c r="E64" s="75">
        <f t="shared" si="5"/>
        <v>12375000</v>
      </c>
    </row>
    <row r="65" spans="1:5">
      <c r="A65" s="74">
        <f t="shared" si="3"/>
        <v>64</v>
      </c>
      <c r="B65" s="75">
        <f t="shared" si="4"/>
        <v>562500</v>
      </c>
      <c r="C65" s="75">
        <f t="shared" si="0"/>
        <v>135924.65753424657</v>
      </c>
      <c r="D65" s="75">
        <f t="shared" si="1"/>
        <v>698424.65753424657</v>
      </c>
      <c r="E65" s="75">
        <f t="shared" si="5"/>
        <v>11812500</v>
      </c>
    </row>
    <row r="66" spans="1:5">
      <c r="A66" s="74">
        <f t="shared" si="3"/>
        <v>65</v>
      </c>
      <c r="B66" s="75">
        <f t="shared" si="4"/>
        <v>562500</v>
      </c>
      <c r="C66" s="75">
        <f t="shared" si="0"/>
        <v>129452.05479452055</v>
      </c>
      <c r="D66" s="75">
        <f t="shared" si="1"/>
        <v>691952.05479452061</v>
      </c>
      <c r="E66" s="75">
        <f t="shared" si="5"/>
        <v>11250000</v>
      </c>
    </row>
    <row r="67" spans="1:5">
      <c r="A67" s="74">
        <f t="shared" si="3"/>
        <v>66</v>
      </c>
      <c r="B67" s="75">
        <f t="shared" si="4"/>
        <v>562500</v>
      </c>
      <c r="C67" s="75">
        <f t="shared" si="0"/>
        <v>122979.45205479451</v>
      </c>
      <c r="D67" s="75">
        <f t="shared" si="1"/>
        <v>685479.45205479453</v>
      </c>
      <c r="E67" s="75">
        <f t="shared" si="5"/>
        <v>10687500</v>
      </c>
    </row>
    <row r="68" spans="1:5">
      <c r="A68" s="74">
        <f t="shared" si="3"/>
        <v>67</v>
      </c>
      <c r="B68" s="75">
        <f t="shared" si="4"/>
        <v>562500</v>
      </c>
      <c r="C68" s="75">
        <f t="shared" si="0"/>
        <v>116506.84931506848</v>
      </c>
      <c r="D68" s="75">
        <f t="shared" si="1"/>
        <v>679006.84931506845</v>
      </c>
      <c r="E68" s="75">
        <f t="shared" si="5"/>
        <v>10125000</v>
      </c>
    </row>
    <row r="69" spans="1:5">
      <c r="A69" s="74">
        <f t="shared" si="3"/>
        <v>68</v>
      </c>
      <c r="B69" s="75">
        <f t="shared" si="4"/>
        <v>562500</v>
      </c>
      <c r="C69" s="75">
        <f t="shared" si="0"/>
        <v>110034.24657534246</v>
      </c>
      <c r="D69" s="75">
        <f t="shared" si="1"/>
        <v>672534.24657534249</v>
      </c>
      <c r="E69" s="75">
        <f t="shared" si="5"/>
        <v>9562500</v>
      </c>
    </row>
    <row r="70" spans="1:5">
      <c r="A70" s="74">
        <f t="shared" si="3"/>
        <v>69</v>
      </c>
      <c r="B70" s="75">
        <f t="shared" si="4"/>
        <v>562500</v>
      </c>
      <c r="C70" s="75">
        <f t="shared" si="0"/>
        <v>103561.64383561643</v>
      </c>
      <c r="D70" s="75">
        <f t="shared" si="1"/>
        <v>666061.64383561641</v>
      </c>
      <c r="E70" s="75">
        <f t="shared" si="5"/>
        <v>9000000</v>
      </c>
    </row>
    <row r="71" spans="1:5">
      <c r="A71" s="74">
        <f t="shared" si="3"/>
        <v>70</v>
      </c>
      <c r="B71" s="75">
        <f t="shared" si="4"/>
        <v>562500</v>
      </c>
      <c r="C71" s="75">
        <f t="shared" si="0"/>
        <v>97089.04109589041</v>
      </c>
      <c r="D71" s="75">
        <f t="shared" si="1"/>
        <v>659589.04109589045</v>
      </c>
      <c r="E71" s="75">
        <f t="shared" si="5"/>
        <v>8437500</v>
      </c>
    </row>
    <row r="72" spans="1:5">
      <c r="A72" s="74">
        <f t="shared" si="3"/>
        <v>71</v>
      </c>
      <c r="B72" s="75">
        <f t="shared" si="4"/>
        <v>562500</v>
      </c>
      <c r="C72" s="75">
        <f t="shared" si="0"/>
        <v>90616.438356164377</v>
      </c>
      <c r="D72" s="75">
        <f t="shared" si="1"/>
        <v>653116.43835616438</v>
      </c>
      <c r="E72" s="75">
        <f t="shared" si="5"/>
        <v>7875000</v>
      </c>
    </row>
    <row r="73" spans="1:5">
      <c r="A73" s="74">
        <f t="shared" ref="A73:A85" si="6">+A72+1</f>
        <v>72</v>
      </c>
      <c r="B73" s="75">
        <f t="shared" si="4"/>
        <v>562500</v>
      </c>
      <c r="C73" s="75">
        <f t="shared" si="0"/>
        <v>84143.835616438359</v>
      </c>
      <c r="D73" s="75">
        <f t="shared" si="1"/>
        <v>646643.83561643842</v>
      </c>
      <c r="E73" s="75">
        <f t="shared" si="5"/>
        <v>7312500</v>
      </c>
    </row>
    <row r="74" spans="1:5">
      <c r="A74" s="74">
        <f t="shared" si="6"/>
        <v>73</v>
      </c>
      <c r="B74" s="75">
        <f t="shared" si="4"/>
        <v>562500</v>
      </c>
      <c r="C74" s="75">
        <f t="shared" si="0"/>
        <v>77671.232876712325</v>
      </c>
      <c r="D74" s="75">
        <f t="shared" si="1"/>
        <v>640171.23287671234</v>
      </c>
      <c r="E74" s="75">
        <f t="shared" si="5"/>
        <v>6750000</v>
      </c>
    </row>
    <row r="75" spans="1:5">
      <c r="A75" s="74">
        <f t="shared" si="6"/>
        <v>74</v>
      </c>
      <c r="B75" s="75">
        <f t="shared" si="4"/>
        <v>562500</v>
      </c>
      <c r="C75" s="75">
        <f t="shared" si="0"/>
        <v>71198.630136986292</v>
      </c>
      <c r="D75" s="75">
        <f t="shared" si="1"/>
        <v>633698.63013698626</v>
      </c>
      <c r="E75" s="75">
        <f t="shared" si="5"/>
        <v>6187500</v>
      </c>
    </row>
    <row r="76" spans="1:5">
      <c r="A76" s="74">
        <f t="shared" si="6"/>
        <v>75</v>
      </c>
      <c r="B76" s="75">
        <f t="shared" si="4"/>
        <v>562500</v>
      </c>
      <c r="C76" s="75">
        <f t="shared" si="0"/>
        <v>64726.027397260274</v>
      </c>
      <c r="D76" s="75">
        <f t="shared" si="1"/>
        <v>627226.0273972603</v>
      </c>
      <c r="E76" s="75">
        <f t="shared" si="5"/>
        <v>5625000</v>
      </c>
    </row>
    <row r="77" spans="1:5">
      <c r="A77" s="74">
        <f t="shared" si="6"/>
        <v>76</v>
      </c>
      <c r="B77" s="75">
        <f t="shared" si="4"/>
        <v>562500</v>
      </c>
      <c r="C77" s="75">
        <f t="shared" si="0"/>
        <v>58253.42465753424</v>
      </c>
      <c r="D77" s="75">
        <f t="shared" si="1"/>
        <v>620753.42465753423</v>
      </c>
      <c r="E77" s="75">
        <f t="shared" si="5"/>
        <v>5062500</v>
      </c>
    </row>
    <row r="78" spans="1:5">
      <c r="A78" s="74">
        <f t="shared" si="6"/>
        <v>77</v>
      </c>
      <c r="B78" s="75">
        <f t="shared" si="4"/>
        <v>562500</v>
      </c>
      <c r="C78" s="75">
        <f t="shared" si="0"/>
        <v>51780.821917808214</v>
      </c>
      <c r="D78" s="75">
        <f t="shared" si="1"/>
        <v>614280.82191780827</v>
      </c>
      <c r="E78" s="75">
        <f t="shared" si="5"/>
        <v>4500000</v>
      </c>
    </row>
    <row r="79" spans="1:5">
      <c r="A79" s="74">
        <f t="shared" si="6"/>
        <v>78</v>
      </c>
      <c r="B79" s="75">
        <f t="shared" si="4"/>
        <v>562500</v>
      </c>
      <c r="C79" s="75">
        <f t="shared" si="0"/>
        <v>45308.219178082189</v>
      </c>
      <c r="D79" s="75">
        <f t="shared" si="1"/>
        <v>607808.21917808219</v>
      </c>
      <c r="E79" s="75">
        <f t="shared" si="5"/>
        <v>3937500</v>
      </c>
    </row>
    <row r="80" spans="1:5">
      <c r="A80" s="74">
        <f t="shared" si="6"/>
        <v>79</v>
      </c>
      <c r="B80" s="75">
        <f t="shared" si="4"/>
        <v>562500</v>
      </c>
      <c r="C80" s="75">
        <f t="shared" si="0"/>
        <v>38835.616438356163</v>
      </c>
      <c r="D80" s="75">
        <f t="shared" si="1"/>
        <v>601335.61643835611</v>
      </c>
      <c r="E80" s="75">
        <f t="shared" si="5"/>
        <v>3375000</v>
      </c>
    </row>
    <row r="81" spans="1:5">
      <c r="A81" s="74">
        <f t="shared" si="6"/>
        <v>80</v>
      </c>
      <c r="B81" s="75">
        <f t="shared" si="4"/>
        <v>562500</v>
      </c>
      <c r="C81" s="75">
        <f t="shared" si="0"/>
        <v>32363.013698630137</v>
      </c>
      <c r="D81" s="75">
        <f t="shared" si="1"/>
        <v>594863.01369863015</v>
      </c>
      <c r="E81" s="75">
        <f t="shared" si="5"/>
        <v>2812500</v>
      </c>
    </row>
    <row r="82" spans="1:5">
      <c r="A82" s="74">
        <f t="shared" si="6"/>
        <v>81</v>
      </c>
      <c r="B82" s="75">
        <f t="shared" si="4"/>
        <v>562500</v>
      </c>
      <c r="C82" s="75">
        <f t="shared" si="0"/>
        <v>25890.410958904107</v>
      </c>
      <c r="D82" s="75">
        <f t="shared" si="1"/>
        <v>588390.41095890407</v>
      </c>
      <c r="E82" s="75">
        <f t="shared" si="5"/>
        <v>2250000</v>
      </c>
    </row>
    <row r="83" spans="1:5">
      <c r="A83" s="74">
        <f t="shared" si="6"/>
        <v>82</v>
      </c>
      <c r="B83" s="75">
        <f t="shared" si="4"/>
        <v>562500</v>
      </c>
      <c r="C83" s="75">
        <f t="shared" si="0"/>
        <v>19417.808219178081</v>
      </c>
      <c r="D83" s="75">
        <f t="shared" si="1"/>
        <v>581917.80821917811</v>
      </c>
      <c r="E83" s="75">
        <f t="shared" si="5"/>
        <v>1687500</v>
      </c>
    </row>
    <row r="84" spans="1:5">
      <c r="A84" s="74">
        <f t="shared" si="6"/>
        <v>83</v>
      </c>
      <c r="B84" s="75">
        <f t="shared" si="4"/>
        <v>562500</v>
      </c>
      <c r="C84" s="75">
        <f t="shared" si="0"/>
        <v>12945.205479452054</v>
      </c>
      <c r="D84" s="75">
        <f t="shared" si="1"/>
        <v>575445.20547945204</v>
      </c>
      <c r="E84" s="75">
        <f t="shared" si="5"/>
        <v>1125000</v>
      </c>
    </row>
    <row r="85" spans="1:5">
      <c r="A85" s="74">
        <f t="shared" si="6"/>
        <v>84</v>
      </c>
      <c r="B85" s="75">
        <f t="shared" si="4"/>
        <v>562500</v>
      </c>
      <c r="C85" s="75">
        <f t="shared" si="0"/>
        <v>6472.6027397260268</v>
      </c>
      <c r="D85" s="75">
        <f t="shared" si="1"/>
        <v>568972.60273972608</v>
      </c>
      <c r="E85" s="75">
        <f t="shared" si="5"/>
        <v>562500</v>
      </c>
    </row>
    <row r="86" spans="1:5">
      <c r="A86" s="74"/>
      <c r="B86" s="76">
        <f>SUM(B2:B85)</f>
        <v>27000000</v>
      </c>
      <c r="C86" s="76">
        <f>SUM(C2:C85)</f>
        <v>18796438.356164381</v>
      </c>
      <c r="D86" s="76">
        <f>SUM(D2:D85)</f>
        <v>45796438.356164381</v>
      </c>
      <c r="E86" s="75"/>
    </row>
    <row r="87" spans="1:5">
      <c r="A87" s="74"/>
      <c r="B87" s="75"/>
      <c r="C87" s="75"/>
      <c r="D87" s="75"/>
      <c r="E87" s="75"/>
    </row>
    <row r="88" spans="1:5">
      <c r="D88" s="73"/>
    </row>
    <row r="102" spans="2:3">
      <c r="B102" s="4" t="s">
        <v>4545</v>
      </c>
      <c r="C102" s="4" t="s">
        <v>4546</v>
      </c>
    </row>
    <row r="103" spans="2:3">
      <c r="B103" s="4" t="s">
        <v>4459</v>
      </c>
      <c r="C103" s="4" t="s">
        <v>4416</v>
      </c>
    </row>
    <row r="104" spans="2:3">
      <c r="B104" s="4" t="s">
        <v>4547</v>
      </c>
      <c r="C104" s="4" t="s">
        <v>4416</v>
      </c>
    </row>
    <row r="105" spans="2:3">
      <c r="B105" s="4" t="s">
        <v>4457</v>
      </c>
      <c r="C105" s="4" t="s">
        <v>4416</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47"/>
  <sheetViews>
    <sheetView topLeftCell="C536" workbookViewId="0">
      <selection activeCell="F557" sqref="F557"/>
    </sheetView>
  </sheetViews>
  <sheetFormatPr defaultRowHeight="14.4"/>
  <cols>
    <col min="1" max="1" width="11" customWidth="1"/>
    <col min="2" max="2" width="32.33203125" customWidth="1"/>
    <col min="4" max="4" width="30.5546875" customWidth="1"/>
    <col min="5" max="5" width="12" bestFit="1" customWidth="1"/>
    <col min="6" max="6" width="9.88671875" bestFit="1" customWidth="1"/>
    <col min="7" max="7" width="25.77734375" customWidth="1"/>
  </cols>
  <sheetData>
    <row r="2" spans="2:4">
      <c r="C2" s="37" t="s">
        <v>76</v>
      </c>
    </row>
    <row r="3" spans="2:4" s="6" customFormat="1">
      <c r="B3" s="38" t="s">
        <v>77</v>
      </c>
      <c r="C3" s="6">
        <v>7.5</v>
      </c>
      <c r="D3" s="2538" t="s">
        <v>84</v>
      </c>
    </row>
    <row r="4" spans="2:4" s="6" customFormat="1">
      <c r="B4" s="38" t="s">
        <v>78</v>
      </c>
      <c r="C4" s="38" t="s">
        <v>79</v>
      </c>
      <c r="D4" s="2537"/>
    </row>
    <row r="5" spans="2:4" s="6" customFormat="1">
      <c r="B5" s="38" t="s">
        <v>80</v>
      </c>
      <c r="C5" s="38" t="s">
        <v>79</v>
      </c>
      <c r="D5" s="2537"/>
    </row>
    <row r="6" spans="2:4" s="6" customFormat="1">
      <c r="B6" s="38" t="s">
        <v>81</v>
      </c>
      <c r="C6" s="38" t="s">
        <v>79</v>
      </c>
      <c r="D6" s="2537"/>
    </row>
    <row r="7" spans="2:4" s="6" customFormat="1">
      <c r="B7" s="38" t="s">
        <v>82</v>
      </c>
      <c r="C7" s="38" t="s">
        <v>79</v>
      </c>
      <c r="D7" s="39" t="s">
        <v>85</v>
      </c>
    </row>
    <row r="8" spans="2:4" s="6" customFormat="1">
      <c r="B8" s="38" t="s">
        <v>83</v>
      </c>
      <c r="C8" s="38" t="s">
        <v>79</v>
      </c>
      <c r="D8" s="39" t="s">
        <v>86</v>
      </c>
    </row>
    <row r="9" spans="2:4">
      <c r="B9" s="40" t="s">
        <v>87</v>
      </c>
      <c r="C9" s="40" t="s">
        <v>88</v>
      </c>
      <c r="D9" s="40"/>
    </row>
    <row r="10" spans="2:4" s="6" customFormat="1">
      <c r="B10" s="38" t="s">
        <v>89</v>
      </c>
      <c r="D10" s="2538" t="s">
        <v>91</v>
      </c>
    </row>
    <row r="11" spans="2:4" s="6" customFormat="1">
      <c r="B11" s="38" t="s">
        <v>90</v>
      </c>
      <c r="D11" s="2538"/>
    </row>
    <row r="12" spans="2:4">
      <c r="B12" s="40" t="s">
        <v>92</v>
      </c>
      <c r="C12" s="40" t="s">
        <v>79</v>
      </c>
      <c r="D12" s="2539" t="s">
        <v>94</v>
      </c>
    </row>
    <row r="13" spans="2:4">
      <c r="B13" s="40" t="s">
        <v>93</v>
      </c>
      <c r="C13" s="40" t="s">
        <v>79</v>
      </c>
      <c r="D13" s="2539"/>
    </row>
    <row r="14" spans="2:4">
      <c r="B14" s="38" t="s">
        <v>95</v>
      </c>
      <c r="C14" s="38" t="s">
        <v>79</v>
      </c>
      <c r="D14" s="2539" t="s">
        <v>94</v>
      </c>
    </row>
    <row r="15" spans="2:4">
      <c r="B15" s="38" t="s">
        <v>96</v>
      </c>
      <c r="C15" s="38" t="s">
        <v>79</v>
      </c>
      <c r="D15" s="2539"/>
    </row>
    <row r="16" spans="2:4">
      <c r="B16" s="38" t="s">
        <v>97</v>
      </c>
      <c r="C16" s="38" t="s">
        <v>79</v>
      </c>
      <c r="D16" s="38" t="s">
        <v>100</v>
      </c>
    </row>
    <row r="17" spans="2:4">
      <c r="B17" s="38" t="s">
        <v>98</v>
      </c>
      <c r="C17" s="38" t="s">
        <v>99</v>
      </c>
      <c r="D17" s="38" t="s">
        <v>100</v>
      </c>
    </row>
    <row r="18" spans="2:4">
      <c r="B18" s="38" t="s">
        <v>101</v>
      </c>
      <c r="C18" s="38" t="s">
        <v>79</v>
      </c>
      <c r="D18" s="38" t="s">
        <v>100</v>
      </c>
    </row>
    <row r="19" spans="2:4">
      <c r="B19" s="38" t="s">
        <v>102</v>
      </c>
      <c r="C19" s="38" t="s">
        <v>99</v>
      </c>
      <c r="D19" s="38" t="s">
        <v>100</v>
      </c>
    </row>
    <row r="20" spans="2:4">
      <c r="B20" s="38" t="s">
        <v>103</v>
      </c>
      <c r="C20" s="38" t="s">
        <v>79</v>
      </c>
      <c r="D20" s="2538" t="s">
        <v>105</v>
      </c>
    </row>
    <row r="21" spans="2:4">
      <c r="B21" s="38" t="s">
        <v>104</v>
      </c>
      <c r="C21" s="38" t="s">
        <v>79</v>
      </c>
      <c r="D21" s="2538"/>
    </row>
    <row r="22" spans="2:4">
      <c r="B22" s="38" t="s">
        <v>106</v>
      </c>
      <c r="C22" s="38" t="s">
        <v>79</v>
      </c>
      <c r="D22" s="6" t="s">
        <v>107</v>
      </c>
    </row>
    <row r="23" spans="2:4">
      <c r="B23" s="40" t="s">
        <v>108</v>
      </c>
      <c r="C23" s="40" t="s">
        <v>79</v>
      </c>
      <c r="D23" s="40" t="s">
        <v>109</v>
      </c>
    </row>
    <row r="24" spans="2:4">
      <c r="B24" s="38" t="s">
        <v>110</v>
      </c>
      <c r="C24" s="38" t="s">
        <v>79</v>
      </c>
      <c r="D24" s="38" t="s">
        <v>116</v>
      </c>
    </row>
    <row r="25" spans="2:4">
      <c r="B25" s="38" t="s">
        <v>111</v>
      </c>
      <c r="C25" s="38" t="s">
        <v>79</v>
      </c>
      <c r="D25" s="38" t="s">
        <v>94</v>
      </c>
    </row>
    <row r="26" spans="2:4">
      <c r="B26" s="38" t="s">
        <v>112</v>
      </c>
      <c r="C26" s="38" t="s">
        <v>79</v>
      </c>
      <c r="D26" s="38" t="s">
        <v>94</v>
      </c>
    </row>
    <row r="27" spans="2:4">
      <c r="B27" s="38" t="s">
        <v>113</v>
      </c>
      <c r="C27" s="38" t="s">
        <v>79</v>
      </c>
      <c r="D27" s="38" t="s">
        <v>94</v>
      </c>
    </row>
    <row r="28" spans="2:4">
      <c r="B28" s="38" t="s">
        <v>115</v>
      </c>
      <c r="C28" s="38" t="s">
        <v>114</v>
      </c>
      <c r="D28" s="38" t="s">
        <v>94</v>
      </c>
    </row>
    <row r="29" spans="2:4">
      <c r="B29" s="38" t="s">
        <v>117</v>
      </c>
      <c r="C29" s="38" t="s">
        <v>79</v>
      </c>
      <c r="D29" s="6" t="s">
        <v>174</v>
      </c>
    </row>
    <row r="30" spans="2:4">
      <c r="B30" s="38" t="s">
        <v>118</v>
      </c>
      <c r="C30" s="38" t="s">
        <v>79</v>
      </c>
      <c r="D30" s="38" t="s">
        <v>94</v>
      </c>
    </row>
    <row r="31" spans="2:4">
      <c r="B31" s="38" t="s">
        <v>119</v>
      </c>
      <c r="C31" s="38" t="s">
        <v>79</v>
      </c>
      <c r="D31" s="38" t="s">
        <v>94</v>
      </c>
    </row>
    <row r="32" spans="2:4">
      <c r="B32" s="38" t="s">
        <v>121</v>
      </c>
      <c r="C32" s="38" t="s">
        <v>79</v>
      </c>
      <c r="D32" s="38" t="s">
        <v>94</v>
      </c>
    </row>
    <row r="33" spans="2:4">
      <c r="B33" s="38" t="s">
        <v>175</v>
      </c>
      <c r="C33" s="38" t="s">
        <v>79</v>
      </c>
      <c r="D33" s="6" t="s">
        <v>176</v>
      </c>
    </row>
    <row r="34" spans="2:4">
      <c r="B34" s="38" t="s">
        <v>177</v>
      </c>
      <c r="C34" s="38" t="s">
        <v>99</v>
      </c>
      <c r="D34" s="38" t="s">
        <v>94</v>
      </c>
    </row>
    <row r="35" spans="2:4">
      <c r="B35" s="38" t="s">
        <v>178</v>
      </c>
      <c r="C35" s="38" t="s">
        <v>79</v>
      </c>
      <c r="D35" s="2537" t="s">
        <v>179</v>
      </c>
    </row>
    <row r="36" spans="2:4">
      <c r="B36" s="38" t="s">
        <v>180</v>
      </c>
      <c r="C36" s="38" t="s">
        <v>79</v>
      </c>
      <c r="D36" s="2537"/>
    </row>
    <row r="37" spans="2:4">
      <c r="B37" s="38" t="s">
        <v>181</v>
      </c>
      <c r="C37" s="38" t="s">
        <v>79</v>
      </c>
      <c r="D37" s="2537"/>
    </row>
    <row r="38" spans="2:4">
      <c r="B38" s="38" t="s">
        <v>182</v>
      </c>
      <c r="C38" s="38" t="s">
        <v>79</v>
      </c>
      <c r="D38" s="6" t="s">
        <v>183</v>
      </c>
    </row>
    <row r="39" spans="2:4">
      <c r="B39" s="38" t="s">
        <v>184</v>
      </c>
      <c r="C39" s="38" t="s">
        <v>79</v>
      </c>
      <c r="D39" s="6" t="s">
        <v>185</v>
      </c>
    </row>
    <row r="40" spans="2:4">
      <c r="B40" s="38" t="s">
        <v>186</v>
      </c>
      <c r="C40" s="38" t="s">
        <v>187</v>
      </c>
      <c r="D40" s="6" t="s">
        <v>188</v>
      </c>
    </row>
    <row r="41" spans="2:4">
      <c r="B41" s="38" t="s">
        <v>189</v>
      </c>
      <c r="C41" s="38" t="s">
        <v>79</v>
      </c>
      <c r="D41" s="2536" t="s">
        <v>190</v>
      </c>
    </row>
    <row r="42" spans="2:4">
      <c r="B42" s="38" t="s">
        <v>191</v>
      </c>
      <c r="C42" s="38" t="s">
        <v>79</v>
      </c>
      <c r="D42" s="2536"/>
    </row>
    <row r="43" spans="2:4">
      <c r="B43" s="38" t="s">
        <v>192</v>
      </c>
      <c r="C43" s="6">
        <v>7</v>
      </c>
      <c r="D43" s="6" t="s">
        <v>193</v>
      </c>
    </row>
    <row r="44" spans="2:4">
      <c r="B44" s="38" t="s">
        <v>194</v>
      </c>
      <c r="C44" s="6" t="s">
        <v>79</v>
      </c>
      <c r="D44" s="6" t="s">
        <v>195</v>
      </c>
    </row>
    <row r="45" spans="2:4">
      <c r="B45" s="38" t="s">
        <v>196</v>
      </c>
      <c r="C45" s="38" t="s">
        <v>79</v>
      </c>
      <c r="D45" s="2536" t="s">
        <v>190</v>
      </c>
    </row>
    <row r="46" spans="2:4">
      <c r="B46" s="38" t="s">
        <v>197</v>
      </c>
      <c r="C46" s="6" t="s">
        <v>79</v>
      </c>
      <c r="D46" s="2536"/>
    </row>
    <row r="47" spans="2:4">
      <c r="B47" s="38" t="s">
        <v>198</v>
      </c>
      <c r="C47" s="38" t="s">
        <v>79</v>
      </c>
      <c r="D47" s="2540" t="s">
        <v>199</v>
      </c>
    </row>
    <row r="48" spans="2:4">
      <c r="B48" s="38" t="s">
        <v>200</v>
      </c>
      <c r="C48" s="6" t="s">
        <v>79</v>
      </c>
      <c r="D48" s="2540"/>
    </row>
    <row r="49" spans="2:4">
      <c r="B49" s="38" t="s">
        <v>201</v>
      </c>
      <c r="C49" s="6" t="s">
        <v>202</v>
      </c>
      <c r="D49" s="2537" t="s">
        <v>85</v>
      </c>
    </row>
    <row r="50" spans="2:4">
      <c r="B50" s="38" t="s">
        <v>203</v>
      </c>
      <c r="C50" s="6" t="s">
        <v>79</v>
      </c>
      <c r="D50" s="2537"/>
    </row>
    <row r="51" spans="2:4">
      <c r="B51" s="38" t="s">
        <v>204</v>
      </c>
      <c r="C51" s="6" t="s">
        <v>79</v>
      </c>
      <c r="D51" s="6" t="s">
        <v>205</v>
      </c>
    </row>
    <row r="52" spans="2:4">
      <c r="B52" s="38" t="s">
        <v>206</v>
      </c>
      <c r="C52" s="6" t="s">
        <v>79</v>
      </c>
      <c r="D52" s="6" t="s">
        <v>207</v>
      </c>
    </row>
    <row r="53" spans="2:4">
      <c r="B53" s="38" t="s">
        <v>208</v>
      </c>
      <c r="C53" s="6" t="s">
        <v>79</v>
      </c>
      <c r="D53" s="38" t="s">
        <v>94</v>
      </c>
    </row>
    <row r="54" spans="2:4">
      <c r="B54" s="38" t="s">
        <v>209</v>
      </c>
      <c r="C54" s="6" t="s">
        <v>79</v>
      </c>
      <c r="D54" s="6" t="s">
        <v>94</v>
      </c>
    </row>
    <row r="55" spans="2:4">
      <c r="B55" s="38" t="s">
        <v>210</v>
      </c>
      <c r="C55" s="6" t="s">
        <v>79</v>
      </c>
      <c r="D55" s="6" t="s">
        <v>94</v>
      </c>
    </row>
    <row r="56" spans="2:4">
      <c r="B56" s="38" t="s">
        <v>211</v>
      </c>
      <c r="C56" s="6" t="s">
        <v>79</v>
      </c>
      <c r="D56" s="38" t="s">
        <v>199</v>
      </c>
    </row>
    <row r="57" spans="2:4">
      <c r="B57" s="38" t="s">
        <v>212</v>
      </c>
      <c r="C57" s="6" t="s">
        <v>79</v>
      </c>
      <c r="D57" s="6" t="s">
        <v>94</v>
      </c>
    </row>
    <row r="58" spans="2:4">
      <c r="B58" s="38" t="s">
        <v>213</v>
      </c>
      <c r="C58" s="6" t="s">
        <v>79</v>
      </c>
      <c r="D58" s="6" t="s">
        <v>214</v>
      </c>
    </row>
    <row r="59" spans="2:4">
      <c r="B59" s="38" t="s">
        <v>215</v>
      </c>
      <c r="C59" s="6" t="s">
        <v>79</v>
      </c>
      <c r="D59" s="6" t="s">
        <v>216</v>
      </c>
    </row>
    <row r="60" spans="2:4">
      <c r="B60" s="38" t="s">
        <v>217</v>
      </c>
      <c r="C60" s="38" t="s">
        <v>79</v>
      </c>
      <c r="D60" s="2538" t="s">
        <v>218</v>
      </c>
    </row>
    <row r="61" spans="2:4">
      <c r="B61" s="38" t="s">
        <v>219</v>
      </c>
      <c r="C61" s="38" t="s">
        <v>79</v>
      </c>
      <c r="D61" s="2538"/>
    </row>
    <row r="62" spans="2:4">
      <c r="B62" s="38" t="s">
        <v>220</v>
      </c>
      <c r="C62" s="38" t="s">
        <v>79</v>
      </c>
      <c r="D62" s="38" t="s">
        <v>221</v>
      </c>
    </row>
    <row r="63" spans="2:4">
      <c r="B63" s="38" t="s">
        <v>222</v>
      </c>
      <c r="C63" s="38" t="s">
        <v>79</v>
      </c>
      <c r="D63" s="38" t="s">
        <v>223</v>
      </c>
    </row>
    <row r="64" spans="2:4">
      <c r="B64" s="38" t="s">
        <v>224</v>
      </c>
      <c r="C64" s="38" t="s">
        <v>79</v>
      </c>
      <c r="D64" s="2538" t="s">
        <v>218</v>
      </c>
    </row>
    <row r="65" spans="2:4">
      <c r="B65" s="38" t="s">
        <v>225</v>
      </c>
      <c r="C65" s="38" t="s">
        <v>79</v>
      </c>
      <c r="D65" s="2538"/>
    </row>
    <row r="66" spans="2:4">
      <c r="B66" s="38" t="s">
        <v>226</v>
      </c>
      <c r="C66" s="38" t="s">
        <v>79</v>
      </c>
      <c r="D66" s="2538" t="s">
        <v>227</v>
      </c>
    </row>
    <row r="67" spans="2:4">
      <c r="B67" s="38" t="s">
        <v>228</v>
      </c>
      <c r="C67" s="38" t="s">
        <v>79</v>
      </c>
      <c r="D67" s="2538"/>
    </row>
    <row r="68" spans="2:4">
      <c r="B68" s="38" t="s">
        <v>229</v>
      </c>
      <c r="C68" s="38" t="s">
        <v>79</v>
      </c>
      <c r="D68" s="38" t="s">
        <v>230</v>
      </c>
    </row>
    <row r="69" spans="2:4">
      <c r="B69" s="38" t="s">
        <v>231</v>
      </c>
      <c r="C69" s="38" t="s">
        <v>79</v>
      </c>
      <c r="D69" s="6" t="s">
        <v>232</v>
      </c>
    </row>
    <row r="70" spans="2:4">
      <c r="B70" s="38" t="s">
        <v>233</v>
      </c>
      <c r="C70" s="38" t="s">
        <v>79</v>
      </c>
      <c r="D70" s="41" t="s">
        <v>234</v>
      </c>
    </row>
    <row r="71" spans="2:4">
      <c r="B71" s="38" t="s">
        <v>235</v>
      </c>
      <c r="C71" s="38" t="s">
        <v>79</v>
      </c>
      <c r="D71" s="6" t="s">
        <v>236</v>
      </c>
    </row>
    <row r="72" spans="2:4">
      <c r="B72" s="38" t="s">
        <v>237</v>
      </c>
      <c r="C72" s="38" t="s">
        <v>79</v>
      </c>
      <c r="D72" s="38" t="s">
        <v>230</v>
      </c>
    </row>
    <row r="73" spans="2:4">
      <c r="B73" s="38" t="s">
        <v>238</v>
      </c>
      <c r="C73" s="38" t="s">
        <v>79</v>
      </c>
      <c r="D73" s="38" t="s">
        <v>230</v>
      </c>
    </row>
    <row r="74" spans="2:4">
      <c r="B74" s="38" t="s">
        <v>239</v>
      </c>
      <c r="C74" s="38" t="s">
        <v>79</v>
      </c>
      <c r="D74" s="6" t="s">
        <v>240</v>
      </c>
    </row>
    <row r="75" spans="2:4">
      <c r="B75" s="38" t="s">
        <v>241</v>
      </c>
      <c r="C75" s="38" t="s">
        <v>79</v>
      </c>
      <c r="D75" s="2536" t="s">
        <v>242</v>
      </c>
    </row>
    <row r="76" spans="2:4">
      <c r="B76" s="38" t="s">
        <v>243</v>
      </c>
      <c r="C76" s="38" t="s">
        <v>79</v>
      </c>
      <c r="D76" s="2536"/>
    </row>
    <row r="77" spans="2:4">
      <c r="B77" s="38" t="s">
        <v>244</v>
      </c>
      <c r="C77" s="38" t="s">
        <v>79</v>
      </c>
      <c r="D77" s="2536"/>
    </row>
    <row r="78" spans="2:4">
      <c r="B78" s="38" t="s">
        <v>245</v>
      </c>
      <c r="C78" s="38" t="s">
        <v>79</v>
      </c>
      <c r="D78" s="2536"/>
    </row>
    <row r="79" spans="2:4">
      <c r="B79" s="38" t="s">
        <v>246</v>
      </c>
      <c r="C79" s="38" t="s">
        <v>79</v>
      </c>
      <c r="D79" s="2536"/>
    </row>
    <row r="80" spans="2:4">
      <c r="B80" s="38" t="s">
        <v>247</v>
      </c>
      <c r="C80" s="38" t="s">
        <v>79</v>
      </c>
      <c r="D80" s="2536"/>
    </row>
    <row r="81" spans="2:5">
      <c r="B81" s="38" t="s">
        <v>248</v>
      </c>
      <c r="C81" s="38" t="s">
        <v>79</v>
      </c>
      <c r="D81" s="2536"/>
    </row>
    <row r="82" spans="2:5">
      <c r="B82" s="38" t="s">
        <v>249</v>
      </c>
      <c r="C82" s="38" t="s">
        <v>79</v>
      </c>
      <c r="D82" s="38" t="s">
        <v>250</v>
      </c>
    </row>
    <row r="83" spans="2:5">
      <c r="B83" s="38" t="s">
        <v>251</v>
      </c>
      <c r="C83" s="38" t="s">
        <v>79</v>
      </c>
      <c r="D83" s="38" t="s">
        <v>232</v>
      </c>
    </row>
    <row r="84" spans="2:5">
      <c r="B84" s="38" t="s">
        <v>252</v>
      </c>
      <c r="C84" s="38" t="s">
        <v>79</v>
      </c>
      <c r="D84" s="6" t="s">
        <v>253</v>
      </c>
    </row>
    <row r="85" spans="2:5">
      <c r="B85" s="38" t="s">
        <v>254</v>
      </c>
      <c r="C85" s="38" t="s">
        <v>79</v>
      </c>
      <c r="D85" s="6" t="s">
        <v>255</v>
      </c>
    </row>
    <row r="86" spans="2:5">
      <c r="B86" s="42" t="s">
        <v>256</v>
      </c>
      <c r="C86" s="42" t="s">
        <v>79</v>
      </c>
      <c r="D86" s="43"/>
      <c r="E86" s="43" t="s">
        <v>257</v>
      </c>
    </row>
    <row r="87" spans="2:5">
      <c r="B87" s="38" t="s">
        <v>258</v>
      </c>
      <c r="C87" s="38" t="s">
        <v>79</v>
      </c>
      <c r="D87" s="6" t="s">
        <v>259</v>
      </c>
    </row>
    <row r="88" spans="2:5">
      <c r="B88" s="38" t="s">
        <v>260</v>
      </c>
      <c r="C88" s="38" t="s">
        <v>79</v>
      </c>
      <c r="D88" s="6" t="s">
        <v>259</v>
      </c>
    </row>
    <row r="89" spans="2:5">
      <c r="B89" s="38" t="s">
        <v>261</v>
      </c>
      <c r="C89" s="38" t="s">
        <v>79</v>
      </c>
      <c r="D89" s="2536" t="s">
        <v>262</v>
      </c>
    </row>
    <row r="90" spans="2:5">
      <c r="B90" s="38" t="s">
        <v>263</v>
      </c>
      <c r="C90" s="38" t="s">
        <v>79</v>
      </c>
      <c r="D90" s="2536"/>
    </row>
    <row r="91" spans="2:5">
      <c r="B91" s="38" t="s">
        <v>264</v>
      </c>
      <c r="C91" s="38" t="s">
        <v>79</v>
      </c>
      <c r="D91" s="6" t="s">
        <v>265</v>
      </c>
    </row>
    <row r="92" spans="2:5">
      <c r="B92" s="38" t="s">
        <v>266</v>
      </c>
      <c r="C92" s="38" t="s">
        <v>79</v>
      </c>
      <c r="D92" s="6" t="s">
        <v>267</v>
      </c>
    </row>
    <row r="93" spans="2:5">
      <c r="B93" s="38" t="s">
        <v>268</v>
      </c>
      <c r="C93" s="38" t="s">
        <v>79</v>
      </c>
      <c r="D93" s="6" t="s">
        <v>250</v>
      </c>
    </row>
    <row r="94" spans="2:5">
      <c r="B94" s="38" t="s">
        <v>269</v>
      </c>
      <c r="C94" s="38" t="s">
        <v>79</v>
      </c>
      <c r="D94" s="6" t="s">
        <v>270</v>
      </c>
    </row>
    <row r="95" spans="2:5">
      <c r="B95" s="38" t="s">
        <v>271</v>
      </c>
      <c r="C95" s="38" t="s">
        <v>79</v>
      </c>
      <c r="D95" s="6" t="s">
        <v>272</v>
      </c>
    </row>
    <row r="96" spans="2:5">
      <c r="B96" s="38" t="s">
        <v>273</v>
      </c>
      <c r="C96" s="38" t="s">
        <v>79</v>
      </c>
      <c r="D96" s="6" t="s">
        <v>274</v>
      </c>
    </row>
    <row r="97" spans="2:7">
      <c r="B97" s="38" t="s">
        <v>275</v>
      </c>
      <c r="C97" s="38" t="s">
        <v>79</v>
      </c>
      <c r="D97" s="6" t="s">
        <v>255</v>
      </c>
      <c r="E97">
        <v>1</v>
      </c>
    </row>
    <row r="98" spans="2:7">
      <c r="B98" s="38" t="s">
        <v>276</v>
      </c>
      <c r="C98" s="38" t="s">
        <v>79</v>
      </c>
      <c r="D98" s="6" t="s">
        <v>277</v>
      </c>
    </row>
    <row r="99" spans="2:7">
      <c r="B99" s="38" t="s">
        <v>278</v>
      </c>
      <c r="C99" s="38" t="s">
        <v>79</v>
      </c>
      <c r="D99" s="2536" t="s">
        <v>279</v>
      </c>
    </row>
    <row r="100" spans="2:7">
      <c r="B100" s="38" t="s">
        <v>280</v>
      </c>
      <c r="C100" s="38" t="s">
        <v>79</v>
      </c>
      <c r="D100" s="2536"/>
    </row>
    <row r="101" spans="2:7">
      <c r="B101" s="38" t="s">
        <v>281</v>
      </c>
      <c r="C101" s="38" t="s">
        <v>79</v>
      </c>
      <c r="D101" s="6" t="s">
        <v>282</v>
      </c>
    </row>
    <row r="102" spans="2:7">
      <c r="B102" s="38" t="s">
        <v>283</v>
      </c>
      <c r="C102" s="38" t="s">
        <v>79</v>
      </c>
      <c r="D102" s="6" t="s">
        <v>250</v>
      </c>
      <c r="G102" s="6"/>
    </row>
    <row r="103" spans="2:7">
      <c r="B103" s="38" t="s">
        <v>284</v>
      </c>
      <c r="C103" s="38" t="s">
        <v>79</v>
      </c>
      <c r="D103" s="2536" t="s">
        <v>285</v>
      </c>
    </row>
    <row r="104" spans="2:7">
      <c r="B104" s="38" t="s">
        <v>286</v>
      </c>
      <c r="C104" s="38" t="s">
        <v>79</v>
      </c>
      <c r="D104" s="2536"/>
    </row>
    <row r="105" spans="2:7">
      <c r="B105" s="38" t="s">
        <v>287</v>
      </c>
      <c r="C105" s="38" t="s">
        <v>79</v>
      </c>
      <c r="D105" s="6" t="s">
        <v>255</v>
      </c>
      <c r="E105">
        <v>1</v>
      </c>
    </row>
    <row r="106" spans="2:7">
      <c r="B106" s="38" t="s">
        <v>288</v>
      </c>
      <c r="C106" s="38" t="s">
        <v>79</v>
      </c>
      <c r="D106" s="6" t="s">
        <v>255</v>
      </c>
      <c r="E106">
        <v>1</v>
      </c>
    </row>
    <row r="107" spans="2:7">
      <c r="B107" s="38" t="s">
        <v>289</v>
      </c>
      <c r="C107" s="38" t="s">
        <v>79</v>
      </c>
      <c r="D107" s="6" t="s">
        <v>290</v>
      </c>
    </row>
    <row r="108" spans="2:7">
      <c r="B108" s="38" t="s">
        <v>291</v>
      </c>
      <c r="C108" s="38" t="s">
        <v>79</v>
      </c>
      <c r="D108" s="2537" t="s">
        <v>292</v>
      </c>
    </row>
    <row r="109" spans="2:7">
      <c r="B109" s="38" t="s">
        <v>293</v>
      </c>
      <c r="C109" s="38" t="s">
        <v>79</v>
      </c>
      <c r="D109" s="2537"/>
    </row>
    <row r="110" spans="2:7">
      <c r="B110" s="38" t="s">
        <v>294</v>
      </c>
      <c r="C110" s="38" t="s">
        <v>79</v>
      </c>
      <c r="D110" s="6" t="s">
        <v>295</v>
      </c>
    </row>
    <row r="111" spans="2:7">
      <c r="B111" s="38" t="s">
        <v>296</v>
      </c>
      <c r="C111" s="38" t="s">
        <v>79</v>
      </c>
      <c r="D111" s="6" t="s">
        <v>297</v>
      </c>
    </row>
    <row r="112" spans="2:7">
      <c r="B112" s="38" t="s">
        <v>298</v>
      </c>
      <c r="C112" s="38" t="s">
        <v>79</v>
      </c>
      <c r="D112" s="6" t="s">
        <v>299</v>
      </c>
    </row>
    <row r="113" spans="2:8">
      <c r="B113" s="38" t="s">
        <v>300</v>
      </c>
      <c r="C113" s="38" t="s">
        <v>79</v>
      </c>
      <c r="D113" s="6" t="s">
        <v>297</v>
      </c>
      <c r="E113" s="3"/>
    </row>
    <row r="114" spans="2:8">
      <c r="B114" s="38" t="s">
        <v>301</v>
      </c>
      <c r="C114" s="38" t="s">
        <v>79</v>
      </c>
      <c r="D114" s="6" t="s">
        <v>299</v>
      </c>
    </row>
    <row r="115" spans="2:8">
      <c r="B115" s="38" t="s">
        <v>302</v>
      </c>
      <c r="C115" s="38" t="s">
        <v>79</v>
      </c>
      <c r="D115" s="6" t="s">
        <v>303</v>
      </c>
    </row>
    <row r="116" spans="2:8">
      <c r="B116" s="38" t="s">
        <v>304</v>
      </c>
      <c r="C116" s="38" t="s">
        <v>79</v>
      </c>
      <c r="D116" s="38" t="s">
        <v>94</v>
      </c>
    </row>
    <row r="117" spans="2:8">
      <c r="B117" s="38" t="s">
        <v>305</v>
      </c>
      <c r="C117" s="38" t="s">
        <v>79</v>
      </c>
      <c r="D117" s="2536" t="s">
        <v>306</v>
      </c>
    </row>
    <row r="118" spans="2:8">
      <c r="B118" s="38" t="s">
        <v>307</v>
      </c>
      <c r="C118" s="38" t="s">
        <v>79</v>
      </c>
      <c r="D118" s="2536"/>
    </row>
    <row r="119" spans="2:8">
      <c r="B119" s="38" t="s">
        <v>308</v>
      </c>
      <c r="C119" s="38" t="s">
        <v>79</v>
      </c>
      <c r="D119" s="2536"/>
    </row>
    <row r="120" spans="2:8">
      <c r="B120" s="38" t="s">
        <v>309</v>
      </c>
      <c r="C120" s="38" t="s">
        <v>79</v>
      </c>
      <c r="D120" s="38" t="s">
        <v>94</v>
      </c>
    </row>
    <row r="121" spans="2:8">
      <c r="B121" s="38" t="s">
        <v>310</v>
      </c>
      <c r="C121" s="38" t="s">
        <v>79</v>
      </c>
      <c r="D121" s="38" t="s">
        <v>311</v>
      </c>
    </row>
    <row r="122" spans="2:8">
      <c r="B122" s="38" t="s">
        <v>312</v>
      </c>
      <c r="C122" s="38" t="s">
        <v>313</v>
      </c>
      <c r="D122" s="6"/>
    </row>
    <row r="123" spans="2:8">
      <c r="B123" s="38" t="s">
        <v>314</v>
      </c>
      <c r="C123" s="38" t="s">
        <v>79</v>
      </c>
      <c r="D123" s="38" t="s">
        <v>315</v>
      </c>
    </row>
    <row r="124" spans="2:8">
      <c r="B124" s="38" t="s">
        <v>316</v>
      </c>
      <c r="C124" s="38" t="s">
        <v>79</v>
      </c>
      <c r="D124" s="38" t="s">
        <v>94</v>
      </c>
      <c r="E124" s="37" t="s">
        <v>122</v>
      </c>
    </row>
    <row r="125" spans="2:8">
      <c r="B125" s="38" t="s">
        <v>317</v>
      </c>
      <c r="C125" s="38" t="s">
        <v>79</v>
      </c>
      <c r="D125" s="38" t="s">
        <v>318</v>
      </c>
      <c r="H125" s="37" t="s">
        <v>122</v>
      </c>
    </row>
    <row r="126" spans="2:8">
      <c r="B126" s="38" t="s">
        <v>319</v>
      </c>
      <c r="C126" s="38" t="s">
        <v>313</v>
      </c>
      <c r="D126" s="38" t="s">
        <v>320</v>
      </c>
    </row>
    <row r="127" spans="2:8">
      <c r="B127" s="38" t="s">
        <v>321</v>
      </c>
      <c r="C127" s="38" t="s">
        <v>79</v>
      </c>
      <c r="D127" s="2537" t="s">
        <v>311</v>
      </c>
    </row>
    <row r="128" spans="2:8">
      <c r="B128" s="38" t="s">
        <v>322</v>
      </c>
      <c r="C128" s="38" t="s">
        <v>79</v>
      </c>
      <c r="D128" s="2537"/>
    </row>
    <row r="129" spans="2:7">
      <c r="B129" s="38" t="s">
        <v>323</v>
      </c>
      <c r="C129" s="38" t="s">
        <v>313</v>
      </c>
      <c r="D129" s="38" t="s">
        <v>320</v>
      </c>
    </row>
    <row r="130" spans="2:7">
      <c r="B130" s="38" t="s">
        <v>324</v>
      </c>
      <c r="C130" s="38" t="s">
        <v>79</v>
      </c>
      <c r="D130" s="38" t="s">
        <v>232</v>
      </c>
    </row>
    <row r="131" spans="2:7">
      <c r="B131" s="38" t="s">
        <v>325</v>
      </c>
      <c r="C131" s="38" t="s">
        <v>79</v>
      </c>
      <c r="D131" s="38" t="s">
        <v>236</v>
      </c>
    </row>
    <row r="132" spans="2:7">
      <c r="B132" s="38" t="s">
        <v>326</v>
      </c>
      <c r="C132" s="38" t="s">
        <v>79</v>
      </c>
      <c r="D132" s="38" t="s">
        <v>327</v>
      </c>
    </row>
    <row r="133" spans="2:7">
      <c r="B133" s="38" t="s">
        <v>328</v>
      </c>
      <c r="C133" s="38" t="s">
        <v>79</v>
      </c>
      <c r="D133" s="38" t="s">
        <v>94</v>
      </c>
      <c r="E133" s="44">
        <v>0.15</v>
      </c>
      <c r="G133" s="37" t="s">
        <v>122</v>
      </c>
    </row>
    <row r="134" spans="2:7">
      <c r="B134" s="38" t="s">
        <v>329</v>
      </c>
      <c r="C134" s="38" t="s">
        <v>79</v>
      </c>
      <c r="D134" s="38" t="s">
        <v>330</v>
      </c>
    </row>
    <row r="135" spans="2:7">
      <c r="B135" s="38" t="s">
        <v>331</v>
      </c>
      <c r="C135" s="38" t="s">
        <v>332</v>
      </c>
      <c r="D135" s="38" t="s">
        <v>333</v>
      </c>
    </row>
    <row r="136" spans="2:7">
      <c r="B136" s="38" t="s">
        <v>334</v>
      </c>
      <c r="C136" s="38" t="s">
        <v>79</v>
      </c>
      <c r="D136" s="6" t="s">
        <v>335</v>
      </c>
    </row>
    <row r="137" spans="2:7">
      <c r="B137" s="38" t="s">
        <v>336</v>
      </c>
      <c r="C137" s="38" t="s">
        <v>79</v>
      </c>
      <c r="D137" s="38" t="s">
        <v>250</v>
      </c>
    </row>
    <row r="138" spans="2:7">
      <c r="B138" s="38" t="s">
        <v>337</v>
      </c>
      <c r="C138" s="38" t="s">
        <v>79</v>
      </c>
      <c r="D138" s="2538" t="s">
        <v>338</v>
      </c>
    </row>
    <row r="139" spans="2:7">
      <c r="B139" s="38" t="s">
        <v>339</v>
      </c>
      <c r="C139" s="38" t="s">
        <v>79</v>
      </c>
      <c r="D139" s="2538"/>
    </row>
    <row r="140" spans="2:7">
      <c r="B140" s="38" t="s">
        <v>340</v>
      </c>
      <c r="C140" s="38" t="s">
        <v>79</v>
      </c>
      <c r="D140" s="2538"/>
    </row>
    <row r="141" spans="2:7">
      <c r="B141" s="38" t="s">
        <v>341</v>
      </c>
      <c r="C141" s="38" t="s">
        <v>79</v>
      </c>
      <c r="D141" s="38" t="s">
        <v>342</v>
      </c>
    </row>
    <row r="142" spans="2:7">
      <c r="B142" s="38" t="s">
        <v>343</v>
      </c>
      <c r="C142" s="38" t="s">
        <v>79</v>
      </c>
      <c r="D142" s="6" t="s">
        <v>297</v>
      </c>
    </row>
    <row r="143" spans="2:7">
      <c r="B143" s="38" t="s">
        <v>344</v>
      </c>
      <c r="C143" s="38" t="s">
        <v>79</v>
      </c>
      <c r="D143" s="38" t="s">
        <v>342</v>
      </c>
      <c r="F143" s="38" t="s">
        <v>122</v>
      </c>
    </row>
    <row r="144" spans="2:7">
      <c r="B144" s="38" t="s">
        <v>345</v>
      </c>
      <c r="C144" s="38" t="s">
        <v>79</v>
      </c>
      <c r="D144" s="38" t="s">
        <v>236</v>
      </c>
    </row>
    <row r="145" spans="2:7">
      <c r="B145" s="38" t="s">
        <v>346</v>
      </c>
      <c r="C145" s="38" t="s">
        <v>79</v>
      </c>
      <c r="D145" s="6" t="s">
        <v>347</v>
      </c>
    </row>
    <row r="146" spans="2:7">
      <c r="B146" s="38" t="s">
        <v>348</v>
      </c>
      <c r="C146" s="38" t="s">
        <v>79</v>
      </c>
      <c r="D146" s="6" t="s">
        <v>297</v>
      </c>
    </row>
    <row r="147" spans="2:7">
      <c r="B147" s="38" t="s">
        <v>349</v>
      </c>
      <c r="C147" s="38" t="s">
        <v>79</v>
      </c>
      <c r="D147" s="6" t="s">
        <v>350</v>
      </c>
    </row>
    <row r="148" spans="2:7">
      <c r="B148" s="38" t="s">
        <v>351</v>
      </c>
      <c r="C148" s="38" t="s">
        <v>79</v>
      </c>
      <c r="D148" s="6" t="s">
        <v>207</v>
      </c>
    </row>
    <row r="149" spans="2:7">
      <c r="B149" s="38" t="s">
        <v>352</v>
      </c>
      <c r="C149" s="38" t="s">
        <v>79</v>
      </c>
      <c r="D149" s="6" t="s">
        <v>353</v>
      </c>
    </row>
    <row r="150" spans="2:7">
      <c r="B150" s="38" t="s">
        <v>354</v>
      </c>
      <c r="C150" s="38" t="s">
        <v>79</v>
      </c>
      <c r="D150" s="6" t="s">
        <v>353</v>
      </c>
    </row>
    <row r="151" spans="2:7">
      <c r="B151" s="38" t="s">
        <v>355</v>
      </c>
      <c r="C151" s="38" t="s">
        <v>356</v>
      </c>
      <c r="D151" s="6" t="s">
        <v>357</v>
      </c>
      <c r="E151" t="s">
        <v>122</v>
      </c>
    </row>
    <row r="152" spans="2:7">
      <c r="B152" s="38" t="s">
        <v>358</v>
      </c>
      <c r="C152" s="38" t="s">
        <v>79</v>
      </c>
      <c r="D152" s="6" t="s">
        <v>357</v>
      </c>
    </row>
    <row r="153" spans="2:7">
      <c r="B153" s="38" t="s">
        <v>359</v>
      </c>
      <c r="C153" s="38" t="s">
        <v>356</v>
      </c>
      <c r="D153" s="6" t="s">
        <v>357</v>
      </c>
    </row>
    <row r="154" spans="2:7">
      <c r="B154" s="38" t="s">
        <v>360</v>
      </c>
      <c r="C154" s="38" t="s">
        <v>79</v>
      </c>
      <c r="D154" s="6" t="s">
        <v>361</v>
      </c>
      <c r="G154" t="s">
        <v>122</v>
      </c>
    </row>
    <row r="155" spans="2:7">
      <c r="B155" s="38" t="s">
        <v>362</v>
      </c>
      <c r="C155" s="38" t="s">
        <v>363</v>
      </c>
      <c r="D155" s="6" t="s">
        <v>357</v>
      </c>
      <c r="F155" t="s">
        <v>122</v>
      </c>
    </row>
    <row r="156" spans="2:7">
      <c r="B156" s="38" t="s">
        <v>364</v>
      </c>
      <c r="C156" s="38" t="s">
        <v>79</v>
      </c>
      <c r="D156" s="6" t="s">
        <v>365</v>
      </c>
    </row>
    <row r="157" spans="2:7">
      <c r="B157" s="38" t="s">
        <v>366</v>
      </c>
      <c r="C157" s="38" t="s">
        <v>79</v>
      </c>
      <c r="D157" s="6" t="s">
        <v>367</v>
      </c>
    </row>
    <row r="158" spans="2:7">
      <c r="B158" s="38" t="s">
        <v>368</v>
      </c>
      <c r="C158" s="38" t="s">
        <v>79</v>
      </c>
      <c r="D158" s="6" t="s">
        <v>369</v>
      </c>
    </row>
    <row r="159" spans="2:7">
      <c r="B159" s="38" t="s">
        <v>370</v>
      </c>
      <c r="C159" s="38" t="s">
        <v>371</v>
      </c>
      <c r="D159" s="6" t="s">
        <v>236</v>
      </c>
    </row>
    <row r="160" spans="2:7">
      <c r="B160" s="38" t="s">
        <v>372</v>
      </c>
      <c r="C160" s="38" t="s">
        <v>79</v>
      </c>
      <c r="D160" s="6" t="s">
        <v>277</v>
      </c>
    </row>
    <row r="161" spans="2:6">
      <c r="B161" s="38" t="s">
        <v>373</v>
      </c>
      <c r="C161" s="38" t="s">
        <v>79</v>
      </c>
      <c r="D161" s="6" t="s">
        <v>277</v>
      </c>
    </row>
    <row r="162" spans="2:6">
      <c r="B162" s="38" t="s">
        <v>374</v>
      </c>
      <c r="C162" s="38" t="s">
        <v>79</v>
      </c>
      <c r="D162" s="6" t="s">
        <v>218</v>
      </c>
      <c r="F162" t="s">
        <v>122</v>
      </c>
    </row>
    <row r="163" spans="2:6">
      <c r="B163" s="38" t="s">
        <v>375</v>
      </c>
      <c r="C163" s="38" t="s">
        <v>79</v>
      </c>
      <c r="D163" s="6" t="s">
        <v>376</v>
      </c>
    </row>
    <row r="164" spans="2:6">
      <c r="B164" s="38" t="s">
        <v>377</v>
      </c>
      <c r="C164" s="38" t="s">
        <v>79</v>
      </c>
      <c r="D164" s="6" t="s">
        <v>376</v>
      </c>
    </row>
    <row r="165" spans="2:6">
      <c r="B165" s="38" t="s">
        <v>378</v>
      </c>
      <c r="C165" s="38" t="s">
        <v>379</v>
      </c>
      <c r="D165" s="6" t="s">
        <v>357</v>
      </c>
    </row>
    <row r="166" spans="2:6">
      <c r="B166" s="38" t="s">
        <v>380</v>
      </c>
      <c r="C166" s="38" t="s">
        <v>79</v>
      </c>
      <c r="D166" s="6" t="s">
        <v>376</v>
      </c>
    </row>
    <row r="167" spans="2:6">
      <c r="B167" s="38" t="s">
        <v>381</v>
      </c>
      <c r="C167" s="38" t="s">
        <v>79</v>
      </c>
      <c r="D167" s="6" t="s">
        <v>382</v>
      </c>
    </row>
    <row r="168" spans="2:6">
      <c r="B168" s="38" t="s">
        <v>383</v>
      </c>
      <c r="C168" s="38" t="s">
        <v>79</v>
      </c>
      <c r="D168" s="6" t="s">
        <v>232</v>
      </c>
    </row>
    <row r="169" spans="2:6">
      <c r="B169" s="38" t="s">
        <v>384</v>
      </c>
      <c r="C169" s="38" t="s">
        <v>79</v>
      </c>
      <c r="D169" s="6" t="s">
        <v>385</v>
      </c>
    </row>
    <row r="170" spans="2:6">
      <c r="B170" s="38" t="s">
        <v>386</v>
      </c>
      <c r="C170" s="38" t="s">
        <v>79</v>
      </c>
      <c r="D170" s="6" t="s">
        <v>385</v>
      </c>
    </row>
    <row r="171" spans="2:6">
      <c r="B171" s="38" t="s">
        <v>387</v>
      </c>
      <c r="C171" s="38" t="s">
        <v>79</v>
      </c>
      <c r="D171" s="6" t="s">
        <v>388</v>
      </c>
    </row>
    <row r="172" spans="2:6">
      <c r="B172" s="38" t="s">
        <v>389</v>
      </c>
      <c r="C172" s="38" t="s">
        <v>79</v>
      </c>
      <c r="D172" s="6" t="s">
        <v>390</v>
      </c>
    </row>
    <row r="173" spans="2:6">
      <c r="B173" s="38" t="s">
        <v>391</v>
      </c>
      <c r="C173" s="38" t="s">
        <v>202</v>
      </c>
      <c r="D173" s="6" t="s">
        <v>392</v>
      </c>
    </row>
    <row r="174" spans="2:6">
      <c r="B174" s="38" t="s">
        <v>393</v>
      </c>
      <c r="C174" s="38" t="s">
        <v>79</v>
      </c>
      <c r="D174" s="6" t="s">
        <v>94</v>
      </c>
    </row>
    <row r="175" spans="2:6">
      <c r="B175" s="38" t="s">
        <v>394</v>
      </c>
      <c r="C175" s="45">
        <v>7.5</v>
      </c>
      <c r="D175" s="6" t="s">
        <v>297</v>
      </c>
    </row>
    <row r="176" spans="2:6">
      <c r="B176" s="38" t="s">
        <v>395</v>
      </c>
      <c r="C176" s="45">
        <v>7.5</v>
      </c>
      <c r="D176" s="38" t="s">
        <v>396</v>
      </c>
      <c r="F176" t="s">
        <v>122</v>
      </c>
    </row>
    <row r="177" spans="1:8">
      <c r="B177" s="38" t="s">
        <v>397</v>
      </c>
      <c r="C177" s="45">
        <v>7.5</v>
      </c>
      <c r="D177" s="38" t="s">
        <v>398</v>
      </c>
    </row>
    <row r="178" spans="1:8">
      <c r="B178" s="38" t="s">
        <v>399</v>
      </c>
      <c r="C178" s="6" t="s">
        <v>79</v>
      </c>
      <c r="D178" s="6" t="s">
        <v>94</v>
      </c>
      <c r="H178" t="s">
        <v>122</v>
      </c>
    </row>
    <row r="179" spans="1:8">
      <c r="B179" s="38" t="s">
        <v>400</v>
      </c>
      <c r="C179" s="6" t="s">
        <v>79</v>
      </c>
      <c r="D179" s="38" t="s">
        <v>297</v>
      </c>
    </row>
    <row r="180" spans="1:8">
      <c r="B180" s="38" t="s">
        <v>401</v>
      </c>
      <c r="C180" s="6" t="s">
        <v>79</v>
      </c>
      <c r="D180" s="38" t="s">
        <v>297</v>
      </c>
    </row>
    <row r="181" spans="1:8">
      <c r="B181" s="38" t="s">
        <v>402</v>
      </c>
      <c r="C181" s="6" t="s">
        <v>79</v>
      </c>
      <c r="D181" s="38" t="s">
        <v>297</v>
      </c>
    </row>
    <row r="182" spans="1:8">
      <c r="B182" s="38" t="s">
        <v>403</v>
      </c>
      <c r="C182" s="6" t="s">
        <v>79</v>
      </c>
      <c r="D182" s="6" t="s">
        <v>404</v>
      </c>
    </row>
    <row r="183" spans="1:8">
      <c r="B183" s="38" t="s">
        <v>405</v>
      </c>
      <c r="C183" s="6" t="s">
        <v>79</v>
      </c>
      <c r="D183" s="38" t="s">
        <v>398</v>
      </c>
    </row>
    <row r="184" spans="1:8">
      <c r="B184" s="38" t="s">
        <v>406</v>
      </c>
      <c r="C184" s="6" t="s">
        <v>79</v>
      </c>
      <c r="D184" s="6" t="s">
        <v>94</v>
      </c>
    </row>
    <row r="185" spans="1:8">
      <c r="B185" s="38" t="s">
        <v>407</v>
      </c>
      <c r="C185" s="6" t="s">
        <v>408</v>
      </c>
      <c r="D185" s="6" t="s">
        <v>409</v>
      </c>
    </row>
    <row r="186" spans="1:8">
      <c r="B186" s="38" t="s">
        <v>410</v>
      </c>
      <c r="C186" s="6" t="s">
        <v>79</v>
      </c>
      <c r="D186" s="6" t="s">
        <v>411</v>
      </c>
    </row>
    <row r="187" spans="1:8">
      <c r="B187" s="38" t="s">
        <v>412</v>
      </c>
      <c r="C187" s="6" t="s">
        <v>79</v>
      </c>
      <c r="D187" s="6" t="s">
        <v>404</v>
      </c>
    </row>
    <row r="188" spans="1:8">
      <c r="B188" s="38" t="s">
        <v>413</v>
      </c>
      <c r="C188" s="6" t="s">
        <v>79</v>
      </c>
      <c r="D188" s="6" t="s">
        <v>376</v>
      </c>
    </row>
    <row r="189" spans="1:8">
      <c r="A189">
        <v>9</v>
      </c>
      <c r="B189" s="38" t="s">
        <v>414</v>
      </c>
      <c r="C189" s="6" t="s">
        <v>79</v>
      </c>
      <c r="D189" s="6" t="s">
        <v>415</v>
      </c>
    </row>
    <row r="190" spans="1:8">
      <c r="A190">
        <v>1</v>
      </c>
      <c r="B190" s="38" t="s">
        <v>416</v>
      </c>
      <c r="C190" s="6" t="s">
        <v>79</v>
      </c>
      <c r="D190" s="6" t="s">
        <v>297</v>
      </c>
    </row>
    <row r="191" spans="1:8">
      <c r="A191">
        <v>8</v>
      </c>
      <c r="B191" s="38" t="s">
        <v>417</v>
      </c>
      <c r="C191" s="6" t="s">
        <v>79</v>
      </c>
      <c r="D191" s="46" t="s">
        <v>418</v>
      </c>
    </row>
    <row r="192" spans="1:8">
      <c r="A192">
        <v>7</v>
      </c>
      <c r="B192" s="38" t="s">
        <v>419</v>
      </c>
      <c r="C192" s="6" t="s">
        <v>202</v>
      </c>
      <c r="D192" s="6" t="s">
        <v>382</v>
      </c>
    </row>
    <row r="193" spans="1:8">
      <c r="A193">
        <v>2</v>
      </c>
      <c r="B193" s="38" t="s">
        <v>420</v>
      </c>
      <c r="C193" s="38">
        <v>7.5</v>
      </c>
      <c r="D193" s="67" t="s">
        <v>522</v>
      </c>
      <c r="H193" t="s">
        <v>122</v>
      </c>
    </row>
    <row r="194" spans="1:8">
      <c r="A194">
        <v>3</v>
      </c>
      <c r="B194" s="38" t="s">
        <v>421</v>
      </c>
      <c r="C194" s="38" t="s">
        <v>79</v>
      </c>
      <c r="D194" s="6" t="s">
        <v>422</v>
      </c>
    </row>
    <row r="195" spans="1:8">
      <c r="A195">
        <v>4</v>
      </c>
      <c r="B195" s="38" t="s">
        <v>423</v>
      </c>
      <c r="C195" s="38" t="s">
        <v>79</v>
      </c>
      <c r="D195" s="6" t="s">
        <v>422</v>
      </c>
    </row>
    <row r="196" spans="1:8">
      <c r="A196">
        <v>5</v>
      </c>
      <c r="B196" s="38" t="s">
        <v>424</v>
      </c>
      <c r="C196" s="38" t="s">
        <v>79</v>
      </c>
      <c r="D196" s="50" t="s">
        <v>466</v>
      </c>
    </row>
    <row r="197" spans="1:8">
      <c r="A197">
        <v>6</v>
      </c>
      <c r="B197" s="38" t="s">
        <v>425</v>
      </c>
      <c r="C197" s="38" t="s">
        <v>79</v>
      </c>
      <c r="D197" s="6" t="s">
        <v>404</v>
      </c>
    </row>
    <row r="198" spans="1:8">
      <c r="B198" s="38" t="s">
        <v>426</v>
      </c>
      <c r="C198" s="38" t="s">
        <v>79</v>
      </c>
      <c r="D198" s="6" t="s">
        <v>94</v>
      </c>
    </row>
    <row r="199" spans="1:8">
      <c r="B199" s="38" t="s">
        <v>427</v>
      </c>
      <c r="C199" s="38" t="s">
        <v>79</v>
      </c>
      <c r="D199" s="6" t="s">
        <v>94</v>
      </c>
    </row>
    <row r="200" spans="1:8">
      <c r="B200" s="38" t="s">
        <v>428</v>
      </c>
      <c r="C200" s="38" t="s">
        <v>79</v>
      </c>
      <c r="D200" s="6" t="s">
        <v>429</v>
      </c>
    </row>
    <row r="201" spans="1:8">
      <c r="B201" s="38" t="s">
        <v>430</v>
      </c>
      <c r="C201" s="38" t="s">
        <v>79</v>
      </c>
      <c r="D201" s="6" t="s">
        <v>431</v>
      </c>
    </row>
    <row r="202" spans="1:8">
      <c r="B202" s="38" t="s">
        <v>432</v>
      </c>
      <c r="C202" s="38" t="s">
        <v>79</v>
      </c>
      <c r="D202" s="6" t="s">
        <v>216</v>
      </c>
      <c r="E202" t="s">
        <v>122</v>
      </c>
    </row>
    <row r="203" spans="1:8">
      <c r="B203" s="38" t="s">
        <v>433</v>
      </c>
      <c r="C203" s="38" t="s">
        <v>79</v>
      </c>
      <c r="D203" s="6" t="s">
        <v>434</v>
      </c>
    </row>
    <row r="204" spans="1:8">
      <c r="B204" s="38" t="s">
        <v>435</v>
      </c>
      <c r="C204" s="38" t="s">
        <v>79</v>
      </c>
      <c r="D204" s="6" t="s">
        <v>431</v>
      </c>
    </row>
    <row r="205" spans="1:8">
      <c r="B205" s="38" t="s">
        <v>436</v>
      </c>
      <c r="C205" s="38" t="s">
        <v>79</v>
      </c>
      <c r="D205" s="6" t="s">
        <v>437</v>
      </c>
    </row>
    <row r="206" spans="1:8">
      <c r="B206" s="38" t="s">
        <v>438</v>
      </c>
      <c r="C206" s="38" t="s">
        <v>79</v>
      </c>
      <c r="D206" s="6" t="s">
        <v>437</v>
      </c>
    </row>
    <row r="207" spans="1:8">
      <c r="B207" s="6" t="s">
        <v>439</v>
      </c>
      <c r="C207" s="38" t="s">
        <v>79</v>
      </c>
      <c r="D207" s="6" t="s">
        <v>94</v>
      </c>
    </row>
    <row r="208" spans="1:8">
      <c r="B208" s="6" t="s">
        <v>440</v>
      </c>
      <c r="C208" s="38" t="s">
        <v>79</v>
      </c>
      <c r="D208" s="6" t="s">
        <v>94</v>
      </c>
    </row>
    <row r="209" spans="1:5">
      <c r="B209" s="38" t="s">
        <v>441</v>
      </c>
      <c r="C209" s="38" t="s">
        <v>79</v>
      </c>
      <c r="D209" s="6"/>
    </row>
    <row r="210" spans="1:5">
      <c r="B210" s="6" t="s">
        <v>442</v>
      </c>
      <c r="C210" s="38" t="s">
        <v>79</v>
      </c>
      <c r="D210" s="6" t="s">
        <v>295</v>
      </c>
    </row>
    <row r="211" spans="1:5">
      <c r="B211" s="6" t="s">
        <v>443</v>
      </c>
      <c r="C211" s="47">
        <v>5.2</v>
      </c>
      <c r="D211" s="6"/>
    </row>
    <row r="212" spans="1:5">
      <c r="B212" s="6" t="s">
        <v>444</v>
      </c>
      <c r="C212" s="23">
        <v>7.5</v>
      </c>
      <c r="D212" s="6" t="s">
        <v>447</v>
      </c>
    </row>
    <row r="213" spans="1:5">
      <c r="B213" s="6" t="s">
        <v>445</v>
      </c>
      <c r="C213" s="6">
        <v>7.5</v>
      </c>
      <c r="D213" s="6" t="s">
        <v>446</v>
      </c>
    </row>
    <row r="214" spans="1:5">
      <c r="B214" s="6" t="s">
        <v>448</v>
      </c>
      <c r="C214" s="66">
        <v>7.5</v>
      </c>
      <c r="D214" s="67" t="s">
        <v>522</v>
      </c>
    </row>
    <row r="215" spans="1:5">
      <c r="A215">
        <v>1</v>
      </c>
      <c r="B215" s="6" t="s">
        <v>450</v>
      </c>
      <c r="C215" s="23" t="s">
        <v>79</v>
      </c>
      <c r="D215" s="6" t="s">
        <v>481</v>
      </c>
      <c r="E215">
        <v>1</v>
      </c>
    </row>
    <row r="216" spans="1:5">
      <c r="A216">
        <v>1</v>
      </c>
      <c r="B216" s="6" t="s">
        <v>451</v>
      </c>
      <c r="C216" s="23" t="s">
        <v>79</v>
      </c>
      <c r="D216" s="6" t="s">
        <v>481</v>
      </c>
      <c r="E216">
        <v>1</v>
      </c>
    </row>
    <row r="217" spans="1:5">
      <c r="B217" s="6" t="s">
        <v>452</v>
      </c>
      <c r="C217" s="23" t="s">
        <v>79</v>
      </c>
      <c r="D217" s="6" t="s">
        <v>94</v>
      </c>
    </row>
    <row r="218" spans="1:5">
      <c r="B218" s="6" t="s">
        <v>453</v>
      </c>
      <c r="C218" s="23" t="s">
        <v>449</v>
      </c>
      <c r="D218" s="6" t="s">
        <v>470</v>
      </c>
    </row>
    <row r="219" spans="1:5">
      <c r="B219" s="48" t="s">
        <v>454</v>
      </c>
      <c r="C219" s="60" t="s">
        <v>449</v>
      </c>
      <c r="D219" s="6" t="s">
        <v>236</v>
      </c>
    </row>
    <row r="220" spans="1:5">
      <c r="B220" s="6" t="s">
        <v>443</v>
      </c>
      <c r="C220" s="6">
        <v>5.2</v>
      </c>
      <c r="D220" s="6"/>
    </row>
    <row r="221" spans="1:5">
      <c r="B221" s="6" t="s">
        <v>471</v>
      </c>
      <c r="C221" s="6">
        <v>7.5</v>
      </c>
      <c r="D221" s="6" t="s">
        <v>482</v>
      </c>
    </row>
    <row r="222" spans="1:5">
      <c r="A222">
        <v>1</v>
      </c>
      <c r="B222" s="6" t="s">
        <v>472</v>
      </c>
      <c r="C222" s="6">
        <v>7.5</v>
      </c>
      <c r="D222" s="6" t="s">
        <v>236</v>
      </c>
    </row>
    <row r="223" spans="1:5">
      <c r="B223" s="6" t="s">
        <v>473</v>
      </c>
      <c r="C223" s="6">
        <v>7.5</v>
      </c>
      <c r="D223" s="6" t="s">
        <v>502</v>
      </c>
    </row>
    <row r="224" spans="1:5">
      <c r="B224" s="6" t="s">
        <v>474</v>
      </c>
      <c r="C224" s="6">
        <v>7.5</v>
      </c>
      <c r="D224" s="6" t="s">
        <v>94</v>
      </c>
    </row>
    <row r="225" spans="2:5">
      <c r="B225" s="6" t="s">
        <v>475</v>
      </c>
      <c r="C225" s="6">
        <v>7.5</v>
      </c>
      <c r="D225" s="6" t="s">
        <v>483</v>
      </c>
    </row>
    <row r="226" spans="2:5">
      <c r="B226" s="6" t="s">
        <v>476</v>
      </c>
      <c r="C226" s="6">
        <v>7.5</v>
      </c>
      <c r="D226" s="6" t="s">
        <v>481</v>
      </c>
      <c r="E226">
        <v>1</v>
      </c>
    </row>
    <row r="227" spans="2:5">
      <c r="B227" s="6" t="s">
        <v>477</v>
      </c>
      <c r="C227" s="6">
        <v>7.5</v>
      </c>
      <c r="D227" s="6" t="s">
        <v>94</v>
      </c>
    </row>
    <row r="228" spans="2:5">
      <c r="B228" s="6" t="s">
        <v>478</v>
      </c>
      <c r="C228" s="6">
        <v>7.5</v>
      </c>
      <c r="D228" s="6" t="s">
        <v>481</v>
      </c>
      <c r="E228">
        <v>1</v>
      </c>
    </row>
    <row r="229" spans="2:5">
      <c r="B229" s="6" t="s">
        <v>479</v>
      </c>
      <c r="C229" s="6">
        <v>7.5</v>
      </c>
      <c r="D229" s="6" t="s">
        <v>94</v>
      </c>
    </row>
    <row r="230" spans="2:5">
      <c r="B230" s="6" t="s">
        <v>480</v>
      </c>
      <c r="C230" s="6">
        <v>7.5</v>
      </c>
      <c r="D230" s="6" t="s">
        <v>485</v>
      </c>
    </row>
    <row r="231" spans="2:5">
      <c r="B231" s="6" t="s">
        <v>487</v>
      </c>
      <c r="C231" s="66">
        <v>7.5</v>
      </c>
      <c r="D231" s="69" t="s">
        <v>318</v>
      </c>
    </row>
    <row r="232" spans="2:5">
      <c r="B232" s="6" t="s">
        <v>488</v>
      </c>
      <c r="C232" s="66">
        <v>7.5</v>
      </c>
      <c r="D232" s="6" t="s">
        <v>513</v>
      </c>
    </row>
    <row r="233" spans="2:5">
      <c r="B233" s="6" t="s">
        <v>506</v>
      </c>
      <c r="C233" s="66">
        <v>7.5</v>
      </c>
      <c r="D233" s="6" t="s">
        <v>513</v>
      </c>
    </row>
    <row r="234" spans="2:5">
      <c r="B234" s="6" t="s">
        <v>489</v>
      </c>
      <c r="C234" s="66">
        <v>7.5</v>
      </c>
      <c r="D234" s="67" t="s">
        <v>555</v>
      </c>
    </row>
    <row r="235" spans="2:5">
      <c r="B235" s="6" t="s">
        <v>490</v>
      </c>
      <c r="C235" s="66">
        <v>7.5</v>
      </c>
      <c r="D235" s="67" t="s">
        <v>522</v>
      </c>
    </row>
    <row r="236" spans="2:5">
      <c r="B236" s="6" t="s">
        <v>491</v>
      </c>
      <c r="C236" s="66">
        <v>7.5</v>
      </c>
      <c r="D236" s="70" t="s">
        <v>505</v>
      </c>
    </row>
    <row r="237" spans="2:5">
      <c r="B237" s="6" t="s">
        <v>492</v>
      </c>
      <c r="C237" s="66">
        <v>7.5</v>
      </c>
      <c r="D237" s="70" t="s">
        <v>529</v>
      </c>
    </row>
    <row r="238" spans="2:5">
      <c r="B238" s="6" t="s">
        <v>493</v>
      </c>
      <c r="C238" s="66">
        <v>7.5</v>
      </c>
      <c r="D238" s="70" t="s">
        <v>529</v>
      </c>
    </row>
    <row r="239" spans="2:5">
      <c r="B239" s="6" t="s">
        <v>494</v>
      </c>
      <c r="C239" s="66">
        <v>7.5</v>
      </c>
      <c r="D239" s="67" t="s">
        <v>500</v>
      </c>
    </row>
    <row r="240" spans="2:5">
      <c r="B240" s="6" t="s">
        <v>495</v>
      </c>
      <c r="C240" s="66">
        <v>7.5</v>
      </c>
      <c r="D240" s="6" t="s">
        <v>501</v>
      </c>
    </row>
    <row r="241" spans="2:6">
      <c r="B241" s="6" t="s">
        <v>496</v>
      </c>
      <c r="C241" s="66">
        <v>7.5</v>
      </c>
      <c r="D241" s="68" t="s">
        <v>404</v>
      </c>
    </row>
    <row r="242" spans="2:6">
      <c r="B242" s="6" t="s">
        <v>497</v>
      </c>
      <c r="C242" s="66">
        <v>7.5</v>
      </c>
      <c r="D242" s="70" t="s">
        <v>529</v>
      </c>
    </row>
    <row r="243" spans="2:6">
      <c r="B243" s="6" t="s">
        <v>498</v>
      </c>
      <c r="C243" s="66">
        <v>7.5</v>
      </c>
      <c r="D243" s="6" t="s">
        <v>501</v>
      </c>
    </row>
    <row r="244" spans="2:6">
      <c r="B244" s="6" t="s">
        <v>499</v>
      </c>
      <c r="C244" s="66">
        <v>7.5</v>
      </c>
      <c r="D244" s="69" t="s">
        <v>504</v>
      </c>
    </row>
    <row r="245" spans="2:6">
      <c r="B245" s="6" t="s">
        <v>443</v>
      </c>
      <c r="C245" s="6">
        <v>3.2</v>
      </c>
      <c r="D245" s="6"/>
    </row>
    <row r="246" spans="2:6">
      <c r="B246" s="6" t="s">
        <v>503</v>
      </c>
      <c r="C246" s="66">
        <v>7.5</v>
      </c>
      <c r="D246" s="6" t="s">
        <v>385</v>
      </c>
    </row>
    <row r="247" spans="2:6">
      <c r="B247" s="6" t="s">
        <v>507</v>
      </c>
      <c r="C247" s="6">
        <v>7.5</v>
      </c>
      <c r="D247" s="6" t="s">
        <v>515</v>
      </c>
    </row>
    <row r="248" spans="2:6">
      <c r="B248" s="6" t="s">
        <v>508</v>
      </c>
      <c r="C248" s="6">
        <v>7.5</v>
      </c>
      <c r="D248" s="6" t="s">
        <v>512</v>
      </c>
    </row>
    <row r="249" spans="2:6">
      <c r="B249" s="6" t="s">
        <v>509</v>
      </c>
      <c r="C249" s="6">
        <v>2.75</v>
      </c>
      <c r="D249" s="6" t="s">
        <v>262</v>
      </c>
      <c r="F249" t="s">
        <v>122</v>
      </c>
    </row>
    <row r="250" spans="2:6">
      <c r="B250" s="6" t="s">
        <v>510</v>
      </c>
      <c r="C250" s="6">
        <v>7.5</v>
      </c>
      <c r="D250" s="6" t="s">
        <v>514</v>
      </c>
    </row>
    <row r="251" spans="2:6">
      <c r="B251" s="6" t="s">
        <v>511</v>
      </c>
      <c r="C251" s="6">
        <v>7.5</v>
      </c>
      <c r="D251" s="6" t="s">
        <v>514</v>
      </c>
    </row>
    <row r="252" spans="2:6">
      <c r="B252" s="6" t="s">
        <v>517</v>
      </c>
      <c r="C252" s="6">
        <v>7.5</v>
      </c>
      <c r="D252" s="6" t="s">
        <v>523</v>
      </c>
    </row>
    <row r="253" spans="2:6">
      <c r="B253" s="6" t="s">
        <v>518</v>
      </c>
      <c r="C253" s="6">
        <v>7.5</v>
      </c>
      <c r="D253" s="6" t="s">
        <v>523</v>
      </c>
    </row>
    <row r="254" spans="2:6">
      <c r="B254" s="6" t="s">
        <v>519</v>
      </c>
      <c r="C254" s="6">
        <v>7.5</v>
      </c>
      <c r="D254" s="6" t="s">
        <v>523</v>
      </c>
    </row>
    <row r="255" spans="2:6">
      <c r="B255" s="6" t="s">
        <v>520</v>
      </c>
      <c r="C255" s="6">
        <v>7.5</v>
      </c>
      <c r="D255" s="6" t="s">
        <v>523</v>
      </c>
    </row>
    <row r="256" spans="2:6">
      <c r="B256" s="6" t="s">
        <v>521</v>
      </c>
      <c r="C256" s="6">
        <v>7.5</v>
      </c>
      <c r="D256" s="6" t="s">
        <v>523</v>
      </c>
    </row>
    <row r="257" spans="2:4">
      <c r="B257" s="6" t="s">
        <v>524</v>
      </c>
      <c r="C257" s="6">
        <v>7.5</v>
      </c>
      <c r="D257" s="6" t="s">
        <v>540</v>
      </c>
    </row>
    <row r="258" spans="2:4">
      <c r="B258" s="69" t="s">
        <v>525</v>
      </c>
      <c r="C258" s="6">
        <v>7.5</v>
      </c>
      <c r="D258" s="6" t="s">
        <v>553</v>
      </c>
    </row>
    <row r="259" spans="2:4">
      <c r="B259" s="69" t="s">
        <v>526</v>
      </c>
      <c r="C259" s="6">
        <v>7.5</v>
      </c>
      <c r="D259" s="6" t="s">
        <v>94</v>
      </c>
    </row>
    <row r="260" spans="2:4">
      <c r="B260" s="69" t="s">
        <v>527</v>
      </c>
      <c r="C260" s="6">
        <v>5.5</v>
      </c>
      <c r="D260" s="6" t="s">
        <v>530</v>
      </c>
    </row>
    <row r="261" spans="2:4">
      <c r="B261" s="69" t="s">
        <v>528</v>
      </c>
      <c r="C261" s="6">
        <v>7.5</v>
      </c>
      <c r="D261" s="6" t="s">
        <v>541</v>
      </c>
    </row>
    <row r="262" spans="2:4">
      <c r="B262" s="6" t="s">
        <v>443</v>
      </c>
      <c r="C262" s="6">
        <v>1.2</v>
      </c>
      <c r="D262" s="6"/>
    </row>
    <row r="263" spans="2:4">
      <c r="B263" s="6" t="s">
        <v>531</v>
      </c>
      <c r="C263" s="6">
        <v>7.5</v>
      </c>
      <c r="D263" s="6" t="s">
        <v>539</v>
      </c>
    </row>
    <row r="264" spans="2:4">
      <c r="B264" s="6" t="s">
        <v>532</v>
      </c>
      <c r="C264" s="6">
        <v>5.6</v>
      </c>
      <c r="D264" s="6" t="s">
        <v>537</v>
      </c>
    </row>
    <row r="265" spans="2:4">
      <c r="B265" s="6" t="s">
        <v>533</v>
      </c>
      <c r="C265" s="6">
        <v>7.5</v>
      </c>
      <c r="D265" s="6" t="s">
        <v>557</v>
      </c>
    </row>
    <row r="266" spans="2:4">
      <c r="B266" s="6" t="s">
        <v>534</v>
      </c>
      <c r="C266" s="6">
        <v>7.5</v>
      </c>
      <c r="D266" s="6" t="s">
        <v>94</v>
      </c>
    </row>
    <row r="267" spans="2:4">
      <c r="B267" s="6" t="s">
        <v>535</v>
      </c>
      <c r="C267" s="6">
        <v>7.5</v>
      </c>
      <c r="D267" s="6" t="s">
        <v>94</v>
      </c>
    </row>
    <row r="268" spans="2:4">
      <c r="B268" s="6" t="s">
        <v>536</v>
      </c>
      <c r="C268" s="6">
        <v>7.5</v>
      </c>
      <c r="D268" s="6" t="s">
        <v>538</v>
      </c>
    </row>
    <row r="269" spans="2:4">
      <c r="B269" s="6" t="s">
        <v>509</v>
      </c>
      <c r="C269" s="6">
        <v>2.75</v>
      </c>
      <c r="D269" s="6" t="s">
        <v>262</v>
      </c>
    </row>
    <row r="270" spans="2:4">
      <c r="B270" s="6" t="s">
        <v>542</v>
      </c>
      <c r="C270" s="6">
        <v>7.5</v>
      </c>
      <c r="D270" s="67" t="s">
        <v>555</v>
      </c>
    </row>
    <row r="271" spans="2:4">
      <c r="B271" s="6" t="s">
        <v>543</v>
      </c>
      <c r="C271" s="6">
        <v>7.5</v>
      </c>
      <c r="D271" s="67" t="s">
        <v>555</v>
      </c>
    </row>
    <row r="272" spans="2:4">
      <c r="B272" s="6" t="s">
        <v>544</v>
      </c>
      <c r="C272" s="6">
        <v>7.5</v>
      </c>
      <c r="D272" s="6" t="s">
        <v>553</v>
      </c>
    </row>
    <row r="273" spans="1:4">
      <c r="B273" s="6" t="s">
        <v>545</v>
      </c>
      <c r="C273" s="6">
        <v>7.5</v>
      </c>
      <c r="D273" s="6" t="s">
        <v>554</v>
      </c>
    </row>
    <row r="274" spans="1:4">
      <c r="B274" s="6" t="s">
        <v>546</v>
      </c>
      <c r="C274" s="6">
        <v>7.5</v>
      </c>
      <c r="D274" s="6" t="s">
        <v>470</v>
      </c>
    </row>
    <row r="275" spans="1:4">
      <c r="B275" s="6" t="s">
        <v>547</v>
      </c>
      <c r="C275" s="6">
        <v>7.5</v>
      </c>
      <c r="D275" s="67" t="s">
        <v>555</v>
      </c>
    </row>
    <row r="276" spans="1:4">
      <c r="B276" s="6" t="s">
        <v>548</v>
      </c>
      <c r="C276" s="6">
        <v>7.5</v>
      </c>
      <c r="D276" s="6" t="s">
        <v>558</v>
      </c>
    </row>
    <row r="277" spans="1:4">
      <c r="B277" s="6" t="s">
        <v>549</v>
      </c>
      <c r="C277" s="6">
        <v>7.5</v>
      </c>
      <c r="D277" s="6" t="s">
        <v>522</v>
      </c>
    </row>
    <row r="278" spans="1:4">
      <c r="B278" s="6" t="s">
        <v>550</v>
      </c>
      <c r="C278" s="6">
        <v>7.5</v>
      </c>
      <c r="D278" s="6" t="s">
        <v>470</v>
      </c>
    </row>
    <row r="279" spans="1:4">
      <c r="B279" s="6" t="s">
        <v>551</v>
      </c>
      <c r="C279" s="6">
        <v>7.5</v>
      </c>
      <c r="D279" s="6" t="s">
        <v>470</v>
      </c>
    </row>
    <row r="280" spans="1:4">
      <c r="B280" s="6" t="s">
        <v>552</v>
      </c>
      <c r="C280" s="6">
        <v>7.5</v>
      </c>
      <c r="D280" s="6" t="s">
        <v>540</v>
      </c>
    </row>
    <row r="281" spans="1:4">
      <c r="B281" s="6" t="s">
        <v>559</v>
      </c>
      <c r="C281" s="6">
        <v>7.5</v>
      </c>
      <c r="D281" s="6" t="s">
        <v>94</v>
      </c>
    </row>
    <row r="282" spans="1:4">
      <c r="B282" s="6" t="s">
        <v>560</v>
      </c>
      <c r="C282" s="6">
        <v>7.5</v>
      </c>
      <c r="D282" s="6" t="s">
        <v>561</v>
      </c>
    </row>
    <row r="283" spans="1:4">
      <c r="B283" s="6" t="s">
        <v>565</v>
      </c>
      <c r="C283" s="6">
        <v>7.5</v>
      </c>
      <c r="D283" s="6" t="s">
        <v>568</v>
      </c>
    </row>
    <row r="284" spans="1:4">
      <c r="A284" t="s">
        <v>733</v>
      </c>
      <c r="B284" s="6" t="s">
        <v>566</v>
      </c>
      <c r="C284" s="6">
        <v>7.5</v>
      </c>
      <c r="D284" s="6" t="s">
        <v>575</v>
      </c>
    </row>
    <row r="285" spans="1:4">
      <c r="B285" s="6" t="s">
        <v>567</v>
      </c>
      <c r="C285" s="6">
        <v>7.5</v>
      </c>
      <c r="D285" s="6" t="s">
        <v>569</v>
      </c>
    </row>
    <row r="286" spans="1:4">
      <c r="B286" s="6" t="s">
        <v>571</v>
      </c>
      <c r="C286" s="6">
        <v>7.5</v>
      </c>
      <c r="D286" s="6" t="s">
        <v>572</v>
      </c>
    </row>
    <row r="287" spans="1:4">
      <c r="B287" s="6" t="s">
        <v>573</v>
      </c>
      <c r="C287" s="6">
        <v>7.5</v>
      </c>
      <c r="D287" s="6" t="s">
        <v>582</v>
      </c>
    </row>
    <row r="288" spans="1:4">
      <c r="B288" s="6" t="s">
        <v>574</v>
      </c>
      <c r="C288" s="6">
        <v>7.5</v>
      </c>
      <c r="D288" s="6" t="s">
        <v>586</v>
      </c>
    </row>
    <row r="289" spans="2:4">
      <c r="B289" s="6" t="s">
        <v>576</v>
      </c>
      <c r="C289" s="6">
        <v>7.5</v>
      </c>
      <c r="D289" s="6" t="s">
        <v>582</v>
      </c>
    </row>
    <row r="290" spans="2:4">
      <c r="B290" s="6" t="s">
        <v>577</v>
      </c>
      <c r="C290" s="6">
        <v>7.5</v>
      </c>
      <c r="D290" s="6" t="s">
        <v>584</v>
      </c>
    </row>
    <row r="291" spans="2:4">
      <c r="B291" s="6" t="s">
        <v>578</v>
      </c>
      <c r="C291" s="6">
        <v>7.5</v>
      </c>
      <c r="D291" s="6" t="s">
        <v>585</v>
      </c>
    </row>
    <row r="292" spans="2:4">
      <c r="B292" s="6" t="s">
        <v>579</v>
      </c>
      <c r="C292" s="6">
        <v>7.5</v>
      </c>
      <c r="D292" s="6" t="s">
        <v>585</v>
      </c>
    </row>
    <row r="293" spans="2:4">
      <c r="B293" s="6" t="s">
        <v>580</v>
      </c>
      <c r="C293" s="6">
        <v>7.5</v>
      </c>
      <c r="D293" s="6" t="s">
        <v>583</v>
      </c>
    </row>
    <row r="294" spans="2:4">
      <c r="B294" s="6" t="s">
        <v>581</v>
      </c>
      <c r="C294" s="6">
        <v>7.5</v>
      </c>
      <c r="D294" s="6" t="s">
        <v>376</v>
      </c>
    </row>
    <row r="295" spans="2:4">
      <c r="B295" s="6" t="s">
        <v>591</v>
      </c>
      <c r="C295" s="6">
        <v>7.5</v>
      </c>
      <c r="D295" s="6" t="s">
        <v>376</v>
      </c>
    </row>
    <row r="296" spans="2:4">
      <c r="B296" s="6" t="s">
        <v>604</v>
      </c>
      <c r="C296" s="6">
        <v>7.5</v>
      </c>
      <c r="D296" s="6" t="s">
        <v>610</v>
      </c>
    </row>
    <row r="297" spans="2:4">
      <c r="B297" s="6" t="s">
        <v>605</v>
      </c>
      <c r="C297" s="6">
        <v>7.5</v>
      </c>
      <c r="D297" s="6" t="s">
        <v>586</v>
      </c>
    </row>
    <row r="298" spans="2:4">
      <c r="B298" s="6" t="s">
        <v>606</v>
      </c>
      <c r="C298" s="6">
        <v>7.5</v>
      </c>
      <c r="D298" s="6" t="s">
        <v>609</v>
      </c>
    </row>
    <row r="299" spans="2:4">
      <c r="B299" s="6" t="s">
        <v>607</v>
      </c>
      <c r="C299" s="6">
        <v>7.25</v>
      </c>
      <c r="D299" s="6" t="s">
        <v>612</v>
      </c>
    </row>
    <row r="300" spans="2:4">
      <c r="B300" s="6" t="s">
        <v>608</v>
      </c>
      <c r="C300" s="6">
        <v>7.5</v>
      </c>
      <c r="D300" s="6" t="s">
        <v>611</v>
      </c>
    </row>
    <row r="301" spans="2:4">
      <c r="B301" s="6" t="s">
        <v>614</v>
      </c>
      <c r="C301" s="6">
        <v>7.5</v>
      </c>
      <c r="D301" s="6" t="s">
        <v>109</v>
      </c>
    </row>
    <row r="302" spans="2:4">
      <c r="B302" s="6" t="s">
        <v>615</v>
      </c>
      <c r="C302" s="6">
        <v>7.5</v>
      </c>
      <c r="D302" s="6" t="s">
        <v>109</v>
      </c>
    </row>
    <row r="303" spans="2:4">
      <c r="B303" s="6" t="s">
        <v>616</v>
      </c>
      <c r="C303" s="6">
        <v>7.5</v>
      </c>
      <c r="D303" s="6" t="s">
        <v>109</v>
      </c>
    </row>
    <row r="304" spans="2:4">
      <c r="B304" s="69" t="s">
        <v>618</v>
      </c>
      <c r="C304" s="6">
        <v>7.5</v>
      </c>
      <c r="D304" s="6" t="s">
        <v>109</v>
      </c>
    </row>
    <row r="305" spans="1:7">
      <c r="B305" s="69" t="s">
        <v>619</v>
      </c>
      <c r="C305" s="6">
        <v>7.5</v>
      </c>
      <c r="D305" s="6" t="s">
        <v>109</v>
      </c>
      <c r="G305" s="7"/>
    </row>
    <row r="306" spans="1:7">
      <c r="B306" s="6" t="s">
        <v>621</v>
      </c>
      <c r="C306" s="6">
        <v>7.5</v>
      </c>
      <c r="D306" s="6" t="s">
        <v>109</v>
      </c>
    </row>
    <row r="307" spans="1:7">
      <c r="B307" s="6" t="s">
        <v>622</v>
      </c>
      <c r="C307" s="6">
        <v>7.5</v>
      </c>
      <c r="D307" s="6" t="s">
        <v>624</v>
      </c>
    </row>
    <row r="308" spans="1:7">
      <c r="B308" s="6" t="s">
        <v>623</v>
      </c>
      <c r="C308" s="6">
        <v>7.5</v>
      </c>
      <c r="D308" s="6" t="s">
        <v>655</v>
      </c>
    </row>
    <row r="309" spans="1:7">
      <c r="A309" t="s">
        <v>642</v>
      </c>
      <c r="B309" s="6" t="s">
        <v>640</v>
      </c>
      <c r="C309" s="6">
        <v>7.5</v>
      </c>
      <c r="D309" s="6" t="s">
        <v>641</v>
      </c>
    </row>
    <row r="310" spans="1:7">
      <c r="B310" s="6" t="s">
        <v>656</v>
      </c>
      <c r="C310" s="6">
        <v>7.5</v>
      </c>
      <c r="D310" s="6" t="s">
        <v>688</v>
      </c>
    </row>
    <row r="311" spans="1:7">
      <c r="B311" s="6" t="s">
        <v>657</v>
      </c>
      <c r="C311" s="6">
        <v>7.5</v>
      </c>
      <c r="D311" s="6" t="s">
        <v>688</v>
      </c>
    </row>
    <row r="312" spans="1:7">
      <c r="B312" s="6" t="s">
        <v>658</v>
      </c>
      <c r="C312" s="6">
        <v>7.5</v>
      </c>
      <c r="D312" s="6" t="s">
        <v>702</v>
      </c>
    </row>
    <row r="313" spans="1:7">
      <c r="B313" s="6" t="s">
        <v>659</v>
      </c>
      <c r="C313" s="6">
        <v>7.5</v>
      </c>
      <c r="D313" s="6" t="s">
        <v>663</v>
      </c>
    </row>
    <row r="314" spans="1:7">
      <c r="B314" s="6" t="s">
        <v>660</v>
      </c>
      <c r="C314" s="6">
        <v>7.5</v>
      </c>
      <c r="D314" s="6" t="s">
        <v>689</v>
      </c>
    </row>
    <row r="315" spans="1:7">
      <c r="B315" s="6" t="s">
        <v>661</v>
      </c>
      <c r="C315" s="6">
        <v>7.5</v>
      </c>
      <c r="D315" s="6" t="s">
        <v>689</v>
      </c>
    </row>
    <row r="316" spans="1:7">
      <c r="B316" s="6" t="s">
        <v>662</v>
      </c>
      <c r="C316" s="6">
        <v>7.5</v>
      </c>
      <c r="D316" s="86" t="s">
        <v>669</v>
      </c>
      <c r="E316" t="s">
        <v>122</v>
      </c>
    </row>
    <row r="317" spans="1:7">
      <c r="A317" t="s">
        <v>665</v>
      </c>
      <c r="B317" s="6" t="s">
        <v>683</v>
      </c>
      <c r="C317" s="6">
        <v>7.5</v>
      </c>
      <c r="D317" s="88" t="s">
        <v>685</v>
      </c>
    </row>
    <row r="318" spans="1:7">
      <c r="B318" s="86" t="s">
        <v>668</v>
      </c>
      <c r="C318" s="6">
        <v>30</v>
      </c>
      <c r="D318" s="6">
        <f>+C318*0.9-11.4-15.6</f>
        <v>0</v>
      </c>
    </row>
    <row r="319" spans="1:7">
      <c r="B319" s="6" t="s">
        <v>670</v>
      </c>
      <c r="C319" s="6">
        <v>7.5</v>
      </c>
      <c r="D319" s="6" t="s">
        <v>663</v>
      </c>
    </row>
    <row r="320" spans="1:7">
      <c r="B320" s="6" t="s">
        <v>671</v>
      </c>
      <c r="C320" s="6">
        <v>7.5</v>
      </c>
      <c r="D320" s="6" t="s">
        <v>682</v>
      </c>
    </row>
    <row r="321" spans="2:4">
      <c r="B321" s="6" t="s">
        <v>672</v>
      </c>
      <c r="C321" s="6">
        <v>7.5</v>
      </c>
      <c r="D321" s="6" t="s">
        <v>682</v>
      </c>
    </row>
    <row r="322" spans="2:4">
      <c r="B322" s="6" t="s">
        <v>678</v>
      </c>
      <c r="C322" s="6">
        <v>7.5</v>
      </c>
      <c r="D322" s="6" t="s">
        <v>663</v>
      </c>
    </row>
    <row r="323" spans="2:4">
      <c r="B323" s="6" t="s">
        <v>679</v>
      </c>
      <c r="C323" s="6">
        <v>7.5</v>
      </c>
      <c r="D323" s="6" t="s">
        <v>684</v>
      </c>
    </row>
    <row r="324" spans="2:4">
      <c r="B324" s="6" t="s">
        <v>680</v>
      </c>
      <c r="C324" s="6">
        <v>7.5</v>
      </c>
      <c r="D324" s="6" t="s">
        <v>682</v>
      </c>
    </row>
    <row r="325" spans="2:4">
      <c r="B325" s="6" t="s">
        <v>681</v>
      </c>
      <c r="C325" s="6">
        <v>7.5</v>
      </c>
      <c r="D325" s="6" t="s">
        <v>663</v>
      </c>
    </row>
    <row r="326" spans="2:4">
      <c r="B326" s="6" t="s">
        <v>690</v>
      </c>
      <c r="C326" s="6">
        <v>7.5</v>
      </c>
      <c r="D326" s="6" t="s">
        <v>109</v>
      </c>
    </row>
    <row r="327" spans="2:4">
      <c r="B327" s="6" t="s">
        <v>691</v>
      </c>
      <c r="C327" s="6">
        <v>7.5</v>
      </c>
      <c r="D327" s="6" t="s">
        <v>699</v>
      </c>
    </row>
    <row r="328" spans="2:4">
      <c r="B328" s="6" t="s">
        <v>692</v>
      </c>
      <c r="C328" s="6">
        <v>7.5</v>
      </c>
      <c r="D328" s="89" t="s">
        <v>719</v>
      </c>
    </row>
    <row r="329" spans="2:4">
      <c r="B329" s="6" t="s">
        <v>693</v>
      </c>
      <c r="C329" s="6">
        <v>7.5</v>
      </c>
      <c r="D329" s="6" t="s">
        <v>703</v>
      </c>
    </row>
    <row r="330" spans="2:4">
      <c r="B330" s="6" t="s">
        <v>694</v>
      </c>
      <c r="C330" s="6">
        <v>7.5</v>
      </c>
      <c r="D330" s="6" t="s">
        <v>109</v>
      </c>
    </row>
    <row r="331" spans="2:4">
      <c r="B331" s="6" t="s">
        <v>695</v>
      </c>
      <c r="C331" s="6">
        <v>7.5</v>
      </c>
      <c r="D331" s="6" t="s">
        <v>698</v>
      </c>
    </row>
    <row r="332" spans="2:4">
      <c r="B332" s="6" t="s">
        <v>696</v>
      </c>
      <c r="C332" s="6">
        <v>7.5</v>
      </c>
      <c r="D332" s="6" t="s">
        <v>697</v>
      </c>
    </row>
    <row r="333" spans="2:4">
      <c r="B333" s="6" t="s">
        <v>734</v>
      </c>
      <c r="C333" s="6">
        <v>7.5</v>
      </c>
      <c r="D333" s="6" t="s">
        <v>807</v>
      </c>
    </row>
    <row r="334" spans="2:4">
      <c r="B334" s="6" t="s">
        <v>704</v>
      </c>
      <c r="C334" s="6">
        <v>7.5</v>
      </c>
      <c r="D334" s="6" t="s">
        <v>807</v>
      </c>
    </row>
    <row r="335" spans="2:4">
      <c r="B335" s="6" t="s">
        <v>705</v>
      </c>
      <c r="C335" s="6">
        <v>7.5</v>
      </c>
      <c r="D335" s="6" t="s">
        <v>706</v>
      </c>
    </row>
    <row r="336" spans="2:4">
      <c r="B336" s="6" t="s">
        <v>709</v>
      </c>
      <c r="C336" s="6">
        <v>7.5</v>
      </c>
      <c r="D336" s="6" t="s">
        <v>718</v>
      </c>
    </row>
    <row r="337" spans="2:6">
      <c r="B337" s="6" t="s">
        <v>710</v>
      </c>
      <c r="C337" s="6">
        <v>7.5</v>
      </c>
      <c r="D337" s="6" t="s">
        <v>728</v>
      </c>
    </row>
    <row r="338" spans="2:6">
      <c r="B338" s="6" t="s">
        <v>711</v>
      </c>
      <c r="C338" s="6">
        <v>7.5</v>
      </c>
      <c r="D338" s="6" t="s">
        <v>728</v>
      </c>
      <c r="F338" s="90"/>
    </row>
    <row r="339" spans="2:6">
      <c r="B339" s="6" t="s">
        <v>712</v>
      </c>
      <c r="C339" s="6">
        <v>7.5</v>
      </c>
      <c r="D339" s="6" t="s">
        <v>728</v>
      </c>
    </row>
    <row r="340" spans="2:6">
      <c r="B340" s="6" t="s">
        <v>716</v>
      </c>
      <c r="C340" s="6">
        <v>7.5</v>
      </c>
      <c r="D340" s="6" t="s">
        <v>729</v>
      </c>
    </row>
    <row r="341" spans="2:6">
      <c r="B341" s="6" t="s">
        <v>717</v>
      </c>
      <c r="C341" s="6">
        <v>7.5</v>
      </c>
      <c r="D341" s="89" t="s">
        <v>689</v>
      </c>
    </row>
    <row r="342" spans="2:6">
      <c r="B342" s="89" t="s">
        <v>720</v>
      </c>
      <c r="C342" s="6">
        <v>7.5</v>
      </c>
      <c r="D342" s="6" t="s">
        <v>727</v>
      </c>
    </row>
    <row r="343" spans="2:6">
      <c r="B343" s="89" t="s">
        <v>721</v>
      </c>
      <c r="C343" s="6">
        <v>7.5</v>
      </c>
      <c r="D343" s="89" t="s">
        <v>725</v>
      </c>
    </row>
    <row r="344" spans="2:6">
      <c r="B344" s="89" t="s">
        <v>722</v>
      </c>
      <c r="C344" s="6">
        <v>7.5</v>
      </c>
      <c r="D344" s="89" t="s">
        <v>725</v>
      </c>
    </row>
    <row r="345" spans="2:6">
      <c r="B345" s="89" t="s">
        <v>723</v>
      </c>
      <c r="C345" s="6">
        <v>7.5</v>
      </c>
      <c r="D345" s="6" t="s">
        <v>726</v>
      </c>
    </row>
    <row r="346" spans="2:6">
      <c r="B346" s="89" t="s">
        <v>724</v>
      </c>
      <c r="C346" s="6">
        <v>7.5</v>
      </c>
      <c r="D346" s="6" t="s">
        <v>810</v>
      </c>
    </row>
    <row r="347" spans="2:6">
      <c r="B347" s="99" t="s">
        <v>737</v>
      </c>
      <c r="C347" s="6">
        <v>7.5</v>
      </c>
      <c r="D347" s="6" t="s">
        <v>740</v>
      </c>
    </row>
    <row r="348" spans="2:6">
      <c r="B348" s="99" t="s">
        <v>738</v>
      </c>
      <c r="C348" s="6">
        <v>7.5</v>
      </c>
      <c r="D348" s="6" t="s">
        <v>767</v>
      </c>
    </row>
    <row r="349" spans="2:6">
      <c r="B349" s="99" t="s">
        <v>739</v>
      </c>
      <c r="C349" s="6">
        <v>7.5</v>
      </c>
      <c r="D349" s="6" t="s">
        <v>775</v>
      </c>
    </row>
    <row r="350" spans="2:6">
      <c r="B350" s="101" t="s">
        <v>749</v>
      </c>
      <c r="C350" s="6">
        <v>7.5</v>
      </c>
      <c r="D350" s="6" t="s">
        <v>764</v>
      </c>
    </row>
    <row r="351" spans="2:6">
      <c r="B351" s="101" t="s">
        <v>750</v>
      </c>
      <c r="C351" s="6">
        <v>7.5</v>
      </c>
      <c r="D351" s="6" t="s">
        <v>685</v>
      </c>
    </row>
    <row r="352" spans="2:6">
      <c r="B352" s="101" t="s">
        <v>751</v>
      </c>
      <c r="C352" s="6">
        <v>7.5</v>
      </c>
      <c r="D352" s="6" t="s">
        <v>768</v>
      </c>
    </row>
    <row r="353" spans="2:4">
      <c r="B353" s="102" t="s">
        <v>774</v>
      </c>
      <c r="C353" s="6">
        <v>7.5</v>
      </c>
      <c r="D353" s="6" t="s">
        <v>685</v>
      </c>
    </row>
    <row r="354" spans="2:4">
      <c r="B354" s="103" t="s">
        <v>776</v>
      </c>
      <c r="C354" s="6">
        <v>7.5</v>
      </c>
      <c r="D354" s="6" t="s">
        <v>778</v>
      </c>
    </row>
    <row r="355" spans="2:4">
      <c r="B355" s="103" t="s">
        <v>777</v>
      </c>
      <c r="C355" s="6">
        <v>6.4</v>
      </c>
      <c r="D355" s="6" t="s">
        <v>783</v>
      </c>
    </row>
    <row r="356" spans="2:4">
      <c r="B356" s="105" t="s">
        <v>785</v>
      </c>
      <c r="C356" s="6">
        <v>7.5</v>
      </c>
      <c r="D356" s="6" t="s">
        <v>862</v>
      </c>
    </row>
    <row r="357" spans="2:4">
      <c r="B357" s="105" t="s">
        <v>786</v>
      </c>
      <c r="C357" s="6">
        <v>7</v>
      </c>
      <c r="D357" s="6" t="s">
        <v>109</v>
      </c>
    </row>
    <row r="358" spans="2:4">
      <c r="B358" s="105" t="s">
        <v>787</v>
      </c>
      <c r="C358" s="6">
        <v>7.5</v>
      </c>
      <c r="D358" s="6" t="s">
        <v>109</v>
      </c>
    </row>
    <row r="359" spans="2:4">
      <c r="B359" s="105" t="s">
        <v>788</v>
      </c>
      <c r="C359" s="6">
        <v>7</v>
      </c>
      <c r="D359" s="6" t="s">
        <v>109</v>
      </c>
    </row>
    <row r="360" spans="2:4">
      <c r="B360" s="105" t="s">
        <v>789</v>
      </c>
      <c r="C360" s="6">
        <v>7.5</v>
      </c>
      <c r="D360" s="6" t="s">
        <v>809</v>
      </c>
    </row>
    <row r="361" spans="2:4">
      <c r="B361" s="105" t="s">
        <v>790</v>
      </c>
      <c r="C361" s="6">
        <v>7.5</v>
      </c>
      <c r="D361" s="6" t="s">
        <v>809</v>
      </c>
    </row>
    <row r="362" spans="2:4">
      <c r="B362" s="113" t="s">
        <v>801</v>
      </c>
      <c r="C362" s="6">
        <v>7.5</v>
      </c>
      <c r="D362" s="6" t="s">
        <v>805</v>
      </c>
    </row>
    <row r="363" spans="2:4">
      <c r="B363" s="113" t="s">
        <v>802</v>
      </c>
      <c r="C363" s="6">
        <v>7.5</v>
      </c>
      <c r="D363" s="6" t="s">
        <v>808</v>
      </c>
    </row>
    <row r="364" spans="2:4">
      <c r="B364" s="113" t="s">
        <v>803</v>
      </c>
      <c r="C364" s="6">
        <v>7.5</v>
      </c>
      <c r="D364" s="6" t="s">
        <v>860</v>
      </c>
    </row>
    <row r="365" spans="2:4">
      <c r="B365" s="113" t="s">
        <v>804</v>
      </c>
      <c r="C365" s="6">
        <v>7.5</v>
      </c>
      <c r="D365" s="6" t="s">
        <v>109</v>
      </c>
    </row>
    <row r="366" spans="2:4">
      <c r="B366" s="115" t="s">
        <v>811</v>
      </c>
      <c r="C366" s="6">
        <v>7.5</v>
      </c>
      <c r="D366" s="6" t="s">
        <v>876</v>
      </c>
    </row>
    <row r="367" spans="2:4">
      <c r="B367" s="118" t="s">
        <v>830</v>
      </c>
      <c r="C367" s="6">
        <v>7.5</v>
      </c>
      <c r="D367" s="6" t="s">
        <v>835</v>
      </c>
    </row>
    <row r="368" spans="2:4">
      <c r="B368" s="118" t="s">
        <v>831</v>
      </c>
      <c r="C368" s="6">
        <v>7.5</v>
      </c>
      <c r="D368" s="6" t="s">
        <v>837</v>
      </c>
    </row>
    <row r="369" spans="1:4">
      <c r="B369" s="118" t="s">
        <v>833</v>
      </c>
      <c r="C369" s="6">
        <v>7.5</v>
      </c>
      <c r="D369" s="6" t="s">
        <v>834</v>
      </c>
    </row>
    <row r="370" spans="1:4">
      <c r="B370" s="120" t="s">
        <v>849</v>
      </c>
      <c r="C370" s="6">
        <v>7.5</v>
      </c>
      <c r="D370" s="6" t="s">
        <v>663</v>
      </c>
    </row>
    <row r="371" spans="1:4" s="7" customFormat="1">
      <c r="B371" s="120" t="s">
        <v>848</v>
      </c>
      <c r="C371" s="6">
        <v>7.5</v>
      </c>
      <c r="D371" s="6" t="s">
        <v>663</v>
      </c>
    </row>
    <row r="372" spans="1:4">
      <c r="A372" t="s">
        <v>836</v>
      </c>
      <c r="B372" s="120" t="s">
        <v>838</v>
      </c>
      <c r="C372" s="6">
        <v>7.5</v>
      </c>
      <c r="D372" s="6" t="s">
        <v>839</v>
      </c>
    </row>
    <row r="373" spans="1:4">
      <c r="B373" s="120" t="s">
        <v>840</v>
      </c>
      <c r="C373" s="6">
        <v>7.5</v>
      </c>
      <c r="D373" s="6" t="s">
        <v>853</v>
      </c>
    </row>
    <row r="374" spans="1:4">
      <c r="B374" s="120" t="s">
        <v>841</v>
      </c>
      <c r="C374" s="6">
        <v>7.5</v>
      </c>
      <c r="D374" s="6" t="s">
        <v>853</v>
      </c>
    </row>
    <row r="375" spans="1:4">
      <c r="B375" s="120" t="s">
        <v>842</v>
      </c>
      <c r="C375" s="6">
        <v>7.5</v>
      </c>
      <c r="D375" s="6" t="s">
        <v>861</v>
      </c>
    </row>
    <row r="376" spans="1:4">
      <c r="B376" s="120" t="s">
        <v>843</v>
      </c>
      <c r="C376" s="6">
        <v>7.5</v>
      </c>
      <c r="D376" s="6" t="s">
        <v>892</v>
      </c>
    </row>
    <row r="377" spans="1:4">
      <c r="B377" s="120" t="s">
        <v>844</v>
      </c>
      <c r="C377" s="6">
        <v>7.5</v>
      </c>
      <c r="D377" s="6" t="s">
        <v>892</v>
      </c>
    </row>
    <row r="378" spans="1:4">
      <c r="B378" s="120" t="s">
        <v>845</v>
      </c>
      <c r="C378" s="6">
        <v>7.5</v>
      </c>
      <c r="D378" s="6" t="s">
        <v>853</v>
      </c>
    </row>
    <row r="379" spans="1:4">
      <c r="B379" s="120" t="s">
        <v>846</v>
      </c>
      <c r="C379" s="6">
        <v>7.5</v>
      </c>
      <c r="D379" s="6" t="s">
        <v>834</v>
      </c>
    </row>
    <row r="380" spans="1:4">
      <c r="B380" s="120" t="s">
        <v>847</v>
      </c>
      <c r="C380" s="6">
        <v>7.5</v>
      </c>
      <c r="D380" s="6" t="s">
        <v>852</v>
      </c>
    </row>
    <row r="381" spans="1:4">
      <c r="B381" s="120" t="s">
        <v>850</v>
      </c>
      <c r="C381" s="6">
        <v>7.5</v>
      </c>
      <c r="D381" s="6" t="s">
        <v>851</v>
      </c>
    </row>
    <row r="382" spans="1:4">
      <c r="B382" s="126" t="s">
        <v>854</v>
      </c>
      <c r="C382" s="6">
        <v>7.5</v>
      </c>
      <c r="D382" s="6" t="s">
        <v>856</v>
      </c>
    </row>
    <row r="383" spans="1:4">
      <c r="B383" s="127" t="s">
        <v>855</v>
      </c>
      <c r="C383" s="128">
        <v>45</v>
      </c>
      <c r="D383" s="6" t="s">
        <v>834</v>
      </c>
    </row>
    <row r="384" spans="1:4">
      <c r="B384" s="129" t="s">
        <v>877</v>
      </c>
      <c r="C384" s="128">
        <v>7.5</v>
      </c>
      <c r="D384" s="6" t="s">
        <v>834</v>
      </c>
    </row>
    <row r="385" spans="1:5">
      <c r="B385" s="127" t="s">
        <v>863</v>
      </c>
      <c r="C385" s="128">
        <v>7.5</v>
      </c>
      <c r="D385" s="6" t="s">
        <v>985</v>
      </c>
    </row>
    <row r="386" spans="1:5">
      <c r="B386" s="129" t="s">
        <v>864</v>
      </c>
      <c r="C386" s="128">
        <v>7.5</v>
      </c>
      <c r="D386" s="6" t="s">
        <v>856</v>
      </c>
    </row>
    <row r="387" spans="1:5">
      <c r="B387" s="6" t="s">
        <v>865</v>
      </c>
      <c r="C387" s="6">
        <v>7.5</v>
      </c>
      <c r="D387" s="143" t="s">
        <v>916</v>
      </c>
      <c r="E387" t="s">
        <v>894</v>
      </c>
    </row>
    <row r="388" spans="1:5">
      <c r="B388" s="6" t="s">
        <v>866</v>
      </c>
      <c r="C388" s="6">
        <v>7.5</v>
      </c>
      <c r="D388" s="6" t="s">
        <v>893</v>
      </c>
    </row>
    <row r="389" spans="1:5">
      <c r="B389" s="6" t="s">
        <v>867</v>
      </c>
      <c r="C389" s="6">
        <v>7.5</v>
      </c>
      <c r="D389" s="6" t="s">
        <v>834</v>
      </c>
    </row>
    <row r="390" spans="1:5">
      <c r="A390" t="s">
        <v>885</v>
      </c>
      <c r="B390" s="6" t="s">
        <v>886</v>
      </c>
      <c r="C390" s="6">
        <v>7.5</v>
      </c>
      <c r="D390" s="6" t="s">
        <v>1194</v>
      </c>
    </row>
    <row r="391" spans="1:5">
      <c r="B391" s="6" t="s">
        <v>887</v>
      </c>
      <c r="C391" s="6">
        <v>7.5</v>
      </c>
      <c r="D391" s="6" t="s">
        <v>945</v>
      </c>
    </row>
    <row r="392" spans="1:5">
      <c r="B392" s="6" t="s">
        <v>888</v>
      </c>
      <c r="C392" s="6">
        <v>7.5</v>
      </c>
      <c r="D392" s="6" t="s">
        <v>945</v>
      </c>
    </row>
    <row r="393" spans="1:5">
      <c r="B393" s="6" t="s">
        <v>904</v>
      </c>
      <c r="C393" s="6">
        <v>7.5</v>
      </c>
      <c r="D393" s="6" t="s">
        <v>905</v>
      </c>
    </row>
    <row r="394" spans="1:5">
      <c r="B394" s="6" t="s">
        <v>926</v>
      </c>
      <c r="C394" s="6">
        <v>7.5</v>
      </c>
      <c r="D394" s="6" t="s">
        <v>927</v>
      </c>
    </row>
    <row r="395" spans="1:5">
      <c r="B395" s="6" t="s">
        <v>933</v>
      </c>
      <c r="C395" s="6">
        <v>7.5</v>
      </c>
      <c r="D395" s="6" t="s">
        <v>953</v>
      </c>
    </row>
    <row r="396" spans="1:5">
      <c r="B396" s="6" t="s">
        <v>934</v>
      </c>
      <c r="C396" s="6">
        <v>7.5</v>
      </c>
      <c r="D396" s="6" t="s">
        <v>938</v>
      </c>
    </row>
    <row r="397" spans="1:5">
      <c r="B397" s="6" t="s">
        <v>935</v>
      </c>
      <c r="C397" s="6">
        <v>33.5</v>
      </c>
      <c r="D397" s="6" t="s">
        <v>961</v>
      </c>
    </row>
    <row r="398" spans="1:5">
      <c r="B398" s="6" t="s">
        <v>964</v>
      </c>
      <c r="C398" s="6">
        <v>7.5</v>
      </c>
      <c r="D398" s="6" t="s">
        <v>682</v>
      </c>
    </row>
    <row r="399" spans="1:5">
      <c r="B399" s="6" t="s">
        <v>965</v>
      </c>
      <c r="C399" s="6">
        <v>7.5</v>
      </c>
      <c r="D399" s="6" t="s">
        <v>968</v>
      </c>
    </row>
    <row r="400" spans="1:5">
      <c r="B400" s="6" t="s">
        <v>980</v>
      </c>
      <c r="C400" s="6">
        <v>7.5</v>
      </c>
      <c r="D400" s="6" t="s">
        <v>968</v>
      </c>
    </row>
    <row r="401" spans="2:4">
      <c r="B401" s="6" t="s">
        <v>1004</v>
      </c>
      <c r="C401" s="6">
        <v>7.5</v>
      </c>
      <c r="D401" s="6" t="s">
        <v>968</v>
      </c>
    </row>
    <row r="402" spans="2:4">
      <c r="B402" s="6" t="s">
        <v>1005</v>
      </c>
      <c r="C402" s="6">
        <v>7.5</v>
      </c>
      <c r="D402" s="6" t="s">
        <v>968</v>
      </c>
    </row>
    <row r="403" spans="2:4">
      <c r="B403" s="6" t="s">
        <v>1007</v>
      </c>
      <c r="C403" s="6">
        <v>7.5</v>
      </c>
      <c r="D403" s="6" t="s">
        <v>682</v>
      </c>
    </row>
    <row r="404" spans="2:4">
      <c r="B404" s="6" t="s">
        <v>1008</v>
      </c>
      <c r="C404" s="6">
        <v>7.5</v>
      </c>
      <c r="D404" s="6" t="s">
        <v>1036</v>
      </c>
    </row>
    <row r="405" spans="2:4">
      <c r="B405" s="6" t="s">
        <v>1015</v>
      </c>
      <c r="C405" s="6">
        <v>7.5</v>
      </c>
      <c r="D405" s="6" t="s">
        <v>968</v>
      </c>
    </row>
    <row r="406" spans="2:4">
      <c r="B406" s="6" t="s">
        <v>1026</v>
      </c>
      <c r="C406" s="6">
        <v>7.5</v>
      </c>
      <c r="D406" s="6" t="s">
        <v>1028</v>
      </c>
    </row>
    <row r="407" spans="2:4">
      <c r="B407" s="6" t="s">
        <v>1027</v>
      </c>
      <c r="C407" s="6">
        <v>7.5</v>
      </c>
      <c r="D407" s="6" t="s">
        <v>1028</v>
      </c>
    </row>
    <row r="408" spans="2:4">
      <c r="B408" s="6" t="s">
        <v>1041</v>
      </c>
      <c r="C408" s="6">
        <v>7.5</v>
      </c>
      <c r="D408" s="6" t="s">
        <v>1194</v>
      </c>
    </row>
    <row r="409" spans="2:4">
      <c r="B409" s="6" t="s">
        <v>1100</v>
      </c>
      <c r="C409" s="6">
        <v>7.5</v>
      </c>
      <c r="D409" s="6" t="s">
        <v>1102</v>
      </c>
    </row>
    <row r="410" spans="2:4">
      <c r="B410" s="6" t="s">
        <v>1101</v>
      </c>
      <c r="C410" s="6">
        <v>7.5</v>
      </c>
      <c r="D410" s="6" t="s">
        <v>1102</v>
      </c>
    </row>
    <row r="411" spans="2:4">
      <c r="B411" s="6" t="s">
        <v>1190</v>
      </c>
      <c r="C411" s="6">
        <v>7.5</v>
      </c>
      <c r="D411" s="6" t="s">
        <v>1197</v>
      </c>
    </row>
    <row r="412" spans="2:4">
      <c r="B412" s="6" t="s">
        <v>1191</v>
      </c>
      <c r="C412" s="6">
        <v>7.5</v>
      </c>
      <c r="D412" s="6" t="s">
        <v>1193</v>
      </c>
    </row>
    <row r="413" spans="2:4">
      <c r="B413" s="6" t="s">
        <v>1192</v>
      </c>
      <c r="C413" s="6">
        <v>7.5</v>
      </c>
      <c r="D413" s="6" t="s">
        <v>1195</v>
      </c>
    </row>
    <row r="414" spans="2:4">
      <c r="B414" s="6" t="s">
        <v>1211</v>
      </c>
      <c r="C414" s="6">
        <v>7.5</v>
      </c>
      <c r="D414" s="6" t="s">
        <v>1215</v>
      </c>
    </row>
    <row r="415" spans="2:4">
      <c r="B415" s="6" t="s">
        <v>1212</v>
      </c>
      <c r="C415" s="6">
        <v>7.5</v>
      </c>
      <c r="D415" s="190" t="s">
        <v>1223</v>
      </c>
    </row>
    <row r="416" spans="2:4">
      <c r="B416" s="6" t="s">
        <v>1213</v>
      </c>
      <c r="C416" s="6">
        <v>7.5</v>
      </c>
      <c r="D416" s="6" t="s">
        <v>1216</v>
      </c>
    </row>
    <row r="417" spans="1:9">
      <c r="B417" s="6" t="s">
        <v>1214</v>
      </c>
      <c r="C417" s="6">
        <v>7.5</v>
      </c>
      <c r="D417" s="6" t="s">
        <v>1216</v>
      </c>
    </row>
    <row r="418" spans="1:9">
      <c r="B418" s="190" t="s">
        <v>1222</v>
      </c>
      <c r="C418" s="6">
        <v>7.5</v>
      </c>
      <c r="D418" s="190" t="s">
        <v>1223</v>
      </c>
    </row>
    <row r="419" spans="1:9">
      <c r="B419" s="190" t="s">
        <v>1224</v>
      </c>
      <c r="C419" s="6">
        <v>7.5</v>
      </c>
      <c r="D419" s="190" t="s">
        <v>1225</v>
      </c>
    </row>
    <row r="420" spans="1:9">
      <c r="B420" s="6" t="s">
        <v>1230</v>
      </c>
      <c r="C420" s="6">
        <v>7.5</v>
      </c>
      <c r="D420" s="6" t="s">
        <v>1261</v>
      </c>
    </row>
    <row r="421" spans="1:9">
      <c r="B421" s="6" t="s">
        <v>1231</v>
      </c>
      <c r="C421" s="6">
        <v>7.5</v>
      </c>
      <c r="D421" s="6" t="s">
        <v>1267</v>
      </c>
    </row>
    <row r="422" spans="1:9">
      <c r="B422" s="6" t="s">
        <v>1232</v>
      </c>
      <c r="C422" s="6">
        <v>7.5</v>
      </c>
      <c r="D422" s="6" t="s">
        <v>927</v>
      </c>
    </row>
    <row r="423" spans="1:9">
      <c r="B423" s="6" t="s">
        <v>1253</v>
      </c>
      <c r="C423" s="6">
        <v>7.5</v>
      </c>
      <c r="D423" s="6" t="s">
        <v>1268</v>
      </c>
    </row>
    <row r="424" spans="1:9">
      <c r="B424" s="6" t="s">
        <v>1254</v>
      </c>
      <c r="C424" s="6">
        <v>7.5</v>
      </c>
      <c r="D424" s="6" t="s">
        <v>1264</v>
      </c>
    </row>
    <row r="425" spans="1:9">
      <c r="B425" s="6" t="s">
        <v>1255</v>
      </c>
      <c r="C425" s="6">
        <v>7.5</v>
      </c>
      <c r="D425" s="6" t="s">
        <v>1267</v>
      </c>
    </row>
    <row r="426" spans="1:9">
      <c r="B426" s="6" t="s">
        <v>1256</v>
      </c>
      <c r="C426" s="6">
        <v>7.5</v>
      </c>
      <c r="D426" s="6" t="s">
        <v>1260</v>
      </c>
    </row>
    <row r="427" spans="1:9">
      <c r="B427" s="204" t="s">
        <v>1312</v>
      </c>
      <c r="C427" s="6">
        <v>7.5</v>
      </c>
      <c r="D427" s="204" t="s">
        <v>1313</v>
      </c>
    </row>
    <row r="428" spans="1:9">
      <c r="B428" s="6" t="s">
        <v>1352</v>
      </c>
      <c r="C428" s="6">
        <v>6.5</v>
      </c>
      <c r="D428" s="6" t="s">
        <v>1353</v>
      </c>
    </row>
    <row r="429" spans="1:9">
      <c r="B429" s="6" t="s">
        <v>1354</v>
      </c>
      <c r="C429" s="6">
        <v>7.5</v>
      </c>
      <c r="D429" s="6" t="s">
        <v>1355</v>
      </c>
    </row>
    <row r="430" spans="1:9">
      <c r="B430" s="208" t="s">
        <v>1373</v>
      </c>
      <c r="C430" s="6">
        <v>7.5</v>
      </c>
      <c r="D430" s="6" t="s">
        <v>109</v>
      </c>
    </row>
    <row r="431" spans="1:9">
      <c r="A431" s="219" t="s">
        <v>1409</v>
      </c>
      <c r="B431" s="218" t="s">
        <v>1415</v>
      </c>
      <c r="C431" s="218">
        <v>7.5</v>
      </c>
      <c r="D431" s="218" t="s">
        <v>1417</v>
      </c>
    </row>
    <row r="432" spans="1:9">
      <c r="B432" s="218" t="s">
        <v>1416</v>
      </c>
      <c r="C432" s="218">
        <v>7.5</v>
      </c>
      <c r="D432" s="218" t="s">
        <v>1417</v>
      </c>
      <c r="I432">
        <f>2600*11400</f>
        <v>29640000</v>
      </c>
    </row>
    <row r="433" spans="1:5">
      <c r="B433" s="218" t="s">
        <v>1423</v>
      </c>
      <c r="C433" s="6">
        <v>6.5</v>
      </c>
      <c r="D433" s="218" t="s">
        <v>1425</v>
      </c>
    </row>
    <row r="434" spans="1:5">
      <c r="B434" s="218" t="s">
        <v>1424</v>
      </c>
      <c r="C434" s="6">
        <v>6.5</v>
      </c>
      <c r="D434" s="218" t="s">
        <v>1425</v>
      </c>
    </row>
    <row r="435" spans="1:5">
      <c r="B435" s="218" t="s">
        <v>1427</v>
      </c>
      <c r="C435" s="6">
        <v>7.5</v>
      </c>
      <c r="D435" s="218" t="s">
        <v>1429</v>
      </c>
    </row>
    <row r="436" spans="1:5">
      <c r="B436" s="218" t="s">
        <v>1428</v>
      </c>
      <c r="C436" s="6">
        <v>7.5</v>
      </c>
      <c r="D436" s="218" t="s">
        <v>1429</v>
      </c>
    </row>
    <row r="437" spans="1:5">
      <c r="A437" t="s">
        <v>1445</v>
      </c>
      <c r="B437" s="222" t="s">
        <v>1452</v>
      </c>
      <c r="C437" s="6">
        <v>7.5</v>
      </c>
      <c r="D437" s="6" t="s">
        <v>1483</v>
      </c>
    </row>
    <row r="438" spans="1:5">
      <c r="B438" s="222" t="s">
        <v>1453</v>
      </c>
      <c r="C438" s="6">
        <v>7.5</v>
      </c>
      <c r="D438" s="6" t="s">
        <v>1474</v>
      </c>
    </row>
    <row r="439" spans="1:5">
      <c r="B439" s="222" t="s">
        <v>1454</v>
      </c>
      <c r="C439" s="6">
        <v>7.5</v>
      </c>
      <c r="D439" s="6" t="s">
        <v>1475</v>
      </c>
    </row>
    <row r="440" spans="1:5">
      <c r="B440" s="224" t="s">
        <v>1470</v>
      </c>
      <c r="C440" s="6">
        <v>7.5</v>
      </c>
      <c r="D440" s="6" t="s">
        <v>1471</v>
      </c>
    </row>
    <row r="441" spans="1:5">
      <c r="A441" t="s">
        <v>1501</v>
      </c>
      <c r="B441" s="227" t="s">
        <v>1502</v>
      </c>
      <c r="C441" s="6">
        <v>7.5</v>
      </c>
      <c r="D441" s="229" t="s">
        <v>1523</v>
      </c>
    </row>
    <row r="442" spans="1:5">
      <c r="B442" s="227" t="s">
        <v>1503</v>
      </c>
      <c r="C442" s="6">
        <v>7.5</v>
      </c>
      <c r="D442" s="6" t="s">
        <v>1514</v>
      </c>
    </row>
    <row r="443" spans="1:5">
      <c r="B443" s="233" t="s">
        <v>1564</v>
      </c>
      <c r="C443" s="6">
        <v>8.25</v>
      </c>
      <c r="D443" s="251" t="s">
        <v>1197</v>
      </c>
    </row>
    <row r="444" spans="1:5">
      <c r="B444" s="246" t="s">
        <v>1640</v>
      </c>
      <c r="C444" s="6">
        <v>8.25</v>
      </c>
      <c r="D444" s="6" t="s">
        <v>1643</v>
      </c>
    </row>
    <row r="445" spans="1:5">
      <c r="B445" s="251" t="s">
        <v>1669</v>
      </c>
      <c r="C445" s="6">
        <v>8.25</v>
      </c>
      <c r="D445" s="251" t="s">
        <v>968</v>
      </c>
    </row>
    <row r="446" spans="1:5">
      <c r="B446" s="257" t="s">
        <v>1719</v>
      </c>
      <c r="C446" s="6">
        <v>7.5</v>
      </c>
      <c r="D446" s="6" t="s">
        <v>1720</v>
      </c>
    </row>
    <row r="447" spans="1:5">
      <c r="B447" s="257" t="s">
        <v>1721</v>
      </c>
      <c r="C447" s="6">
        <v>7.5</v>
      </c>
      <c r="D447" s="6" t="s">
        <v>1764</v>
      </c>
      <c r="E447">
        <v>1</v>
      </c>
    </row>
    <row r="448" spans="1:5">
      <c r="B448" s="257" t="s">
        <v>1722</v>
      </c>
      <c r="C448" s="6">
        <v>8.25</v>
      </c>
      <c r="D448" s="6" t="s">
        <v>1723</v>
      </c>
    </row>
    <row r="449" spans="1:5">
      <c r="B449" s="257" t="s">
        <v>1724</v>
      </c>
      <c r="C449" s="6">
        <v>7.5</v>
      </c>
      <c r="D449" s="6" t="s">
        <v>1788</v>
      </c>
    </row>
    <row r="450" spans="1:5">
      <c r="B450" s="257" t="s">
        <v>1725</v>
      </c>
      <c r="C450" s="6">
        <v>7.5</v>
      </c>
      <c r="D450" s="6" t="s">
        <v>968</v>
      </c>
    </row>
    <row r="451" spans="1:5">
      <c r="B451" s="257" t="s">
        <v>1726</v>
      </c>
      <c r="C451" s="6">
        <v>7.5</v>
      </c>
      <c r="D451" s="6" t="s">
        <v>968</v>
      </c>
    </row>
    <row r="452" spans="1:5">
      <c r="B452" s="257" t="s">
        <v>1727</v>
      </c>
      <c r="C452" s="6">
        <v>7.5</v>
      </c>
      <c r="D452" s="6" t="s">
        <v>968</v>
      </c>
    </row>
    <row r="453" spans="1:5">
      <c r="B453" s="257" t="s">
        <v>1728</v>
      </c>
      <c r="C453" s="6">
        <v>7.5</v>
      </c>
      <c r="D453" s="6" t="s">
        <v>968</v>
      </c>
    </row>
    <row r="454" spans="1:5">
      <c r="B454" s="257" t="s">
        <v>1729</v>
      </c>
      <c r="C454" s="6">
        <v>7.5</v>
      </c>
      <c r="D454" s="6" t="s">
        <v>968</v>
      </c>
    </row>
    <row r="455" spans="1:5">
      <c r="B455" s="257" t="s">
        <v>1730</v>
      </c>
      <c r="C455" s="6">
        <v>7.5</v>
      </c>
      <c r="D455" s="6" t="s">
        <v>968</v>
      </c>
    </row>
    <row r="456" spans="1:5">
      <c r="A456" t="s">
        <v>1740</v>
      </c>
      <c r="B456" s="262" t="s">
        <v>1752</v>
      </c>
      <c r="C456" s="6">
        <v>7.5</v>
      </c>
      <c r="D456" s="6" t="s">
        <v>968</v>
      </c>
    </row>
    <row r="457" spans="1:5">
      <c r="B457" s="262" t="s">
        <v>1756</v>
      </c>
      <c r="C457" s="6">
        <v>7.5</v>
      </c>
      <c r="D457" s="6" t="s">
        <v>1764</v>
      </c>
      <c r="E457">
        <v>1</v>
      </c>
    </row>
    <row r="458" spans="1:5">
      <c r="B458" s="262" t="s">
        <v>1757</v>
      </c>
      <c r="C458" s="6">
        <v>7.5</v>
      </c>
      <c r="D458" s="6" t="s">
        <v>1766</v>
      </c>
    </row>
    <row r="459" spans="1:5">
      <c r="B459" s="262" t="s">
        <v>1758</v>
      </c>
      <c r="C459" s="6">
        <v>7.5</v>
      </c>
      <c r="D459" s="6" t="s">
        <v>1429</v>
      </c>
    </row>
    <row r="460" spans="1:5">
      <c r="B460" s="262" t="s">
        <v>1759</v>
      </c>
      <c r="C460" s="6">
        <v>7.5</v>
      </c>
      <c r="D460" s="6" t="s">
        <v>1429</v>
      </c>
    </row>
    <row r="461" spans="1:5">
      <c r="B461" s="262" t="s">
        <v>1760</v>
      </c>
      <c r="C461" s="6">
        <v>7.5</v>
      </c>
      <c r="D461" s="6" t="s">
        <v>1765</v>
      </c>
    </row>
    <row r="462" spans="1:5">
      <c r="B462" s="262" t="s">
        <v>1761</v>
      </c>
      <c r="C462" s="6">
        <v>7.5</v>
      </c>
      <c r="D462" s="6" t="s">
        <v>1764</v>
      </c>
      <c r="E462">
        <v>1</v>
      </c>
    </row>
    <row r="463" spans="1:5">
      <c r="A463" t="s">
        <v>1772</v>
      </c>
      <c r="B463" s="266" t="s">
        <v>1794</v>
      </c>
      <c r="C463" s="6">
        <v>8.25</v>
      </c>
      <c r="D463" s="6" t="s">
        <v>1808</v>
      </c>
    </row>
    <row r="464" spans="1:5">
      <c r="B464" s="266" t="s">
        <v>1795</v>
      </c>
      <c r="C464" s="6">
        <v>7.5</v>
      </c>
      <c r="D464" s="6" t="s">
        <v>1827</v>
      </c>
    </row>
    <row r="465" spans="1:9">
      <c r="B465" s="266" t="s">
        <v>1796</v>
      </c>
      <c r="C465" s="6">
        <v>8.25</v>
      </c>
      <c r="D465" s="6" t="s">
        <v>1798</v>
      </c>
    </row>
    <row r="466" spans="1:9">
      <c r="B466" s="266" t="s">
        <v>1797</v>
      </c>
      <c r="C466" s="6">
        <v>8.25</v>
      </c>
      <c r="D466" s="6" t="s">
        <v>1798</v>
      </c>
    </row>
    <row r="467" spans="1:9">
      <c r="B467" s="266" t="s">
        <v>1799</v>
      </c>
      <c r="C467" s="6">
        <v>7.5</v>
      </c>
      <c r="D467" s="6" t="s">
        <v>1857</v>
      </c>
    </row>
    <row r="468" spans="1:9">
      <c r="B468" s="266" t="s">
        <v>1800</v>
      </c>
      <c r="C468" s="6">
        <v>7.5</v>
      </c>
      <c r="D468" s="6" t="s">
        <v>1857</v>
      </c>
    </row>
    <row r="469" spans="1:9">
      <c r="A469" t="s">
        <v>1877</v>
      </c>
      <c r="B469" s="280" t="s">
        <v>1903</v>
      </c>
      <c r="C469" s="6">
        <v>8.25</v>
      </c>
      <c r="D469" s="6" t="s">
        <v>193</v>
      </c>
    </row>
    <row r="470" spans="1:9">
      <c r="A470" t="s">
        <v>1908</v>
      </c>
      <c r="B470" s="289" t="s">
        <v>1918</v>
      </c>
      <c r="C470" s="6">
        <v>7.5</v>
      </c>
      <c r="D470" s="6" t="s">
        <v>3462</v>
      </c>
      <c r="E470" s="625"/>
      <c r="I470">
        <v>3.8</v>
      </c>
    </row>
    <row r="471" spans="1:9">
      <c r="B471" s="289" t="s">
        <v>1919</v>
      </c>
      <c r="C471" s="6">
        <v>8.25</v>
      </c>
      <c r="D471" s="6" t="s">
        <v>1920</v>
      </c>
      <c r="I471">
        <v>0.84</v>
      </c>
    </row>
    <row r="472" spans="1:9">
      <c r="A472" t="s">
        <v>2025</v>
      </c>
      <c r="B472" s="299" t="s">
        <v>2026</v>
      </c>
      <c r="C472" s="6">
        <v>7.5</v>
      </c>
      <c r="D472" s="6" t="s">
        <v>2030</v>
      </c>
      <c r="I472">
        <v>30.7</v>
      </c>
    </row>
    <row r="473" spans="1:9">
      <c r="B473" s="299" t="s">
        <v>2027</v>
      </c>
      <c r="C473" s="6">
        <v>8.25</v>
      </c>
      <c r="D473" s="6" t="s">
        <v>968</v>
      </c>
    </row>
    <row r="474" spans="1:9">
      <c r="B474" s="299" t="s">
        <v>2028</v>
      </c>
      <c r="C474" s="6">
        <v>8.25</v>
      </c>
      <c r="D474" s="322" t="s">
        <v>2197</v>
      </c>
    </row>
    <row r="475" spans="1:9">
      <c r="B475" s="299" t="s">
        <v>2029</v>
      </c>
      <c r="C475" s="6">
        <v>8.25</v>
      </c>
      <c r="D475" s="300" t="s">
        <v>2046</v>
      </c>
      <c r="G475" s="81"/>
      <c r="I475">
        <f>6.5*0.9</f>
        <v>5.8500000000000005</v>
      </c>
    </row>
    <row r="476" spans="1:9">
      <c r="A476" t="s">
        <v>2074</v>
      </c>
      <c r="B476" s="309" t="s">
        <v>2088</v>
      </c>
      <c r="C476" s="6">
        <v>8.25</v>
      </c>
      <c r="D476" s="6" t="s">
        <v>1194</v>
      </c>
    </row>
    <row r="477" spans="1:9">
      <c r="B477" s="309" t="s">
        <v>2089</v>
      </c>
      <c r="C477" s="6">
        <v>8.25</v>
      </c>
      <c r="D477" s="6" t="s">
        <v>1225</v>
      </c>
    </row>
    <row r="478" spans="1:9">
      <c r="A478" t="s">
        <v>2090</v>
      </c>
      <c r="B478" s="311" t="s">
        <v>2104</v>
      </c>
      <c r="C478" s="6">
        <v>8.25</v>
      </c>
      <c r="D478" s="6" t="s">
        <v>2105</v>
      </c>
    </row>
    <row r="479" spans="1:9">
      <c r="B479" s="311" t="s">
        <v>2106</v>
      </c>
      <c r="C479" s="6">
        <v>8.25</v>
      </c>
      <c r="D479" s="6" t="s">
        <v>905</v>
      </c>
    </row>
    <row r="480" spans="1:9">
      <c r="B480" s="311" t="s">
        <v>2112</v>
      </c>
      <c r="C480" s="6">
        <v>8.25</v>
      </c>
      <c r="D480" s="6" t="s">
        <v>905</v>
      </c>
    </row>
    <row r="481" spans="1:4">
      <c r="A481" t="s">
        <v>2114</v>
      </c>
      <c r="B481" s="313" t="s">
        <v>2130</v>
      </c>
      <c r="C481" s="6">
        <v>7.5</v>
      </c>
      <c r="D481" s="6" t="s">
        <v>2149</v>
      </c>
    </row>
    <row r="482" spans="1:4">
      <c r="B482" s="313" t="s">
        <v>2131</v>
      </c>
      <c r="C482" s="6">
        <v>8.25</v>
      </c>
      <c r="D482" s="6" t="s">
        <v>2140</v>
      </c>
    </row>
    <row r="483" spans="1:4">
      <c r="A483" s="323" t="s">
        <v>2180</v>
      </c>
      <c r="B483" s="322" t="s">
        <v>2192</v>
      </c>
      <c r="C483" s="6">
        <v>8.25</v>
      </c>
      <c r="D483" s="6" t="s">
        <v>2264</v>
      </c>
    </row>
    <row r="484" spans="1:4">
      <c r="B484" s="322" t="s">
        <v>2193</v>
      </c>
      <c r="C484" s="6">
        <v>8.25</v>
      </c>
      <c r="D484" s="322" t="s">
        <v>2105</v>
      </c>
    </row>
    <row r="485" spans="1:4">
      <c r="B485" s="322" t="s">
        <v>2196</v>
      </c>
      <c r="C485" s="6">
        <v>8.25</v>
      </c>
      <c r="D485" s="322" t="s">
        <v>2197</v>
      </c>
    </row>
    <row r="486" spans="1:4">
      <c r="A486" t="s">
        <v>2199</v>
      </c>
      <c r="B486" s="326" t="s">
        <v>2207</v>
      </c>
      <c r="C486" s="6">
        <v>8.25</v>
      </c>
      <c r="D486" s="6" t="s">
        <v>2264</v>
      </c>
    </row>
    <row r="487" spans="1:4">
      <c r="B487" s="326" t="s">
        <v>2208</v>
      </c>
      <c r="C487" s="6">
        <v>8.25</v>
      </c>
      <c r="D487" s="6" t="s">
        <v>109</v>
      </c>
    </row>
    <row r="488" spans="1:4">
      <c r="B488" s="326" t="s">
        <v>2209</v>
      </c>
      <c r="C488" s="6">
        <v>8.25</v>
      </c>
      <c r="D488" s="6" t="s">
        <v>2225</v>
      </c>
    </row>
    <row r="489" spans="1:4">
      <c r="B489" s="326" t="s">
        <v>2210</v>
      </c>
      <c r="C489" s="6">
        <v>8.25</v>
      </c>
      <c r="D489" s="6" t="s">
        <v>968</v>
      </c>
    </row>
    <row r="490" spans="1:4">
      <c r="B490" s="326" t="s">
        <v>2211</v>
      </c>
      <c r="C490" s="6">
        <v>8.25</v>
      </c>
      <c r="D490" s="6" t="s">
        <v>1223</v>
      </c>
    </row>
    <row r="491" spans="1:4">
      <c r="A491" t="s">
        <v>2217</v>
      </c>
      <c r="B491" s="328" t="s">
        <v>2226</v>
      </c>
      <c r="C491" s="6">
        <v>8.25</v>
      </c>
      <c r="D491" s="6" t="s">
        <v>2197</v>
      </c>
    </row>
    <row r="492" spans="1:4">
      <c r="B492" s="328" t="s">
        <v>2235</v>
      </c>
      <c r="C492" s="6">
        <v>8.25</v>
      </c>
      <c r="D492" s="6" t="s">
        <v>2241</v>
      </c>
    </row>
    <row r="493" spans="1:4">
      <c r="A493" t="s">
        <v>2244</v>
      </c>
      <c r="B493" s="329" t="s">
        <v>2270</v>
      </c>
      <c r="C493" s="6">
        <v>8.25</v>
      </c>
      <c r="D493" s="6" t="s">
        <v>2314</v>
      </c>
    </row>
    <row r="494" spans="1:4">
      <c r="B494" s="329" t="s">
        <v>2271</v>
      </c>
      <c r="C494" s="6">
        <v>8.25</v>
      </c>
      <c r="D494" s="6" t="s">
        <v>2314</v>
      </c>
    </row>
    <row r="495" spans="1:4">
      <c r="B495" s="329" t="s">
        <v>2272</v>
      </c>
      <c r="C495" s="6">
        <v>8.25</v>
      </c>
      <c r="D495" s="6" t="s">
        <v>1614</v>
      </c>
    </row>
    <row r="496" spans="1:4">
      <c r="B496" s="329" t="s">
        <v>2273</v>
      </c>
      <c r="C496" s="6">
        <v>8.25</v>
      </c>
      <c r="D496" s="6" t="s">
        <v>2105</v>
      </c>
    </row>
    <row r="497" spans="1:7">
      <c r="B497" s="329" t="s">
        <v>2274</v>
      </c>
      <c r="C497" s="6">
        <v>8.25</v>
      </c>
      <c r="D497" s="6" t="s">
        <v>2299</v>
      </c>
    </row>
    <row r="498" spans="1:7">
      <c r="B498" s="329" t="s">
        <v>2275</v>
      </c>
      <c r="C498" s="6">
        <v>7.5</v>
      </c>
      <c r="D498" s="6" t="s">
        <v>2299</v>
      </c>
    </row>
    <row r="499" spans="1:7">
      <c r="A499" t="s">
        <v>2280</v>
      </c>
      <c r="B499" s="331" t="s">
        <v>2295</v>
      </c>
      <c r="C499" s="6">
        <v>7.5</v>
      </c>
      <c r="D499" s="6" t="s">
        <v>2299</v>
      </c>
    </row>
    <row r="500" spans="1:7">
      <c r="B500" s="331" t="s">
        <v>2296</v>
      </c>
      <c r="C500" s="6">
        <v>8.25</v>
      </c>
      <c r="D500" s="6" t="s">
        <v>2314</v>
      </c>
    </row>
    <row r="501" spans="1:7">
      <c r="B501" s="331" t="s">
        <v>2297</v>
      </c>
      <c r="C501" s="6">
        <v>8.25</v>
      </c>
      <c r="D501" s="6" t="s">
        <v>2299</v>
      </c>
    </row>
    <row r="502" spans="1:7">
      <c r="A502" t="s">
        <v>2325</v>
      </c>
      <c r="B502" s="338" t="s">
        <v>2337</v>
      </c>
      <c r="C502" s="6">
        <v>8.25</v>
      </c>
      <c r="D502" s="6" t="s">
        <v>2352</v>
      </c>
    </row>
    <row r="503" spans="1:7">
      <c r="B503" s="338" t="s">
        <v>2338</v>
      </c>
      <c r="C503" s="6">
        <v>8.25</v>
      </c>
      <c r="D503" s="6" t="s">
        <v>968</v>
      </c>
    </row>
    <row r="504" spans="1:7">
      <c r="B504" s="338" t="s">
        <v>2339</v>
      </c>
      <c r="C504" s="6">
        <v>8.25</v>
      </c>
      <c r="D504" s="6" t="s">
        <v>2340</v>
      </c>
    </row>
    <row r="505" spans="1:7">
      <c r="A505" t="s">
        <v>2365</v>
      </c>
      <c r="B505" s="346" t="s">
        <v>2378</v>
      </c>
      <c r="C505" s="6">
        <v>8.25</v>
      </c>
      <c r="D505" s="6" t="s">
        <v>2413</v>
      </c>
    </row>
    <row r="506" spans="1:7">
      <c r="B506" s="346" t="s">
        <v>2379</v>
      </c>
      <c r="C506" s="6">
        <v>8.25</v>
      </c>
      <c r="D506" s="6" t="s">
        <v>2513</v>
      </c>
      <c r="E506" t="s">
        <v>2510</v>
      </c>
      <c r="F506" t="s">
        <v>2511</v>
      </c>
      <c r="G506" s="358" t="s">
        <v>2512</v>
      </c>
    </row>
    <row r="507" spans="1:7">
      <c r="B507" s="346" t="s">
        <v>2386</v>
      </c>
      <c r="C507" s="6">
        <v>8.25</v>
      </c>
      <c r="D507" s="6" t="s">
        <v>2513</v>
      </c>
      <c r="E507" t="s">
        <v>2507</v>
      </c>
      <c r="F507" t="s">
        <v>2508</v>
      </c>
      <c r="G507" s="358" t="s">
        <v>2509</v>
      </c>
    </row>
    <row r="508" spans="1:7">
      <c r="B508" s="346" t="s">
        <v>2387</v>
      </c>
      <c r="C508" s="6">
        <v>8.25</v>
      </c>
      <c r="D508" s="6" t="s">
        <v>2406</v>
      </c>
    </row>
    <row r="509" spans="1:7">
      <c r="A509" t="s">
        <v>1703</v>
      </c>
      <c r="B509" s="350" t="s">
        <v>2394</v>
      </c>
      <c r="C509" s="6">
        <v>8.25</v>
      </c>
      <c r="D509" s="6" t="s">
        <v>2401</v>
      </c>
    </row>
    <row r="510" spans="1:7">
      <c r="B510" s="350" t="s">
        <v>2395</v>
      </c>
      <c r="C510" s="6">
        <v>8.25</v>
      </c>
      <c r="D510" s="6" t="s">
        <v>2401</v>
      </c>
    </row>
    <row r="511" spans="1:7">
      <c r="B511" s="350" t="s">
        <v>2396</v>
      </c>
      <c r="C511" s="6">
        <v>8.25</v>
      </c>
      <c r="D511" s="6" t="s">
        <v>2411</v>
      </c>
    </row>
    <row r="512" spans="1:7">
      <c r="B512" s="350" t="s">
        <v>2397</v>
      </c>
      <c r="C512" s="6">
        <v>8.25</v>
      </c>
      <c r="D512" s="6" t="s">
        <v>2411</v>
      </c>
    </row>
    <row r="513" spans="1:7">
      <c r="B513" s="350" t="s">
        <v>2398</v>
      </c>
      <c r="C513" s="6">
        <v>8.25</v>
      </c>
      <c r="D513" s="6" t="s">
        <v>968</v>
      </c>
    </row>
    <row r="514" spans="1:7">
      <c r="B514" s="350" t="s">
        <v>2399</v>
      </c>
      <c r="C514" s="6">
        <v>8.25</v>
      </c>
      <c r="D514" s="6" t="s">
        <v>968</v>
      </c>
    </row>
    <row r="515" spans="1:7">
      <c r="B515" s="350" t="s">
        <v>2400</v>
      </c>
      <c r="C515" s="6">
        <v>8.25</v>
      </c>
      <c r="D515" s="6" t="s">
        <v>2421</v>
      </c>
    </row>
    <row r="516" spans="1:7">
      <c r="A516" t="s">
        <v>2414</v>
      </c>
      <c r="B516" s="351" t="s">
        <v>2432</v>
      </c>
      <c r="C516" s="6">
        <v>8.25</v>
      </c>
      <c r="D516" s="6" t="s">
        <v>2487</v>
      </c>
      <c r="E516" t="s">
        <v>2488</v>
      </c>
      <c r="F516" t="s">
        <v>2489</v>
      </c>
      <c r="G516" s="358" t="s">
        <v>2490</v>
      </c>
    </row>
    <row r="517" spans="1:7">
      <c r="B517" s="351" t="s">
        <v>2433</v>
      </c>
      <c r="C517" s="6">
        <v>8.25</v>
      </c>
      <c r="D517" s="6" t="s">
        <v>2503</v>
      </c>
      <c r="E517" t="s">
        <v>2500</v>
      </c>
      <c r="F517" t="s">
        <v>2501</v>
      </c>
      <c r="G517" s="358" t="s">
        <v>2502</v>
      </c>
    </row>
    <row r="518" spans="1:7">
      <c r="B518" s="351" t="s">
        <v>2434</v>
      </c>
      <c r="C518" s="6">
        <v>8.25</v>
      </c>
      <c r="D518" s="6" t="s">
        <v>2437</v>
      </c>
    </row>
    <row r="519" spans="1:7">
      <c r="B519" s="351" t="s">
        <v>2435</v>
      </c>
      <c r="C519" s="6">
        <v>8.25</v>
      </c>
      <c r="D519" s="6" t="s">
        <v>2437</v>
      </c>
    </row>
    <row r="520" spans="1:7">
      <c r="B520" s="351" t="s">
        <v>2436</v>
      </c>
      <c r="C520" s="6">
        <v>8.25</v>
      </c>
      <c r="D520" s="6" t="s">
        <v>1225</v>
      </c>
      <c r="E520" t="s">
        <v>2505</v>
      </c>
      <c r="F520" t="s">
        <v>2506</v>
      </c>
      <c r="G520" s="358" t="s">
        <v>2504</v>
      </c>
    </row>
    <row r="521" spans="1:7">
      <c r="A521" t="s">
        <v>2475</v>
      </c>
      <c r="B521" s="357" t="s">
        <v>2476</v>
      </c>
      <c r="C521" s="6">
        <v>8.25</v>
      </c>
      <c r="D521" s="6" t="s">
        <v>2645</v>
      </c>
      <c r="E521" t="s">
        <v>2642</v>
      </c>
      <c r="F521" t="s">
        <v>2643</v>
      </c>
      <c r="G521" s="358" t="s">
        <v>2644</v>
      </c>
    </row>
    <row r="522" spans="1:7">
      <c r="A522" t="s">
        <v>2514</v>
      </c>
      <c r="B522" s="363" t="s">
        <v>2531</v>
      </c>
      <c r="C522" s="6">
        <v>7.5</v>
      </c>
      <c r="D522" s="6" t="s">
        <v>2541</v>
      </c>
      <c r="E522" t="s">
        <v>2538</v>
      </c>
      <c r="F522" t="s">
        <v>2539</v>
      </c>
      <c r="G522" s="358" t="s">
        <v>2540</v>
      </c>
    </row>
    <row r="523" spans="1:7">
      <c r="B523" s="363" t="s">
        <v>2532</v>
      </c>
      <c r="C523" s="6">
        <v>8.25</v>
      </c>
      <c r="D523" s="6" t="s">
        <v>2533</v>
      </c>
      <c r="E523" t="s">
        <v>2534</v>
      </c>
      <c r="F523" t="s">
        <v>2535</v>
      </c>
      <c r="G523" s="358" t="s">
        <v>2536</v>
      </c>
    </row>
    <row r="524" spans="1:7">
      <c r="A524" t="s">
        <v>2537</v>
      </c>
      <c r="B524" s="368" t="s">
        <v>2549</v>
      </c>
      <c r="C524" s="6">
        <v>7.5</v>
      </c>
      <c r="D524" s="6" t="s">
        <v>2656</v>
      </c>
      <c r="E524" t="s">
        <v>2653</v>
      </c>
      <c r="F524" t="s">
        <v>2654</v>
      </c>
      <c r="G524" s="358" t="s">
        <v>2655</v>
      </c>
    </row>
    <row r="525" spans="1:7">
      <c r="B525" s="368" t="s">
        <v>2550</v>
      </c>
      <c r="C525" s="6">
        <v>8.25</v>
      </c>
      <c r="D525" s="6" t="s">
        <v>968</v>
      </c>
      <c r="E525" t="s">
        <v>2551</v>
      </c>
      <c r="F525" t="s">
        <v>2552</v>
      </c>
      <c r="G525" s="358" t="s">
        <v>2553</v>
      </c>
    </row>
    <row r="526" spans="1:7">
      <c r="A526" t="s">
        <v>2556</v>
      </c>
      <c r="B526" s="376" t="s">
        <v>2572</v>
      </c>
      <c r="C526" s="6">
        <v>8.25</v>
      </c>
      <c r="D526" s="6" t="s">
        <v>2573</v>
      </c>
    </row>
    <row r="527" spans="1:7">
      <c r="B527" s="376" t="s">
        <v>2582</v>
      </c>
      <c r="C527" s="6">
        <v>8.25</v>
      </c>
      <c r="D527" s="6" t="s">
        <v>2533</v>
      </c>
      <c r="E527" t="s">
        <v>2583</v>
      </c>
      <c r="F527" t="s">
        <v>2584</v>
      </c>
      <c r="G527" s="358" t="s">
        <v>2585</v>
      </c>
    </row>
    <row r="528" spans="1:7">
      <c r="A528" t="s">
        <v>2586</v>
      </c>
      <c r="B528" s="378" t="s">
        <v>2594</v>
      </c>
      <c r="C528" s="6">
        <v>8.25</v>
      </c>
      <c r="D528" s="6" t="s">
        <v>2598</v>
      </c>
      <c r="E528" t="s">
        <v>2595</v>
      </c>
      <c r="F528" t="s">
        <v>2596</v>
      </c>
      <c r="G528" s="358" t="s">
        <v>2597</v>
      </c>
    </row>
    <row r="529" spans="1:7">
      <c r="B529" s="378" t="s">
        <v>2607</v>
      </c>
      <c r="C529" s="6">
        <v>8.25</v>
      </c>
      <c r="D529" s="380" t="s">
        <v>2622</v>
      </c>
      <c r="E529" s="381" t="s">
        <v>2619</v>
      </c>
      <c r="F529" s="381" t="s">
        <v>2620</v>
      </c>
      <c r="G529" s="382" t="s">
        <v>2621</v>
      </c>
    </row>
    <row r="530" spans="1:7">
      <c r="A530" t="s">
        <v>2626</v>
      </c>
      <c r="B530" s="388" t="s">
        <v>2633</v>
      </c>
      <c r="C530" s="6">
        <v>8.25</v>
      </c>
      <c r="D530" s="6" t="s">
        <v>837</v>
      </c>
      <c r="E530" t="s">
        <v>2638</v>
      </c>
      <c r="F530" t="s">
        <v>2639</v>
      </c>
      <c r="G530" s="358" t="s">
        <v>2640</v>
      </c>
    </row>
    <row r="531" spans="1:7">
      <c r="A531" t="s">
        <v>2680</v>
      </c>
      <c r="B531" s="415" t="s">
        <v>2708</v>
      </c>
      <c r="C531" s="6">
        <v>8.25</v>
      </c>
      <c r="D531" s="6" t="s">
        <v>2783</v>
      </c>
      <c r="E531" t="s">
        <v>2777</v>
      </c>
      <c r="F531" t="s">
        <v>2778</v>
      </c>
      <c r="G531" s="358" t="s">
        <v>2779</v>
      </c>
    </row>
    <row r="532" spans="1:7">
      <c r="B532" s="415" t="s">
        <v>2707</v>
      </c>
      <c r="C532" s="6">
        <v>8.25</v>
      </c>
      <c r="D532" s="6" t="s">
        <v>2783</v>
      </c>
      <c r="E532" t="s">
        <v>2780</v>
      </c>
      <c r="F532" t="s">
        <v>2781</v>
      </c>
      <c r="G532" s="358" t="s">
        <v>2782</v>
      </c>
    </row>
    <row r="533" spans="1:7">
      <c r="A533" t="s">
        <v>2794</v>
      </c>
      <c r="B533" s="420" t="s">
        <v>2797</v>
      </c>
      <c r="C533" s="6">
        <v>8.25</v>
      </c>
      <c r="D533" s="6" t="s">
        <v>2809</v>
      </c>
      <c r="E533" s="7" t="s">
        <v>2806</v>
      </c>
      <c r="F533" s="7" t="s">
        <v>2807</v>
      </c>
      <c r="G533" s="358" t="s">
        <v>2808</v>
      </c>
    </row>
    <row r="534" spans="1:7">
      <c r="A534" t="s">
        <v>2824</v>
      </c>
      <c r="B534" s="430" t="s">
        <v>2841</v>
      </c>
      <c r="C534" s="6">
        <v>7.5</v>
      </c>
      <c r="D534" s="6" t="s">
        <v>2855</v>
      </c>
      <c r="E534" s="7" t="s">
        <v>2852</v>
      </c>
      <c r="F534" s="7" t="s">
        <v>2853</v>
      </c>
      <c r="G534" s="358" t="s">
        <v>2854</v>
      </c>
    </row>
    <row r="535" spans="1:7">
      <c r="A535" s="434" t="s">
        <v>2843</v>
      </c>
      <c r="B535" s="431" t="s">
        <v>2845</v>
      </c>
      <c r="C535" s="6">
        <v>7.5</v>
      </c>
      <c r="D535" s="6" t="s">
        <v>2855</v>
      </c>
      <c r="E535" t="s">
        <v>2849</v>
      </c>
      <c r="F535" t="s">
        <v>2850</v>
      </c>
      <c r="G535" s="358" t="s">
        <v>2851</v>
      </c>
    </row>
    <row r="536" spans="1:7">
      <c r="B536" s="431" t="s">
        <v>2846</v>
      </c>
      <c r="C536" s="6">
        <v>8.25</v>
      </c>
      <c r="D536" s="6" t="s">
        <v>2909</v>
      </c>
      <c r="E536" t="s">
        <v>2906</v>
      </c>
      <c r="F536" t="s">
        <v>2907</v>
      </c>
      <c r="G536" s="358" t="s">
        <v>2908</v>
      </c>
    </row>
    <row r="537" spans="1:7">
      <c r="B537" s="431" t="s">
        <v>2847</v>
      </c>
      <c r="C537" s="6">
        <v>8.25</v>
      </c>
      <c r="D537" s="6" t="s">
        <v>2883</v>
      </c>
      <c r="E537" t="s">
        <v>2880</v>
      </c>
      <c r="F537" t="s">
        <v>2881</v>
      </c>
      <c r="G537" s="358" t="s">
        <v>2882</v>
      </c>
    </row>
    <row r="538" spans="1:7">
      <c r="B538" s="431" t="s">
        <v>2848</v>
      </c>
      <c r="C538" s="6">
        <v>8.25</v>
      </c>
      <c r="D538" s="431" t="s">
        <v>2876</v>
      </c>
      <c r="E538" s="434" t="s">
        <v>2877</v>
      </c>
      <c r="F538" s="434" t="s">
        <v>2878</v>
      </c>
      <c r="G538" s="435" t="s">
        <v>2879</v>
      </c>
    </row>
    <row r="539" spans="1:7">
      <c r="B539" s="431" t="s">
        <v>2872</v>
      </c>
      <c r="C539" s="6">
        <v>8.25</v>
      </c>
      <c r="D539" s="431" t="s">
        <v>2876</v>
      </c>
      <c r="E539" s="434" t="s">
        <v>2873</v>
      </c>
      <c r="F539" s="434" t="s">
        <v>2874</v>
      </c>
      <c r="G539" s="435" t="s">
        <v>2875</v>
      </c>
    </row>
    <row r="540" spans="1:7">
      <c r="A540" t="s">
        <v>2884</v>
      </c>
      <c r="B540" s="469" t="s">
        <v>2898</v>
      </c>
      <c r="C540" s="6">
        <v>8.25</v>
      </c>
      <c r="D540" s="6" t="s">
        <v>3010</v>
      </c>
      <c r="E540" t="s">
        <v>3007</v>
      </c>
      <c r="F540" t="s">
        <v>3008</v>
      </c>
      <c r="G540" s="358" t="s">
        <v>3009</v>
      </c>
    </row>
    <row r="541" spans="1:7">
      <c r="A541" t="s">
        <v>2929</v>
      </c>
      <c r="B541" s="452" t="s">
        <v>2950</v>
      </c>
      <c r="C541" s="6">
        <v>8.25</v>
      </c>
      <c r="D541" s="6" t="s">
        <v>1194</v>
      </c>
      <c r="E541" t="s">
        <v>2987</v>
      </c>
      <c r="F541" t="s">
        <v>2988</v>
      </c>
      <c r="G541" s="358" t="s">
        <v>2989</v>
      </c>
    </row>
    <row r="542" spans="1:7">
      <c r="A542" t="s">
        <v>2956</v>
      </c>
      <c r="B542" s="462" t="s">
        <v>2974</v>
      </c>
      <c r="C542" s="6">
        <v>8.25</v>
      </c>
      <c r="D542" s="6" t="s">
        <v>2979</v>
      </c>
      <c r="E542" t="s">
        <v>2976</v>
      </c>
      <c r="F542" t="s">
        <v>2977</v>
      </c>
      <c r="G542" s="358" t="s">
        <v>2978</v>
      </c>
    </row>
    <row r="543" spans="1:7">
      <c r="B543" s="462" t="s">
        <v>2975</v>
      </c>
      <c r="C543" s="6">
        <v>8.25</v>
      </c>
      <c r="D543" s="6" t="s">
        <v>2983</v>
      </c>
      <c r="E543" t="s">
        <v>2980</v>
      </c>
      <c r="F543" t="s">
        <v>2981</v>
      </c>
      <c r="G543" s="358" t="s">
        <v>2982</v>
      </c>
    </row>
    <row r="544" spans="1:7">
      <c r="B544" s="462" t="s">
        <v>2984</v>
      </c>
      <c r="C544" s="6">
        <v>8.25</v>
      </c>
      <c r="D544" s="6" t="s">
        <v>3020</v>
      </c>
      <c r="E544" t="s">
        <v>3014</v>
      </c>
      <c r="F544" t="s">
        <v>3015</v>
      </c>
      <c r="G544" s="358" t="s">
        <v>3016</v>
      </c>
    </row>
    <row r="545" spans="1:7">
      <c r="A545" t="s">
        <v>2985</v>
      </c>
      <c r="B545" s="467" t="s">
        <v>2991</v>
      </c>
      <c r="C545" s="6">
        <v>8.25</v>
      </c>
      <c r="D545" s="6" t="s">
        <v>2998</v>
      </c>
      <c r="E545" t="s">
        <v>2995</v>
      </c>
      <c r="F545" t="s">
        <v>2996</v>
      </c>
      <c r="G545" s="358" t="s">
        <v>2997</v>
      </c>
    </row>
    <row r="546" spans="1:7">
      <c r="A546" t="s">
        <v>3026</v>
      </c>
      <c r="B546" s="476" t="s">
        <v>3027</v>
      </c>
      <c r="C546" s="6">
        <v>8.25</v>
      </c>
      <c r="D546" s="6" t="s">
        <v>3039</v>
      </c>
      <c r="E546" t="s">
        <v>3036</v>
      </c>
      <c r="F546" t="s">
        <v>3037</v>
      </c>
      <c r="G546" s="358" t="s">
        <v>3038</v>
      </c>
    </row>
    <row r="547" spans="1:7">
      <c r="B547" s="476" t="s">
        <v>3033</v>
      </c>
      <c r="C547" s="6">
        <v>8.25</v>
      </c>
      <c r="D547" s="6" t="s">
        <v>3043</v>
      </c>
      <c r="E547" t="s">
        <v>3040</v>
      </c>
      <c r="F547" t="s">
        <v>3041</v>
      </c>
      <c r="G547" s="358" t="s">
        <v>3042</v>
      </c>
    </row>
  </sheetData>
  <mergeCells count="21">
    <mergeCell ref="D64:D65"/>
    <mergeCell ref="D3:D6"/>
    <mergeCell ref="D10:D11"/>
    <mergeCell ref="D12:D13"/>
    <mergeCell ref="D14:D15"/>
    <mergeCell ref="D20:D21"/>
    <mergeCell ref="D35:D37"/>
    <mergeCell ref="D41:D42"/>
    <mergeCell ref="D45:D46"/>
    <mergeCell ref="D47:D48"/>
    <mergeCell ref="D49:D50"/>
    <mergeCell ref="D60:D61"/>
    <mergeCell ref="D117:D119"/>
    <mergeCell ref="D127:D128"/>
    <mergeCell ref="D138:D140"/>
    <mergeCell ref="D66:D67"/>
    <mergeCell ref="D75:D81"/>
    <mergeCell ref="D89:D90"/>
    <mergeCell ref="D99:D100"/>
    <mergeCell ref="D103:D104"/>
    <mergeCell ref="D108:D109"/>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AKB6270"/>
  <sheetViews>
    <sheetView tabSelected="1" topLeftCell="A217" zoomScale="85" zoomScaleNormal="85" workbookViewId="0">
      <selection activeCell="I226" sqref="I226:J242"/>
    </sheetView>
  </sheetViews>
  <sheetFormatPr defaultRowHeight="14.4"/>
  <cols>
    <col min="1" max="1" width="11.77734375" customWidth="1"/>
    <col min="2" max="2" width="43.5546875" customWidth="1"/>
    <col min="3" max="3" width="12.44140625" customWidth="1"/>
    <col min="4" max="4" width="13.88671875" style="1304" customWidth="1"/>
    <col min="5" max="5" width="24.5546875" customWidth="1"/>
    <col min="6" max="6" width="10.77734375" customWidth="1"/>
    <col min="7" max="7" width="17" style="4" bestFit="1" customWidth="1"/>
    <col min="8" max="8" width="12.6640625" bestFit="1" customWidth="1"/>
    <col min="9" max="9" width="12.6640625" style="1304" customWidth="1"/>
    <col min="11" max="13" width="8.88671875" style="1304"/>
    <col min="14" max="14" width="10.33203125" style="1304" bestFit="1" customWidth="1"/>
    <col min="15" max="15" width="11.33203125" bestFit="1" customWidth="1"/>
    <col min="16" max="17" width="11.33203125" style="1304" customWidth="1"/>
    <col min="18" max="18" width="9.88671875" customWidth="1"/>
    <col min="19" max="21" width="9.88671875" style="1304" customWidth="1"/>
    <col min="22" max="22" width="14.33203125" bestFit="1" customWidth="1"/>
    <col min="23" max="23" width="17" bestFit="1" customWidth="1"/>
    <col min="24" max="24" width="9" customWidth="1"/>
    <col min="27" max="27" width="8.88671875" style="1304"/>
    <col min="30" max="30" width="9.5546875" bestFit="1" customWidth="1"/>
    <col min="43" max="150" width="0" hidden="1" customWidth="1"/>
    <col min="154" max="169" width="0" hidden="1" customWidth="1"/>
    <col min="178" max="217" width="0" hidden="1" customWidth="1"/>
    <col min="219" max="307" width="0" hidden="1" customWidth="1"/>
    <col min="308" max="308" width="17.77734375" hidden="1" customWidth="1"/>
    <col min="309" max="529" width="0" hidden="1" customWidth="1"/>
    <col min="534" max="577" width="0" hidden="1" customWidth="1"/>
    <col min="578" max="582" width="0" style="1304" hidden="1" customWidth="1"/>
    <col min="583" max="583" width="0" hidden="1" customWidth="1"/>
    <col min="584" max="648" width="0" style="1304" hidden="1" customWidth="1"/>
    <col min="649" max="649" width="8.88671875" style="1304"/>
    <col min="650" max="720" width="0" style="1304" hidden="1" customWidth="1"/>
    <col min="721" max="889" width="8.88671875" style="1304"/>
    <col min="890" max="890" width="8.77734375" style="1304" customWidth="1"/>
    <col min="891" max="923" width="8.88671875" style="1304"/>
    <col min="924" max="924" width="8.77734375" style="1304" customWidth="1"/>
    <col min="925" max="954" width="8.88671875" style="1304"/>
  </cols>
  <sheetData>
    <row r="3" spans="1:964">
      <c r="HS3">
        <v>0.85</v>
      </c>
    </row>
    <row r="4" spans="1:964">
      <c r="A4" s="180"/>
      <c r="B4" s="9" t="s">
        <v>1130</v>
      </c>
      <c r="C4" s="9" t="s">
        <v>1127</v>
      </c>
      <c r="D4" s="9"/>
      <c r="E4" s="9" t="s">
        <v>1128</v>
      </c>
      <c r="F4" s="9"/>
      <c r="G4" s="2512" t="s">
        <v>1129</v>
      </c>
      <c r="H4" s="249"/>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249"/>
      <c r="BC4" s="249"/>
      <c r="BD4" s="249"/>
      <c r="BE4" s="249"/>
      <c r="BF4" s="249"/>
      <c r="BG4" s="249"/>
      <c r="BH4" s="249"/>
      <c r="BI4" s="249"/>
      <c r="BJ4" s="249"/>
      <c r="BK4" s="249"/>
      <c r="BL4" s="249"/>
      <c r="BM4" s="249"/>
      <c r="BN4" s="249"/>
      <c r="BO4" s="249"/>
      <c r="BP4" s="249"/>
      <c r="BQ4" s="249"/>
      <c r="BR4" s="249"/>
      <c r="BS4" s="249"/>
      <c r="BT4" s="249"/>
      <c r="BU4" s="249"/>
      <c r="BV4" s="249"/>
      <c r="BW4" s="249"/>
      <c r="BX4" s="249"/>
      <c r="BY4" s="249"/>
      <c r="BZ4" s="249"/>
      <c r="CA4" s="249"/>
      <c r="CB4" s="249"/>
      <c r="CC4" s="249"/>
      <c r="CD4" s="249"/>
      <c r="CE4" s="249"/>
      <c r="CF4" s="249"/>
      <c r="CG4" s="249"/>
      <c r="CH4" s="249"/>
      <c r="CI4" s="249"/>
      <c r="CJ4" s="249"/>
      <c r="CK4" s="249"/>
      <c r="CL4" s="249"/>
      <c r="CM4" s="249"/>
      <c r="CN4" s="249"/>
      <c r="CO4" s="249"/>
      <c r="CP4" s="249"/>
      <c r="CQ4" s="249"/>
      <c r="CR4" s="249"/>
      <c r="CS4" s="249"/>
      <c r="CT4" s="249"/>
      <c r="CU4" s="249"/>
      <c r="CV4" s="249"/>
      <c r="CW4" s="249"/>
      <c r="CX4" s="249"/>
      <c r="CY4" s="249"/>
      <c r="CZ4" s="249"/>
      <c r="DA4" s="249"/>
      <c r="DB4" s="249"/>
      <c r="DC4" s="249"/>
      <c r="DD4" s="249"/>
      <c r="DE4" s="249"/>
      <c r="DF4" s="249"/>
      <c r="DG4" s="249"/>
      <c r="DH4" s="249"/>
      <c r="DI4" s="249"/>
      <c r="DJ4" s="249"/>
      <c r="DK4" s="249"/>
      <c r="DL4" s="249"/>
      <c r="DM4" s="249"/>
      <c r="DN4" s="249"/>
      <c r="DO4" s="249"/>
      <c r="DP4" s="249"/>
      <c r="DQ4" s="249"/>
      <c r="DR4" s="249"/>
      <c r="DS4" s="249"/>
      <c r="DT4" s="249"/>
      <c r="DU4" s="249"/>
      <c r="DV4" s="249"/>
      <c r="DW4" s="249"/>
      <c r="DX4" s="249"/>
      <c r="DY4" s="249"/>
      <c r="DZ4" s="249"/>
      <c r="EA4" s="249"/>
      <c r="EB4" s="249"/>
      <c r="EC4" s="249"/>
      <c r="ED4" s="249"/>
      <c r="EE4" s="249"/>
      <c r="EF4" s="249"/>
      <c r="EG4" s="249"/>
      <c r="EH4" s="249"/>
      <c r="EI4" s="249"/>
      <c r="EJ4" s="249"/>
      <c r="EK4" s="249"/>
      <c r="EL4" s="249"/>
      <c r="EM4" s="249"/>
      <c r="EN4" s="249"/>
      <c r="EO4" s="249"/>
      <c r="EP4" s="249"/>
      <c r="EQ4" s="249"/>
      <c r="ER4" s="249"/>
      <c r="ES4" s="249"/>
      <c r="ET4" s="249"/>
      <c r="EU4" s="249"/>
      <c r="EV4" s="249"/>
      <c r="EW4" s="249"/>
      <c r="EX4" s="249"/>
      <c r="EY4" s="249"/>
      <c r="EZ4" s="249"/>
      <c r="FA4" s="249"/>
      <c r="FB4" s="249"/>
      <c r="FC4" s="249"/>
      <c r="FD4" s="249"/>
      <c r="FE4" s="249"/>
      <c r="FF4" s="249"/>
      <c r="FG4" s="249"/>
      <c r="FH4" s="249"/>
      <c r="FI4" s="249"/>
      <c r="FJ4" s="249"/>
      <c r="FK4" s="249"/>
      <c r="FL4" s="249"/>
      <c r="FM4" s="249"/>
      <c r="FN4" s="249"/>
      <c r="FO4" s="249"/>
      <c r="FP4" s="249"/>
      <c r="FQ4" s="249"/>
      <c r="FR4" s="249"/>
      <c r="FS4" s="249"/>
      <c r="FT4" s="249"/>
      <c r="FU4" s="249"/>
      <c r="FV4" s="249"/>
      <c r="FW4" s="249"/>
      <c r="FX4" s="249"/>
      <c r="FY4" s="249"/>
      <c r="FZ4" s="249"/>
      <c r="GA4" s="249"/>
      <c r="GB4" s="249"/>
      <c r="GC4" s="249"/>
      <c r="GD4" s="249"/>
      <c r="GE4" s="249"/>
      <c r="GF4" s="249"/>
      <c r="GG4" s="249"/>
      <c r="GH4" s="249"/>
      <c r="GI4" s="249"/>
      <c r="GJ4" s="249"/>
      <c r="GK4" s="249"/>
      <c r="GL4" s="249"/>
      <c r="GM4" s="249"/>
      <c r="GN4" s="249"/>
      <c r="GO4" s="249"/>
      <c r="GP4" s="249"/>
      <c r="GQ4" s="249"/>
      <c r="GR4" s="249"/>
      <c r="GS4" s="249"/>
      <c r="GT4" s="249"/>
      <c r="GU4" s="249"/>
      <c r="GV4" s="249"/>
      <c r="GW4" s="249"/>
      <c r="GX4" s="249"/>
      <c r="GY4" s="249"/>
      <c r="GZ4" s="249"/>
      <c r="HA4" s="249"/>
      <c r="HB4" s="249"/>
      <c r="HC4" s="249"/>
      <c r="HD4" s="249"/>
      <c r="HE4" s="249"/>
      <c r="HF4" s="249"/>
      <c r="HG4" s="249"/>
      <c r="HH4" s="249"/>
      <c r="HI4" s="249"/>
      <c r="HJ4" s="249"/>
      <c r="HK4" s="249"/>
      <c r="HL4" s="249"/>
      <c r="HM4" s="249"/>
      <c r="HN4" s="249"/>
      <c r="HO4" s="249"/>
      <c r="HP4" s="249"/>
      <c r="HQ4" s="249"/>
      <c r="HR4" s="249"/>
      <c r="HS4" s="249">
        <v>1.67</v>
      </c>
      <c r="HT4" s="249"/>
      <c r="HU4" s="249"/>
      <c r="HV4" s="249"/>
      <c r="HW4" s="249"/>
      <c r="HX4" s="249"/>
      <c r="HY4" s="249"/>
      <c r="HZ4" s="249"/>
      <c r="IA4" s="249"/>
      <c r="IB4" s="249"/>
      <c r="IC4" s="249"/>
      <c r="ID4" s="249"/>
      <c r="IE4" s="249"/>
      <c r="IF4" s="249"/>
      <c r="IG4" s="249"/>
      <c r="IH4" s="249"/>
      <c r="II4" s="249"/>
      <c r="IJ4" s="249"/>
      <c r="IK4" s="249"/>
      <c r="IL4" s="249"/>
      <c r="IM4" s="249"/>
      <c r="IN4" s="249"/>
      <c r="IO4" s="249"/>
      <c r="IP4" s="249"/>
      <c r="IQ4" s="249"/>
      <c r="IR4" s="249"/>
      <c r="IS4" s="249"/>
      <c r="IT4" s="249"/>
      <c r="IU4" s="249"/>
      <c r="IV4" s="249"/>
      <c r="IW4" s="249"/>
      <c r="IX4" s="249"/>
      <c r="IY4" s="249"/>
      <c r="IZ4" s="249"/>
      <c r="JA4" s="249"/>
      <c r="JB4" s="249"/>
      <c r="JC4" s="249"/>
      <c r="JD4" s="249"/>
      <c r="JE4" s="249"/>
      <c r="JF4" s="249"/>
      <c r="JG4" s="249"/>
      <c r="JH4" s="249"/>
      <c r="JI4" s="249"/>
      <c r="JJ4" s="249"/>
      <c r="JK4" s="249"/>
      <c r="JL4" s="249"/>
      <c r="JM4" s="249"/>
      <c r="JN4" s="249"/>
      <c r="JO4" s="249"/>
      <c r="JP4" s="249"/>
      <c r="JQ4" s="249"/>
      <c r="JR4" s="249"/>
      <c r="JS4" s="249"/>
      <c r="JT4" s="249"/>
      <c r="JU4" s="249"/>
      <c r="JV4" s="249"/>
      <c r="JW4" s="249"/>
      <c r="JX4" s="249"/>
      <c r="JY4" s="249"/>
      <c r="JZ4" s="249"/>
      <c r="KA4" s="249"/>
      <c r="KB4" s="249"/>
      <c r="KC4" s="249"/>
      <c r="KD4" s="249"/>
      <c r="KE4" s="249"/>
      <c r="KF4" s="249"/>
      <c r="KG4" s="249"/>
      <c r="KH4" s="249"/>
      <c r="KI4" s="249"/>
      <c r="KJ4" s="249"/>
      <c r="KK4" s="249"/>
      <c r="KL4" s="249"/>
      <c r="KM4" s="249"/>
      <c r="KN4" s="249"/>
      <c r="KO4" s="249"/>
      <c r="KP4" s="249"/>
      <c r="KQ4" s="249"/>
      <c r="KR4" s="249"/>
      <c r="KS4" s="249"/>
      <c r="KT4" s="249"/>
      <c r="AKB4">
        <v>1268</v>
      </c>
    </row>
    <row r="5" spans="1:964">
      <c r="A5" s="83">
        <v>1</v>
      </c>
      <c r="B5" s="181" t="s">
        <v>1131</v>
      </c>
      <c r="C5" s="181" t="s">
        <v>1132</v>
      </c>
      <c r="D5" s="906" t="s">
        <v>6925</v>
      </c>
      <c r="E5" s="83">
        <v>310215446</v>
      </c>
      <c r="F5" s="83"/>
      <c r="G5" s="82">
        <v>500676</v>
      </c>
      <c r="H5" s="287"/>
      <c r="I5" s="287"/>
      <c r="J5" s="287"/>
      <c r="K5" s="287"/>
      <c r="L5" s="287"/>
      <c r="M5" s="287"/>
      <c r="N5" s="287"/>
      <c r="O5" s="281"/>
      <c r="P5" s="281"/>
      <c r="Q5" s="281"/>
      <c r="R5" s="281"/>
      <c r="S5" s="281"/>
      <c r="T5" s="281"/>
      <c r="U5" s="281"/>
      <c r="V5" s="281"/>
      <c r="W5" s="281"/>
      <c r="X5" s="281"/>
      <c r="Y5" s="281"/>
      <c r="Z5" s="281"/>
      <c r="AA5" s="281"/>
      <c r="AB5" s="281"/>
      <c r="AC5" s="281"/>
      <c r="AD5" s="281"/>
      <c r="AE5" s="281"/>
      <c r="AF5" s="281"/>
      <c r="AG5" s="281"/>
      <c r="AH5" s="281"/>
      <c r="AI5" s="281"/>
      <c r="AJ5" s="281"/>
      <c r="AK5" s="281"/>
      <c r="AL5" s="281"/>
      <c r="AM5" s="281"/>
      <c r="AN5" s="281"/>
      <c r="AO5" s="281"/>
      <c r="AP5" s="281"/>
      <c r="AQ5" s="281"/>
      <c r="AR5" s="281"/>
      <c r="AS5" s="281"/>
      <c r="AT5" s="281"/>
      <c r="AU5" s="281"/>
      <c r="AV5" s="281"/>
      <c r="AW5" s="281"/>
      <c r="AX5" s="281"/>
      <c r="AY5" s="281"/>
      <c r="AZ5" s="281"/>
      <c r="BA5" s="281"/>
      <c r="BB5" s="281"/>
      <c r="BC5" s="281"/>
      <c r="BD5" s="281"/>
      <c r="BE5" s="281"/>
      <c r="BF5" s="281"/>
      <c r="BG5" s="281"/>
      <c r="BH5" s="281"/>
      <c r="BI5" s="281"/>
      <c r="BJ5" s="281"/>
      <c r="BK5" s="281"/>
      <c r="BL5" s="281"/>
      <c r="BM5" s="281"/>
      <c r="BN5" s="281"/>
      <c r="BO5" s="281"/>
      <c r="BP5" s="281"/>
      <c r="BQ5" s="281"/>
      <c r="BR5" s="281"/>
      <c r="BS5" s="281"/>
      <c r="BT5" s="281"/>
      <c r="BU5" s="281"/>
      <c r="BV5" s="281"/>
      <c r="BW5" s="281"/>
      <c r="BX5" s="281"/>
      <c r="BY5" s="281"/>
      <c r="BZ5" s="281"/>
      <c r="CA5" s="281"/>
      <c r="CB5" s="281"/>
      <c r="CC5" s="281"/>
      <c r="CD5" s="281"/>
      <c r="CE5" s="281"/>
      <c r="CF5" s="281"/>
      <c r="CG5" s="281"/>
      <c r="CH5" s="281"/>
      <c r="CI5" s="281"/>
      <c r="CJ5" s="281"/>
      <c r="CK5" s="281"/>
      <c r="CL5" s="281"/>
      <c r="CM5" s="281"/>
      <c r="CN5" s="281"/>
      <c r="CO5" s="281"/>
      <c r="CP5" s="281"/>
      <c r="CQ5" s="281"/>
      <c r="CR5" s="281"/>
      <c r="CS5" s="281"/>
      <c r="CT5" s="281"/>
      <c r="CU5" s="281"/>
      <c r="CV5" s="281"/>
      <c r="CW5" s="281"/>
      <c r="CX5" s="281"/>
      <c r="CY5" s="281"/>
      <c r="CZ5" s="281"/>
      <c r="DA5" s="281"/>
      <c r="DB5" s="281"/>
      <c r="DC5" s="281"/>
      <c r="DD5" s="281"/>
      <c r="DE5" s="281"/>
      <c r="DF5" s="281"/>
      <c r="DG5" s="281"/>
      <c r="DH5" s="281"/>
      <c r="DI5" s="281"/>
      <c r="DJ5" s="281"/>
      <c r="DK5" s="281"/>
      <c r="DL5" s="281"/>
      <c r="DM5" s="281"/>
      <c r="DN5" s="281"/>
      <c r="DO5" s="281"/>
      <c r="DP5" s="281"/>
      <c r="DQ5" s="281"/>
      <c r="DR5" s="281"/>
      <c r="DS5" s="281"/>
      <c r="DT5" s="281"/>
      <c r="DU5" s="281"/>
      <c r="DV5" s="281"/>
      <c r="DW5" s="281"/>
      <c r="DX5" s="281"/>
      <c r="DY5" s="281"/>
      <c r="DZ5" s="281"/>
      <c r="EA5" s="281"/>
      <c r="EB5" s="281"/>
      <c r="EC5" s="281"/>
      <c r="ED5" s="281"/>
      <c r="EE5" s="281"/>
      <c r="EF5" s="281"/>
      <c r="EG5" s="281"/>
      <c r="EH5" s="281"/>
      <c r="EI5" s="281"/>
      <c r="EJ5" s="281"/>
      <c r="EK5" s="281"/>
      <c r="EL5" s="281"/>
      <c r="EM5" s="281"/>
      <c r="EN5" s="281"/>
      <c r="EO5" s="281"/>
      <c r="EP5" s="281"/>
      <c r="EQ5" s="281"/>
      <c r="ER5" s="281"/>
      <c r="ES5" s="281"/>
      <c r="ET5" s="281"/>
      <c r="EU5" s="281"/>
      <c r="EV5" s="281"/>
      <c r="EW5" s="281"/>
      <c r="EX5" s="281"/>
      <c r="EY5" s="281"/>
      <c r="EZ5" s="281"/>
      <c r="FA5" s="281"/>
      <c r="FB5" s="281"/>
      <c r="FC5" s="281"/>
      <c r="FD5" s="281"/>
      <c r="FE5" s="281"/>
      <c r="FF5" s="281"/>
      <c r="FG5" s="281"/>
      <c r="FH5" s="281"/>
      <c r="FI5" s="281"/>
      <c r="FJ5" s="281"/>
      <c r="FK5" s="281"/>
      <c r="FL5" s="281"/>
      <c r="FM5" s="281"/>
      <c r="FN5" s="281"/>
      <c r="FO5" s="281"/>
      <c r="FP5" s="281"/>
      <c r="FQ5" s="281"/>
      <c r="FR5" s="281"/>
      <c r="FS5" s="281"/>
      <c r="FT5" s="281"/>
      <c r="FU5" s="281"/>
      <c r="FV5" s="281"/>
      <c r="FW5" s="281"/>
      <c r="FX5" s="281"/>
      <c r="FY5" s="281"/>
      <c r="FZ5" s="281"/>
      <c r="GA5" s="281"/>
      <c r="GB5" s="281"/>
      <c r="GC5" s="281"/>
      <c r="GD5" s="281"/>
      <c r="GE5" s="281"/>
      <c r="GF5" s="281"/>
      <c r="GG5" s="281"/>
      <c r="GH5" s="281"/>
      <c r="GI5" s="281"/>
      <c r="GJ5" s="281"/>
      <c r="GK5" s="281"/>
      <c r="GL5" s="281"/>
      <c r="GM5" s="281"/>
      <c r="GN5" s="281"/>
      <c r="GO5" s="281"/>
      <c r="GP5" s="281"/>
      <c r="GQ5" s="281"/>
      <c r="GR5" s="281"/>
      <c r="GS5" s="281"/>
      <c r="GT5" s="281"/>
      <c r="GU5" s="281"/>
      <c r="GV5" s="281"/>
      <c r="GW5" s="281"/>
      <c r="GX5" s="281"/>
      <c r="GY5" s="281"/>
      <c r="GZ5" s="281"/>
      <c r="HA5" s="281"/>
      <c r="HB5" s="281"/>
      <c r="HC5" s="281"/>
      <c r="HD5" s="281"/>
      <c r="HE5" s="281"/>
      <c r="HF5" s="281"/>
      <c r="HG5" s="281"/>
      <c r="HH5" s="281"/>
      <c r="HI5" s="281"/>
      <c r="HJ5" s="281"/>
      <c r="HK5" s="281"/>
      <c r="HL5" s="281"/>
      <c r="HM5" s="281"/>
      <c r="HN5" s="281"/>
      <c r="HO5" s="281"/>
      <c r="HP5" s="281"/>
      <c r="HQ5" s="281"/>
      <c r="HR5" s="281"/>
      <c r="HS5" s="281">
        <v>1.8120000000000001</v>
      </c>
      <c r="HT5" s="281"/>
      <c r="HU5" s="281"/>
      <c r="HV5" s="281"/>
      <c r="HW5" s="281"/>
      <c r="HX5" s="281"/>
      <c r="HY5" s="281"/>
      <c r="HZ5" s="281"/>
      <c r="IA5" s="281"/>
      <c r="IB5" s="281"/>
      <c r="IC5" s="281"/>
      <c r="ID5" s="281"/>
      <c r="IE5" s="281"/>
      <c r="IF5" s="281"/>
      <c r="IG5" s="281"/>
      <c r="IH5" s="281"/>
      <c r="II5" s="281"/>
      <c r="IJ5" s="281"/>
      <c r="IK5" s="281"/>
      <c r="IL5" s="281"/>
      <c r="IM5" s="281"/>
      <c r="IN5" s="281"/>
      <c r="IO5" s="281"/>
      <c r="IP5" s="281"/>
      <c r="IQ5" s="281"/>
      <c r="IR5" s="281"/>
      <c r="IS5" s="281"/>
      <c r="IT5" s="281"/>
      <c r="IU5" s="281"/>
      <c r="IV5" s="281"/>
      <c r="IW5" s="281"/>
      <c r="IX5" s="281"/>
      <c r="IY5" s="281"/>
      <c r="IZ5" s="281"/>
      <c r="JA5" s="281"/>
      <c r="JB5" s="281"/>
      <c r="JC5" s="281"/>
      <c r="JD5" s="281"/>
      <c r="JE5" s="281"/>
      <c r="JF5" s="281"/>
      <c r="JG5" s="281"/>
      <c r="JH5" s="281"/>
      <c r="JI5" s="281"/>
      <c r="JJ5" s="281"/>
      <c r="JK5" s="281"/>
      <c r="JL5" s="281"/>
      <c r="JM5" s="281"/>
      <c r="JN5" s="281"/>
      <c r="JO5" s="281"/>
      <c r="JP5" s="281"/>
      <c r="JQ5" s="281"/>
      <c r="JR5" s="281"/>
      <c r="JS5" s="281"/>
      <c r="JT5" s="281"/>
      <c r="JU5" s="281"/>
      <c r="JV5" s="281"/>
      <c r="JW5" s="281"/>
      <c r="JX5" s="281"/>
      <c r="JY5" s="281"/>
      <c r="JZ5" s="281"/>
      <c r="KA5" s="281"/>
      <c r="KB5" s="281"/>
      <c r="KC5" s="281"/>
      <c r="KD5" s="281"/>
      <c r="KE5" s="281"/>
      <c r="KF5" s="281"/>
      <c r="KG5" s="281"/>
      <c r="KH5" s="281"/>
      <c r="KI5" s="281"/>
      <c r="KJ5" s="281"/>
      <c r="KK5" s="281"/>
      <c r="KL5" s="281"/>
      <c r="KM5" s="281"/>
      <c r="KN5" s="281"/>
      <c r="KO5" s="281"/>
      <c r="KP5" s="281"/>
      <c r="KQ5" s="281"/>
      <c r="KR5" s="281"/>
      <c r="KS5" s="281"/>
      <c r="KT5" s="281"/>
      <c r="KZ5">
        <v>25</v>
      </c>
      <c r="AKB5">
        <v>97</v>
      </c>
    </row>
    <row r="6" spans="1:964">
      <c r="A6" s="83">
        <v>2</v>
      </c>
      <c r="B6" s="181" t="s">
        <v>1133</v>
      </c>
      <c r="C6" s="83">
        <v>310203</v>
      </c>
      <c r="D6" s="906" t="s">
        <v>6925</v>
      </c>
      <c r="E6" s="83">
        <v>310203571</v>
      </c>
      <c r="F6" s="83"/>
      <c r="G6" s="82">
        <v>521114</v>
      </c>
      <c r="H6" s="287"/>
      <c r="I6" s="287"/>
      <c r="J6" s="287"/>
      <c r="K6" s="287"/>
      <c r="L6" s="287"/>
      <c r="M6" s="287"/>
      <c r="N6" s="287"/>
      <c r="O6" s="281"/>
      <c r="P6" s="281"/>
      <c r="Q6" s="281"/>
      <c r="R6" s="281"/>
      <c r="S6" s="281"/>
      <c r="T6" s="281"/>
      <c r="U6" s="281"/>
      <c r="V6" s="281"/>
      <c r="W6" s="281"/>
      <c r="X6" s="281"/>
      <c r="Y6" s="281"/>
      <c r="Z6" s="281"/>
      <c r="AA6" s="281"/>
      <c r="AB6" s="281"/>
      <c r="AC6" s="281"/>
      <c r="AD6" s="281"/>
      <c r="AE6" s="281"/>
      <c r="AF6" s="281"/>
      <c r="AG6" s="281"/>
      <c r="AH6" s="281"/>
      <c r="AI6" s="281"/>
      <c r="AJ6" s="281"/>
      <c r="AK6" s="281"/>
      <c r="AL6" s="281"/>
      <c r="AM6" s="281"/>
      <c r="AN6" s="281"/>
      <c r="AO6" s="281"/>
      <c r="AP6" s="281"/>
      <c r="AQ6" s="281"/>
      <c r="AR6" s="281"/>
      <c r="AS6" s="281"/>
      <c r="AT6" s="281"/>
      <c r="AU6" s="281"/>
      <c r="AV6" s="281"/>
      <c r="AW6" s="281"/>
      <c r="AX6" s="281"/>
      <c r="AY6" s="281"/>
      <c r="AZ6" s="281"/>
      <c r="BA6" s="281"/>
      <c r="BB6" s="281"/>
      <c r="BC6" s="281"/>
      <c r="BD6" s="281"/>
      <c r="BE6" s="281"/>
      <c r="BF6" s="281"/>
      <c r="BG6" s="281"/>
      <c r="BH6" s="281"/>
      <c r="BI6" s="281"/>
      <c r="BJ6" s="281"/>
      <c r="BK6" s="281"/>
      <c r="BL6" s="281"/>
      <c r="BM6" s="281"/>
      <c r="BN6" s="281"/>
      <c r="BO6" s="281"/>
      <c r="BP6" s="281"/>
      <c r="BQ6" s="281"/>
      <c r="BR6" s="281"/>
      <c r="BS6" s="281"/>
      <c r="BT6" s="281"/>
      <c r="BU6" s="281"/>
      <c r="BV6" s="281"/>
      <c r="BW6" s="281"/>
      <c r="BX6" s="281"/>
      <c r="BY6" s="281"/>
      <c r="BZ6" s="281"/>
      <c r="CA6" s="281"/>
      <c r="CB6" s="281"/>
      <c r="CC6" s="281"/>
      <c r="CD6" s="281"/>
      <c r="CE6" s="281"/>
      <c r="CF6" s="281"/>
      <c r="CG6" s="281"/>
      <c r="CH6" s="281"/>
      <c r="CI6" s="281"/>
      <c r="CJ6" s="281"/>
      <c r="CK6" s="281"/>
      <c r="CL6" s="281"/>
      <c r="CM6" s="281"/>
      <c r="CN6" s="281"/>
      <c r="CO6" s="281"/>
      <c r="CP6" s="281"/>
      <c r="CQ6" s="281"/>
      <c r="CR6" s="281"/>
      <c r="CS6" s="281"/>
      <c r="CT6" s="281"/>
      <c r="CU6" s="281"/>
      <c r="CV6" s="281"/>
      <c r="CW6" s="281"/>
      <c r="CX6" s="281"/>
      <c r="CY6" s="281"/>
      <c r="CZ6" s="281"/>
      <c r="DA6" s="281"/>
      <c r="DB6" s="281"/>
      <c r="DC6" s="281"/>
      <c r="DD6" s="281"/>
      <c r="DE6" s="281"/>
      <c r="DF6" s="281"/>
      <c r="DG6" s="281"/>
      <c r="DH6" s="281"/>
      <c r="DI6" s="281"/>
      <c r="DJ6" s="281"/>
      <c r="DK6" s="281"/>
      <c r="DL6" s="281"/>
      <c r="DM6" s="281"/>
      <c r="DN6" s="281"/>
      <c r="DO6" s="281"/>
      <c r="DP6" s="281"/>
      <c r="DQ6" s="281"/>
      <c r="DR6" s="281"/>
      <c r="DS6" s="281"/>
      <c r="DT6" s="281"/>
      <c r="DU6" s="281"/>
      <c r="DV6" s="281"/>
      <c r="DW6" s="281"/>
      <c r="DX6" s="281"/>
      <c r="DY6" s="281"/>
      <c r="DZ6" s="281"/>
      <c r="EA6" s="281"/>
      <c r="EB6" s="281"/>
      <c r="EC6" s="281"/>
      <c r="ED6" s="281"/>
      <c r="EE6" s="281"/>
      <c r="EF6" s="281"/>
      <c r="EG6" s="281"/>
      <c r="EH6" s="281"/>
      <c r="EI6" s="281"/>
      <c r="EJ6" s="281"/>
      <c r="EK6" s="281"/>
      <c r="EL6" s="281"/>
      <c r="EM6" s="281"/>
      <c r="EN6" s="281"/>
      <c r="EO6" s="281"/>
      <c r="EP6" s="281"/>
      <c r="EQ6" s="281"/>
      <c r="ER6" s="281"/>
      <c r="ES6" s="281"/>
      <c r="ET6" s="281"/>
      <c r="EU6" s="281"/>
      <c r="EV6" s="281"/>
      <c r="EW6" s="281"/>
      <c r="EX6" s="281"/>
      <c r="EY6" s="281"/>
      <c r="EZ6" s="281"/>
      <c r="FA6" s="281"/>
      <c r="FB6" s="281"/>
      <c r="FC6" s="281"/>
      <c r="FD6" s="281"/>
      <c r="FE6" s="281"/>
      <c r="FF6" s="281"/>
      <c r="FG6" s="281"/>
      <c r="FH6" s="281"/>
      <c r="FI6" s="281"/>
      <c r="FJ6" s="281"/>
      <c r="FK6" s="281"/>
      <c r="FL6" s="281"/>
      <c r="FM6" s="281"/>
      <c r="FN6" s="281"/>
      <c r="FO6" s="281"/>
      <c r="FP6" s="281"/>
      <c r="FQ6" s="281"/>
      <c r="FR6" s="281"/>
      <c r="FS6" s="281"/>
      <c r="FT6" s="281"/>
      <c r="FU6" s="281"/>
      <c r="FV6" s="281"/>
      <c r="FW6" s="281"/>
      <c r="FX6" s="281"/>
      <c r="FY6" s="281"/>
      <c r="FZ6" s="281"/>
      <c r="GA6" s="281"/>
      <c r="GB6" s="281"/>
      <c r="GC6" s="281"/>
      <c r="GD6" s="281"/>
      <c r="GE6" s="281"/>
      <c r="GF6" s="281"/>
      <c r="GG6" s="281"/>
      <c r="GH6" s="281"/>
      <c r="GI6" s="281"/>
      <c r="GJ6" s="281"/>
      <c r="GK6" s="281"/>
      <c r="GL6" s="281"/>
      <c r="GM6" s="281"/>
      <c r="GN6" s="281"/>
      <c r="GO6" s="281"/>
      <c r="GP6" s="281"/>
      <c r="GQ6" s="281"/>
      <c r="GR6" s="281"/>
      <c r="GS6" s="281"/>
      <c r="GT6" s="281"/>
      <c r="GU6" s="281"/>
      <c r="GV6" s="281"/>
      <c r="GW6" s="281"/>
      <c r="GX6" s="281"/>
      <c r="GY6" s="281"/>
      <c r="GZ6" s="281"/>
      <c r="HA6" s="281"/>
      <c r="HB6" s="281"/>
      <c r="HC6" s="281"/>
      <c r="HD6" s="281"/>
      <c r="HE6" s="281"/>
      <c r="HF6" s="281"/>
      <c r="HG6" s="281"/>
      <c r="HH6" s="281"/>
      <c r="HI6" s="281"/>
      <c r="HJ6" s="281"/>
      <c r="HK6" s="281"/>
      <c r="HL6" s="281"/>
      <c r="HM6" s="281"/>
      <c r="HN6" s="281"/>
      <c r="HO6" s="281"/>
      <c r="HP6" s="281"/>
      <c r="HQ6" s="281"/>
      <c r="HR6" s="281"/>
      <c r="HS6" s="281">
        <v>2.5</v>
      </c>
      <c r="HT6" s="281"/>
      <c r="HU6" s="281"/>
      <c r="HV6" s="281"/>
      <c r="HW6" s="281"/>
      <c r="HX6" s="281"/>
      <c r="HY6" s="281"/>
      <c r="HZ6" s="281"/>
      <c r="IA6" s="281"/>
      <c r="IB6" s="281"/>
      <c r="IC6" s="281"/>
      <c r="ID6" s="281"/>
      <c r="IE6" s="281"/>
      <c r="IF6" s="281"/>
      <c r="IG6" s="281"/>
      <c r="IH6" s="281"/>
      <c r="II6" s="281"/>
      <c r="IJ6" s="281"/>
      <c r="IK6" s="281"/>
      <c r="IL6" s="281"/>
      <c r="IM6" s="281"/>
      <c r="IN6" s="281"/>
      <c r="IO6" s="281"/>
      <c r="IP6" s="281"/>
      <c r="IQ6" s="281"/>
      <c r="IR6" s="281"/>
      <c r="IS6" s="281"/>
      <c r="IT6" s="281"/>
      <c r="IU6" s="281"/>
      <c r="IV6" s="281"/>
      <c r="IW6" s="281"/>
      <c r="IX6" s="281"/>
      <c r="IY6" s="281"/>
      <c r="IZ6" s="281"/>
      <c r="JA6" s="281"/>
      <c r="JB6" s="281"/>
      <c r="JC6" s="281"/>
      <c r="JD6" s="281"/>
      <c r="JE6" s="281"/>
      <c r="JF6" s="281"/>
      <c r="JG6" s="281"/>
      <c r="JH6" s="281"/>
      <c r="JI6" s="281"/>
      <c r="JJ6" s="281"/>
      <c r="JK6" s="281"/>
      <c r="JL6" s="281"/>
      <c r="JM6" s="281"/>
      <c r="JN6" s="281"/>
      <c r="JO6" s="281"/>
      <c r="JP6" s="281"/>
      <c r="JQ6" s="281"/>
      <c r="JR6" s="281"/>
      <c r="JS6" s="281"/>
      <c r="JT6" s="281"/>
      <c r="JU6" s="281"/>
      <c r="JV6" s="281"/>
      <c r="JW6" s="281"/>
      <c r="JX6" s="281"/>
      <c r="JY6" s="281"/>
      <c r="JZ6" s="281"/>
      <c r="KA6" s="281"/>
      <c r="KB6" s="281"/>
      <c r="KC6" s="281"/>
      <c r="KD6" s="281"/>
      <c r="KE6" s="281"/>
      <c r="KF6" s="281"/>
      <c r="KG6" s="281"/>
      <c r="KH6" s="281"/>
      <c r="KI6" s="281"/>
      <c r="KJ6" s="281"/>
      <c r="KK6" s="281"/>
      <c r="KL6" s="281"/>
      <c r="KM6" s="281"/>
      <c r="KN6" s="281"/>
      <c r="KO6" s="281"/>
      <c r="KP6" s="281"/>
      <c r="KQ6" s="281"/>
      <c r="KR6" s="281"/>
      <c r="KS6" s="281"/>
      <c r="KT6" s="281"/>
      <c r="KZ6">
        <v>33</v>
      </c>
      <c r="AKB6">
        <v>285</v>
      </c>
    </row>
    <row r="7" spans="1:964">
      <c r="A7" s="83">
        <v>3</v>
      </c>
      <c r="B7" s="181" t="s">
        <v>1134</v>
      </c>
      <c r="C7" s="83">
        <v>310267</v>
      </c>
      <c r="D7" s="83"/>
      <c r="E7" s="83">
        <v>310266415</v>
      </c>
      <c r="F7" s="942">
        <v>0</v>
      </c>
      <c r="G7" s="82">
        <v>325679</v>
      </c>
      <c r="H7" s="287">
        <v>0.75</v>
      </c>
      <c r="I7" s="287"/>
      <c r="J7" s="287"/>
      <c r="K7" s="287"/>
      <c r="L7" s="287"/>
      <c r="M7" s="287"/>
      <c r="N7" s="287"/>
      <c r="O7" s="281"/>
      <c r="P7" s="281"/>
      <c r="Q7" s="281"/>
      <c r="R7" s="281"/>
      <c r="S7" s="281"/>
      <c r="T7" s="281"/>
      <c r="U7" s="281"/>
      <c r="V7" s="281"/>
      <c r="W7" s="281"/>
      <c r="X7" s="941" t="s">
        <v>4536</v>
      </c>
      <c r="Y7" s="281"/>
      <c r="Z7" s="281"/>
      <c r="AA7" s="281"/>
      <c r="AB7" s="281"/>
      <c r="AC7" s="281"/>
      <c r="AD7" s="281"/>
      <c r="AE7" s="281"/>
      <c r="AF7" s="281"/>
      <c r="AG7" s="281"/>
      <c r="AH7" s="281"/>
      <c r="AI7" s="281"/>
      <c r="AJ7" s="281"/>
      <c r="AK7" s="281"/>
      <c r="AL7" s="281"/>
      <c r="AM7" s="281"/>
      <c r="AN7" s="281"/>
      <c r="AO7" s="281"/>
      <c r="AP7" s="281"/>
      <c r="AQ7" s="281"/>
      <c r="AR7" s="281"/>
      <c r="AS7" s="281"/>
      <c r="AT7" s="281"/>
      <c r="AU7" s="281"/>
      <c r="AV7" s="281"/>
      <c r="AW7" s="281"/>
      <c r="AX7" s="281"/>
      <c r="AY7" s="281"/>
      <c r="AZ7" s="281"/>
      <c r="BA7" s="281"/>
      <c r="BB7" s="281"/>
      <c r="BC7" s="281"/>
      <c r="BD7" s="281"/>
      <c r="BE7" s="281"/>
      <c r="BF7" s="281"/>
      <c r="BG7" s="281"/>
      <c r="BH7" s="281"/>
      <c r="BI7" s="281"/>
      <c r="BJ7" s="281"/>
      <c r="BK7" s="281"/>
      <c r="BL7" s="281"/>
      <c r="BM7" s="281"/>
      <c r="BN7" s="281"/>
      <c r="BO7" s="281"/>
      <c r="BP7" s="281"/>
      <c r="BQ7" s="281"/>
      <c r="BR7" s="281"/>
      <c r="BS7" s="281"/>
      <c r="BT7" s="281"/>
      <c r="BU7" s="281"/>
      <c r="BV7" s="281"/>
      <c r="BW7" s="281"/>
      <c r="BX7" s="281"/>
      <c r="BY7" s="281"/>
      <c r="BZ7" s="281"/>
      <c r="CA7" s="281"/>
      <c r="CB7" s="281"/>
      <c r="CC7" s="281"/>
      <c r="CD7" s="281"/>
      <c r="CE7" s="281"/>
      <c r="CF7" s="281"/>
      <c r="CG7" s="281"/>
      <c r="CH7" s="281"/>
      <c r="CI7" s="281"/>
      <c r="CJ7" s="281"/>
      <c r="CK7" s="281"/>
      <c r="CL7" s="281"/>
      <c r="CM7" s="281"/>
      <c r="CN7" s="281"/>
      <c r="CO7" s="281"/>
      <c r="CP7" s="281"/>
      <c r="CQ7" s="281"/>
      <c r="CR7" s="281"/>
      <c r="CS7" s="281"/>
      <c r="CT7" s="281"/>
      <c r="CU7" s="281"/>
      <c r="CV7" s="281"/>
      <c r="CW7" s="281"/>
      <c r="CX7" s="281"/>
      <c r="CY7" s="281"/>
      <c r="CZ7" s="281"/>
      <c r="DA7" s="281"/>
      <c r="DB7" s="281"/>
      <c r="DC7" s="281"/>
      <c r="DD7" s="281"/>
      <c r="DE7" s="281"/>
      <c r="DF7" s="281"/>
      <c r="DG7" s="281"/>
      <c r="DH7" s="281"/>
      <c r="DI7" s="281"/>
      <c r="DJ7" s="281"/>
      <c r="DK7" s="281"/>
      <c r="DL7" s="281"/>
      <c r="DM7" s="281"/>
      <c r="DN7" s="281"/>
      <c r="DO7" s="281"/>
      <c r="DP7" s="281"/>
      <c r="DQ7" s="281"/>
      <c r="DR7" s="281"/>
      <c r="DS7" s="281"/>
      <c r="DT7" s="281"/>
      <c r="DU7" s="281"/>
      <c r="DV7" s="281"/>
      <c r="DW7" s="281"/>
      <c r="DX7" s="281"/>
      <c r="DY7" s="281"/>
      <c r="DZ7" s="281"/>
      <c r="EA7" s="281"/>
      <c r="EB7" s="281"/>
      <c r="EC7" s="281"/>
      <c r="ED7" s="281"/>
      <c r="EE7" s="281"/>
      <c r="EF7" s="281"/>
      <c r="EG7" s="281"/>
      <c r="EH7" s="281"/>
      <c r="EI7" s="281"/>
      <c r="EJ7" s="281"/>
      <c r="EK7" s="281"/>
      <c r="EL7" s="281"/>
      <c r="EM7" s="281"/>
      <c r="EN7" s="281"/>
      <c r="EO7" s="281"/>
      <c r="EP7" s="281"/>
      <c r="EQ7" s="281"/>
      <c r="ER7" s="281"/>
      <c r="ES7" s="281"/>
      <c r="ET7" s="281"/>
      <c r="EU7" s="281"/>
      <c r="EV7" s="281"/>
      <c r="EW7" s="281"/>
      <c r="EX7" s="281"/>
      <c r="EY7" s="281"/>
      <c r="EZ7" s="281"/>
      <c r="FA7" s="281"/>
      <c r="FB7" s="281"/>
      <c r="FC7" s="281"/>
      <c r="FD7" s="281"/>
      <c r="FE7" s="281"/>
      <c r="FF7" s="281"/>
      <c r="FG7" s="281"/>
      <c r="FH7" s="281"/>
      <c r="FI7" s="281"/>
      <c r="FJ7" s="281"/>
      <c r="FK7" s="281"/>
      <c r="FL7" s="281"/>
      <c r="FM7" s="281"/>
      <c r="FN7" s="281"/>
      <c r="FO7" s="281"/>
      <c r="FP7" s="281"/>
      <c r="FQ7" s="281"/>
      <c r="FR7" s="281"/>
      <c r="FS7" s="281"/>
      <c r="FT7" s="281"/>
      <c r="FU7" s="281"/>
      <c r="FV7" s="281"/>
      <c r="FW7" s="281"/>
      <c r="FX7" s="281"/>
      <c r="FY7" s="281"/>
      <c r="FZ7" s="281"/>
      <c r="GA7" s="281"/>
      <c r="GB7" s="281"/>
      <c r="GC7" s="281"/>
      <c r="GD7" s="281"/>
      <c r="GE7" s="281"/>
      <c r="GF7" s="281"/>
      <c r="GG7" s="281"/>
      <c r="GH7" s="281"/>
      <c r="GI7" s="281"/>
      <c r="GJ7" s="281"/>
      <c r="GK7" s="281"/>
      <c r="GL7" s="281"/>
      <c r="GM7" s="281"/>
      <c r="GN7" s="281"/>
      <c r="GO7" s="281"/>
      <c r="GP7" s="281"/>
      <c r="GQ7" s="281"/>
      <c r="GR7" s="281"/>
      <c r="GS7" s="281"/>
      <c r="GT7" s="281"/>
      <c r="GU7" s="281"/>
      <c r="GV7" s="281"/>
      <c r="GW7" s="281"/>
      <c r="GX7" s="281"/>
      <c r="GY7" s="281"/>
      <c r="GZ7" s="281"/>
      <c r="HA7" s="281"/>
      <c r="HB7" s="281"/>
      <c r="HC7" s="281"/>
      <c r="HD7" s="281"/>
      <c r="HE7" s="281"/>
      <c r="HF7" s="281"/>
      <c r="HG7" s="281"/>
      <c r="HH7" s="281"/>
      <c r="HI7" s="281"/>
      <c r="HJ7" s="281"/>
      <c r="HK7" s="281"/>
      <c r="HL7" s="281"/>
      <c r="HM7" s="281"/>
      <c r="HN7" s="281"/>
      <c r="HO7" s="281"/>
      <c r="HP7" s="281"/>
      <c r="HQ7" s="281"/>
      <c r="HR7" s="281"/>
      <c r="HS7" s="281">
        <v>2.5</v>
      </c>
      <c r="HT7" s="281"/>
      <c r="HU7" s="281"/>
      <c r="HV7" s="281"/>
      <c r="HW7" s="281"/>
      <c r="HX7" s="281"/>
      <c r="HY7" s="281"/>
      <c r="HZ7" s="281"/>
      <c r="IA7" s="281"/>
      <c r="IB7" s="281"/>
      <c r="IC7" s="281"/>
      <c r="ID7" s="281"/>
      <c r="IE7" s="281"/>
      <c r="IF7" s="281"/>
      <c r="IG7" s="281"/>
      <c r="IH7" s="281"/>
      <c r="II7" s="281"/>
      <c r="IJ7" s="281"/>
      <c r="IK7" s="281"/>
      <c r="IL7" s="281"/>
      <c r="IM7" s="281"/>
      <c r="IN7" s="281"/>
      <c r="IO7" s="281"/>
      <c r="IP7" s="281"/>
      <c r="IQ7" s="281"/>
      <c r="IR7" s="281"/>
      <c r="IS7" s="281"/>
      <c r="IT7" s="281"/>
      <c r="IU7" s="281"/>
      <c r="IV7" s="281"/>
      <c r="IW7" s="281"/>
      <c r="IX7" s="281"/>
      <c r="IY7" s="281"/>
      <c r="IZ7" s="281"/>
      <c r="JA7" s="281"/>
      <c r="JB7" s="281"/>
      <c r="JC7" s="281"/>
      <c r="JD7" s="281"/>
      <c r="JE7" s="281"/>
      <c r="JF7" s="281"/>
      <c r="JG7" s="281"/>
      <c r="JH7" s="281"/>
      <c r="JI7" s="281"/>
      <c r="JJ7" s="281"/>
      <c r="JK7" s="281"/>
      <c r="JL7" s="281"/>
      <c r="JM7" s="281"/>
      <c r="JN7" s="281"/>
      <c r="JO7" s="281"/>
      <c r="JP7" s="281"/>
      <c r="JQ7" s="281"/>
      <c r="JR7" s="281"/>
      <c r="JS7" s="281"/>
      <c r="JT7" s="281"/>
      <c r="JU7" s="281"/>
      <c r="JV7" s="281"/>
      <c r="JW7" s="281"/>
      <c r="JX7" s="281"/>
      <c r="JY7" s="281"/>
      <c r="JZ7" s="281"/>
      <c r="KA7" s="281"/>
      <c r="KB7" s="281"/>
      <c r="KC7" s="281"/>
      <c r="KD7" s="281"/>
      <c r="KE7" s="281"/>
      <c r="KF7" s="281"/>
      <c r="KG7" s="281"/>
      <c r="KH7" s="281"/>
      <c r="KI7" s="281"/>
      <c r="KJ7" s="281"/>
      <c r="KK7" s="281"/>
      <c r="KL7" s="281"/>
      <c r="KM7" s="281"/>
      <c r="KN7" s="281"/>
      <c r="KO7" s="281"/>
      <c r="KP7" s="281"/>
      <c r="KQ7" s="281"/>
      <c r="KR7" s="281"/>
      <c r="KS7" s="281"/>
      <c r="KT7" s="281"/>
      <c r="KZ7">
        <v>24</v>
      </c>
    </row>
    <row r="8" spans="1:964">
      <c r="A8" s="83">
        <v>4</v>
      </c>
      <c r="B8" s="181" t="s">
        <v>1135</v>
      </c>
      <c r="C8" s="83">
        <v>310266</v>
      </c>
      <c r="D8" s="906" t="s">
        <v>6925</v>
      </c>
      <c r="E8" s="83">
        <v>310266423</v>
      </c>
      <c r="F8" s="83">
        <v>0</v>
      </c>
      <c r="G8" s="82">
        <v>513395</v>
      </c>
      <c r="H8" s="287"/>
      <c r="I8" s="287"/>
      <c r="J8" s="287"/>
      <c r="K8" s="287"/>
      <c r="L8" s="287"/>
      <c r="M8" s="287"/>
      <c r="N8" s="287"/>
      <c r="O8" s="281"/>
      <c r="P8" s="281"/>
      <c r="Q8" s="281"/>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1"/>
      <c r="BD8" s="281"/>
      <c r="BE8" s="281"/>
      <c r="BF8" s="281"/>
      <c r="BG8" s="281"/>
      <c r="BH8" s="281"/>
      <c r="BI8" s="281"/>
      <c r="BJ8" s="281"/>
      <c r="BK8" s="281"/>
      <c r="BL8" s="281"/>
      <c r="BM8" s="281"/>
      <c r="BN8" s="281"/>
      <c r="BO8" s="281"/>
      <c r="BP8" s="281"/>
      <c r="BQ8" s="281"/>
      <c r="BR8" s="281"/>
      <c r="BS8" s="281"/>
      <c r="BT8" s="281"/>
      <c r="BU8" s="281"/>
      <c r="BV8" s="281"/>
      <c r="BW8" s="281"/>
      <c r="BX8" s="281"/>
      <c r="BY8" s="281"/>
      <c r="BZ8" s="281"/>
      <c r="CA8" s="281"/>
      <c r="CB8" s="281"/>
      <c r="CC8" s="281"/>
      <c r="CD8" s="281"/>
      <c r="CE8" s="281"/>
      <c r="CF8" s="281"/>
      <c r="CG8" s="281"/>
      <c r="CH8" s="281"/>
      <c r="CI8" s="281"/>
      <c r="CJ8" s="281"/>
      <c r="CK8" s="281"/>
      <c r="CL8" s="281"/>
      <c r="CM8" s="281"/>
      <c r="CN8" s="281"/>
      <c r="CO8" s="281"/>
      <c r="CP8" s="281"/>
      <c r="CQ8" s="281"/>
      <c r="CR8" s="281"/>
      <c r="CS8" s="281"/>
      <c r="CT8" s="281"/>
      <c r="CU8" s="281"/>
      <c r="CV8" s="281"/>
      <c r="CW8" s="281"/>
      <c r="CX8" s="281"/>
      <c r="CY8" s="281"/>
      <c r="CZ8" s="281"/>
      <c r="DA8" s="281"/>
      <c r="DB8" s="281"/>
      <c r="DC8" s="281"/>
      <c r="DD8" s="281"/>
      <c r="DE8" s="281"/>
      <c r="DF8" s="281"/>
      <c r="DG8" s="281"/>
      <c r="DH8" s="281"/>
      <c r="DI8" s="281"/>
      <c r="DJ8" s="281"/>
      <c r="DK8" s="281"/>
      <c r="DL8" s="281"/>
      <c r="DM8" s="281"/>
      <c r="DN8" s="281"/>
      <c r="DO8" s="281"/>
      <c r="DP8" s="281"/>
      <c r="DQ8" s="281"/>
      <c r="DR8" s="281"/>
      <c r="DS8" s="281"/>
      <c r="DT8" s="281"/>
      <c r="DU8" s="281"/>
      <c r="DV8" s="281"/>
      <c r="DW8" s="281"/>
      <c r="DX8" s="281"/>
      <c r="DY8" s="281"/>
      <c r="DZ8" s="281"/>
      <c r="EA8" s="281"/>
      <c r="EB8" s="281"/>
      <c r="EC8" s="281"/>
      <c r="ED8" s="281"/>
      <c r="EE8" s="281"/>
      <c r="EF8" s="281"/>
      <c r="EG8" s="281"/>
      <c r="EH8" s="281"/>
      <c r="EI8" s="281"/>
      <c r="EJ8" s="281"/>
      <c r="EK8" s="281"/>
      <c r="EL8" s="281"/>
      <c r="EM8" s="281"/>
      <c r="EN8" s="281"/>
      <c r="EO8" s="281"/>
      <c r="EP8" s="281"/>
      <c r="EQ8" s="281"/>
      <c r="ER8" s="281"/>
      <c r="ES8" s="281"/>
      <c r="ET8" s="281"/>
      <c r="EU8" s="281"/>
      <c r="EV8" s="281"/>
      <c r="EW8" s="281"/>
      <c r="EX8" s="281"/>
      <c r="EY8" s="281"/>
      <c r="EZ8" s="281"/>
      <c r="FA8" s="281"/>
      <c r="FB8" s="281"/>
      <c r="FC8" s="281"/>
      <c r="FD8" s="281"/>
      <c r="FE8" s="281"/>
      <c r="FF8" s="281"/>
      <c r="FG8" s="281"/>
      <c r="FH8" s="281"/>
      <c r="FI8" s="281"/>
      <c r="FJ8" s="281"/>
      <c r="FK8" s="281"/>
      <c r="FL8" s="281"/>
      <c r="FM8" s="281"/>
      <c r="FN8" s="281"/>
      <c r="FO8" s="281"/>
      <c r="FP8" s="281"/>
      <c r="FQ8" s="281"/>
      <c r="FR8" s="281"/>
      <c r="FS8" s="281"/>
      <c r="FT8" s="281"/>
      <c r="FU8" s="281"/>
      <c r="FV8" s="281"/>
      <c r="FW8" s="281"/>
      <c r="FX8" s="281"/>
      <c r="FY8" s="281"/>
      <c r="FZ8" s="281"/>
      <c r="GA8" s="281"/>
      <c r="GB8" s="281"/>
      <c r="GC8" s="281"/>
      <c r="GD8" s="281"/>
      <c r="GE8" s="281"/>
      <c r="GF8" s="281"/>
      <c r="GG8" s="281"/>
      <c r="GH8" s="281"/>
      <c r="GI8" s="281"/>
      <c r="GJ8" s="281"/>
      <c r="GK8" s="281"/>
      <c r="GL8" s="281"/>
      <c r="GM8" s="281"/>
      <c r="GN8" s="281"/>
      <c r="GO8" s="281"/>
      <c r="GP8" s="281"/>
      <c r="GQ8" s="281"/>
      <c r="GR8" s="281"/>
      <c r="GS8" s="281"/>
      <c r="GT8" s="281"/>
      <c r="GU8" s="281"/>
      <c r="GV8" s="281"/>
      <c r="GW8" s="281"/>
      <c r="GX8" s="281"/>
      <c r="GY8" s="281"/>
      <c r="GZ8" s="281"/>
      <c r="HA8" s="281"/>
      <c r="HB8" s="281"/>
      <c r="HC8" s="281"/>
      <c r="HD8" s="281"/>
      <c r="HE8" s="281"/>
      <c r="HF8" s="281"/>
      <c r="HG8" s="281"/>
      <c r="HH8" s="281"/>
      <c r="HI8" s="281"/>
      <c r="HJ8" s="281"/>
      <c r="HK8" s="281"/>
      <c r="HL8" s="281"/>
      <c r="HM8" s="281"/>
      <c r="HN8" s="281"/>
      <c r="HO8" s="281"/>
      <c r="HP8" s="281"/>
      <c r="HQ8" s="281"/>
      <c r="HR8" s="281"/>
      <c r="HS8" s="281">
        <v>2.5</v>
      </c>
      <c r="HT8" s="281"/>
      <c r="HU8" s="281"/>
      <c r="HV8" s="281"/>
      <c r="HW8" s="281"/>
      <c r="HX8" s="281"/>
      <c r="HY8" s="281"/>
      <c r="HZ8" s="281"/>
      <c r="IA8" s="281"/>
      <c r="IB8" s="281"/>
      <c r="IC8" s="281"/>
      <c r="ID8" s="281"/>
      <c r="IE8" s="281"/>
      <c r="IF8" s="281"/>
      <c r="IG8" s="281"/>
      <c r="IH8" s="281"/>
      <c r="II8" s="281"/>
      <c r="IJ8" s="281"/>
      <c r="IK8" s="281"/>
      <c r="IL8" s="281"/>
      <c r="IM8" s="281"/>
      <c r="IN8" s="281"/>
      <c r="IO8" s="281"/>
      <c r="IP8" s="281"/>
      <c r="IQ8" s="281"/>
      <c r="IR8" s="281"/>
      <c r="IS8" s="281"/>
      <c r="IT8" s="281"/>
      <c r="IU8" s="281"/>
      <c r="IV8" s="281"/>
      <c r="IW8" s="281"/>
      <c r="IX8" s="281"/>
      <c r="IY8" s="281"/>
      <c r="IZ8" s="281"/>
      <c r="JA8" s="281"/>
      <c r="JB8" s="281"/>
      <c r="JC8" s="281"/>
      <c r="JD8" s="281"/>
      <c r="JE8" s="281"/>
      <c r="JF8" s="281"/>
      <c r="JG8" s="281"/>
      <c r="JH8" s="281"/>
      <c r="JI8" s="281"/>
      <c r="JJ8" s="281"/>
      <c r="JK8" s="281"/>
      <c r="JL8" s="281"/>
      <c r="JM8" s="281"/>
      <c r="JN8" s="281"/>
      <c r="JO8" s="281"/>
      <c r="JP8" s="281"/>
      <c r="JQ8" s="281"/>
      <c r="JR8" s="281"/>
      <c r="JS8" s="281"/>
      <c r="JT8" s="281"/>
      <c r="JU8" s="281"/>
      <c r="JV8" s="281"/>
      <c r="JW8" s="281"/>
      <c r="JX8" s="281"/>
      <c r="JY8" s="281"/>
      <c r="JZ8" s="281"/>
      <c r="KA8" s="281"/>
      <c r="KB8" s="281"/>
      <c r="KC8" s="281"/>
      <c r="KD8" s="281"/>
      <c r="KE8" s="281"/>
      <c r="KF8" s="281"/>
      <c r="KG8" s="281"/>
      <c r="KH8" s="281"/>
      <c r="KI8" s="281"/>
      <c r="KJ8" s="281"/>
      <c r="KK8" s="281"/>
      <c r="KL8" s="281"/>
      <c r="KM8" s="281"/>
      <c r="KN8" s="281"/>
      <c r="KO8" s="281"/>
      <c r="KP8" s="281"/>
      <c r="KQ8" s="281"/>
      <c r="KR8" s="281"/>
      <c r="KS8" s="281"/>
      <c r="KT8" s="281"/>
      <c r="KZ8">
        <v>30</v>
      </c>
    </row>
    <row r="9" spans="1:964">
      <c r="A9" s="83">
        <v>5</v>
      </c>
      <c r="B9" s="181" t="s">
        <v>1136</v>
      </c>
      <c r="C9" s="83">
        <v>310062915</v>
      </c>
      <c r="D9" s="83"/>
      <c r="E9" s="83">
        <v>310062915</v>
      </c>
      <c r="F9" s="83">
        <v>0</v>
      </c>
      <c r="G9" s="82">
        <v>477339</v>
      </c>
      <c r="H9" s="287"/>
      <c r="I9" s="287"/>
      <c r="J9" s="287"/>
      <c r="K9" s="287"/>
      <c r="L9" s="287"/>
      <c r="M9" s="287"/>
      <c r="N9" s="287"/>
      <c r="O9" s="281"/>
      <c r="P9" s="281"/>
      <c r="Q9" s="281"/>
      <c r="R9" s="281"/>
      <c r="S9" s="281"/>
      <c r="T9" s="281"/>
      <c r="U9" s="281"/>
      <c r="V9" s="281"/>
      <c r="W9" s="281"/>
      <c r="X9" s="281"/>
      <c r="Y9" s="281"/>
      <c r="Z9" s="281"/>
      <c r="AA9" s="281"/>
      <c r="AB9" s="281"/>
      <c r="AC9" s="281"/>
      <c r="AD9" s="281"/>
      <c r="AE9" s="281"/>
      <c r="AF9" s="281"/>
      <c r="AG9" s="281"/>
      <c r="AH9" s="281"/>
      <c r="AI9" s="281"/>
      <c r="AJ9" s="281"/>
      <c r="AK9" s="281"/>
      <c r="AL9" s="281"/>
      <c r="AM9" s="281"/>
      <c r="AN9" s="281"/>
      <c r="AO9" s="281"/>
      <c r="AP9" s="281"/>
      <c r="AQ9" s="281"/>
      <c r="AR9" s="281"/>
      <c r="AS9" s="281"/>
      <c r="AT9" s="281"/>
      <c r="AU9" s="281"/>
      <c r="AV9" s="281"/>
      <c r="AW9" s="281"/>
      <c r="AX9" s="281"/>
      <c r="AY9" s="281"/>
      <c r="AZ9" s="281"/>
      <c r="BA9" s="281"/>
      <c r="BB9" s="281"/>
      <c r="BC9" s="281"/>
      <c r="BD9" s="281"/>
      <c r="BE9" s="281"/>
      <c r="BF9" s="281"/>
      <c r="BG9" s="281"/>
      <c r="BH9" s="281"/>
      <c r="BI9" s="281"/>
      <c r="BJ9" s="281"/>
      <c r="BK9" s="281"/>
      <c r="BL9" s="281"/>
      <c r="BM9" s="281"/>
      <c r="BN9" s="281"/>
      <c r="BO9" s="281"/>
      <c r="BP9" s="281"/>
      <c r="BQ9" s="281"/>
      <c r="BR9" s="281"/>
      <c r="BS9" s="281"/>
      <c r="BT9" s="281"/>
      <c r="BU9" s="281"/>
      <c r="BV9" s="281"/>
      <c r="BW9" s="281"/>
      <c r="BX9" s="281"/>
      <c r="BY9" s="281"/>
      <c r="BZ9" s="281"/>
      <c r="CA9" s="281"/>
      <c r="CB9" s="281"/>
      <c r="CC9" s="281"/>
      <c r="CD9" s="281"/>
      <c r="CE9" s="281"/>
      <c r="CF9" s="281"/>
      <c r="CG9" s="281"/>
      <c r="CH9" s="281"/>
      <c r="CI9" s="281"/>
      <c r="CJ9" s="281"/>
      <c r="CK9" s="281"/>
      <c r="CL9" s="281"/>
      <c r="CM9" s="281"/>
      <c r="CN9" s="281"/>
      <c r="CO9" s="281"/>
      <c r="CP9" s="281"/>
      <c r="CQ9" s="281"/>
      <c r="CR9" s="281"/>
      <c r="CS9" s="281"/>
      <c r="CT9" s="281"/>
      <c r="CU9" s="281"/>
      <c r="CV9" s="281"/>
      <c r="CW9" s="281"/>
      <c r="CX9" s="281"/>
      <c r="CY9" s="281"/>
      <c r="CZ9" s="281"/>
      <c r="DA9" s="281"/>
      <c r="DB9" s="281"/>
      <c r="DC9" s="281"/>
      <c r="DD9" s="281"/>
      <c r="DE9" s="281"/>
      <c r="DF9" s="281"/>
      <c r="DG9" s="281"/>
      <c r="DH9" s="281"/>
      <c r="DI9" s="281"/>
      <c r="DJ9" s="281"/>
      <c r="DK9" s="281"/>
      <c r="DL9" s="281"/>
      <c r="DM9" s="281"/>
      <c r="DN9" s="281"/>
      <c r="DO9" s="281"/>
      <c r="DP9" s="281"/>
      <c r="DQ9" s="281"/>
      <c r="DR9" s="281"/>
      <c r="DS9" s="281"/>
      <c r="DT9" s="281"/>
      <c r="DU9" s="281"/>
      <c r="DV9" s="281"/>
      <c r="DW9" s="281"/>
      <c r="DX9" s="281"/>
      <c r="DY9" s="281"/>
      <c r="DZ9" s="281"/>
      <c r="EA9" s="281"/>
      <c r="EB9" s="281"/>
      <c r="EC9" s="281"/>
      <c r="ED9" s="281"/>
      <c r="EE9" s="281"/>
      <c r="EF9" s="281"/>
      <c r="EG9" s="281"/>
      <c r="EH9" s="281"/>
      <c r="EI9" s="281"/>
      <c r="EJ9" s="281"/>
      <c r="EK9" s="281"/>
      <c r="EL9" s="281"/>
      <c r="EM9" s="281"/>
      <c r="EN9" s="281"/>
      <c r="EO9" s="281"/>
      <c r="EP9" s="281"/>
      <c r="EQ9" s="281"/>
      <c r="ER9" s="281"/>
      <c r="ES9" s="281"/>
      <c r="ET9" s="281"/>
      <c r="EU9" s="281"/>
      <c r="EV9" s="281"/>
      <c r="EW9" s="281"/>
      <c r="EX9" s="281"/>
      <c r="EY9" s="281"/>
      <c r="EZ9" s="281"/>
      <c r="FA9" s="281"/>
      <c r="FB9" s="281"/>
      <c r="FC9" s="281"/>
      <c r="FD9" s="281"/>
      <c r="FE9" s="281"/>
      <c r="FF9" s="281"/>
      <c r="FG9" s="281"/>
      <c r="FH9" s="281"/>
      <c r="FI9" s="281"/>
      <c r="FJ9" s="281"/>
      <c r="FK9" s="281"/>
      <c r="FL9" s="281"/>
      <c r="FM9" s="281"/>
      <c r="FN9" s="281"/>
      <c r="FO9" s="281"/>
      <c r="FP9" s="281"/>
      <c r="FQ9" s="281"/>
      <c r="FR9" s="281"/>
      <c r="FS9" s="281"/>
      <c r="FT9" s="281"/>
      <c r="FU9" s="281"/>
      <c r="FV9" s="281"/>
      <c r="FW9" s="281"/>
      <c r="FX9" s="281"/>
      <c r="FY9" s="281"/>
      <c r="FZ9" s="281"/>
      <c r="GA9" s="281"/>
      <c r="GB9" s="281"/>
      <c r="GC9" s="281"/>
      <c r="GD9" s="281"/>
      <c r="GE9" s="281"/>
      <c r="GF9" s="281"/>
      <c r="GG9" s="281"/>
      <c r="GH9" s="281"/>
      <c r="GI9" s="281"/>
      <c r="GJ9" s="281"/>
      <c r="GK9" s="281"/>
      <c r="GL9" s="281"/>
      <c r="GM9" s="281"/>
      <c r="GN9" s="281"/>
      <c r="GO9" s="281"/>
      <c r="GP9" s="281"/>
      <c r="GQ9" s="281"/>
      <c r="GR9" s="281"/>
      <c r="GS9" s="281"/>
      <c r="GT9" s="281"/>
      <c r="GU9" s="281"/>
      <c r="GV9" s="281"/>
      <c r="GW9" s="281"/>
      <c r="GX9" s="281"/>
      <c r="GY9" s="281"/>
      <c r="GZ9" s="281"/>
      <c r="HA9" s="281"/>
      <c r="HB9" s="281"/>
      <c r="HC9" s="281"/>
      <c r="HD9" s="281"/>
      <c r="HE9" s="281"/>
      <c r="HF9" s="281"/>
      <c r="HG9" s="281"/>
      <c r="HH9" s="281"/>
      <c r="HI9" s="281"/>
      <c r="HJ9" s="281"/>
      <c r="HK9" s="281"/>
      <c r="HL9" s="281"/>
      <c r="HM9" s="281"/>
      <c r="HN9" s="281"/>
      <c r="HO9" s="281"/>
      <c r="HP9" s="281"/>
      <c r="HQ9" s="281"/>
      <c r="HR9" s="281"/>
      <c r="HS9" s="281"/>
      <c r="HT9" s="281"/>
      <c r="HU9" s="281"/>
      <c r="HV9" s="281"/>
      <c r="HW9" s="281"/>
      <c r="HX9" s="281"/>
      <c r="HY9" s="281"/>
      <c r="HZ9" s="281"/>
      <c r="IA9" s="281"/>
      <c r="IB9" s="281"/>
      <c r="IC9" s="281"/>
      <c r="ID9" s="281"/>
      <c r="IE9" s="281"/>
      <c r="IF9" s="281"/>
      <c r="IG9" s="281"/>
      <c r="IH9" s="281"/>
      <c r="II9" s="281"/>
      <c r="IJ9" s="281"/>
      <c r="IK9" s="281"/>
      <c r="IL9" s="281"/>
      <c r="IM9" s="281"/>
      <c r="IN9" s="281"/>
      <c r="IO9" s="281"/>
      <c r="IP9" s="281"/>
      <c r="IQ9" s="281"/>
      <c r="IR9" s="281"/>
      <c r="IS9" s="281"/>
      <c r="IT9" s="281"/>
      <c r="IU9" s="281"/>
      <c r="IV9" s="281"/>
      <c r="IW9" s="281"/>
      <c r="IX9" s="281"/>
      <c r="IY9" s="281"/>
      <c r="IZ9" s="281"/>
      <c r="JA9" s="281"/>
      <c r="JB9" s="281"/>
      <c r="JC9" s="281"/>
      <c r="JD9" s="281"/>
      <c r="JE9" s="281"/>
      <c r="JF9" s="281"/>
      <c r="JG9" s="281"/>
      <c r="JH9" s="281"/>
      <c r="JI9" s="281"/>
      <c r="JJ9" s="281"/>
      <c r="JK9" s="281"/>
      <c r="JL9" s="281"/>
      <c r="JM9" s="281"/>
      <c r="JN9" s="281"/>
      <c r="JO9" s="281"/>
      <c r="JP9" s="281"/>
      <c r="JQ9" s="281"/>
      <c r="JR9" s="281"/>
      <c r="JS9" s="281"/>
      <c r="JT9" s="281"/>
      <c r="JU9" s="281"/>
      <c r="JV9" s="281"/>
      <c r="JW9" s="281"/>
      <c r="JX9" s="281"/>
      <c r="JY9" s="281"/>
      <c r="JZ9" s="281"/>
      <c r="KA9" s="281"/>
      <c r="KB9" s="281"/>
      <c r="KC9" s="281"/>
      <c r="KD9" s="281"/>
      <c r="KE9" s="281"/>
      <c r="KF9" s="281"/>
      <c r="KG9" s="281"/>
      <c r="KH9" s="281"/>
      <c r="KI9" s="281"/>
      <c r="KJ9" s="281"/>
      <c r="KK9" s="281"/>
      <c r="KL9" s="281"/>
      <c r="KM9" s="281"/>
      <c r="KN9" s="281"/>
      <c r="KO9" s="281"/>
      <c r="KP9" s="281"/>
      <c r="KQ9" s="281"/>
      <c r="KR9" s="281"/>
      <c r="KS9" s="281"/>
      <c r="KT9" s="281"/>
      <c r="KZ9">
        <v>22</v>
      </c>
    </row>
    <row r="10" spans="1:964">
      <c r="A10" s="83">
        <v>6</v>
      </c>
      <c r="B10" s="181" t="s">
        <v>1137</v>
      </c>
      <c r="C10" s="83">
        <v>310017637</v>
      </c>
      <c r="D10" s="83"/>
      <c r="E10" s="83">
        <v>310017637</v>
      </c>
      <c r="F10" s="83">
        <v>0</v>
      </c>
      <c r="G10" s="82">
        <v>142424</v>
      </c>
      <c r="H10" s="287"/>
      <c r="I10" s="287"/>
      <c r="J10" s="287"/>
      <c r="K10" s="287"/>
      <c r="L10" s="287"/>
      <c r="M10" s="287"/>
      <c r="N10" s="287"/>
      <c r="O10" s="281"/>
      <c r="P10" s="281"/>
      <c r="Q10" s="281"/>
      <c r="R10" s="281"/>
      <c r="S10" s="281"/>
      <c r="T10" s="281"/>
      <c r="U10" s="281"/>
      <c r="V10" s="281"/>
      <c r="W10" s="281"/>
      <c r="X10" s="281"/>
      <c r="Y10" s="281"/>
      <c r="Z10" s="281"/>
      <c r="AA10" s="281"/>
      <c r="AB10" s="281"/>
      <c r="AC10" s="281"/>
      <c r="AD10" s="281"/>
      <c r="AE10" s="281"/>
      <c r="AF10" s="281"/>
      <c r="AG10" s="281"/>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1"/>
      <c r="BD10" s="281"/>
      <c r="BE10" s="281"/>
      <c r="BF10" s="281"/>
      <c r="BG10" s="281"/>
      <c r="BH10" s="281"/>
      <c r="BI10" s="281"/>
      <c r="BJ10" s="281"/>
      <c r="BK10" s="281"/>
      <c r="BL10" s="281"/>
      <c r="BM10" s="281"/>
      <c r="BN10" s="281"/>
      <c r="BO10" s="281"/>
      <c r="BP10" s="281"/>
      <c r="BQ10" s="281"/>
      <c r="BR10" s="281"/>
      <c r="BS10" s="281"/>
      <c r="BT10" s="281"/>
      <c r="BU10" s="281"/>
      <c r="BV10" s="281"/>
      <c r="BW10" s="281"/>
      <c r="BX10" s="281"/>
      <c r="BY10" s="281"/>
      <c r="BZ10" s="281"/>
      <c r="CA10" s="281"/>
      <c r="CB10" s="281"/>
      <c r="CC10" s="281"/>
      <c r="CD10" s="281"/>
      <c r="CE10" s="281"/>
      <c r="CF10" s="281"/>
      <c r="CG10" s="281"/>
      <c r="CH10" s="281"/>
      <c r="CI10" s="281"/>
      <c r="CJ10" s="281"/>
      <c r="CK10" s="281"/>
      <c r="CL10" s="281"/>
      <c r="CM10" s="281"/>
      <c r="CN10" s="281"/>
      <c r="CO10" s="281"/>
      <c r="CP10" s="281"/>
      <c r="CQ10" s="281"/>
      <c r="CR10" s="281"/>
      <c r="CS10" s="281"/>
      <c r="CT10" s="281"/>
      <c r="CU10" s="281"/>
      <c r="CV10" s="281"/>
      <c r="CW10" s="281"/>
      <c r="CX10" s="281"/>
      <c r="CY10" s="281"/>
      <c r="CZ10" s="281"/>
      <c r="DA10" s="281"/>
      <c r="DB10" s="281"/>
      <c r="DC10" s="281"/>
      <c r="DD10" s="281"/>
      <c r="DE10" s="281"/>
      <c r="DF10" s="281"/>
      <c r="DG10" s="281"/>
      <c r="DH10" s="281"/>
      <c r="DI10" s="281"/>
      <c r="DJ10" s="281"/>
      <c r="DK10" s="281"/>
      <c r="DL10" s="281"/>
      <c r="DM10" s="281"/>
      <c r="DN10" s="281"/>
      <c r="DO10" s="281"/>
      <c r="DP10" s="281"/>
      <c r="DQ10" s="281"/>
      <c r="DR10" s="281"/>
      <c r="DS10" s="281"/>
      <c r="DT10" s="281"/>
      <c r="DU10" s="281"/>
      <c r="DV10" s="281"/>
      <c r="DW10" s="281"/>
      <c r="DX10" s="281"/>
      <c r="DY10" s="281"/>
      <c r="DZ10" s="281"/>
      <c r="EA10" s="281"/>
      <c r="EB10" s="281"/>
      <c r="EC10" s="281"/>
      <c r="ED10" s="281"/>
      <c r="EE10" s="281"/>
      <c r="EF10" s="281"/>
      <c r="EG10" s="281"/>
      <c r="EH10" s="281"/>
      <c r="EI10" s="281"/>
      <c r="EJ10" s="281"/>
      <c r="EK10" s="281"/>
      <c r="EL10" s="281"/>
      <c r="EM10" s="281"/>
      <c r="EN10" s="281"/>
      <c r="EO10" s="281"/>
      <c r="EP10" s="281"/>
      <c r="EQ10" s="281"/>
      <c r="ER10" s="281"/>
      <c r="ES10" s="281"/>
      <c r="ET10" s="281"/>
      <c r="EU10" s="281"/>
      <c r="EV10" s="281"/>
      <c r="EW10" s="281"/>
      <c r="EX10" s="281"/>
      <c r="EY10" s="281"/>
      <c r="EZ10" s="281"/>
      <c r="FA10" s="281"/>
      <c r="FB10" s="281"/>
      <c r="FC10" s="281"/>
      <c r="FD10" s="281"/>
      <c r="FE10" s="281"/>
      <c r="FF10" s="281"/>
      <c r="FG10" s="281"/>
      <c r="FH10" s="281"/>
      <c r="FI10" s="281"/>
      <c r="FJ10" s="281"/>
      <c r="FK10" s="281"/>
      <c r="FL10" s="281"/>
      <c r="FM10" s="281"/>
      <c r="FN10" s="281"/>
      <c r="FO10" s="281"/>
      <c r="FP10" s="281"/>
      <c r="FQ10" s="281"/>
      <c r="FR10" s="281"/>
      <c r="FS10" s="281"/>
      <c r="FT10" s="281"/>
      <c r="FU10" s="281"/>
      <c r="FV10" s="281"/>
      <c r="FW10" s="281"/>
      <c r="FX10" s="281"/>
      <c r="FY10" s="281"/>
      <c r="FZ10" s="281"/>
      <c r="GA10" s="281"/>
      <c r="GB10" s="281"/>
      <c r="GC10" s="281"/>
      <c r="GD10" s="281"/>
      <c r="GE10" s="281"/>
      <c r="GF10" s="281"/>
      <c r="GG10" s="281"/>
      <c r="GH10" s="281"/>
      <c r="GI10" s="281"/>
      <c r="GJ10" s="281"/>
      <c r="GK10" s="281"/>
      <c r="GL10" s="281"/>
      <c r="GM10" s="281"/>
      <c r="GN10" s="281"/>
      <c r="GO10" s="281"/>
      <c r="GP10" s="281"/>
      <c r="GQ10" s="281"/>
      <c r="GR10" s="281"/>
      <c r="GS10" s="281"/>
      <c r="GT10" s="281"/>
      <c r="GU10" s="281"/>
      <c r="GV10" s="281"/>
      <c r="GW10" s="281"/>
      <c r="GX10" s="281"/>
      <c r="GY10" s="281"/>
      <c r="GZ10" s="281"/>
      <c r="HA10" s="281"/>
      <c r="HB10" s="281"/>
      <c r="HC10" s="281"/>
      <c r="HD10" s="281"/>
      <c r="HE10" s="281"/>
      <c r="HF10" s="281"/>
      <c r="HG10" s="281"/>
      <c r="HH10" s="281"/>
      <c r="HI10" s="281"/>
      <c r="HJ10" s="281"/>
      <c r="HK10" s="281"/>
      <c r="HL10" s="281"/>
      <c r="HM10" s="281"/>
      <c r="HN10" s="281"/>
      <c r="HO10" s="281"/>
      <c r="HP10" s="281"/>
      <c r="HQ10" s="281"/>
      <c r="HR10" s="281"/>
      <c r="HS10" s="281"/>
      <c r="HT10" s="281"/>
      <c r="HU10" s="281"/>
      <c r="HV10" s="281"/>
      <c r="HW10" s="281"/>
      <c r="HX10" s="281"/>
      <c r="HY10" s="281"/>
      <c r="HZ10" s="281"/>
      <c r="IA10" s="281"/>
      <c r="IB10" s="281"/>
      <c r="IC10" s="281"/>
      <c r="ID10" s="281"/>
      <c r="IE10" s="281"/>
      <c r="IF10" s="281"/>
      <c r="IG10" s="281"/>
      <c r="IH10" s="281"/>
      <c r="II10" s="281"/>
      <c r="IJ10" s="281"/>
      <c r="IK10" s="281"/>
      <c r="IL10" s="281"/>
      <c r="IM10" s="281"/>
      <c r="IN10" s="281"/>
      <c r="IO10" s="281"/>
      <c r="IP10" s="281"/>
      <c r="IQ10" s="281"/>
      <c r="IR10" s="281"/>
      <c r="IS10" s="281"/>
      <c r="IT10" s="281"/>
      <c r="IU10" s="281"/>
      <c r="IV10" s="281"/>
      <c r="IW10" s="281"/>
      <c r="IX10" s="281"/>
      <c r="IY10" s="281"/>
      <c r="IZ10" s="281"/>
      <c r="JA10" s="281"/>
      <c r="JB10" s="281"/>
      <c r="JC10" s="281"/>
      <c r="JD10" s="281"/>
      <c r="JE10" s="281"/>
      <c r="JF10" s="281"/>
      <c r="JG10" s="281"/>
      <c r="JH10" s="281"/>
      <c r="JI10" s="281"/>
      <c r="JJ10" s="281"/>
      <c r="JK10" s="281"/>
      <c r="JL10" s="281"/>
      <c r="JM10" s="281"/>
      <c r="JN10" s="281"/>
      <c r="JO10" s="281"/>
      <c r="JP10" s="281"/>
      <c r="JQ10" s="281"/>
      <c r="JR10" s="281"/>
      <c r="JS10" s="281"/>
      <c r="JT10" s="281"/>
      <c r="JU10" s="281"/>
      <c r="JV10" s="281"/>
      <c r="JW10" s="281"/>
      <c r="JX10" s="281"/>
      <c r="JY10" s="281"/>
      <c r="JZ10" s="281"/>
      <c r="KA10" s="281"/>
      <c r="KB10" s="281"/>
      <c r="KC10" s="281"/>
      <c r="KD10" s="281"/>
      <c r="KE10" s="281"/>
      <c r="KF10" s="281"/>
      <c r="KG10" s="281"/>
      <c r="KH10" s="281"/>
      <c r="KI10" s="281"/>
      <c r="KJ10" s="281"/>
      <c r="KK10" s="281"/>
      <c r="KL10" s="281"/>
      <c r="KM10" s="281"/>
      <c r="KN10" s="281"/>
      <c r="KO10" s="281"/>
      <c r="KP10" s="281"/>
      <c r="KQ10" s="281"/>
      <c r="KR10" s="281"/>
      <c r="KS10" s="281"/>
      <c r="KT10" s="281"/>
      <c r="KZ10">
        <v>33</v>
      </c>
    </row>
    <row r="11" spans="1:964">
      <c r="A11" s="83">
        <v>7</v>
      </c>
      <c r="B11" s="181" t="s">
        <v>1138</v>
      </c>
      <c r="C11" s="83">
        <v>7659</v>
      </c>
      <c r="D11" s="906" t="s">
        <v>6925</v>
      </c>
      <c r="E11" s="83">
        <v>77777777</v>
      </c>
      <c r="F11" s="83">
        <v>0</v>
      </c>
      <c r="G11" s="82">
        <v>374351</v>
      </c>
      <c r="H11" s="259"/>
      <c r="I11" s="259"/>
      <c r="J11" s="259"/>
      <c r="K11" s="259"/>
      <c r="L11" s="259"/>
      <c r="M11" s="259"/>
      <c r="N11" s="259"/>
      <c r="O11" s="282"/>
      <c r="P11" s="282"/>
      <c r="Q11" s="282"/>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2"/>
      <c r="BD11" s="282"/>
      <c r="BE11" s="282"/>
      <c r="BF11" s="282"/>
      <c r="BG11" s="282"/>
      <c r="BH11" s="282"/>
      <c r="BI11" s="282"/>
      <c r="BJ11" s="282"/>
      <c r="BK11" s="282"/>
      <c r="BL11" s="282"/>
      <c r="BM11" s="282"/>
      <c r="BN11" s="282"/>
      <c r="BO11" s="282"/>
      <c r="BP11" s="282"/>
      <c r="BQ11" s="282"/>
      <c r="BR11" s="282"/>
      <c r="BS11" s="282"/>
      <c r="BT11" s="282"/>
      <c r="BU11" s="282"/>
      <c r="BV11" s="282"/>
      <c r="BW11" s="282"/>
      <c r="BX11" s="282"/>
      <c r="BY11" s="282"/>
      <c r="BZ11" s="282"/>
      <c r="CA11" s="282"/>
      <c r="CB11" s="282"/>
      <c r="CC11" s="282"/>
      <c r="CD11" s="282"/>
      <c r="CE11" s="282"/>
      <c r="CF11" s="282"/>
      <c r="CG11" s="282"/>
      <c r="CH11" s="282"/>
      <c r="CI11" s="282"/>
      <c r="CJ11" s="282"/>
      <c r="CK11" s="282"/>
      <c r="CL11" s="282"/>
      <c r="CM11" s="282"/>
      <c r="CN11" s="282"/>
      <c r="CO11" s="282"/>
      <c r="CP11" s="282"/>
      <c r="CQ11" s="282"/>
      <c r="CR11" s="282"/>
      <c r="CS11" s="282"/>
      <c r="CT11" s="282"/>
      <c r="CU11" s="282"/>
      <c r="CV11" s="282"/>
      <c r="CW11" s="282"/>
      <c r="CX11" s="282"/>
      <c r="CY11" s="282"/>
      <c r="CZ11" s="282"/>
      <c r="DA11" s="282"/>
      <c r="DB11" s="282"/>
      <c r="DC11" s="282"/>
      <c r="DD11" s="282"/>
      <c r="DE11" s="282"/>
      <c r="DF11" s="282"/>
      <c r="DG11" s="282"/>
      <c r="DH11" s="282"/>
      <c r="DI11" s="282"/>
      <c r="DJ11" s="282"/>
      <c r="DK11" s="282"/>
      <c r="DL11" s="282"/>
      <c r="DM11" s="282"/>
      <c r="DN11" s="282"/>
      <c r="DO11" s="282"/>
      <c r="DP11" s="282"/>
      <c r="DQ11" s="282"/>
      <c r="DR11" s="282"/>
      <c r="DS11" s="282"/>
      <c r="DT11" s="282"/>
      <c r="DU11" s="282"/>
      <c r="DV11" s="282"/>
      <c r="DW11" s="282"/>
      <c r="DX11" s="282"/>
      <c r="DY11" s="282"/>
      <c r="DZ11" s="282"/>
      <c r="EA11" s="282"/>
      <c r="EB11" s="282"/>
      <c r="EC11" s="282"/>
      <c r="ED11" s="282"/>
      <c r="EE11" s="282"/>
      <c r="EF11" s="282">
        <v>0</v>
      </c>
      <c r="EG11" s="282"/>
      <c r="EH11" s="282"/>
      <c r="EI11" s="282"/>
      <c r="EJ11" s="282"/>
      <c r="EK11" s="282"/>
      <c r="EL11" s="282"/>
      <c r="EM11" s="282"/>
      <c r="EN11" s="282"/>
      <c r="EO11" s="282"/>
      <c r="EP11" s="282"/>
      <c r="EQ11" s="282"/>
      <c r="ER11" s="282"/>
      <c r="ES11" s="282"/>
      <c r="ET11" s="282"/>
      <c r="EU11" s="282"/>
      <c r="EV11" s="282"/>
      <c r="EW11" s="282"/>
      <c r="EX11" s="282"/>
      <c r="EY11" s="282"/>
      <c r="EZ11" s="282"/>
      <c r="FA11" s="282"/>
      <c r="FB11" s="282"/>
      <c r="FC11" s="282"/>
      <c r="FD11" s="282"/>
      <c r="FE11" s="282"/>
      <c r="FF11" s="282"/>
      <c r="FG11" s="282"/>
      <c r="FH11" s="282"/>
      <c r="FI11" s="282"/>
      <c r="FJ11" s="282"/>
      <c r="FK11" s="282"/>
      <c r="FL11" s="282"/>
      <c r="FM11" s="282"/>
      <c r="FN11" s="282"/>
      <c r="FO11" s="282"/>
      <c r="FP11" s="282"/>
      <c r="FQ11" s="282"/>
      <c r="FR11" s="282"/>
      <c r="FS11" s="282"/>
      <c r="FT11" s="282"/>
      <c r="FU11" s="282"/>
      <c r="FV11" s="282"/>
      <c r="FW11" s="282"/>
      <c r="FX11" s="282"/>
      <c r="FY11" s="282"/>
      <c r="FZ11" s="282"/>
      <c r="GA11" s="282"/>
      <c r="GB11" s="282"/>
      <c r="GC11" s="282"/>
      <c r="GD11" s="282"/>
      <c r="GE11" s="282"/>
      <c r="GF11" s="282"/>
      <c r="GG11" s="282"/>
      <c r="GH11" s="282"/>
      <c r="GI11" s="282"/>
      <c r="GJ11" s="282"/>
      <c r="GK11" s="282"/>
      <c r="GL11" s="282"/>
      <c r="GM11" s="282"/>
      <c r="GN11" s="282"/>
      <c r="GO11" s="282"/>
      <c r="GP11" s="282"/>
      <c r="GQ11" s="282">
        <v>0</v>
      </c>
      <c r="GR11" s="282"/>
      <c r="GS11" s="282"/>
      <c r="GT11" s="282"/>
      <c r="GU11" s="282"/>
      <c r="GV11" s="282"/>
      <c r="GW11" s="282"/>
      <c r="GX11" s="282">
        <v>0</v>
      </c>
      <c r="GY11" s="282"/>
      <c r="GZ11" s="282"/>
      <c r="HA11" s="282"/>
      <c r="HB11" s="282">
        <v>0.97699999999999998</v>
      </c>
      <c r="HC11" s="282"/>
      <c r="HD11" s="282">
        <v>0</v>
      </c>
      <c r="HE11" s="282">
        <v>0</v>
      </c>
      <c r="HF11" s="282">
        <v>0</v>
      </c>
      <c r="HG11" s="282"/>
      <c r="HH11" s="282">
        <v>0</v>
      </c>
      <c r="HI11" s="282"/>
      <c r="HJ11" s="282">
        <v>0</v>
      </c>
      <c r="HK11" s="282"/>
      <c r="HL11" s="282">
        <v>0</v>
      </c>
      <c r="HM11" s="282"/>
      <c r="HN11" s="282">
        <v>0</v>
      </c>
      <c r="HO11" s="282"/>
      <c r="HP11" s="282">
        <v>0</v>
      </c>
      <c r="HQ11" s="282"/>
      <c r="HR11" s="282">
        <v>0</v>
      </c>
      <c r="HS11" s="282"/>
      <c r="HT11" s="282">
        <v>0</v>
      </c>
      <c r="HU11" s="282">
        <f>32-4.1-27.7</f>
        <v>0.19999999999999929</v>
      </c>
      <c r="HV11" s="282">
        <v>0</v>
      </c>
      <c r="HW11" s="282"/>
      <c r="HX11" s="282"/>
      <c r="HY11" s="282">
        <v>0</v>
      </c>
      <c r="HZ11" s="282"/>
      <c r="IA11" s="282">
        <v>0</v>
      </c>
      <c r="IB11" s="282"/>
      <c r="IC11" s="282"/>
      <c r="ID11" s="282"/>
      <c r="IE11" s="282">
        <v>0</v>
      </c>
      <c r="IF11" s="282"/>
      <c r="IG11" s="282">
        <v>0</v>
      </c>
      <c r="IH11" s="282">
        <v>0</v>
      </c>
      <c r="II11" s="282"/>
      <c r="IJ11" s="282"/>
      <c r="IK11" s="282">
        <v>0</v>
      </c>
      <c r="IL11" s="282"/>
      <c r="IM11" s="282">
        <v>0</v>
      </c>
      <c r="IN11" s="282"/>
      <c r="IO11" s="282">
        <v>0</v>
      </c>
      <c r="IP11" s="282"/>
      <c r="IQ11" s="282">
        <v>0</v>
      </c>
      <c r="IR11" s="282"/>
      <c r="IS11" s="282">
        <v>0</v>
      </c>
      <c r="IT11" s="282"/>
      <c r="IU11" s="282"/>
      <c r="IV11" s="282"/>
      <c r="IW11" s="282"/>
      <c r="IX11" s="282"/>
      <c r="IY11" s="282"/>
      <c r="IZ11" s="282"/>
      <c r="JA11" s="282"/>
      <c r="JB11" s="282"/>
      <c r="JC11" s="282"/>
      <c r="JD11" s="282"/>
      <c r="JE11" s="282"/>
      <c r="JF11" s="282"/>
      <c r="JG11" s="282"/>
      <c r="JH11" s="282"/>
      <c r="JI11" s="282"/>
      <c r="JJ11" s="282"/>
      <c r="JK11" s="282"/>
      <c r="JL11" s="282"/>
      <c r="JM11" s="282">
        <v>0</v>
      </c>
      <c r="JN11" s="282"/>
      <c r="JO11" s="282"/>
      <c r="JP11" s="282"/>
      <c r="JQ11" s="282">
        <v>0</v>
      </c>
      <c r="JR11" s="282"/>
      <c r="JS11" s="282"/>
      <c r="JT11" s="282"/>
      <c r="JU11" s="282"/>
      <c r="JV11" s="282"/>
      <c r="JW11" s="282"/>
      <c r="JX11" s="282"/>
      <c r="JY11" s="282"/>
      <c r="JZ11" s="282"/>
      <c r="KA11" s="282"/>
      <c r="KB11" s="282"/>
      <c r="KC11" s="282">
        <v>0</v>
      </c>
      <c r="KD11" s="282"/>
      <c r="KE11" s="282"/>
      <c r="KF11" s="282"/>
      <c r="KG11" s="282">
        <v>0</v>
      </c>
      <c r="KH11" s="282"/>
      <c r="KI11" s="282">
        <v>0</v>
      </c>
      <c r="KJ11" s="282"/>
      <c r="KK11" s="282">
        <v>0</v>
      </c>
      <c r="KL11" s="282"/>
      <c r="KM11" s="282">
        <v>0</v>
      </c>
      <c r="KN11" s="282"/>
      <c r="KO11" s="282">
        <v>0</v>
      </c>
      <c r="KP11" s="282"/>
      <c r="KQ11" s="282">
        <v>0</v>
      </c>
      <c r="KR11" s="296">
        <v>53.6</v>
      </c>
      <c r="KS11" s="282">
        <v>53.6</v>
      </c>
      <c r="KT11" s="282">
        <v>20.6</v>
      </c>
      <c r="KU11" s="259">
        <v>8.6</v>
      </c>
      <c r="KV11" s="287"/>
      <c r="KW11" s="287"/>
      <c r="KZ11">
        <v>33</v>
      </c>
    </row>
    <row r="12" spans="1:964">
      <c r="A12" s="83">
        <v>8</v>
      </c>
      <c r="B12" s="181" t="s">
        <v>1139</v>
      </c>
      <c r="C12" s="83">
        <v>7674</v>
      </c>
      <c r="D12" s="83"/>
      <c r="E12" s="83">
        <v>310337674</v>
      </c>
      <c r="F12" s="83">
        <v>0</v>
      </c>
      <c r="G12" s="82">
        <v>365788</v>
      </c>
      <c r="H12" s="259"/>
      <c r="I12" s="259"/>
      <c r="J12" s="259"/>
      <c r="K12" s="259"/>
      <c r="L12" s="259"/>
      <c r="M12" s="259"/>
      <c r="N12" s="259"/>
      <c r="O12" s="282"/>
      <c r="P12" s="282"/>
      <c r="Q12" s="282"/>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2"/>
      <c r="BK12" s="282"/>
      <c r="BL12" s="282"/>
      <c r="BM12" s="282"/>
      <c r="BN12" s="282"/>
      <c r="BO12" s="282"/>
      <c r="BP12" s="282"/>
      <c r="BQ12" s="282"/>
      <c r="BR12" s="282"/>
      <c r="BS12" s="282"/>
      <c r="BT12" s="282"/>
      <c r="BU12" s="282"/>
      <c r="BV12" s="282"/>
      <c r="BW12" s="282"/>
      <c r="BX12" s="282"/>
      <c r="BY12" s="282"/>
      <c r="BZ12" s="282"/>
      <c r="CA12" s="282"/>
      <c r="CB12" s="282"/>
      <c r="CC12" s="282"/>
      <c r="CD12" s="282"/>
      <c r="CE12" s="282"/>
      <c r="CF12" s="282"/>
      <c r="CG12" s="282"/>
      <c r="CH12" s="282"/>
      <c r="CI12" s="282"/>
      <c r="CJ12" s="282"/>
      <c r="CK12" s="282"/>
      <c r="CL12" s="282"/>
      <c r="CM12" s="282"/>
      <c r="CN12" s="282"/>
      <c r="CO12" s="282"/>
      <c r="CP12" s="282"/>
      <c r="CQ12" s="282"/>
      <c r="CR12" s="282"/>
      <c r="CS12" s="282"/>
      <c r="CT12" s="282"/>
      <c r="CU12" s="282"/>
      <c r="CV12" s="282"/>
      <c r="CW12" s="282"/>
      <c r="CX12" s="282"/>
      <c r="CY12" s="282"/>
      <c r="CZ12" s="282"/>
      <c r="DA12" s="282"/>
      <c r="DB12" s="282"/>
      <c r="DC12" s="282"/>
      <c r="DD12" s="282"/>
      <c r="DE12" s="282"/>
      <c r="DF12" s="282"/>
      <c r="DG12" s="282"/>
      <c r="DH12" s="282"/>
      <c r="DI12" s="282"/>
      <c r="DJ12" s="282"/>
      <c r="DK12" s="282"/>
      <c r="DL12" s="282"/>
      <c r="DM12" s="282"/>
      <c r="DN12" s="282"/>
      <c r="DO12" s="282"/>
      <c r="DP12" s="282"/>
      <c r="DQ12" s="282"/>
      <c r="DR12" s="282"/>
      <c r="DS12" s="282"/>
      <c r="DT12" s="282"/>
      <c r="DU12" s="282"/>
      <c r="DV12" s="282"/>
      <c r="DW12" s="282"/>
      <c r="DX12" s="282"/>
      <c r="DY12" s="282"/>
      <c r="DZ12" s="282"/>
      <c r="EA12" s="282"/>
      <c r="EB12" s="282"/>
      <c r="EC12" s="282"/>
      <c r="ED12" s="282"/>
      <c r="EE12" s="282"/>
      <c r="EF12" s="282">
        <v>0</v>
      </c>
      <c r="EG12" s="282"/>
      <c r="EH12" s="282"/>
      <c r="EI12" s="282"/>
      <c r="EJ12" s="282">
        <v>0</v>
      </c>
      <c r="EK12" s="282"/>
      <c r="EL12" s="282"/>
      <c r="EM12" s="282"/>
      <c r="EN12" s="282"/>
      <c r="EO12" s="282"/>
      <c r="EP12" s="282">
        <v>0</v>
      </c>
      <c r="EQ12" s="282"/>
      <c r="ER12" s="282">
        <v>0</v>
      </c>
      <c r="ES12" s="282"/>
      <c r="ET12" s="282">
        <v>0.9</v>
      </c>
      <c r="EU12" s="282"/>
      <c r="EV12" s="282">
        <v>0.9</v>
      </c>
      <c r="EW12" s="282"/>
      <c r="EX12" s="282">
        <v>0.95699999999999996</v>
      </c>
      <c r="EY12" s="282"/>
      <c r="EZ12" s="282">
        <v>0.95699999999999996</v>
      </c>
      <c r="FA12" s="282"/>
      <c r="FB12" s="282">
        <v>0.95699999999999996</v>
      </c>
      <c r="FC12" s="282"/>
      <c r="FD12" s="282">
        <v>0.95699999999999996</v>
      </c>
      <c r="FE12" s="282"/>
      <c r="FF12" s="282"/>
      <c r="FG12" s="282"/>
      <c r="FH12" s="282"/>
      <c r="FI12" s="282"/>
      <c r="FJ12" s="282">
        <v>0</v>
      </c>
      <c r="FK12" s="282"/>
      <c r="FL12" s="282"/>
      <c r="FM12" s="282"/>
      <c r="FN12" s="282"/>
      <c r="FO12" s="282"/>
      <c r="FP12" s="282">
        <v>0</v>
      </c>
      <c r="FQ12" s="282"/>
      <c r="FR12" s="282">
        <v>0</v>
      </c>
      <c r="FS12" s="282"/>
      <c r="FT12" s="282"/>
      <c r="FU12" s="282">
        <v>0</v>
      </c>
      <c r="FV12" s="282"/>
      <c r="FW12" s="282"/>
      <c r="FX12" s="282"/>
      <c r="FY12" s="282"/>
      <c r="FZ12" s="282"/>
      <c r="GA12" s="282"/>
      <c r="GB12" s="282"/>
      <c r="GC12" s="282"/>
      <c r="GD12" s="282"/>
      <c r="GE12" s="282">
        <v>0</v>
      </c>
      <c r="GF12" s="282"/>
      <c r="GG12" s="282"/>
      <c r="GH12" s="282"/>
      <c r="GI12" s="282">
        <v>0</v>
      </c>
      <c r="GJ12" s="282"/>
      <c r="GK12" s="282"/>
      <c r="GL12" s="282"/>
      <c r="GM12" s="282"/>
      <c r="GN12" s="282"/>
      <c r="GO12" s="282">
        <v>0</v>
      </c>
      <c r="GP12" s="282"/>
      <c r="GQ12" s="282">
        <v>0</v>
      </c>
      <c r="GR12" s="282"/>
      <c r="GS12" s="282"/>
      <c r="GT12" s="282"/>
      <c r="GU12" s="282">
        <v>33</v>
      </c>
      <c r="GV12" s="282"/>
      <c r="GW12" s="282">
        <v>33</v>
      </c>
      <c r="GX12" s="282">
        <v>0</v>
      </c>
      <c r="GY12" s="282"/>
      <c r="GZ12" s="282"/>
      <c r="HA12" s="282"/>
      <c r="HB12" s="282">
        <v>3.9</v>
      </c>
      <c r="HC12" s="282"/>
      <c r="HD12" s="282">
        <v>0</v>
      </c>
      <c r="HE12" s="282">
        <v>0</v>
      </c>
      <c r="HF12" s="282">
        <v>0</v>
      </c>
      <c r="HG12" s="282"/>
      <c r="HH12" s="282">
        <v>21.5</v>
      </c>
      <c r="HI12" s="282"/>
      <c r="HJ12" s="282">
        <v>0</v>
      </c>
      <c r="HK12" s="282"/>
      <c r="HL12" s="282">
        <v>22</v>
      </c>
      <c r="HM12" s="282"/>
      <c r="HN12" s="282">
        <v>22</v>
      </c>
      <c r="HO12" s="282">
        <f>-21+22</f>
        <v>1</v>
      </c>
      <c r="HP12" s="282">
        <v>21</v>
      </c>
      <c r="HQ12" s="282"/>
      <c r="HR12" s="282">
        <v>0</v>
      </c>
      <c r="HS12" s="282"/>
      <c r="HT12" s="282">
        <v>0</v>
      </c>
      <c r="HU12" s="282"/>
      <c r="HV12" s="282">
        <v>0</v>
      </c>
      <c r="HW12" s="282">
        <f>22-65.9</f>
        <v>-43.900000000000006</v>
      </c>
      <c r="HX12" s="282"/>
      <c r="HY12" s="282">
        <v>44</v>
      </c>
      <c r="HZ12" s="282"/>
      <c r="IA12" s="282">
        <v>44</v>
      </c>
      <c r="IB12" s="282">
        <f>-42.3+22+22</f>
        <v>1.7000000000000028</v>
      </c>
      <c r="IC12" s="282">
        <v>42.3</v>
      </c>
      <c r="ID12" s="282">
        <v>22</v>
      </c>
      <c r="IE12" s="282">
        <v>20.3</v>
      </c>
      <c r="IF12" s="282"/>
      <c r="IG12" s="282">
        <v>0</v>
      </c>
      <c r="IH12" s="282">
        <v>0</v>
      </c>
      <c r="II12" s="282"/>
      <c r="IJ12" s="282"/>
      <c r="IK12" s="282">
        <v>0</v>
      </c>
      <c r="IL12" s="282"/>
      <c r="IM12" s="282">
        <v>0</v>
      </c>
      <c r="IN12" s="282"/>
      <c r="IO12" s="282">
        <v>0</v>
      </c>
      <c r="IP12" s="282"/>
      <c r="IQ12" s="282">
        <v>0</v>
      </c>
      <c r="IR12" s="282"/>
      <c r="IS12" s="282">
        <v>0</v>
      </c>
      <c r="IT12" s="282"/>
      <c r="IU12" s="282"/>
      <c r="IV12" s="282"/>
      <c r="IW12" s="282"/>
      <c r="IX12" s="282"/>
      <c r="IY12" s="282"/>
      <c r="IZ12" s="282"/>
      <c r="JA12" s="282"/>
      <c r="JB12" s="282"/>
      <c r="JC12" s="282"/>
      <c r="JD12" s="282"/>
      <c r="JE12" s="282">
        <v>0</v>
      </c>
      <c r="JF12" s="282">
        <v>0</v>
      </c>
      <c r="JG12" s="282"/>
      <c r="JH12" s="282"/>
      <c r="JI12" s="282"/>
      <c r="JJ12" s="282"/>
      <c r="JK12" s="282"/>
      <c r="JL12" s="282"/>
      <c r="JM12" s="282">
        <v>0</v>
      </c>
      <c r="JN12" s="282"/>
      <c r="JO12" s="282"/>
      <c r="JP12" s="282"/>
      <c r="JQ12" s="282">
        <v>0</v>
      </c>
      <c r="JR12" s="282"/>
      <c r="JS12" s="282"/>
      <c r="JT12" s="282"/>
      <c r="JU12" s="282">
        <v>0</v>
      </c>
      <c r="JV12" s="282"/>
      <c r="JW12" s="282"/>
      <c r="JX12" s="282"/>
      <c r="JY12" s="282"/>
      <c r="JZ12" s="282"/>
      <c r="KA12" s="282">
        <v>0</v>
      </c>
      <c r="KB12" s="282"/>
      <c r="KC12" s="282">
        <v>0</v>
      </c>
      <c r="KD12" s="282"/>
      <c r="KE12" s="282">
        <v>0</v>
      </c>
      <c r="KF12" s="282"/>
      <c r="KG12" s="282">
        <v>0</v>
      </c>
      <c r="KH12" s="282"/>
      <c r="KI12" s="282">
        <v>0</v>
      </c>
      <c r="KJ12" s="282"/>
      <c r="KK12" s="282">
        <v>0</v>
      </c>
      <c r="KL12" s="282"/>
      <c r="KM12" s="282">
        <v>0</v>
      </c>
      <c r="KN12" s="282"/>
      <c r="KO12" s="282">
        <v>0</v>
      </c>
      <c r="KP12" s="282"/>
      <c r="KQ12" s="282">
        <v>0</v>
      </c>
      <c r="KR12" s="296">
        <v>19.8</v>
      </c>
      <c r="KS12" s="282">
        <v>19.8</v>
      </c>
      <c r="KT12" s="282">
        <v>19.8</v>
      </c>
      <c r="KU12" s="259">
        <v>19.8</v>
      </c>
      <c r="KV12" s="287"/>
      <c r="KW12" s="287"/>
      <c r="KZ12">
        <v>33</v>
      </c>
    </row>
    <row r="13" spans="1:964">
      <c r="A13" s="83">
        <v>9</v>
      </c>
      <c r="B13" s="83" t="s">
        <v>1344</v>
      </c>
      <c r="C13" s="912">
        <v>310401800</v>
      </c>
      <c r="D13" s="912"/>
      <c r="E13" s="83">
        <v>310401800</v>
      </c>
      <c r="F13" s="83">
        <v>0</v>
      </c>
      <c r="G13" s="82">
        <v>199050</v>
      </c>
      <c r="H13" s="259"/>
      <c r="I13" s="259"/>
      <c r="J13" s="259"/>
      <c r="K13" s="259"/>
      <c r="L13" s="259"/>
      <c r="M13" s="259"/>
      <c r="N13" s="259"/>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2"/>
      <c r="BK13" s="282"/>
      <c r="BL13" s="282"/>
      <c r="BM13" s="282"/>
      <c r="BN13" s="282"/>
      <c r="BO13" s="282"/>
      <c r="BP13" s="282"/>
      <c r="BQ13" s="282"/>
      <c r="BR13" s="282"/>
      <c r="BS13" s="282"/>
      <c r="BT13" s="282"/>
      <c r="BU13" s="282"/>
      <c r="BV13" s="282"/>
      <c r="BW13" s="282"/>
      <c r="BX13" s="282"/>
      <c r="BY13" s="282"/>
      <c r="BZ13" s="282"/>
      <c r="CA13" s="282"/>
      <c r="CB13" s="282"/>
      <c r="CC13" s="282"/>
      <c r="CD13" s="282"/>
      <c r="CE13" s="282"/>
      <c r="CF13" s="282"/>
      <c r="CG13" s="282"/>
      <c r="CH13" s="282"/>
      <c r="CI13" s="282"/>
      <c r="CJ13" s="282"/>
      <c r="CK13" s="282"/>
      <c r="CL13" s="282"/>
      <c r="CM13" s="282"/>
      <c r="CN13" s="282"/>
      <c r="CO13" s="282"/>
      <c r="CP13" s="282"/>
      <c r="CQ13" s="282"/>
      <c r="CR13" s="282"/>
      <c r="CS13" s="282"/>
      <c r="CT13" s="282"/>
      <c r="CU13" s="282"/>
      <c r="CV13" s="282"/>
      <c r="CW13" s="282"/>
      <c r="CX13" s="282"/>
      <c r="CY13" s="282"/>
      <c r="CZ13" s="282"/>
      <c r="DA13" s="282"/>
      <c r="DB13" s="282"/>
      <c r="DC13" s="282"/>
      <c r="DD13" s="282"/>
      <c r="DE13" s="282"/>
      <c r="DF13" s="282"/>
      <c r="DG13" s="282"/>
      <c r="DH13" s="282"/>
      <c r="DI13" s="282"/>
      <c r="DJ13" s="282"/>
      <c r="DK13" s="282"/>
      <c r="DL13" s="282"/>
      <c r="DM13" s="282"/>
      <c r="DN13" s="282"/>
      <c r="DO13" s="282"/>
      <c r="DP13" s="282"/>
      <c r="DQ13" s="282"/>
      <c r="DR13" s="282"/>
      <c r="DS13" s="282"/>
      <c r="DT13" s="282"/>
      <c r="DU13" s="282"/>
      <c r="DV13" s="282"/>
      <c r="DW13" s="282"/>
      <c r="DX13" s="282"/>
      <c r="DY13" s="282"/>
      <c r="DZ13" s="282"/>
      <c r="EA13" s="282"/>
      <c r="EB13" s="282"/>
      <c r="EC13" s="282"/>
      <c r="ED13" s="282"/>
      <c r="EE13" s="282"/>
      <c r="EF13" s="282">
        <v>0</v>
      </c>
      <c r="EG13" s="282"/>
      <c r="EH13" s="282"/>
      <c r="EI13" s="282"/>
      <c r="EJ13" s="282">
        <v>0</v>
      </c>
      <c r="EK13" s="282"/>
      <c r="EL13" s="282"/>
      <c r="EM13" s="282"/>
      <c r="EN13" s="282"/>
      <c r="EO13" s="282"/>
      <c r="EP13" s="282">
        <v>0</v>
      </c>
      <c r="EQ13" s="282"/>
      <c r="ER13" s="282">
        <v>0</v>
      </c>
      <c r="ES13" s="282"/>
      <c r="ET13" s="282">
        <v>0</v>
      </c>
      <c r="EU13" s="282"/>
      <c r="EV13" s="282">
        <v>0</v>
      </c>
      <c r="EW13" s="282"/>
      <c r="EX13" s="282">
        <v>0</v>
      </c>
      <c r="EY13" s="282"/>
      <c r="EZ13" s="282">
        <v>0</v>
      </c>
      <c r="FA13" s="282"/>
      <c r="FB13" s="282">
        <v>0</v>
      </c>
      <c r="FC13" s="282"/>
      <c r="FD13" s="282">
        <v>0</v>
      </c>
      <c r="FE13" s="282"/>
      <c r="FF13" s="282"/>
      <c r="FG13" s="282"/>
      <c r="FH13" s="282"/>
      <c r="FI13" s="282"/>
      <c r="FJ13" s="282">
        <v>0</v>
      </c>
      <c r="FK13" s="282"/>
      <c r="FL13" s="282"/>
      <c r="FM13" s="282"/>
      <c r="FN13" s="282"/>
      <c r="FO13" s="282"/>
      <c r="FP13" s="282">
        <v>0</v>
      </c>
      <c r="FQ13" s="282"/>
      <c r="FR13" s="282">
        <v>0</v>
      </c>
      <c r="FS13" s="282"/>
      <c r="FT13" s="282"/>
      <c r="FU13" s="282">
        <v>0</v>
      </c>
      <c r="FV13" s="282"/>
      <c r="FW13" s="282"/>
      <c r="FX13" s="282"/>
      <c r="FY13" s="282"/>
      <c r="FZ13" s="282"/>
      <c r="GA13" s="282"/>
      <c r="GB13" s="282"/>
      <c r="GC13" s="282"/>
      <c r="GD13" s="282"/>
      <c r="GE13" s="282">
        <v>0</v>
      </c>
      <c r="GF13" s="282"/>
      <c r="GG13" s="282"/>
      <c r="GH13" s="282"/>
      <c r="GI13" s="282">
        <v>0</v>
      </c>
      <c r="GJ13" s="282"/>
      <c r="GK13" s="282"/>
      <c r="GL13" s="282"/>
      <c r="GM13" s="282"/>
      <c r="GN13" s="282"/>
      <c r="GO13" s="282">
        <v>0</v>
      </c>
      <c r="GP13" s="282"/>
      <c r="GQ13" s="282">
        <v>0</v>
      </c>
      <c r="GR13" s="282"/>
      <c r="GS13" s="282"/>
      <c r="GT13" s="282"/>
      <c r="GU13" s="282"/>
      <c r="GV13" s="282"/>
      <c r="GW13" s="282">
        <v>0</v>
      </c>
      <c r="GX13" s="282">
        <v>0</v>
      </c>
      <c r="GY13" s="282"/>
      <c r="GZ13" s="282"/>
      <c r="HA13" s="282"/>
      <c r="HB13" s="282">
        <v>0.97799999999999998</v>
      </c>
      <c r="HC13" s="282"/>
      <c r="HD13" s="282">
        <v>0</v>
      </c>
      <c r="HE13" s="282">
        <v>0</v>
      </c>
      <c r="HF13" s="282">
        <v>0</v>
      </c>
      <c r="HG13" s="282"/>
      <c r="HH13" s="282">
        <v>0</v>
      </c>
      <c r="HI13" s="282"/>
      <c r="HJ13" s="282">
        <v>0</v>
      </c>
      <c r="HK13" s="282"/>
      <c r="HL13" s="282">
        <v>22</v>
      </c>
      <c r="HM13" s="282">
        <v>22</v>
      </c>
      <c r="HN13" s="282">
        <v>0</v>
      </c>
      <c r="HO13" s="282"/>
      <c r="HP13" s="282">
        <v>0</v>
      </c>
      <c r="HQ13" s="282"/>
      <c r="HR13" s="282">
        <v>0</v>
      </c>
      <c r="HS13" s="282"/>
      <c r="HT13" s="282">
        <v>0</v>
      </c>
      <c r="HU13" s="282"/>
      <c r="HV13" s="282">
        <v>3</v>
      </c>
      <c r="HW13" s="282"/>
      <c r="HX13" s="282">
        <v>3</v>
      </c>
      <c r="HY13" s="282">
        <v>3</v>
      </c>
      <c r="HZ13" s="282"/>
      <c r="IA13" s="282">
        <v>3</v>
      </c>
      <c r="IB13" s="282"/>
      <c r="IC13" s="282">
        <v>3</v>
      </c>
      <c r="ID13" s="282"/>
      <c r="IE13" s="282">
        <v>3</v>
      </c>
      <c r="IF13" s="282"/>
      <c r="IG13" s="282">
        <v>3</v>
      </c>
      <c r="IH13" s="282">
        <v>0</v>
      </c>
      <c r="II13" s="282">
        <v>3</v>
      </c>
      <c r="IJ13" s="282"/>
      <c r="IK13" s="282">
        <v>3</v>
      </c>
      <c r="IL13" s="282"/>
      <c r="IM13" s="282">
        <v>0</v>
      </c>
      <c r="IN13" s="282"/>
      <c r="IO13" s="282">
        <v>0</v>
      </c>
      <c r="IP13" s="282"/>
      <c r="IQ13" s="282">
        <v>0</v>
      </c>
      <c r="IR13" s="282"/>
      <c r="IS13" s="282">
        <v>0</v>
      </c>
      <c r="IT13" s="282"/>
      <c r="IU13" s="282"/>
      <c r="IV13" s="282"/>
      <c r="IW13" s="282"/>
      <c r="IX13" s="282"/>
      <c r="IY13" s="282"/>
      <c r="IZ13" s="282"/>
      <c r="JA13" s="282"/>
      <c r="JB13" s="282"/>
      <c r="JC13" s="282"/>
      <c r="JD13" s="282"/>
      <c r="JE13" s="282">
        <v>0</v>
      </c>
      <c r="JF13" s="282">
        <v>0</v>
      </c>
      <c r="JG13" s="282"/>
      <c r="JH13" s="282"/>
      <c r="JI13" s="282"/>
      <c r="JJ13" s="282"/>
      <c r="JK13" s="282"/>
      <c r="JL13" s="282"/>
      <c r="JM13" s="282">
        <v>0</v>
      </c>
      <c r="JN13" s="282"/>
      <c r="JO13" s="282"/>
      <c r="JP13" s="282"/>
      <c r="JQ13" s="282">
        <v>0</v>
      </c>
      <c r="JR13" s="282"/>
      <c r="JS13" s="282"/>
      <c r="JT13" s="282"/>
      <c r="JU13" s="282">
        <v>0</v>
      </c>
      <c r="JV13" s="282"/>
      <c r="JW13" s="282"/>
      <c r="JX13" s="282"/>
      <c r="JY13" s="282"/>
      <c r="JZ13" s="282"/>
      <c r="KA13" s="282">
        <v>0</v>
      </c>
      <c r="KB13" s="282"/>
      <c r="KC13" s="282">
        <v>0</v>
      </c>
      <c r="KD13" s="282"/>
      <c r="KE13" s="282">
        <v>0</v>
      </c>
      <c r="KF13" s="282"/>
      <c r="KG13" s="282">
        <v>0</v>
      </c>
      <c r="KH13" s="282"/>
      <c r="KI13" s="282">
        <v>0</v>
      </c>
      <c r="KJ13" s="282"/>
      <c r="KK13" s="282">
        <v>0</v>
      </c>
      <c r="KL13" s="282"/>
      <c r="KM13" s="282">
        <v>0</v>
      </c>
      <c r="KN13" s="282"/>
      <c r="KO13" s="282">
        <v>0</v>
      </c>
      <c r="KP13" s="282"/>
      <c r="KQ13" s="282">
        <v>0</v>
      </c>
      <c r="KR13" s="282"/>
      <c r="KS13" s="282">
        <v>0</v>
      </c>
      <c r="KT13" s="282">
        <v>0</v>
      </c>
      <c r="KU13" s="259">
        <v>0</v>
      </c>
      <c r="KV13" s="287"/>
      <c r="KW13" s="287"/>
      <c r="KZ13">
        <v>32</v>
      </c>
      <c r="LA13">
        <v>14</v>
      </c>
      <c r="LB13">
        <v>11</v>
      </c>
      <c r="LC13">
        <f>324.8+8.8</f>
        <v>333.6</v>
      </c>
      <c r="LD13">
        <v>325</v>
      </c>
      <c r="LE13">
        <v>407</v>
      </c>
      <c r="LF13">
        <v>29.5</v>
      </c>
      <c r="LG13">
        <v>340</v>
      </c>
      <c r="LH13">
        <v>271.5</v>
      </c>
      <c r="LI13">
        <v>321.5</v>
      </c>
      <c r="LJ13">
        <v>5.5</v>
      </c>
      <c r="LK13">
        <v>5.5</v>
      </c>
      <c r="LL13">
        <v>5.5</v>
      </c>
      <c r="LM13">
        <v>5.5</v>
      </c>
      <c r="LN13">
        <v>5.5</v>
      </c>
      <c r="LO13">
        <v>364.5</v>
      </c>
      <c r="LP13">
        <v>23.4</v>
      </c>
      <c r="LQ13">
        <v>173.4</v>
      </c>
      <c r="LR13">
        <v>163</v>
      </c>
      <c r="LS13">
        <v>49.7</v>
      </c>
      <c r="LT13">
        <v>86.5</v>
      </c>
      <c r="LU13">
        <v>73.5</v>
      </c>
      <c r="LV13">
        <v>108.8</v>
      </c>
      <c r="LW13">
        <v>87.2</v>
      </c>
      <c r="LX13">
        <v>85.2</v>
      </c>
      <c r="LY13">
        <v>78</v>
      </c>
      <c r="LZ13">
        <v>18</v>
      </c>
      <c r="MA13">
        <v>296</v>
      </c>
      <c r="MB13">
        <v>323.7</v>
      </c>
      <c r="MC13">
        <v>620.6</v>
      </c>
      <c r="MD13">
        <v>7.3</v>
      </c>
      <c r="ME13">
        <v>8.1</v>
      </c>
      <c r="MF13">
        <v>34.299999999999997</v>
      </c>
      <c r="MG13">
        <v>241</v>
      </c>
      <c r="MH13">
        <v>100.4</v>
      </c>
      <c r="MI13">
        <v>132</v>
      </c>
      <c r="MJ13">
        <v>79.5</v>
      </c>
      <c r="MK13">
        <v>77.5</v>
      </c>
      <c r="ML13">
        <v>37.700000000000003</v>
      </c>
      <c r="MM13">
        <v>210</v>
      </c>
      <c r="MN13">
        <v>222.3</v>
      </c>
      <c r="MO13">
        <v>221.6</v>
      </c>
      <c r="MP13">
        <v>25.5</v>
      </c>
      <c r="MQ13">
        <v>50.6</v>
      </c>
      <c r="MR13">
        <v>68.599999999999994</v>
      </c>
      <c r="MS13">
        <v>142.69999999999999</v>
      </c>
      <c r="MT13">
        <v>224.4</v>
      </c>
      <c r="MU13">
        <v>11.8</v>
      </c>
      <c r="MV13">
        <v>9.1999999999999993</v>
      </c>
      <c r="MW13">
        <v>41.6</v>
      </c>
      <c r="MX13">
        <v>49</v>
      </c>
      <c r="MY13">
        <v>20.100000000000001</v>
      </c>
      <c r="MZ13">
        <f>155.7+5.7+276.4</f>
        <v>437.79999999999995</v>
      </c>
      <c r="NA13">
        <f>4.2+5.1+276.4</f>
        <v>285.7</v>
      </c>
      <c r="NB13">
        <v>289.39999999999998</v>
      </c>
      <c r="NC13">
        <f>1.1+25.7+332.8</f>
        <v>359.6</v>
      </c>
      <c r="ND13">
        <v>417.3</v>
      </c>
      <c r="NE13">
        <v>347</v>
      </c>
      <c r="NF13">
        <f>11.6+410.2</f>
        <v>421.8</v>
      </c>
      <c r="NG13">
        <v>705.7</v>
      </c>
      <c r="NH13">
        <v>610</v>
      </c>
      <c r="NI13">
        <v>700.3</v>
      </c>
      <c r="NJ13">
        <v>673.3</v>
      </c>
      <c r="NK13">
        <v>480.5</v>
      </c>
      <c r="NL13">
        <v>485.6</v>
      </c>
      <c r="NM13">
        <v>414</v>
      </c>
      <c r="NN13">
        <v>432.3</v>
      </c>
      <c r="NO13">
        <f>14+574.4-150+5.9</f>
        <v>444.29999999999995</v>
      </c>
      <c r="NP13">
        <f>14+411.8+1.2</f>
        <v>427</v>
      </c>
      <c r="NQ13">
        <v>512.1</v>
      </c>
      <c r="NR13">
        <v>514.29999999999995</v>
      </c>
      <c r="NS13">
        <f>11+403.3</f>
        <v>414.3</v>
      </c>
      <c r="NT13">
        <v>324</v>
      </c>
      <c r="NU13">
        <v>185.2</v>
      </c>
      <c r="NV13">
        <v>178.9</v>
      </c>
      <c r="NW13">
        <v>177.8</v>
      </c>
      <c r="NX13">
        <v>378</v>
      </c>
      <c r="NY13">
        <v>369.6</v>
      </c>
      <c r="NZ13">
        <v>384.5</v>
      </c>
      <c r="OA13">
        <v>391.5</v>
      </c>
      <c r="OB13">
        <v>402.7</v>
      </c>
      <c r="OC13">
        <v>611.5</v>
      </c>
      <c r="OD13">
        <v>626.6</v>
      </c>
      <c r="OE13">
        <v>900.6</v>
      </c>
      <c r="OF13">
        <v>918.2</v>
      </c>
      <c r="OG13">
        <v>919</v>
      </c>
      <c r="OH13">
        <v>1095</v>
      </c>
      <c r="OI13">
        <v>1065.5</v>
      </c>
      <c r="OJ13">
        <v>1047</v>
      </c>
      <c r="OK13">
        <v>1048</v>
      </c>
      <c r="OL13">
        <v>1054.7</v>
      </c>
      <c r="OM13">
        <v>1022</v>
      </c>
      <c r="ON13">
        <v>1064.4000000000001</v>
      </c>
      <c r="OO13">
        <v>1053.4000000000001</v>
      </c>
      <c r="OP13">
        <v>1286.8</v>
      </c>
      <c r="OQ13">
        <v>1188.5</v>
      </c>
      <c r="OR13">
        <v>1190.0999999999999</v>
      </c>
      <c r="OS13">
        <v>1373</v>
      </c>
      <c r="OT13">
        <v>1144.5</v>
      </c>
      <c r="OU13">
        <v>1087</v>
      </c>
      <c r="OV13">
        <v>1027</v>
      </c>
      <c r="OW13">
        <v>1239</v>
      </c>
      <c r="OX13">
        <v>1055.5</v>
      </c>
      <c r="OY13">
        <v>1337.3</v>
      </c>
      <c r="OZ13">
        <v>1048.7</v>
      </c>
      <c r="PA13">
        <v>1063.2</v>
      </c>
      <c r="PB13">
        <v>1018.35</v>
      </c>
      <c r="PC13">
        <v>1158.3</v>
      </c>
      <c r="PD13">
        <v>1149</v>
      </c>
      <c r="PE13">
        <v>1071.2</v>
      </c>
      <c r="PF13">
        <v>1129.5999999999999</v>
      </c>
      <c r="PG13">
        <v>1172.5</v>
      </c>
      <c r="PH13">
        <v>1129.3</v>
      </c>
      <c r="PI13">
        <v>1148.2</v>
      </c>
      <c r="PJ13">
        <v>1118.3</v>
      </c>
      <c r="PK13">
        <v>1201.8</v>
      </c>
      <c r="PL13">
        <v>1119.8</v>
      </c>
      <c r="PM13">
        <v>1059</v>
      </c>
      <c r="PN13">
        <v>1007.5</v>
      </c>
      <c r="PO13">
        <v>1001</v>
      </c>
      <c r="PP13">
        <v>1146.3</v>
      </c>
      <c r="PQ13">
        <v>1137.3</v>
      </c>
      <c r="PR13">
        <v>1089</v>
      </c>
      <c r="PS13">
        <v>1066.7</v>
      </c>
      <c r="PT13">
        <v>1080.8</v>
      </c>
      <c r="PU13">
        <v>1220.7</v>
      </c>
      <c r="PV13">
        <v>1287</v>
      </c>
      <c r="PW13">
        <v>1375.8</v>
      </c>
      <c r="PX13">
        <v>1190</v>
      </c>
      <c r="PY13">
        <v>1039</v>
      </c>
      <c r="PZ13">
        <v>1279</v>
      </c>
      <c r="QA13">
        <f>1035-3.5</f>
        <v>1031.5</v>
      </c>
      <c r="QB13">
        <v>1227.5</v>
      </c>
      <c r="QC13">
        <v>1263.0999999999999</v>
      </c>
      <c r="QD13">
        <v>1106</v>
      </c>
      <c r="QE13">
        <v>999</v>
      </c>
      <c r="QF13">
        <v>999</v>
      </c>
      <c r="QG13">
        <v>1099</v>
      </c>
      <c r="QH13">
        <v>1283.8</v>
      </c>
      <c r="QI13">
        <v>1318.1</v>
      </c>
      <c r="QJ13">
        <v>1349.9</v>
      </c>
      <c r="QK13">
        <v>1184.7</v>
      </c>
      <c r="QL13">
        <v>1413.8</v>
      </c>
      <c r="QM13">
        <v>1189.5</v>
      </c>
      <c r="QN13">
        <v>1221</v>
      </c>
      <c r="QO13">
        <v>1253</v>
      </c>
      <c r="QP13">
        <v>1327</v>
      </c>
      <c r="QQ13">
        <v>1536.3</v>
      </c>
      <c r="QR13">
        <v>1426.9</v>
      </c>
      <c r="QS13">
        <v>1374.5</v>
      </c>
      <c r="QT13">
        <v>1405.7</v>
      </c>
      <c r="QU13">
        <v>1550</v>
      </c>
      <c r="QV13">
        <v>1574</v>
      </c>
      <c r="QW13">
        <v>1874.6</v>
      </c>
      <c r="QX13">
        <v>1998.2</v>
      </c>
      <c r="QY13">
        <v>2114.9</v>
      </c>
      <c r="QZ13">
        <v>1905</v>
      </c>
      <c r="RA13">
        <v>2010.7</v>
      </c>
      <c r="RB13">
        <v>1937.7</v>
      </c>
      <c r="RC13">
        <v>2175.3000000000002</v>
      </c>
      <c r="RD13">
        <v>2313.6</v>
      </c>
      <c r="RE13">
        <v>2375.1999999999998</v>
      </c>
      <c r="RF13">
        <v>2491.1999999999998</v>
      </c>
      <c r="RG13">
        <v>2707.4</v>
      </c>
      <c r="RH13">
        <v>2794.8</v>
      </c>
      <c r="RI13">
        <v>2537.8000000000002</v>
      </c>
      <c r="RJ13">
        <v>2514.3000000000002</v>
      </c>
      <c r="RK13">
        <v>461.5</v>
      </c>
      <c r="RL13">
        <v>44</v>
      </c>
      <c r="RM13">
        <v>50</v>
      </c>
      <c r="RN13">
        <v>68.599999999999994</v>
      </c>
      <c r="RO13">
        <v>1.3</v>
      </c>
      <c r="RP13">
        <v>56</v>
      </c>
      <c r="RQ13">
        <v>5.5</v>
      </c>
      <c r="RR13">
        <v>5.5</v>
      </c>
      <c r="RS13">
        <v>5.5</v>
      </c>
      <c r="RT13">
        <v>5.5</v>
      </c>
      <c r="RU13">
        <v>5.5</v>
      </c>
      <c r="RV13">
        <v>5.5</v>
      </c>
      <c r="RW13">
        <v>5.5</v>
      </c>
      <c r="RX13">
        <v>5.5</v>
      </c>
      <c r="RY13">
        <v>5.5</v>
      </c>
      <c r="RZ13">
        <v>5.5</v>
      </c>
      <c r="SA13">
        <v>5.5</v>
      </c>
      <c r="SB13">
        <v>5.5</v>
      </c>
      <c r="SC13">
        <v>5.5</v>
      </c>
      <c r="SD13">
        <v>5.5</v>
      </c>
      <c r="SE13">
        <v>5.5</v>
      </c>
      <c r="SF13">
        <v>5.5</v>
      </c>
      <c r="SG13">
        <v>5.5</v>
      </c>
      <c r="SH13">
        <v>5.5</v>
      </c>
      <c r="SI13">
        <v>5.5</v>
      </c>
      <c r="SJ13">
        <v>5.5</v>
      </c>
      <c r="SK13">
        <v>5.5</v>
      </c>
      <c r="SL13">
        <v>5.5</v>
      </c>
      <c r="SM13">
        <v>5.5</v>
      </c>
      <c r="SN13">
        <v>5.5</v>
      </c>
      <c r="SO13">
        <v>5.5</v>
      </c>
      <c r="SP13">
        <v>5.5</v>
      </c>
      <c r="SQ13">
        <v>5.5</v>
      </c>
      <c r="SR13">
        <v>5.5</v>
      </c>
      <c r="SS13">
        <v>5.5</v>
      </c>
      <c r="ST13">
        <v>5.5</v>
      </c>
      <c r="SU13">
        <v>16</v>
      </c>
      <c r="SV13">
        <v>92.7</v>
      </c>
      <c r="SW13">
        <v>-433.7</v>
      </c>
      <c r="SX13">
        <v>-210.5</v>
      </c>
      <c r="SY13">
        <v>-341.3</v>
      </c>
      <c r="SZ13">
        <v>-255</v>
      </c>
      <c r="TA13">
        <v>-93</v>
      </c>
      <c r="TB13">
        <v>-175</v>
      </c>
      <c r="TC13">
        <v>-305.2</v>
      </c>
      <c r="TD13">
        <v>-310.5</v>
      </c>
      <c r="TE13">
        <v>-351.3</v>
      </c>
      <c r="TF13">
        <v>-318.39999999999998</v>
      </c>
      <c r="TG13">
        <v>-184.6</v>
      </c>
      <c r="TH13">
        <v>-175.4</v>
      </c>
      <c r="TI13">
        <v>-497</v>
      </c>
      <c r="TJ13">
        <v>-453</v>
      </c>
      <c r="TK13">
        <v>-469</v>
      </c>
      <c r="TL13">
        <v>-714.4</v>
      </c>
      <c r="TM13">
        <v>-969</v>
      </c>
      <c r="TN13">
        <v>-666</v>
      </c>
      <c r="TO13">
        <v>-1163.8</v>
      </c>
      <c r="TP13">
        <v>-550</v>
      </c>
      <c r="TQ13">
        <v>-1149</v>
      </c>
      <c r="TR13">
        <v>-1191.4000000000001</v>
      </c>
      <c r="TS13">
        <v>-1446</v>
      </c>
      <c r="TT13">
        <v>-1297.9000000000001</v>
      </c>
      <c r="TU13">
        <v>-1093.2</v>
      </c>
      <c r="TV13">
        <v>-1340.5</v>
      </c>
      <c r="TW13">
        <v>-1481.2</v>
      </c>
      <c r="TX13">
        <v>-1789.5</v>
      </c>
      <c r="TY13">
        <v>-2043.3</v>
      </c>
      <c r="TZ13">
        <v>-2477.8000000000002</v>
      </c>
      <c r="UA13">
        <v>-2613</v>
      </c>
      <c r="UB13">
        <v>-2645</v>
      </c>
      <c r="UC13">
        <v>-2584.25</v>
      </c>
      <c r="UD13">
        <v>-2623.3</v>
      </c>
      <c r="UE13">
        <v>-2644.2</v>
      </c>
      <c r="UF13">
        <v>-2610.1999999999998</v>
      </c>
      <c r="UG13">
        <v>-2588.1999999999998</v>
      </c>
      <c r="UH13">
        <v>-2524</v>
      </c>
      <c r="UI13">
        <v>-2527.3000000000002</v>
      </c>
      <c r="UJ13">
        <v>-2553.1999999999998</v>
      </c>
      <c r="UK13">
        <v>-2494</v>
      </c>
      <c r="UL13">
        <v>-2500</v>
      </c>
      <c r="UM13">
        <v>-2392.5</v>
      </c>
      <c r="UN13">
        <v>-2497.1999999999998</v>
      </c>
      <c r="UO13">
        <v>-2395.3000000000002</v>
      </c>
      <c r="UP13">
        <v>-2385.4</v>
      </c>
      <c r="UQ13">
        <v>-2178</v>
      </c>
      <c r="UR13">
        <v>-2219.9</v>
      </c>
      <c r="US13">
        <v>-2182</v>
      </c>
      <c r="UT13">
        <v>-1885.4</v>
      </c>
      <c r="UU13">
        <v>-1833.1</v>
      </c>
      <c r="UV13">
        <v>-2170.8000000000002</v>
      </c>
      <c r="UW13">
        <v>-2371.6999999999998</v>
      </c>
      <c r="UX13">
        <v>-2432.5</v>
      </c>
      <c r="UY13">
        <v>-2490.8000000000002</v>
      </c>
      <c r="UZ13">
        <v>-2497.6</v>
      </c>
      <c r="VA13">
        <v>-2496.8000000000002</v>
      </c>
      <c r="VB13">
        <v>-2220</v>
      </c>
      <c r="VC13">
        <v>-2264.3000000000002</v>
      </c>
      <c r="VD13">
        <v>-2198.5</v>
      </c>
      <c r="VE13">
        <v>-2191</v>
      </c>
      <c r="VF13" s="1304">
        <v>-2313.6999999999998</v>
      </c>
      <c r="VG13" s="1304">
        <v>-2254.3000000000002</v>
      </c>
      <c r="VH13" s="1304">
        <v>-2177.6999999999998</v>
      </c>
      <c r="VI13" s="1304">
        <v>-2380</v>
      </c>
      <c r="VJ13" s="1304">
        <v>-2358</v>
      </c>
      <c r="VK13">
        <v>-2223.5</v>
      </c>
      <c r="VL13" s="1304">
        <v>-2263.8000000000002</v>
      </c>
      <c r="VM13" s="1304">
        <v>-2379</v>
      </c>
      <c r="VN13" s="1304">
        <v>-2169</v>
      </c>
      <c r="VO13" s="1304">
        <v>-2318.4</v>
      </c>
      <c r="VP13" s="1304">
        <v>-2198.6</v>
      </c>
      <c r="VQ13" s="1304">
        <v>-2212.4</v>
      </c>
      <c r="VR13" s="1304">
        <v>-2065.3000000000002</v>
      </c>
      <c r="VS13" s="1304">
        <v>-2085.5</v>
      </c>
      <c r="VT13" s="1304">
        <v>-1709.4</v>
      </c>
      <c r="VU13" s="1304">
        <v>-1413</v>
      </c>
      <c r="VV13" s="1304">
        <v>-1390.8</v>
      </c>
      <c r="VW13" s="1304">
        <v>-2115.8000000000002</v>
      </c>
      <c r="VX13" s="1304">
        <v>-2237.5</v>
      </c>
      <c r="VY13" s="1304">
        <v>-2490</v>
      </c>
      <c r="VZ13" s="1304">
        <v>-2494</v>
      </c>
      <c r="WA13" s="1304">
        <v>-2495</v>
      </c>
      <c r="WB13" s="1304">
        <v>-2200</v>
      </c>
      <c r="WC13" s="1304">
        <v>-2488</v>
      </c>
      <c r="WE13" s="1304">
        <v>-2479</v>
      </c>
      <c r="WF13" s="1304">
        <v>-2495</v>
      </c>
      <c r="WG13" s="1304">
        <v>-2492</v>
      </c>
      <c r="WH13" s="1304">
        <v>-2100</v>
      </c>
      <c r="WI13" s="1304">
        <v>-2233.9</v>
      </c>
      <c r="WJ13" s="1304">
        <v>-2246.6</v>
      </c>
      <c r="WK13" s="1304">
        <v>-2248</v>
      </c>
      <c r="WL13" s="1304">
        <v>-2315</v>
      </c>
      <c r="WM13" s="1304">
        <v>-2100</v>
      </c>
      <c r="WN13" s="1304">
        <v>-1893.6</v>
      </c>
      <c r="WO13" s="1304">
        <v>-1840</v>
      </c>
      <c r="WP13" s="1304">
        <v>-1555</v>
      </c>
      <c r="WQ13" s="1304">
        <v>-1537</v>
      </c>
      <c r="WR13" s="1304">
        <v>-1585</v>
      </c>
      <c r="WS13" s="1304">
        <v>-1758</v>
      </c>
      <c r="WT13" s="1304">
        <v>-1656</v>
      </c>
      <c r="WU13" s="1304">
        <v>-1900</v>
      </c>
      <c r="WV13" s="1304">
        <v>-1960</v>
      </c>
      <c r="WW13" s="1304">
        <v>-1795</v>
      </c>
      <c r="WX13" s="1304">
        <v>-2121</v>
      </c>
      <c r="WY13" s="1304">
        <v>-2139</v>
      </c>
      <c r="WZ13" s="1304">
        <v>-2440</v>
      </c>
      <c r="XA13" s="1304">
        <v>-2445</v>
      </c>
      <c r="XB13" s="1304">
        <v>-2363</v>
      </c>
      <c r="XC13" s="1304">
        <v>-2336</v>
      </c>
      <c r="XD13" s="1304">
        <v>-2259</v>
      </c>
      <c r="XE13" s="1304">
        <v>-2305</v>
      </c>
      <c r="XF13" s="1304">
        <v>-2180</v>
      </c>
      <c r="XG13" s="1304">
        <v>-1993</v>
      </c>
      <c r="XH13" s="1304">
        <v>-1994</v>
      </c>
      <c r="XI13" s="1304">
        <f>-2058+50</f>
        <v>-2008</v>
      </c>
      <c r="XJ13" s="1304">
        <v>-1714.6</v>
      </c>
      <c r="XK13" s="1304">
        <v>-1378</v>
      </c>
      <c r="XL13" s="1304">
        <v>-1129</v>
      </c>
      <c r="XM13" s="1304">
        <v>-1148</v>
      </c>
      <c r="XN13" s="1304">
        <v>-1265</v>
      </c>
      <c r="XO13" s="1304">
        <v>-1243</v>
      </c>
      <c r="XP13" s="1304">
        <v>-876</v>
      </c>
      <c r="XQ13" s="1304">
        <v>-824</v>
      </c>
      <c r="XR13" s="1304">
        <v>-712</v>
      </c>
      <c r="XS13" s="1304">
        <v>-610</v>
      </c>
      <c r="XT13" s="1304">
        <v>-687</v>
      </c>
      <c r="XU13" s="1304">
        <v>-805</v>
      </c>
      <c r="XV13" s="1304">
        <v>-778</v>
      </c>
      <c r="XW13" s="1304">
        <f>-498+47</f>
        <v>-451</v>
      </c>
      <c r="XX13" s="1304">
        <v>-331</v>
      </c>
      <c r="XY13" s="1304">
        <v>-313</v>
      </c>
      <c r="XZ13" s="1304">
        <v>-335</v>
      </c>
      <c r="YA13" s="1304">
        <v>-429</v>
      </c>
      <c r="YB13" s="1304">
        <v>-513</v>
      </c>
      <c r="YC13" s="1304">
        <v>-488</v>
      </c>
      <c r="YD13" s="1304">
        <v>-549</v>
      </c>
      <c r="YE13" s="1304">
        <v>-615</v>
      </c>
      <c r="YF13" s="1304">
        <v>-652</v>
      </c>
      <c r="YG13" s="1304">
        <v>-695</v>
      </c>
      <c r="YH13" s="1304">
        <v>-805</v>
      </c>
      <c r="YI13" s="1304">
        <v>-717</v>
      </c>
      <c r="YJ13" s="1304">
        <v>-757</v>
      </c>
      <c r="YK13" s="1304">
        <v>-850</v>
      </c>
      <c r="YL13" s="1304">
        <v>-937</v>
      </c>
      <c r="YM13" s="1304">
        <v>-887</v>
      </c>
      <c r="YN13" s="1304">
        <v>-966</v>
      </c>
      <c r="YO13" s="1304">
        <v>-962</v>
      </c>
      <c r="YP13" s="1304">
        <v>-678</v>
      </c>
      <c r="YQ13" s="1304">
        <v>-531</v>
      </c>
      <c r="YR13" s="1304">
        <v>-552</v>
      </c>
      <c r="YS13" s="1304">
        <v>-294</v>
      </c>
      <c r="YT13" s="1304">
        <v>-19</v>
      </c>
      <c r="YU13" s="1304">
        <v>42</v>
      </c>
      <c r="YV13" s="1304">
        <v>23</v>
      </c>
      <c r="YW13" s="1304">
        <v>18</v>
      </c>
      <c r="YX13" s="1304">
        <v>391</v>
      </c>
      <c r="YY13" s="1304">
        <v>-7</v>
      </c>
      <c r="YZ13" s="1304">
        <v>-17</v>
      </c>
      <c r="ZA13" s="1304">
        <v>90</v>
      </c>
      <c r="ZB13" s="1304">
        <v>82</v>
      </c>
      <c r="ZC13" s="1304">
        <v>262</v>
      </c>
      <c r="ZD13" s="1304">
        <v>78</v>
      </c>
      <c r="ZE13" s="1304">
        <v>-23</v>
      </c>
      <c r="ZF13" s="1304">
        <v>85</v>
      </c>
      <c r="ZG13" s="1304">
        <v>227</v>
      </c>
      <c r="ZH13" s="1304">
        <v>346</v>
      </c>
      <c r="ZI13" s="1304">
        <v>75</v>
      </c>
      <c r="ZJ13" s="1304">
        <v>170</v>
      </c>
      <c r="ZK13" s="1304">
        <v>240</v>
      </c>
      <c r="ZL13" s="1304">
        <v>236</v>
      </c>
      <c r="ZM13" s="1304">
        <v>496</v>
      </c>
      <c r="ZN13" s="1304">
        <v>394</v>
      </c>
      <c r="ZO13" s="1304">
        <v>516</v>
      </c>
      <c r="ZP13" s="1304">
        <v>563</v>
      </c>
      <c r="ZQ13" s="1304">
        <v>556</v>
      </c>
      <c r="ZR13" s="1304">
        <v>517</v>
      </c>
      <c r="ZS13" s="1304">
        <v>561</v>
      </c>
      <c r="ZT13" s="1304">
        <v>678</v>
      </c>
      <c r="ZU13" s="1304">
        <v>933</v>
      </c>
      <c r="ZV13" s="1304">
        <v>889</v>
      </c>
      <c r="ZW13" s="1304">
        <v>1177</v>
      </c>
      <c r="ZX13" s="1304">
        <v>1254</v>
      </c>
      <c r="ZY13" s="1304">
        <v>1392</v>
      </c>
      <c r="ZZ13" s="1304">
        <v>1347</v>
      </c>
      <c r="AAA13" s="1304">
        <v>1323</v>
      </c>
      <c r="AAB13" s="1304">
        <v>840</v>
      </c>
      <c r="AAC13" s="1304">
        <v>720</v>
      </c>
      <c r="AAD13" s="1304">
        <v>857</v>
      </c>
      <c r="AAE13" s="1304">
        <v>772</v>
      </c>
      <c r="AAF13" s="1304">
        <v>808</v>
      </c>
      <c r="AAG13" s="1304">
        <v>632</v>
      </c>
      <c r="AAH13" s="1304">
        <v>559</v>
      </c>
      <c r="AAI13" s="1304">
        <v>764</v>
      </c>
      <c r="AAJ13" s="1304">
        <v>808</v>
      </c>
      <c r="AAK13" s="1304">
        <v>743</v>
      </c>
      <c r="AAL13" s="1304">
        <v>610</v>
      </c>
      <c r="AAM13" s="1304">
        <v>571</v>
      </c>
      <c r="AAN13" s="1304">
        <v>614</v>
      </c>
      <c r="AAO13" s="1304">
        <v>565</v>
      </c>
      <c r="AAP13" s="1304">
        <v>618</v>
      </c>
      <c r="AAQ13" s="1304">
        <v>574</v>
      </c>
      <c r="AAR13" s="1304">
        <v>639</v>
      </c>
      <c r="AAS13" s="1304">
        <v>729</v>
      </c>
      <c r="AAT13" s="1304">
        <v>741</v>
      </c>
      <c r="AAU13" s="1304">
        <v>501</v>
      </c>
      <c r="AAV13" s="1304">
        <v>542</v>
      </c>
      <c r="AAW13" s="1304">
        <v>512.70000000000005</v>
      </c>
      <c r="AAX13" s="1304">
        <v>494</v>
      </c>
      <c r="AAY13" s="1304">
        <v>596</v>
      </c>
      <c r="AAZ13" s="1304">
        <v>509</v>
      </c>
      <c r="ABA13" s="1304">
        <v>676</v>
      </c>
      <c r="ABB13" s="1304">
        <v>681</v>
      </c>
      <c r="ABC13" s="1304">
        <v>554</v>
      </c>
      <c r="ABD13" s="1304">
        <v>546</v>
      </c>
      <c r="ABE13" s="1304">
        <v>710</v>
      </c>
      <c r="ABF13" s="1304">
        <v>645</v>
      </c>
      <c r="ABG13" s="1304">
        <v>775</v>
      </c>
      <c r="ABH13" s="1304">
        <v>808</v>
      </c>
      <c r="ABI13" s="1304">
        <v>680</v>
      </c>
      <c r="ABJ13" s="1304">
        <v>710</v>
      </c>
      <c r="ABK13" s="1304">
        <v>727</v>
      </c>
      <c r="ABL13" s="1304">
        <v>796</v>
      </c>
      <c r="ABM13" s="1304">
        <v>521</v>
      </c>
      <c r="ABN13" s="1304">
        <v>592</v>
      </c>
      <c r="ABO13" s="1304">
        <v>562</v>
      </c>
      <c r="ABP13" s="1304">
        <v>748</v>
      </c>
      <c r="ABQ13" s="1304">
        <v>683</v>
      </c>
      <c r="ABR13" s="1304">
        <v>447</v>
      </c>
      <c r="ABS13" s="1304">
        <v>333</v>
      </c>
      <c r="ABT13" s="1304">
        <v>317</v>
      </c>
      <c r="ABU13" s="1304">
        <v>492</v>
      </c>
      <c r="ABV13" s="1304">
        <v>551</v>
      </c>
      <c r="ABW13" s="1304">
        <v>277</v>
      </c>
      <c r="ABX13" s="1304">
        <v>133</v>
      </c>
      <c r="ABY13" s="1304">
        <v>115</v>
      </c>
      <c r="ABZ13" s="1304">
        <v>166</v>
      </c>
      <c r="ACA13" s="1304">
        <v>394</v>
      </c>
      <c r="ACB13" s="1304">
        <v>113</v>
      </c>
      <c r="ACC13" s="1304">
        <v>257</v>
      </c>
      <c r="ACD13" s="1304">
        <v>226</v>
      </c>
      <c r="ACE13" s="1304">
        <v>77</v>
      </c>
      <c r="ACF13" s="1304">
        <v>54</v>
      </c>
      <c r="ACG13" s="1304">
        <v>200</v>
      </c>
      <c r="ACH13" s="1304">
        <v>342</v>
      </c>
      <c r="ACI13" s="1304">
        <v>362</v>
      </c>
      <c r="ACJ13" s="1304">
        <v>427</v>
      </c>
      <c r="ACK13" s="1304">
        <v>247</v>
      </c>
      <c r="ACL13" s="1304">
        <v>380</v>
      </c>
      <c r="ACM13" s="1304">
        <v>337</v>
      </c>
      <c r="ACN13" s="1304">
        <v>282</v>
      </c>
      <c r="ACO13" s="1304">
        <v>197</v>
      </c>
      <c r="ACP13" s="1304">
        <v>518</v>
      </c>
      <c r="ACQ13" s="1304">
        <v>149</v>
      </c>
      <c r="ACR13" s="1304">
        <v>31</v>
      </c>
      <c r="ACS13" s="1304">
        <v>43</v>
      </c>
      <c r="ACT13" s="1304">
        <v>31</v>
      </c>
      <c r="ACU13" s="1304">
        <v>29.4</v>
      </c>
      <c r="ACV13" s="1304">
        <v>31</v>
      </c>
      <c r="ACW13" s="1304">
        <v>58</v>
      </c>
      <c r="ACX13" s="1304">
        <v>-162</v>
      </c>
      <c r="ACY13" s="1304">
        <v>-146</v>
      </c>
      <c r="ACZ13" s="1304">
        <v>-242</v>
      </c>
      <c r="ADA13" s="1304">
        <v>-288</v>
      </c>
      <c r="ADB13" s="1304">
        <v>-452</v>
      </c>
      <c r="ADC13" s="1304">
        <v>621</v>
      </c>
      <c r="ADD13" s="1304">
        <v>1146</v>
      </c>
      <c r="ADE13" s="1304">
        <v>1077</v>
      </c>
      <c r="ADF13" s="1304">
        <v>928</v>
      </c>
      <c r="ADG13" s="1304">
        <v>1509</v>
      </c>
      <c r="ADH13" s="1946">
        <v>1436</v>
      </c>
      <c r="ADI13" s="1946">
        <v>1512</v>
      </c>
      <c r="ADJ13" s="1946">
        <v>2245</v>
      </c>
      <c r="ADK13" s="1946">
        <v>2691</v>
      </c>
      <c r="ADL13" s="1946">
        <v>2193</v>
      </c>
      <c r="ADM13" s="1946">
        <v>2151</v>
      </c>
      <c r="ADN13" s="1946">
        <v>2242</v>
      </c>
      <c r="ADO13" s="1946">
        <v>2240</v>
      </c>
      <c r="ADP13" s="1946">
        <v>2128</v>
      </c>
      <c r="ADQ13" s="1946">
        <v>2404</v>
      </c>
      <c r="ADR13" s="1946">
        <v>2923</v>
      </c>
      <c r="ADS13" s="1946">
        <v>2924</v>
      </c>
      <c r="ADT13" s="1946">
        <v>2904</v>
      </c>
      <c r="ADU13" s="1946">
        <v>1556</v>
      </c>
      <c r="ADV13" s="1946">
        <v>2474</v>
      </c>
      <c r="ADW13" s="1946">
        <v>2557</v>
      </c>
      <c r="ADX13" s="1946">
        <v>2571</v>
      </c>
      <c r="ADY13" s="1946">
        <v>2621</v>
      </c>
      <c r="ADZ13" s="1946">
        <v>738</v>
      </c>
      <c r="AEA13" s="1946">
        <v>1262</v>
      </c>
      <c r="AEB13" s="1946">
        <v>1878</v>
      </c>
      <c r="AEC13" s="1946">
        <f>414-1000</f>
        <v>-586</v>
      </c>
      <c r="AED13" s="1946">
        <v>-324</v>
      </c>
      <c r="AEE13" s="1946">
        <v>-691</v>
      </c>
      <c r="AEF13" s="1946">
        <f>126+650</f>
        <v>776</v>
      </c>
      <c r="AEG13" s="1946">
        <v>1189.3</v>
      </c>
      <c r="AEH13" s="1946">
        <v>550</v>
      </c>
      <c r="AEI13" s="1946">
        <v>1517</v>
      </c>
      <c r="AEJ13" s="1946"/>
      <c r="AEK13" s="1946"/>
      <c r="AEL13" s="1946"/>
      <c r="AEM13" s="1946"/>
      <c r="AEN13" s="1946"/>
      <c r="AEO13" s="1946"/>
      <c r="AEP13" s="1946"/>
      <c r="AEQ13" s="1946"/>
      <c r="AER13" s="1946"/>
      <c r="AES13" s="1946"/>
      <c r="AET13" s="1946"/>
      <c r="AEU13" s="1946"/>
      <c r="AEV13" s="1946"/>
      <c r="AEW13" s="1946"/>
      <c r="AEX13" s="1946"/>
      <c r="AEY13" s="1946"/>
      <c r="AEZ13" s="1946"/>
      <c r="AFA13" s="1946"/>
      <c r="AFB13" s="1946"/>
      <c r="AFC13" s="1946"/>
      <c r="AFD13" s="1946"/>
      <c r="AFE13" s="1946"/>
      <c r="AFF13" s="1946"/>
      <c r="AFG13" s="1946"/>
      <c r="AFH13" s="1946"/>
      <c r="AFI13" s="1946"/>
      <c r="AFJ13" s="1946"/>
      <c r="AJT13">
        <v>5.5</v>
      </c>
      <c r="AJU13">
        <v>5.5</v>
      </c>
      <c r="AJV13">
        <v>5.5</v>
      </c>
      <c r="AJW13">
        <v>5.5</v>
      </c>
      <c r="AJX13">
        <v>5.2</v>
      </c>
      <c r="AJY13">
        <v>5.5</v>
      </c>
      <c r="AJZ13">
        <v>5.5</v>
      </c>
      <c r="AKA13">
        <v>5.5</v>
      </c>
      <c r="AKB13">
        <v>5.5</v>
      </c>
    </row>
    <row r="14" spans="1:964">
      <c r="A14" s="9">
        <v>10</v>
      </c>
      <c r="B14" s="74" t="s">
        <v>1206</v>
      </c>
      <c r="C14" s="74">
        <v>310401792</v>
      </c>
      <c r="D14" s="74"/>
      <c r="E14" s="74">
        <v>310401792</v>
      </c>
      <c r="F14" s="74">
        <v>0</v>
      </c>
      <c r="G14" s="75">
        <v>569470</v>
      </c>
      <c r="H14" s="260"/>
      <c r="I14" s="260"/>
      <c r="J14" s="260"/>
      <c r="K14" s="260"/>
      <c r="L14" s="260"/>
      <c r="M14" s="260"/>
      <c r="N14" s="260"/>
      <c r="O14" s="283"/>
      <c r="P14" s="283"/>
      <c r="Q14" s="283"/>
      <c r="R14" s="283"/>
      <c r="S14" s="283"/>
      <c r="T14" s="283"/>
      <c r="U14" s="283"/>
      <c r="V14" s="283"/>
      <c r="W14" s="283"/>
      <c r="X14" s="283"/>
      <c r="Y14" s="283"/>
      <c r="Z14" s="283"/>
      <c r="AA14" s="283"/>
      <c r="AB14" s="283"/>
      <c r="AC14" s="283"/>
      <c r="AD14" s="283"/>
      <c r="AE14" s="283"/>
      <c r="AF14" s="283"/>
      <c r="AG14" s="283"/>
      <c r="AH14" s="283"/>
      <c r="AI14" s="283"/>
      <c r="AJ14" s="283"/>
      <c r="AK14" s="283"/>
      <c r="AL14" s="283"/>
      <c r="AM14" s="283"/>
      <c r="AN14" s="283"/>
      <c r="AO14" s="283"/>
      <c r="AP14" s="283"/>
      <c r="AQ14" s="283"/>
      <c r="AR14" s="283"/>
      <c r="AS14" s="283"/>
      <c r="AT14" s="283"/>
      <c r="AU14" s="283"/>
      <c r="AV14" s="283"/>
      <c r="AW14" s="283"/>
      <c r="AX14" s="283"/>
      <c r="AY14" s="283"/>
      <c r="AZ14" s="283"/>
      <c r="BA14" s="283"/>
      <c r="BB14" s="283"/>
      <c r="BC14" s="283"/>
      <c r="BD14" s="283"/>
      <c r="BE14" s="283"/>
      <c r="BF14" s="283"/>
      <c r="BG14" s="283"/>
      <c r="BH14" s="283"/>
      <c r="BI14" s="283"/>
      <c r="BJ14" s="283"/>
      <c r="BK14" s="283"/>
      <c r="BL14" s="283"/>
      <c r="BM14" s="283"/>
      <c r="BN14" s="283"/>
      <c r="BO14" s="283"/>
      <c r="BP14" s="283"/>
      <c r="BQ14" s="283"/>
      <c r="BR14" s="283"/>
      <c r="BS14" s="283"/>
      <c r="BT14" s="283"/>
      <c r="BU14" s="283"/>
      <c r="BV14" s="283"/>
      <c r="BW14" s="283"/>
      <c r="BX14" s="283"/>
      <c r="BY14" s="283"/>
      <c r="BZ14" s="283"/>
      <c r="CA14" s="283"/>
      <c r="CB14" s="283"/>
      <c r="CC14" s="283"/>
      <c r="CD14" s="283"/>
      <c r="CE14" s="283"/>
      <c r="CF14" s="283"/>
      <c r="CG14" s="283"/>
      <c r="CH14" s="283"/>
      <c r="CI14" s="283"/>
      <c r="CJ14" s="283"/>
      <c r="CK14" s="283"/>
      <c r="CL14" s="283"/>
      <c r="CM14" s="283"/>
      <c r="CN14" s="283"/>
      <c r="CO14" s="283"/>
      <c r="CP14" s="283"/>
      <c r="CQ14" s="283"/>
      <c r="CR14" s="283"/>
      <c r="CS14" s="283"/>
      <c r="CT14" s="283"/>
      <c r="CU14" s="283"/>
      <c r="CV14" s="283"/>
      <c r="CW14" s="283"/>
      <c r="CX14" s="283"/>
      <c r="CY14" s="283"/>
      <c r="CZ14" s="283"/>
      <c r="DA14" s="283"/>
      <c r="DB14" s="283"/>
      <c r="DC14" s="283"/>
      <c r="DD14" s="283"/>
      <c r="DE14" s="283"/>
      <c r="DF14" s="283"/>
      <c r="DG14" s="283"/>
      <c r="DH14" s="283"/>
      <c r="DI14" s="283"/>
      <c r="DJ14" s="283"/>
      <c r="DK14" s="283"/>
      <c r="DL14" s="283"/>
      <c r="DM14" s="283"/>
      <c r="DN14" s="283"/>
      <c r="DO14" s="283"/>
      <c r="DP14" s="283"/>
      <c r="DQ14" s="283"/>
      <c r="DR14" s="283"/>
      <c r="DS14" s="283"/>
      <c r="DT14" s="283"/>
      <c r="DU14" s="283"/>
      <c r="DV14" s="283"/>
      <c r="DW14" s="283"/>
      <c r="DX14" s="283"/>
      <c r="DY14" s="283"/>
      <c r="DZ14" s="283"/>
      <c r="EA14" s="283"/>
      <c r="EB14" s="283"/>
      <c r="EC14" s="283"/>
      <c r="ED14" s="283"/>
      <c r="EE14" s="283"/>
      <c r="EF14" s="283">
        <v>0</v>
      </c>
      <c r="EG14" s="283"/>
      <c r="EH14" s="283"/>
      <c r="EI14" s="283"/>
      <c r="EJ14" s="283">
        <v>0</v>
      </c>
      <c r="EK14" s="283"/>
      <c r="EL14" s="283"/>
      <c r="EM14" s="283"/>
      <c r="EN14" s="283"/>
      <c r="EO14" s="283"/>
      <c r="EP14" s="283">
        <v>0</v>
      </c>
      <c r="EQ14" s="283"/>
      <c r="ER14" s="283">
        <v>0</v>
      </c>
      <c r="ES14" s="283"/>
      <c r="ET14" s="283">
        <v>0</v>
      </c>
      <c r="EU14" s="283"/>
      <c r="EV14" s="283">
        <v>0</v>
      </c>
      <c r="EW14" s="283"/>
      <c r="EX14" s="283">
        <v>0</v>
      </c>
      <c r="EY14" s="283"/>
      <c r="EZ14" s="283">
        <v>0</v>
      </c>
      <c r="FA14" s="283"/>
      <c r="FB14" s="283">
        <v>0</v>
      </c>
      <c r="FC14" s="283"/>
      <c r="FD14" s="283">
        <v>0</v>
      </c>
      <c r="FE14" s="283"/>
      <c r="FF14" s="283"/>
      <c r="FG14" s="283"/>
      <c r="FH14" s="283"/>
      <c r="FI14" s="283"/>
      <c r="FJ14" s="283">
        <v>0</v>
      </c>
      <c r="FK14" s="283"/>
      <c r="FL14" s="283"/>
      <c r="FM14" s="283"/>
      <c r="FN14" s="283"/>
      <c r="FO14" s="283"/>
      <c r="FP14" s="283">
        <v>0</v>
      </c>
      <c r="FQ14" s="283"/>
      <c r="FR14" s="283">
        <v>0</v>
      </c>
      <c r="FS14" s="283"/>
      <c r="FT14" s="283"/>
      <c r="FU14" s="283">
        <v>0</v>
      </c>
      <c r="FV14" s="283"/>
      <c r="FW14" s="283"/>
      <c r="FX14" s="283"/>
      <c r="FY14" s="283"/>
      <c r="FZ14" s="283"/>
      <c r="GA14" s="283"/>
      <c r="GB14" s="283"/>
      <c r="GC14" s="283"/>
      <c r="GD14" s="283"/>
      <c r="GE14" s="283">
        <v>0</v>
      </c>
      <c r="GF14" s="283"/>
      <c r="GG14" s="283"/>
      <c r="GH14" s="283"/>
      <c r="GI14" s="283">
        <v>0</v>
      </c>
      <c r="GJ14" s="283"/>
      <c r="GK14" s="283"/>
      <c r="GL14" s="283"/>
      <c r="GM14" s="283"/>
      <c r="GN14" s="283"/>
      <c r="GO14" s="283">
        <v>0</v>
      </c>
      <c r="GP14" s="283"/>
      <c r="GQ14" s="283">
        <v>0</v>
      </c>
      <c r="GR14" s="283"/>
      <c r="GS14" s="283"/>
      <c r="GT14" s="283"/>
      <c r="GU14" s="283"/>
      <c r="GV14" s="283"/>
      <c r="GW14" s="283">
        <v>0</v>
      </c>
      <c r="GX14" s="283">
        <v>0</v>
      </c>
      <c r="GY14" s="283"/>
      <c r="GZ14" s="283">
        <v>0</v>
      </c>
      <c r="HA14" s="283"/>
      <c r="HB14" s="283"/>
      <c r="HC14" s="283"/>
      <c r="HD14" s="283">
        <v>0</v>
      </c>
      <c r="HE14" s="283">
        <v>0</v>
      </c>
      <c r="HF14" s="283">
        <v>0</v>
      </c>
      <c r="HG14" s="283"/>
      <c r="HH14" s="283">
        <v>0</v>
      </c>
      <c r="HI14" s="283"/>
      <c r="HJ14" s="283">
        <v>0</v>
      </c>
      <c r="HK14" s="283"/>
      <c r="HL14" s="283">
        <v>0</v>
      </c>
      <c r="HM14" s="283"/>
      <c r="HN14" s="283">
        <v>0</v>
      </c>
      <c r="HO14" s="283"/>
      <c r="HP14" s="283">
        <v>0</v>
      </c>
      <c r="HQ14" s="283"/>
      <c r="HR14" s="283">
        <v>0</v>
      </c>
      <c r="HS14" s="283"/>
      <c r="HT14" s="283">
        <v>0</v>
      </c>
      <c r="HU14" s="283"/>
      <c r="HV14" s="283">
        <v>0</v>
      </c>
      <c r="HW14" s="283"/>
      <c r="HX14" s="283">
        <v>0</v>
      </c>
      <c r="HY14" s="283">
        <v>0</v>
      </c>
      <c r="HZ14" s="283"/>
      <c r="IA14" s="283">
        <v>0</v>
      </c>
      <c r="IB14" s="283">
        <v>-6.3</v>
      </c>
      <c r="IC14" s="283">
        <v>6.3</v>
      </c>
      <c r="ID14" s="283"/>
      <c r="IE14" s="283">
        <v>0</v>
      </c>
      <c r="IF14" s="283"/>
      <c r="IG14" s="283">
        <v>0</v>
      </c>
      <c r="IH14" s="283">
        <v>-4.7</v>
      </c>
      <c r="II14" s="283">
        <v>4.7</v>
      </c>
      <c r="IJ14" s="283"/>
      <c r="IK14" s="283">
        <v>4.7</v>
      </c>
      <c r="IL14" s="283">
        <f>2.1+2.7</f>
        <v>4.8000000000000007</v>
      </c>
      <c r="IM14" s="283">
        <v>22</v>
      </c>
      <c r="IN14" s="283"/>
      <c r="IO14" s="283">
        <v>22</v>
      </c>
      <c r="IP14" s="283"/>
      <c r="IQ14" s="283">
        <v>22</v>
      </c>
      <c r="IR14" s="283">
        <v>22</v>
      </c>
      <c r="IS14" s="283">
        <v>0</v>
      </c>
      <c r="IT14" s="283"/>
      <c r="IU14" s="283"/>
      <c r="IV14" s="283"/>
      <c r="IW14" s="283"/>
      <c r="IX14" s="283"/>
      <c r="IY14" s="283">
        <v>0</v>
      </c>
      <c r="IZ14" s="283">
        <f>22-41</f>
        <v>-19</v>
      </c>
      <c r="JA14" s="283">
        <v>19</v>
      </c>
      <c r="JB14" s="283"/>
      <c r="JC14" s="283"/>
      <c r="JD14" s="283"/>
      <c r="JE14" s="283">
        <v>0</v>
      </c>
      <c r="JF14" s="283">
        <v>0</v>
      </c>
      <c r="JG14" s="283"/>
      <c r="JH14" s="283"/>
      <c r="JI14" s="283"/>
      <c r="JJ14" s="283"/>
      <c r="JK14" s="283"/>
      <c r="JL14" s="283"/>
      <c r="JM14" s="283">
        <v>22</v>
      </c>
      <c r="JN14" s="283"/>
      <c r="JO14" s="283"/>
      <c r="JP14" s="283"/>
      <c r="JQ14" s="283">
        <v>0</v>
      </c>
      <c r="JR14" s="283"/>
      <c r="JS14" s="283"/>
      <c r="JT14" s="283"/>
      <c r="JU14" s="283">
        <v>0</v>
      </c>
      <c r="JV14" s="283"/>
      <c r="JW14" s="283"/>
      <c r="JX14" s="283"/>
      <c r="JY14" s="283">
        <v>0</v>
      </c>
      <c r="JZ14" s="283"/>
      <c r="KA14" s="283">
        <v>0</v>
      </c>
      <c r="KB14" s="283"/>
      <c r="KC14" s="283">
        <v>0</v>
      </c>
      <c r="KD14" s="283"/>
      <c r="KE14" s="283">
        <v>0</v>
      </c>
      <c r="KF14" s="283"/>
      <c r="KG14" s="283">
        <v>0</v>
      </c>
      <c r="KH14" s="283"/>
      <c r="KI14" s="283">
        <v>0</v>
      </c>
      <c r="KJ14" s="283"/>
      <c r="KK14" s="283">
        <v>23</v>
      </c>
      <c r="KL14" s="283"/>
      <c r="KM14" s="283">
        <v>23</v>
      </c>
      <c r="KN14" s="283"/>
      <c r="KO14" s="283">
        <v>23</v>
      </c>
      <c r="KP14" s="283"/>
      <c r="KQ14" s="283">
        <v>0</v>
      </c>
      <c r="KR14" s="297">
        <v>24</v>
      </c>
      <c r="KS14" s="283">
        <v>24</v>
      </c>
      <c r="KT14" s="283">
        <v>24</v>
      </c>
      <c r="KU14" s="260">
        <v>24</v>
      </c>
      <c r="KV14" s="288"/>
      <c r="KW14" s="288"/>
      <c r="KZ14">
        <v>32.9</v>
      </c>
      <c r="LA14">
        <v>3.1</v>
      </c>
      <c r="LB14">
        <v>2.1</v>
      </c>
      <c r="LC14">
        <v>8.6</v>
      </c>
      <c r="LD14">
        <v>8.6</v>
      </c>
      <c r="LE14">
        <v>20.6</v>
      </c>
      <c r="LF14">
        <v>53.6</v>
      </c>
      <c r="LJ14">
        <v>7.2</v>
      </c>
      <c r="LK14">
        <v>7.2</v>
      </c>
      <c r="LL14">
        <v>7.2</v>
      </c>
      <c r="LM14">
        <v>7.2</v>
      </c>
      <c r="LN14">
        <v>7.2</v>
      </c>
      <c r="LR14">
        <v>6.2</v>
      </c>
      <c r="LS14">
        <v>6.2</v>
      </c>
      <c r="LT14">
        <v>6.2</v>
      </c>
      <c r="LU14">
        <v>6.2</v>
      </c>
      <c r="LV14">
        <v>6.2</v>
      </c>
      <c r="LW14">
        <v>6.2</v>
      </c>
      <c r="LX14">
        <v>6.2</v>
      </c>
      <c r="LY14">
        <v>6.2</v>
      </c>
      <c r="LZ14">
        <v>6.2</v>
      </c>
      <c r="MA14">
        <v>6.2</v>
      </c>
      <c r="MB14">
        <v>6.2</v>
      </c>
      <c r="MC14">
        <v>6.2</v>
      </c>
      <c r="MD14">
        <v>6.2</v>
      </c>
      <c r="ME14">
        <v>6.2</v>
      </c>
      <c r="MF14">
        <v>6.2</v>
      </c>
      <c r="MG14">
        <v>6.2</v>
      </c>
      <c r="MH14">
        <v>6.2</v>
      </c>
      <c r="MI14">
        <v>6.2</v>
      </c>
      <c r="MJ14">
        <v>6.2</v>
      </c>
      <c r="MK14">
        <v>6.2</v>
      </c>
      <c r="ML14">
        <v>6.2</v>
      </c>
      <c r="MM14">
        <v>6.2</v>
      </c>
      <c r="MN14">
        <v>6.2</v>
      </c>
      <c r="MO14">
        <v>6.2</v>
      </c>
      <c r="MP14">
        <v>6.2</v>
      </c>
      <c r="MQ14">
        <v>6.2</v>
      </c>
      <c r="MR14">
        <v>6.2</v>
      </c>
      <c r="MS14">
        <v>6.2</v>
      </c>
      <c r="MT14">
        <v>6.2</v>
      </c>
      <c r="MU14">
        <v>6.2</v>
      </c>
      <c r="MV14">
        <v>6.2</v>
      </c>
      <c r="MW14">
        <v>6.2</v>
      </c>
      <c r="MX14">
        <v>6.2</v>
      </c>
      <c r="MY14">
        <v>6.2</v>
      </c>
      <c r="MZ14">
        <v>6</v>
      </c>
      <c r="NA14">
        <v>6</v>
      </c>
      <c r="NB14">
        <v>6</v>
      </c>
      <c r="NC14">
        <v>6</v>
      </c>
      <c r="ND14">
        <v>6</v>
      </c>
      <c r="NE14">
        <v>6</v>
      </c>
      <c r="NF14">
        <v>5.8</v>
      </c>
      <c r="NG14">
        <v>5</v>
      </c>
      <c r="NH14">
        <v>5</v>
      </c>
      <c r="NI14">
        <v>5</v>
      </c>
      <c r="NJ14">
        <v>5</v>
      </c>
      <c r="NK14">
        <v>5</v>
      </c>
      <c r="NL14">
        <v>5</v>
      </c>
      <c r="NM14">
        <v>5</v>
      </c>
      <c r="NN14">
        <v>5</v>
      </c>
      <c r="NO14">
        <v>5</v>
      </c>
      <c r="NP14">
        <v>5</v>
      </c>
      <c r="NQ14">
        <v>5</v>
      </c>
      <c r="NR14">
        <v>5</v>
      </c>
      <c r="NS14">
        <v>5</v>
      </c>
      <c r="NT14">
        <v>5</v>
      </c>
      <c r="NU14">
        <v>5</v>
      </c>
      <c r="NV14">
        <v>5</v>
      </c>
      <c r="NW14">
        <v>5</v>
      </c>
      <c r="NX14">
        <v>4</v>
      </c>
      <c r="NY14">
        <v>20.9</v>
      </c>
      <c r="NZ14">
        <v>5</v>
      </c>
      <c r="OA14">
        <v>5</v>
      </c>
      <c r="OB14">
        <v>5</v>
      </c>
      <c r="OC14">
        <v>5</v>
      </c>
      <c r="OD14">
        <v>5</v>
      </c>
      <c r="OE14">
        <v>5</v>
      </c>
      <c r="OF14">
        <v>5</v>
      </c>
      <c r="OG14">
        <v>5</v>
      </c>
      <c r="OH14">
        <v>5</v>
      </c>
      <c r="OI14">
        <v>5</v>
      </c>
      <c r="OJ14">
        <v>5</v>
      </c>
      <c r="OK14">
        <v>2</v>
      </c>
      <c r="OL14">
        <v>2</v>
      </c>
      <c r="OM14">
        <v>2</v>
      </c>
      <c r="ON14">
        <v>2</v>
      </c>
      <c r="OO14">
        <v>2</v>
      </c>
      <c r="OP14">
        <v>2</v>
      </c>
      <c r="OQ14">
        <v>2</v>
      </c>
      <c r="OR14">
        <v>2</v>
      </c>
      <c r="OS14">
        <v>2</v>
      </c>
      <c r="OT14">
        <v>2</v>
      </c>
      <c r="OU14">
        <v>2</v>
      </c>
      <c r="OV14">
        <v>2</v>
      </c>
      <c r="OW14">
        <v>2</v>
      </c>
      <c r="OX14">
        <v>2</v>
      </c>
      <c r="RQ14">
        <v>7.2</v>
      </c>
      <c r="RR14">
        <v>7.2</v>
      </c>
      <c r="RS14">
        <v>7.2</v>
      </c>
      <c r="RT14">
        <v>7.2</v>
      </c>
      <c r="RU14">
        <v>7.2</v>
      </c>
      <c r="RV14">
        <v>7.2</v>
      </c>
      <c r="RW14">
        <v>7.2</v>
      </c>
      <c r="RX14">
        <v>7.2</v>
      </c>
      <c r="RY14">
        <v>7.2</v>
      </c>
      <c r="RZ14">
        <v>7.2</v>
      </c>
      <c r="SA14">
        <v>7.2</v>
      </c>
      <c r="SB14">
        <v>7.2</v>
      </c>
      <c r="SC14">
        <v>7.2</v>
      </c>
      <c r="SD14">
        <v>7.2</v>
      </c>
      <c r="SE14">
        <v>7.2</v>
      </c>
      <c r="SF14">
        <v>7.2</v>
      </c>
      <c r="SG14">
        <v>7.2</v>
      </c>
      <c r="SH14">
        <v>7.2</v>
      </c>
      <c r="SI14">
        <v>7.2</v>
      </c>
      <c r="SJ14">
        <v>7.2</v>
      </c>
      <c r="SK14">
        <v>7.2</v>
      </c>
      <c r="SL14">
        <v>7.2</v>
      </c>
      <c r="SM14">
        <v>7.2</v>
      </c>
      <c r="SN14">
        <v>7.2</v>
      </c>
      <c r="SO14">
        <v>7.2</v>
      </c>
      <c r="SP14">
        <v>7.2</v>
      </c>
      <c r="SQ14">
        <v>7.2</v>
      </c>
      <c r="SR14">
        <v>7.2</v>
      </c>
      <c r="SS14">
        <v>7.2</v>
      </c>
      <c r="ST14">
        <v>7.2</v>
      </c>
      <c r="AJT14">
        <v>7.2</v>
      </c>
      <c r="AJU14">
        <v>7.2</v>
      </c>
      <c r="AJV14">
        <v>7.2</v>
      </c>
      <c r="AJW14">
        <v>7.2</v>
      </c>
      <c r="AJX14">
        <v>7.2</v>
      </c>
      <c r="AJY14">
        <v>7.2</v>
      </c>
      <c r="AJZ14">
        <v>7.2</v>
      </c>
      <c r="AKA14">
        <v>7.2</v>
      </c>
      <c r="AKB14">
        <v>7.2</v>
      </c>
    </row>
    <row r="15" spans="1:964">
      <c r="A15" s="83">
        <v>11</v>
      </c>
      <c r="B15" s="74" t="s">
        <v>1376</v>
      </c>
      <c r="C15" s="74">
        <v>310423741</v>
      </c>
      <c r="D15" s="74"/>
      <c r="E15" s="74">
        <v>310423741</v>
      </c>
      <c r="F15" s="74">
        <v>0</v>
      </c>
      <c r="G15" s="75">
        <v>194459</v>
      </c>
      <c r="H15" s="260"/>
      <c r="I15" s="260"/>
      <c r="J15" s="260"/>
      <c r="K15" s="260"/>
      <c r="L15" s="260"/>
      <c r="M15" s="260"/>
      <c r="N15" s="260"/>
      <c r="O15" s="283"/>
      <c r="P15" s="283"/>
      <c r="Q15" s="283"/>
      <c r="R15" s="283"/>
      <c r="S15" s="283"/>
      <c r="T15" s="283"/>
      <c r="U15" s="283"/>
      <c r="V15" s="283"/>
      <c r="W15" s="283"/>
      <c r="X15" s="283"/>
      <c r="Y15" s="283"/>
      <c r="Z15" s="283"/>
      <c r="AA15" s="283"/>
      <c r="AB15" s="283"/>
      <c r="AC15" s="283"/>
      <c r="AD15" s="283"/>
      <c r="AE15" s="283"/>
      <c r="AF15" s="283"/>
      <c r="AG15" s="283"/>
      <c r="AH15" s="283"/>
      <c r="AI15" s="283"/>
      <c r="AJ15" s="283"/>
      <c r="AK15" s="283"/>
      <c r="AL15" s="283"/>
      <c r="AM15" s="283"/>
      <c r="AN15" s="283"/>
      <c r="AO15" s="283"/>
      <c r="AP15" s="283"/>
      <c r="AQ15" s="283"/>
      <c r="AR15" s="283"/>
      <c r="AS15" s="283"/>
      <c r="AT15" s="283"/>
      <c r="AU15" s="283"/>
      <c r="AV15" s="283"/>
      <c r="AW15" s="283"/>
      <c r="AX15" s="283"/>
      <c r="AY15" s="283"/>
      <c r="AZ15" s="283"/>
      <c r="BA15" s="283"/>
      <c r="BB15" s="283"/>
      <c r="BC15" s="283"/>
      <c r="BD15" s="283"/>
      <c r="BE15" s="283"/>
      <c r="BF15" s="283"/>
      <c r="BG15" s="283"/>
      <c r="BH15" s="283"/>
      <c r="BI15" s="283"/>
      <c r="BJ15" s="283"/>
      <c r="BK15" s="283"/>
      <c r="BL15" s="283"/>
      <c r="BM15" s="283"/>
      <c r="BN15" s="283"/>
      <c r="BO15" s="283"/>
      <c r="BP15" s="283"/>
      <c r="BQ15" s="283"/>
      <c r="BR15" s="283"/>
      <c r="BS15" s="283"/>
      <c r="BT15" s="283"/>
      <c r="BU15" s="283"/>
      <c r="BV15" s="283"/>
      <c r="BW15" s="283"/>
      <c r="BX15" s="283"/>
      <c r="BY15" s="283"/>
      <c r="BZ15" s="283"/>
      <c r="CA15" s="283"/>
      <c r="CB15" s="283"/>
      <c r="CC15" s="283"/>
      <c r="CD15" s="283"/>
      <c r="CE15" s="283"/>
      <c r="CF15" s="283"/>
      <c r="CG15" s="283"/>
      <c r="CH15" s="283"/>
      <c r="CI15" s="283"/>
      <c r="CJ15" s="283"/>
      <c r="CK15" s="283"/>
      <c r="CL15" s="283"/>
      <c r="CM15" s="283"/>
      <c r="CN15" s="283"/>
      <c r="CO15" s="283"/>
      <c r="CP15" s="283"/>
      <c r="CQ15" s="283"/>
      <c r="CR15" s="283"/>
      <c r="CS15" s="283"/>
      <c r="CT15" s="283"/>
      <c r="CU15" s="283"/>
      <c r="CV15" s="283"/>
      <c r="CW15" s="283"/>
      <c r="CX15" s="283"/>
      <c r="CY15" s="283"/>
      <c r="CZ15" s="283"/>
      <c r="DA15" s="283"/>
      <c r="DB15" s="283"/>
      <c r="DC15" s="283"/>
      <c r="DD15" s="283"/>
      <c r="DE15" s="283"/>
      <c r="DF15" s="283"/>
      <c r="DG15" s="283"/>
      <c r="DH15" s="283"/>
      <c r="DI15" s="283"/>
      <c r="DJ15" s="283"/>
      <c r="DK15" s="283"/>
      <c r="DL15" s="283"/>
      <c r="DM15" s="283"/>
      <c r="DN15" s="283"/>
      <c r="DO15" s="283"/>
      <c r="DP15" s="283"/>
      <c r="DQ15" s="283"/>
      <c r="DR15" s="283"/>
      <c r="DS15" s="283"/>
      <c r="DT15" s="283"/>
      <c r="DU15" s="283"/>
      <c r="DV15" s="283"/>
      <c r="DW15" s="283"/>
      <c r="DX15" s="283"/>
      <c r="DY15" s="283"/>
      <c r="DZ15" s="283"/>
      <c r="EA15" s="283"/>
      <c r="EB15" s="283"/>
      <c r="EC15" s="283"/>
      <c r="ED15" s="283"/>
      <c r="EE15" s="283"/>
      <c r="EF15" s="283">
        <v>0</v>
      </c>
      <c r="EG15" s="283"/>
      <c r="EH15" s="283"/>
      <c r="EI15" s="283"/>
      <c r="EJ15" s="283">
        <v>0</v>
      </c>
      <c r="EK15" s="283"/>
      <c r="EL15" s="283"/>
      <c r="EM15" s="283"/>
      <c r="EN15" s="283"/>
      <c r="EO15" s="283"/>
      <c r="EP15" s="283">
        <v>0</v>
      </c>
      <c r="EQ15" s="283"/>
      <c r="ER15" s="283">
        <v>0</v>
      </c>
      <c r="ES15" s="283"/>
      <c r="ET15" s="283">
        <v>0</v>
      </c>
      <c r="EU15" s="283"/>
      <c r="EV15" s="283">
        <v>0</v>
      </c>
      <c r="EW15" s="283"/>
      <c r="EX15" s="283">
        <v>0</v>
      </c>
      <c r="EY15" s="283"/>
      <c r="EZ15" s="283">
        <v>0</v>
      </c>
      <c r="FA15" s="283"/>
      <c r="FB15" s="283">
        <v>0</v>
      </c>
      <c r="FC15" s="283"/>
      <c r="FD15" s="283">
        <v>0</v>
      </c>
      <c r="FE15" s="283"/>
      <c r="FF15" s="283"/>
      <c r="FG15" s="283"/>
      <c r="FH15" s="283"/>
      <c r="FI15" s="283"/>
      <c r="FJ15" s="283">
        <v>0</v>
      </c>
      <c r="FK15" s="283"/>
      <c r="FL15" s="283"/>
      <c r="FM15" s="283"/>
      <c r="FN15" s="283"/>
      <c r="FO15" s="283"/>
      <c r="FP15" s="283">
        <v>0</v>
      </c>
      <c r="FQ15" s="283"/>
      <c r="FR15" s="283">
        <v>0</v>
      </c>
      <c r="FS15" s="283"/>
      <c r="FT15" s="283"/>
      <c r="FU15" s="283">
        <v>0</v>
      </c>
      <c r="FV15" s="283"/>
      <c r="FW15" s="283"/>
      <c r="FX15" s="283"/>
      <c r="FY15" s="283"/>
      <c r="FZ15" s="283"/>
      <c r="GA15" s="283"/>
      <c r="GB15" s="283"/>
      <c r="GC15" s="283"/>
      <c r="GD15" s="283"/>
      <c r="GE15" s="283">
        <v>0</v>
      </c>
      <c r="GF15" s="283"/>
      <c r="GG15" s="283"/>
      <c r="GH15" s="283"/>
      <c r="GI15" s="283">
        <v>0</v>
      </c>
      <c r="GJ15" s="283"/>
      <c r="GK15" s="283"/>
      <c r="GL15" s="283"/>
      <c r="GM15" s="283"/>
      <c r="GN15" s="283"/>
      <c r="GO15" s="283">
        <v>0</v>
      </c>
      <c r="GP15" s="283"/>
      <c r="GQ15" s="283">
        <v>0</v>
      </c>
      <c r="GR15" s="283"/>
      <c r="GS15" s="283"/>
      <c r="GT15" s="283"/>
      <c r="GU15" s="283"/>
      <c r="GV15" s="283"/>
      <c r="GW15" s="283">
        <v>0</v>
      </c>
      <c r="GX15" s="283">
        <v>0</v>
      </c>
      <c r="GY15" s="283"/>
      <c r="GZ15" s="283">
        <v>0</v>
      </c>
      <c r="HA15" s="283"/>
      <c r="HB15" s="283"/>
      <c r="HC15" s="283"/>
      <c r="HD15" s="283">
        <v>0</v>
      </c>
      <c r="HE15" s="283">
        <v>0</v>
      </c>
      <c r="HF15" s="283">
        <v>0</v>
      </c>
      <c r="HG15" s="283"/>
      <c r="HH15" s="283">
        <v>0</v>
      </c>
      <c r="HI15" s="283"/>
      <c r="HJ15" s="283">
        <v>0</v>
      </c>
      <c r="HK15" s="283"/>
      <c r="HL15" s="283">
        <v>0</v>
      </c>
      <c r="HM15" s="283"/>
      <c r="HN15" s="283">
        <v>0</v>
      </c>
      <c r="HO15" s="283"/>
      <c r="HP15" s="283">
        <v>0</v>
      </c>
      <c r="HQ15" s="283"/>
      <c r="HR15" s="283">
        <v>0</v>
      </c>
      <c r="HS15" s="283"/>
      <c r="HT15" s="283">
        <v>0</v>
      </c>
      <c r="HU15" s="283"/>
      <c r="HV15" s="283">
        <v>0</v>
      </c>
      <c r="HW15" s="283"/>
      <c r="HX15" s="283">
        <v>0</v>
      </c>
      <c r="HY15" s="283">
        <v>0</v>
      </c>
      <c r="HZ15" s="283"/>
      <c r="IA15" s="283">
        <v>0</v>
      </c>
      <c r="IB15" s="283"/>
      <c r="IC15" s="283">
        <v>0</v>
      </c>
      <c r="ID15" s="283"/>
      <c r="IE15" s="283">
        <v>0</v>
      </c>
      <c r="IF15" s="283"/>
      <c r="IG15" s="283">
        <v>0</v>
      </c>
      <c r="IH15" s="283">
        <v>-3.8</v>
      </c>
      <c r="II15" s="283">
        <v>3.85</v>
      </c>
      <c r="IJ15" s="283"/>
      <c r="IK15" s="283">
        <v>3.85</v>
      </c>
      <c r="IL15" s="283"/>
      <c r="IM15" s="283">
        <v>0</v>
      </c>
      <c r="IN15" s="283"/>
      <c r="IO15" s="283">
        <v>0</v>
      </c>
      <c r="IP15" s="283"/>
      <c r="IQ15" s="283">
        <v>0</v>
      </c>
      <c r="IR15" s="283"/>
      <c r="IS15" s="283">
        <v>0</v>
      </c>
      <c r="IT15" s="283">
        <f>20.4+5-25.2</f>
        <v>0.19999999999999929</v>
      </c>
      <c r="IU15" s="283"/>
      <c r="IV15" s="283"/>
      <c r="IW15" s="283"/>
      <c r="IX15" s="283"/>
      <c r="IY15" s="283">
        <v>0</v>
      </c>
      <c r="IZ15" s="283"/>
      <c r="JA15" s="283">
        <v>0</v>
      </c>
      <c r="JB15" s="283"/>
      <c r="JC15" s="283"/>
      <c r="JD15" s="283"/>
      <c r="JE15" s="283">
        <v>0</v>
      </c>
      <c r="JF15" s="283">
        <v>0</v>
      </c>
      <c r="JG15" s="283"/>
      <c r="JH15" s="283"/>
      <c r="JI15" s="283"/>
      <c r="JJ15" s="283"/>
      <c r="JK15" s="283"/>
      <c r="JL15" s="283"/>
      <c r="JM15" s="283">
        <v>0</v>
      </c>
      <c r="JN15" s="283"/>
      <c r="JO15" s="283"/>
      <c r="JP15" s="283"/>
      <c r="JQ15" s="283">
        <v>0</v>
      </c>
      <c r="JR15" s="283"/>
      <c r="JS15" s="283"/>
      <c r="JT15" s="283"/>
      <c r="JU15" s="283">
        <v>0</v>
      </c>
      <c r="JV15" s="283"/>
      <c r="JW15" s="283"/>
      <c r="JX15" s="283"/>
      <c r="JY15" s="283">
        <v>0</v>
      </c>
      <c r="JZ15" s="283"/>
      <c r="KA15" s="283">
        <v>0</v>
      </c>
      <c r="KB15" s="283"/>
      <c r="KC15" s="283">
        <v>0</v>
      </c>
      <c r="KD15" s="283"/>
      <c r="KE15" s="283">
        <v>0</v>
      </c>
      <c r="KF15" s="283"/>
      <c r="KG15" s="283">
        <v>0</v>
      </c>
      <c r="KH15" s="283"/>
      <c r="KI15" s="283">
        <v>0</v>
      </c>
      <c r="KJ15" s="283"/>
      <c r="KK15" s="283">
        <v>24</v>
      </c>
      <c r="KL15" s="283">
        <v>24</v>
      </c>
      <c r="KM15" s="283">
        <v>0</v>
      </c>
      <c r="KN15" s="283"/>
      <c r="KO15" s="283">
        <v>0</v>
      </c>
      <c r="KP15" s="283"/>
      <c r="KQ15" s="283">
        <v>0</v>
      </c>
      <c r="KR15" s="297">
        <v>66.400000000000006</v>
      </c>
      <c r="KS15" s="283">
        <v>66.400000000000006</v>
      </c>
      <c r="KT15" s="283">
        <v>66.400000000000006</v>
      </c>
      <c r="KU15" s="260">
        <v>44.4</v>
      </c>
      <c r="KV15" s="288"/>
      <c r="KW15" s="288"/>
      <c r="LA15">
        <v>0.6</v>
      </c>
      <c r="LB15">
        <v>20.6</v>
      </c>
      <c r="LC15">
        <v>19.8</v>
      </c>
      <c r="LD15">
        <v>19.8</v>
      </c>
      <c r="LE15">
        <v>19.8</v>
      </c>
      <c r="LF15">
        <v>19.8</v>
      </c>
      <c r="LH15">
        <v>23</v>
      </c>
      <c r="LI15">
        <v>23</v>
      </c>
      <c r="LJ15">
        <v>0.2</v>
      </c>
      <c r="LK15">
        <v>0.2</v>
      </c>
      <c r="LL15">
        <v>0.2</v>
      </c>
      <c r="LM15">
        <v>0.2</v>
      </c>
      <c r="LN15">
        <v>0.2</v>
      </c>
      <c r="LO15">
        <v>23</v>
      </c>
      <c r="LP15">
        <v>23</v>
      </c>
      <c r="LQ15">
        <v>22</v>
      </c>
      <c r="LR15">
        <v>22</v>
      </c>
      <c r="LT15">
        <v>66</v>
      </c>
      <c r="LU15">
        <v>8.5</v>
      </c>
      <c r="LV15">
        <v>15.9</v>
      </c>
      <c r="LY15">
        <v>24.78</v>
      </c>
      <c r="LZ15">
        <v>24.78</v>
      </c>
      <c r="MA15">
        <v>22</v>
      </c>
      <c r="MB15">
        <v>23</v>
      </c>
      <c r="MC15">
        <v>24</v>
      </c>
      <c r="MD15">
        <v>24</v>
      </c>
      <c r="ME15">
        <v>6.8</v>
      </c>
      <c r="MF15">
        <v>22.5</v>
      </c>
      <c r="MG15">
        <v>15.75</v>
      </c>
      <c r="MH15">
        <v>8.25</v>
      </c>
      <c r="MI15">
        <v>38.25</v>
      </c>
      <c r="MJ15">
        <v>38.25</v>
      </c>
      <c r="MK15">
        <v>38.25</v>
      </c>
      <c r="ML15">
        <v>20.6</v>
      </c>
      <c r="MS15">
        <v>22</v>
      </c>
      <c r="MT15">
        <v>22</v>
      </c>
      <c r="MU15">
        <v>3</v>
      </c>
      <c r="MV15">
        <v>3</v>
      </c>
      <c r="MW15">
        <v>2</v>
      </c>
      <c r="MX15">
        <v>20.3</v>
      </c>
      <c r="MY15">
        <v>42.3</v>
      </c>
      <c r="MZ15">
        <v>44</v>
      </c>
      <c r="NA15">
        <v>44</v>
      </c>
      <c r="NB15">
        <v>44</v>
      </c>
      <c r="NC15">
        <v>3</v>
      </c>
      <c r="ND15">
        <v>125</v>
      </c>
      <c r="NE15">
        <v>172</v>
      </c>
      <c r="NF15">
        <v>21</v>
      </c>
      <c r="NG15">
        <v>22</v>
      </c>
      <c r="NH15">
        <v>22</v>
      </c>
      <c r="NI15">
        <v>21.5</v>
      </c>
      <c r="NJ15">
        <v>21.5</v>
      </c>
      <c r="NK15">
        <v>88</v>
      </c>
      <c r="NL15">
        <v>88</v>
      </c>
      <c r="NM15">
        <v>112</v>
      </c>
      <c r="NN15">
        <v>1</v>
      </c>
      <c r="NO15">
        <v>297.39999999999998</v>
      </c>
      <c r="NP15">
        <v>297.39999999999998</v>
      </c>
      <c r="NQ15">
        <v>11.8</v>
      </c>
      <c r="NR15">
        <v>11.8</v>
      </c>
      <c r="NS15">
        <v>33</v>
      </c>
      <c r="NT15">
        <v>33</v>
      </c>
      <c r="NU15">
        <v>25.2</v>
      </c>
      <c r="NV15">
        <v>25.2</v>
      </c>
      <c r="NW15">
        <v>74.2</v>
      </c>
      <c r="NX15">
        <v>20.9</v>
      </c>
      <c r="NY15">
        <v>134.5</v>
      </c>
      <c r="NZ15">
        <v>23.5</v>
      </c>
      <c r="OA15">
        <v>23.5</v>
      </c>
      <c r="OB15">
        <v>68</v>
      </c>
      <c r="OC15">
        <v>22.4</v>
      </c>
      <c r="OD15">
        <v>71.5</v>
      </c>
      <c r="OG15">
        <v>33</v>
      </c>
      <c r="OH15">
        <v>22</v>
      </c>
      <c r="OI15">
        <v>23</v>
      </c>
      <c r="OJ15">
        <v>23</v>
      </c>
      <c r="OK15">
        <v>23</v>
      </c>
      <c r="OL15">
        <v>22.7</v>
      </c>
      <c r="OM15">
        <v>198</v>
      </c>
      <c r="ON15">
        <v>87</v>
      </c>
      <c r="OO15">
        <v>157.19999999999999</v>
      </c>
      <c r="OP15">
        <v>65</v>
      </c>
      <c r="OQ15">
        <v>65</v>
      </c>
      <c r="OR15">
        <v>65</v>
      </c>
      <c r="OS15">
        <v>25</v>
      </c>
      <c r="OT15">
        <v>14.5</v>
      </c>
      <c r="OU15">
        <v>1</v>
      </c>
      <c r="OV15">
        <v>1</v>
      </c>
      <c r="OW15">
        <v>1</v>
      </c>
      <c r="OX15">
        <v>1</v>
      </c>
      <c r="RQ15">
        <v>0.2</v>
      </c>
      <c r="RR15">
        <v>0.2</v>
      </c>
      <c r="RS15">
        <v>0.2</v>
      </c>
      <c r="RT15">
        <v>0.2</v>
      </c>
      <c r="RU15">
        <v>0.2</v>
      </c>
      <c r="RV15">
        <v>0.2</v>
      </c>
      <c r="RW15">
        <v>0.2</v>
      </c>
      <c r="RX15">
        <v>0.2</v>
      </c>
      <c r="RY15">
        <v>0.2</v>
      </c>
      <c r="RZ15">
        <v>0.2</v>
      </c>
      <c r="SA15">
        <v>0.2</v>
      </c>
      <c r="SB15">
        <v>0.2</v>
      </c>
      <c r="SC15">
        <v>0.2</v>
      </c>
      <c r="SD15">
        <v>0.2</v>
      </c>
      <c r="SE15">
        <v>0.2</v>
      </c>
      <c r="SF15">
        <v>0.2</v>
      </c>
      <c r="SG15">
        <v>0.2</v>
      </c>
      <c r="SH15">
        <v>0.2</v>
      </c>
      <c r="SI15">
        <v>0.2</v>
      </c>
      <c r="SJ15">
        <v>0.2</v>
      </c>
      <c r="SK15">
        <v>0.2</v>
      </c>
      <c r="SL15">
        <v>0.2</v>
      </c>
      <c r="SM15">
        <v>0.2</v>
      </c>
      <c r="SN15">
        <v>0.2</v>
      </c>
      <c r="SO15">
        <v>0.2</v>
      </c>
      <c r="SP15">
        <v>0.2</v>
      </c>
      <c r="SQ15">
        <v>0.2</v>
      </c>
      <c r="SR15">
        <v>0.2</v>
      </c>
      <c r="SS15">
        <v>0.2</v>
      </c>
      <c r="ST15">
        <v>0.2</v>
      </c>
      <c r="AEM15" s="1304">
        <v>35</v>
      </c>
      <c r="AJT15">
        <v>0.2</v>
      </c>
      <c r="AJU15">
        <v>0.2</v>
      </c>
      <c r="AJV15">
        <v>0.2</v>
      </c>
      <c r="AJW15">
        <v>0.2</v>
      </c>
      <c r="AJX15">
        <v>0.2</v>
      </c>
      <c r="AJY15">
        <v>0.2</v>
      </c>
      <c r="AJZ15">
        <v>0.2</v>
      </c>
      <c r="AKA15">
        <v>0.2</v>
      </c>
      <c r="AKB15">
        <v>0.2</v>
      </c>
    </row>
    <row r="16" spans="1:964">
      <c r="A16" s="83">
        <v>12</v>
      </c>
      <c r="B16" s="74" t="s">
        <v>1462</v>
      </c>
      <c r="C16" s="911">
        <v>310423575</v>
      </c>
      <c r="D16" s="911"/>
      <c r="E16" s="74">
        <v>310423575</v>
      </c>
      <c r="F16" s="74">
        <v>0</v>
      </c>
      <c r="G16" s="75">
        <v>643178</v>
      </c>
      <c r="H16" s="260"/>
      <c r="I16" s="260"/>
      <c r="J16" s="260"/>
      <c r="K16" s="260"/>
      <c r="L16" s="260"/>
      <c r="M16" s="260"/>
      <c r="N16" s="260"/>
      <c r="O16" s="283"/>
      <c r="P16" s="283"/>
      <c r="Q16" s="283"/>
      <c r="R16" s="283"/>
      <c r="S16" s="283"/>
      <c r="T16" s="283"/>
      <c r="U16" s="283"/>
      <c r="V16" s="283"/>
      <c r="W16" s="283"/>
      <c r="X16" s="283"/>
      <c r="Y16" s="283"/>
      <c r="Z16" s="283"/>
      <c r="AA16" s="283"/>
      <c r="AB16" s="283"/>
      <c r="AC16" s="283"/>
      <c r="AD16" s="283"/>
      <c r="AE16" s="283"/>
      <c r="AF16" s="283"/>
      <c r="AG16" s="283"/>
      <c r="AH16" s="283"/>
      <c r="AI16" s="283"/>
      <c r="AJ16" s="283"/>
      <c r="AK16" s="283"/>
      <c r="AL16" s="283"/>
      <c r="AM16" s="283"/>
      <c r="AN16" s="283"/>
      <c r="AO16" s="283"/>
      <c r="AP16" s="283"/>
      <c r="AQ16" s="283"/>
      <c r="AR16" s="283"/>
      <c r="AS16" s="283"/>
      <c r="AT16" s="283"/>
      <c r="AU16" s="283"/>
      <c r="AV16" s="283"/>
      <c r="AW16" s="283"/>
      <c r="AX16" s="283"/>
      <c r="AY16" s="283"/>
      <c r="AZ16" s="283"/>
      <c r="BA16" s="283"/>
      <c r="BB16" s="283"/>
      <c r="BC16" s="283"/>
      <c r="BD16" s="283"/>
      <c r="BE16" s="283"/>
      <c r="BF16" s="283"/>
      <c r="BG16" s="283"/>
      <c r="BH16" s="283"/>
      <c r="BI16" s="283"/>
      <c r="BJ16" s="283"/>
      <c r="BK16" s="283"/>
      <c r="BL16" s="283"/>
      <c r="BM16" s="283"/>
      <c r="BN16" s="283"/>
      <c r="BO16" s="283"/>
      <c r="BP16" s="283"/>
      <c r="BQ16" s="283"/>
      <c r="BR16" s="283"/>
      <c r="BS16" s="283"/>
      <c r="BT16" s="283"/>
      <c r="BU16" s="283"/>
      <c r="BV16" s="283"/>
      <c r="BW16" s="283"/>
      <c r="BX16" s="283"/>
      <c r="BY16" s="283"/>
      <c r="BZ16" s="283"/>
      <c r="CA16" s="283"/>
      <c r="CB16" s="283"/>
      <c r="CC16" s="283"/>
      <c r="CD16" s="283"/>
      <c r="CE16" s="283"/>
      <c r="CF16" s="283"/>
      <c r="CG16" s="283"/>
      <c r="CH16" s="283"/>
      <c r="CI16" s="283"/>
      <c r="CJ16" s="283"/>
      <c r="CK16" s="283"/>
      <c r="CL16" s="283"/>
      <c r="CM16" s="283"/>
      <c r="CN16" s="283"/>
      <c r="CO16" s="283"/>
      <c r="CP16" s="283"/>
      <c r="CQ16" s="283"/>
      <c r="CR16" s="283"/>
      <c r="CS16" s="283"/>
      <c r="CT16" s="283"/>
      <c r="CU16" s="283"/>
      <c r="CV16" s="283"/>
      <c r="CW16" s="283"/>
      <c r="CX16" s="283"/>
      <c r="CY16" s="283"/>
      <c r="CZ16" s="283"/>
      <c r="DA16" s="283"/>
      <c r="DB16" s="283"/>
      <c r="DC16" s="283"/>
      <c r="DD16" s="283"/>
      <c r="DE16" s="283"/>
      <c r="DF16" s="283"/>
      <c r="DG16" s="283"/>
      <c r="DH16" s="283"/>
      <c r="DI16" s="283"/>
      <c r="DJ16" s="283"/>
      <c r="DK16" s="283"/>
      <c r="DL16" s="283"/>
      <c r="DM16" s="283"/>
      <c r="DN16" s="283"/>
      <c r="DO16" s="283"/>
      <c r="DP16" s="283"/>
      <c r="DQ16" s="283"/>
      <c r="DR16" s="283"/>
      <c r="DS16" s="283"/>
      <c r="DT16" s="283"/>
      <c r="DU16" s="283"/>
      <c r="DV16" s="283"/>
      <c r="DW16" s="283"/>
      <c r="DX16" s="283"/>
      <c r="DY16" s="283"/>
      <c r="DZ16" s="283"/>
      <c r="EA16" s="283"/>
      <c r="EB16" s="283"/>
      <c r="EC16" s="283"/>
      <c r="ED16" s="283"/>
      <c r="EE16" s="283"/>
      <c r="EF16" s="283">
        <v>0</v>
      </c>
      <c r="EG16" s="283"/>
      <c r="EH16" s="283"/>
      <c r="EI16" s="283"/>
      <c r="EJ16" s="283">
        <v>0</v>
      </c>
      <c r="EK16" s="283"/>
      <c r="EL16" s="283"/>
      <c r="EM16" s="283"/>
      <c r="EN16" s="283"/>
      <c r="EO16" s="283"/>
      <c r="EP16" s="283">
        <v>0</v>
      </c>
      <c r="EQ16" s="283"/>
      <c r="ER16" s="283">
        <v>0</v>
      </c>
      <c r="ES16" s="283"/>
      <c r="ET16" s="283">
        <v>0</v>
      </c>
      <c r="EU16" s="283"/>
      <c r="EV16" s="283">
        <v>0</v>
      </c>
      <c r="EW16" s="283"/>
      <c r="EX16" s="283">
        <v>0</v>
      </c>
      <c r="EY16" s="283"/>
      <c r="EZ16" s="283">
        <v>0</v>
      </c>
      <c r="FA16" s="283"/>
      <c r="FB16" s="283">
        <v>0</v>
      </c>
      <c r="FC16" s="283"/>
      <c r="FD16" s="283">
        <v>0</v>
      </c>
      <c r="FE16" s="283"/>
      <c r="FF16" s="283"/>
      <c r="FG16" s="283"/>
      <c r="FH16" s="283"/>
      <c r="FI16" s="283"/>
      <c r="FJ16" s="283">
        <v>0</v>
      </c>
      <c r="FK16" s="283"/>
      <c r="FL16" s="283"/>
      <c r="FM16" s="283"/>
      <c r="FN16" s="283"/>
      <c r="FO16" s="283"/>
      <c r="FP16" s="283">
        <v>0</v>
      </c>
      <c r="FQ16" s="283"/>
      <c r="FR16" s="283">
        <v>0</v>
      </c>
      <c r="FS16" s="283"/>
      <c r="FT16" s="283"/>
      <c r="FU16" s="283">
        <v>0</v>
      </c>
      <c r="FV16" s="283"/>
      <c r="FW16" s="283"/>
      <c r="FX16" s="283"/>
      <c r="FY16" s="283"/>
      <c r="FZ16" s="283"/>
      <c r="GA16" s="283"/>
      <c r="GB16" s="283"/>
      <c r="GC16" s="283"/>
      <c r="GD16" s="283"/>
      <c r="GE16" s="283">
        <v>0</v>
      </c>
      <c r="GF16" s="283"/>
      <c r="GG16" s="283"/>
      <c r="GH16" s="283"/>
      <c r="GI16" s="283">
        <v>0</v>
      </c>
      <c r="GJ16" s="283"/>
      <c r="GK16" s="283"/>
      <c r="GL16" s="283"/>
      <c r="GM16" s="283"/>
      <c r="GN16" s="283"/>
      <c r="GO16" s="283">
        <v>0</v>
      </c>
      <c r="GP16" s="283"/>
      <c r="GQ16" s="283">
        <v>0</v>
      </c>
      <c r="GR16" s="283"/>
      <c r="GS16" s="283">
        <v>0</v>
      </c>
      <c r="GT16" s="283"/>
      <c r="GU16" s="283">
        <v>0</v>
      </c>
      <c r="GV16" s="283"/>
      <c r="GW16" s="283">
        <v>0</v>
      </c>
      <c r="GX16" s="283">
        <v>0</v>
      </c>
      <c r="GY16" s="283"/>
      <c r="GZ16" s="283">
        <v>0</v>
      </c>
      <c r="HA16" s="283"/>
      <c r="HB16" s="283"/>
      <c r="HC16" s="283"/>
      <c r="HD16" s="283">
        <v>0</v>
      </c>
      <c r="HE16" s="283">
        <v>0</v>
      </c>
      <c r="HF16" s="283">
        <v>0</v>
      </c>
      <c r="HG16" s="283"/>
      <c r="HH16" s="283">
        <v>0</v>
      </c>
      <c r="HI16" s="283"/>
      <c r="HJ16" s="283">
        <v>0</v>
      </c>
      <c r="HK16" s="283"/>
      <c r="HL16" s="283">
        <v>0</v>
      </c>
      <c r="HM16" s="283"/>
      <c r="HN16" s="283">
        <v>0</v>
      </c>
      <c r="HO16" s="283"/>
      <c r="HP16" s="283">
        <v>0</v>
      </c>
      <c r="HQ16" s="283"/>
      <c r="HR16" s="283">
        <v>0</v>
      </c>
      <c r="HS16" s="283"/>
      <c r="HT16" s="283">
        <v>0</v>
      </c>
      <c r="HU16" s="283"/>
      <c r="HV16" s="283">
        <v>2</v>
      </c>
      <c r="HW16" s="283"/>
      <c r="HX16" s="283">
        <v>2</v>
      </c>
      <c r="HY16" s="283">
        <v>2</v>
      </c>
      <c r="HZ16" s="283"/>
      <c r="IA16" s="283">
        <v>2</v>
      </c>
      <c r="IB16" s="283"/>
      <c r="IC16" s="283">
        <v>2</v>
      </c>
      <c r="ID16" s="283"/>
      <c r="IE16" s="283">
        <v>2</v>
      </c>
      <c r="IF16" s="283"/>
      <c r="IG16" s="283">
        <v>2</v>
      </c>
      <c r="IH16" s="283"/>
      <c r="II16" s="283">
        <v>2</v>
      </c>
      <c r="IJ16" s="283"/>
      <c r="IK16" s="283">
        <v>2</v>
      </c>
      <c r="IL16" s="283"/>
      <c r="IM16" s="283">
        <v>0</v>
      </c>
      <c r="IN16" s="283"/>
      <c r="IO16" s="283">
        <v>0</v>
      </c>
      <c r="IP16" s="283"/>
      <c r="IQ16" s="283">
        <v>0</v>
      </c>
      <c r="IR16" s="283">
        <v>-21.9</v>
      </c>
      <c r="IS16" s="283">
        <v>21.9</v>
      </c>
      <c r="IT16" s="283"/>
      <c r="IU16" s="283"/>
      <c r="IV16" s="283"/>
      <c r="IW16" s="283"/>
      <c r="IX16" s="283"/>
      <c r="IY16" s="283">
        <v>0</v>
      </c>
      <c r="IZ16" s="283"/>
      <c r="JA16" s="283">
        <v>0</v>
      </c>
      <c r="JB16" s="283"/>
      <c r="JC16" s="283">
        <v>0</v>
      </c>
      <c r="JD16" s="283"/>
      <c r="JE16" s="283">
        <v>0</v>
      </c>
      <c r="JF16" s="283"/>
      <c r="JG16" s="283">
        <v>0</v>
      </c>
      <c r="JH16" s="283"/>
      <c r="JI16" s="283"/>
      <c r="JJ16" s="283"/>
      <c r="JK16" s="283"/>
      <c r="JL16" s="283"/>
      <c r="JM16" s="283">
        <v>0</v>
      </c>
      <c r="JN16" s="283"/>
      <c r="JO16" s="283">
        <v>0</v>
      </c>
      <c r="JP16" s="283"/>
      <c r="JQ16" s="283">
        <v>0</v>
      </c>
      <c r="JR16" s="283"/>
      <c r="JS16" s="283">
        <v>0</v>
      </c>
      <c r="JT16" s="283"/>
      <c r="JU16" s="283">
        <v>0</v>
      </c>
      <c r="JV16" s="283"/>
      <c r="JW16" s="283">
        <v>0</v>
      </c>
      <c r="JX16" s="283"/>
      <c r="JY16" s="283">
        <v>0</v>
      </c>
      <c r="JZ16" s="283"/>
      <c r="KA16" s="283">
        <v>0</v>
      </c>
      <c r="KB16" s="283"/>
      <c r="KC16" s="283">
        <v>0</v>
      </c>
      <c r="KD16" s="283"/>
      <c r="KE16" s="283">
        <v>0</v>
      </c>
      <c r="KF16" s="283">
        <v>-22</v>
      </c>
      <c r="KG16" s="283">
        <v>22</v>
      </c>
      <c r="KH16" s="283"/>
      <c r="KI16" s="283">
        <v>22</v>
      </c>
      <c r="KJ16" s="283"/>
      <c r="KK16" s="283">
        <v>0</v>
      </c>
      <c r="KL16" s="283">
        <f>24-33.9</f>
        <v>-9.8999999999999986</v>
      </c>
      <c r="KM16" s="283">
        <v>10</v>
      </c>
      <c r="KN16" s="283"/>
      <c r="KO16" s="283">
        <v>10</v>
      </c>
      <c r="KP16" s="283"/>
      <c r="KQ16" s="283">
        <v>5.7</v>
      </c>
      <c r="KR16" s="283"/>
      <c r="KS16" s="283">
        <v>5.7</v>
      </c>
      <c r="KT16" s="283">
        <v>5.7</v>
      </c>
      <c r="KU16" s="260">
        <v>55.7</v>
      </c>
      <c r="KV16" s="288"/>
      <c r="KW16" s="288"/>
      <c r="LA16">
        <v>24</v>
      </c>
      <c r="LB16">
        <v>24</v>
      </c>
      <c r="LC16">
        <v>24</v>
      </c>
      <c r="LD16">
        <v>24</v>
      </c>
      <c r="LE16">
        <v>24</v>
      </c>
      <c r="LF16">
        <v>24</v>
      </c>
      <c r="LJ16">
        <v>4.5</v>
      </c>
      <c r="LK16">
        <v>4.5</v>
      </c>
      <c r="LL16">
        <v>4.5</v>
      </c>
      <c r="LM16">
        <v>4.5</v>
      </c>
      <c r="LN16">
        <v>4.5</v>
      </c>
      <c r="LT16">
        <v>50</v>
      </c>
      <c r="LV16">
        <v>23</v>
      </c>
      <c r="LW16">
        <v>19</v>
      </c>
      <c r="LX16">
        <v>19</v>
      </c>
      <c r="LY16">
        <v>32.200000000000003</v>
      </c>
      <c r="LZ16">
        <v>20</v>
      </c>
      <c r="MA16">
        <v>16.7</v>
      </c>
      <c r="MB16">
        <v>97.5</v>
      </c>
      <c r="MC16">
        <v>66.25</v>
      </c>
      <c r="MD16">
        <v>66.25</v>
      </c>
      <c r="ME16">
        <v>10</v>
      </c>
      <c r="MF16">
        <v>33</v>
      </c>
      <c r="MG16">
        <v>22</v>
      </c>
      <c r="MH16">
        <v>33.299999999999997</v>
      </c>
      <c r="MI16">
        <v>32</v>
      </c>
      <c r="MJ16">
        <v>32</v>
      </c>
      <c r="MK16">
        <v>32</v>
      </c>
      <c r="MQ16">
        <v>21.9</v>
      </c>
      <c r="MR16">
        <v>22</v>
      </c>
      <c r="MS16">
        <v>15</v>
      </c>
      <c r="MT16">
        <v>48</v>
      </c>
      <c r="MU16">
        <v>4.7</v>
      </c>
      <c r="MV16">
        <v>4.7</v>
      </c>
      <c r="MW16">
        <v>3</v>
      </c>
      <c r="MX16">
        <v>3</v>
      </c>
      <c r="MY16">
        <v>3</v>
      </c>
      <c r="MZ16">
        <v>3</v>
      </c>
      <c r="NA16">
        <v>3</v>
      </c>
      <c r="NB16">
        <v>3</v>
      </c>
      <c r="NC16">
        <v>2</v>
      </c>
      <c r="NE16">
        <v>30</v>
      </c>
      <c r="NF16">
        <v>8.25</v>
      </c>
      <c r="NG16">
        <v>8.25</v>
      </c>
      <c r="NH16">
        <v>22</v>
      </c>
      <c r="NI16">
        <v>22</v>
      </c>
      <c r="NJ16">
        <v>22</v>
      </c>
      <c r="NN16">
        <v>3.9</v>
      </c>
      <c r="NO16">
        <v>110.5</v>
      </c>
      <c r="NP16">
        <v>110.5</v>
      </c>
      <c r="NQ16">
        <v>22</v>
      </c>
      <c r="NR16">
        <v>54.5</v>
      </c>
      <c r="NS16">
        <v>11.8</v>
      </c>
      <c r="NT16">
        <v>11.8</v>
      </c>
      <c r="NU16">
        <v>13.1</v>
      </c>
      <c r="NV16">
        <v>13.1</v>
      </c>
      <c r="NW16">
        <v>103.4</v>
      </c>
      <c r="NX16">
        <v>86</v>
      </c>
      <c r="NY16">
        <v>85.2</v>
      </c>
      <c r="NZ16">
        <v>33.200000000000003</v>
      </c>
      <c r="OA16">
        <v>33.200000000000003</v>
      </c>
      <c r="OB16">
        <v>49</v>
      </c>
      <c r="OD16">
        <v>33</v>
      </c>
      <c r="OG16">
        <v>66</v>
      </c>
      <c r="OH16">
        <v>27</v>
      </c>
      <c r="OL16">
        <v>33</v>
      </c>
      <c r="OM16">
        <v>53</v>
      </c>
      <c r="ON16">
        <v>165</v>
      </c>
      <c r="OO16">
        <v>191.5</v>
      </c>
      <c r="OP16">
        <v>214.5</v>
      </c>
      <c r="OQ16">
        <v>214.5</v>
      </c>
      <c r="OR16">
        <v>214.5</v>
      </c>
      <c r="OS16">
        <v>49</v>
      </c>
      <c r="OT16">
        <v>22</v>
      </c>
      <c r="OU16">
        <v>2</v>
      </c>
      <c r="OV16">
        <v>2</v>
      </c>
      <c r="OW16">
        <v>2</v>
      </c>
      <c r="OX16">
        <v>2</v>
      </c>
      <c r="RQ16">
        <v>4.5</v>
      </c>
      <c r="RR16">
        <v>4.5</v>
      </c>
      <c r="RS16">
        <v>4.5</v>
      </c>
      <c r="RT16">
        <v>4.5</v>
      </c>
      <c r="RU16">
        <v>4.5</v>
      </c>
      <c r="RV16">
        <v>4.5</v>
      </c>
      <c r="RW16">
        <v>4.5</v>
      </c>
      <c r="RX16">
        <v>4.5</v>
      </c>
      <c r="RY16">
        <v>4.5</v>
      </c>
      <c r="RZ16">
        <v>4.5</v>
      </c>
      <c r="SA16">
        <v>4.5</v>
      </c>
      <c r="SB16">
        <v>4.5</v>
      </c>
      <c r="SC16">
        <v>4.5</v>
      </c>
      <c r="SD16">
        <v>4.5</v>
      </c>
      <c r="SE16">
        <v>4.5</v>
      </c>
      <c r="SF16">
        <v>4.5</v>
      </c>
      <c r="SG16">
        <v>4.5</v>
      </c>
      <c r="SH16">
        <v>4.5</v>
      </c>
      <c r="SI16">
        <v>4.5</v>
      </c>
      <c r="SJ16">
        <v>4.5</v>
      </c>
      <c r="SK16">
        <v>4.5</v>
      </c>
      <c r="SL16">
        <v>4.5</v>
      </c>
      <c r="SM16">
        <v>4.5</v>
      </c>
      <c r="SN16">
        <v>4.5</v>
      </c>
      <c r="SO16">
        <v>4.5</v>
      </c>
      <c r="SP16">
        <v>4.5</v>
      </c>
      <c r="SQ16">
        <v>4.5</v>
      </c>
      <c r="SR16">
        <v>4.5</v>
      </c>
      <c r="SS16">
        <v>4.5</v>
      </c>
      <c r="ST16">
        <v>4.5</v>
      </c>
      <c r="AEK16" s="1304">
        <v>10</v>
      </c>
      <c r="AEM16" s="1304">
        <v>47</v>
      </c>
      <c r="AJT16">
        <v>4.5</v>
      </c>
      <c r="AJU16">
        <v>4.5</v>
      </c>
      <c r="AJV16">
        <v>4.5</v>
      </c>
      <c r="AJW16">
        <v>4.5</v>
      </c>
      <c r="AJX16">
        <v>4.5</v>
      </c>
      <c r="AJY16">
        <v>4.5</v>
      </c>
      <c r="AJZ16">
        <v>4.5</v>
      </c>
      <c r="AKA16">
        <v>4.5</v>
      </c>
      <c r="AKB16">
        <v>4.5</v>
      </c>
    </row>
    <row r="17" spans="1:964">
      <c r="A17" s="83">
        <v>13</v>
      </c>
      <c r="B17" s="74" t="s">
        <v>1755</v>
      </c>
      <c r="C17" s="74"/>
      <c r="D17" s="74"/>
      <c r="E17" s="74"/>
      <c r="F17" s="74">
        <v>0</v>
      </c>
      <c r="G17" s="75"/>
      <c r="H17" s="260"/>
      <c r="I17" s="260"/>
      <c r="J17" s="260"/>
      <c r="K17" s="260"/>
      <c r="L17" s="260"/>
      <c r="M17" s="260"/>
      <c r="N17" s="260"/>
      <c r="O17" s="283"/>
      <c r="P17" s="283"/>
      <c r="Q17" s="283"/>
      <c r="R17" s="283"/>
      <c r="S17" s="283"/>
      <c r="T17" s="283"/>
      <c r="U17" s="283"/>
      <c r="V17" s="283"/>
      <c r="W17" s="283"/>
      <c r="X17" s="283"/>
      <c r="Y17" s="283"/>
      <c r="Z17" s="283"/>
      <c r="AA17" s="283"/>
      <c r="AB17" s="283"/>
      <c r="AC17" s="283"/>
      <c r="AD17" s="283"/>
      <c r="AE17" s="283"/>
      <c r="AF17" s="283"/>
      <c r="AG17" s="283"/>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3"/>
      <c r="BK17" s="283"/>
      <c r="BL17" s="283"/>
      <c r="BM17" s="283"/>
      <c r="BN17" s="283"/>
      <c r="BO17" s="283"/>
      <c r="BP17" s="283"/>
      <c r="BQ17" s="283"/>
      <c r="BR17" s="283"/>
      <c r="BS17" s="283"/>
      <c r="BT17" s="283"/>
      <c r="BU17" s="283"/>
      <c r="BV17" s="283"/>
      <c r="BW17" s="283"/>
      <c r="BX17" s="283"/>
      <c r="BY17" s="283"/>
      <c r="BZ17" s="283"/>
      <c r="CA17" s="283"/>
      <c r="CB17" s="283"/>
      <c r="CC17" s="283"/>
      <c r="CD17" s="283"/>
      <c r="CE17" s="283"/>
      <c r="CF17" s="283"/>
      <c r="CG17" s="283"/>
      <c r="CH17" s="283"/>
      <c r="CI17" s="283"/>
      <c r="CJ17" s="283"/>
      <c r="CK17" s="283"/>
      <c r="CL17" s="283"/>
      <c r="CM17" s="283"/>
      <c r="CN17" s="283"/>
      <c r="CO17" s="283"/>
      <c r="CP17" s="283"/>
      <c r="CQ17" s="283"/>
      <c r="CR17" s="283"/>
      <c r="CS17" s="283"/>
      <c r="CT17" s="283"/>
      <c r="CU17" s="283"/>
      <c r="CV17" s="283"/>
      <c r="CW17" s="283"/>
      <c r="CX17" s="283"/>
      <c r="CY17" s="283"/>
      <c r="CZ17" s="283"/>
      <c r="DA17" s="283"/>
      <c r="DB17" s="283"/>
      <c r="DC17" s="283"/>
      <c r="DD17" s="283"/>
      <c r="DE17" s="283"/>
      <c r="DF17" s="283"/>
      <c r="DG17" s="283"/>
      <c r="DH17" s="283"/>
      <c r="DI17" s="283"/>
      <c r="DJ17" s="283"/>
      <c r="DK17" s="283"/>
      <c r="DL17" s="283"/>
      <c r="DM17" s="283"/>
      <c r="DN17" s="283"/>
      <c r="DO17" s="283"/>
      <c r="DP17" s="283"/>
      <c r="DQ17" s="283"/>
      <c r="DR17" s="283"/>
      <c r="DS17" s="283"/>
      <c r="DT17" s="283"/>
      <c r="DU17" s="283"/>
      <c r="DV17" s="283"/>
      <c r="DW17" s="283"/>
      <c r="DX17" s="283"/>
      <c r="DY17" s="283"/>
      <c r="DZ17" s="283"/>
      <c r="EA17" s="283"/>
      <c r="EB17" s="283"/>
      <c r="EC17" s="283"/>
      <c r="ED17" s="283"/>
      <c r="EE17" s="283"/>
      <c r="EF17" s="283">
        <v>0</v>
      </c>
      <c r="EG17" s="283"/>
      <c r="EH17" s="283"/>
      <c r="EI17" s="283"/>
      <c r="EJ17" s="283">
        <v>0</v>
      </c>
      <c r="EK17" s="283"/>
      <c r="EL17" s="283"/>
      <c r="EM17" s="283"/>
      <c r="EN17" s="283"/>
      <c r="EO17" s="283"/>
      <c r="EP17" s="283">
        <v>0</v>
      </c>
      <c r="EQ17" s="283"/>
      <c r="ER17" s="283">
        <v>0</v>
      </c>
      <c r="ES17" s="283"/>
      <c r="ET17" s="283">
        <v>0</v>
      </c>
      <c r="EU17" s="283"/>
      <c r="EV17" s="283">
        <v>0</v>
      </c>
      <c r="EW17" s="283"/>
      <c r="EX17" s="283">
        <v>0</v>
      </c>
      <c r="EY17" s="283"/>
      <c r="EZ17" s="283">
        <v>0</v>
      </c>
      <c r="FA17" s="283"/>
      <c r="FB17" s="283">
        <v>0</v>
      </c>
      <c r="FC17" s="283"/>
      <c r="FD17" s="283">
        <v>0</v>
      </c>
      <c r="FE17" s="283"/>
      <c r="FF17" s="283"/>
      <c r="FG17" s="283"/>
      <c r="FH17" s="283"/>
      <c r="FI17" s="283"/>
      <c r="FJ17" s="283">
        <v>0</v>
      </c>
      <c r="FK17" s="283"/>
      <c r="FL17" s="283"/>
      <c r="FM17" s="283"/>
      <c r="FN17" s="283"/>
      <c r="FO17" s="283"/>
      <c r="FP17" s="283">
        <v>0</v>
      </c>
      <c r="FQ17" s="283"/>
      <c r="FR17" s="283">
        <v>0</v>
      </c>
      <c r="FS17" s="283"/>
      <c r="FT17" s="283"/>
      <c r="FU17" s="283">
        <v>0</v>
      </c>
      <c r="FV17" s="283"/>
      <c r="FW17" s="283"/>
      <c r="FX17" s="283"/>
      <c r="FY17" s="283"/>
      <c r="FZ17" s="283"/>
      <c r="GA17" s="283"/>
      <c r="GB17" s="283"/>
      <c r="GC17" s="283"/>
      <c r="GD17" s="283"/>
      <c r="GE17" s="283">
        <v>0</v>
      </c>
      <c r="GF17" s="283"/>
      <c r="GG17" s="283"/>
      <c r="GH17" s="283"/>
      <c r="GI17" s="283">
        <v>0</v>
      </c>
      <c r="GJ17" s="283"/>
      <c r="GK17" s="283"/>
      <c r="GL17" s="283"/>
      <c r="GM17" s="283"/>
      <c r="GN17" s="283"/>
      <c r="GO17" s="283">
        <v>0</v>
      </c>
      <c r="GP17" s="283"/>
      <c r="GQ17" s="283">
        <v>0</v>
      </c>
      <c r="GR17" s="283"/>
      <c r="GS17" s="283"/>
      <c r="GT17" s="283"/>
      <c r="GU17" s="283">
        <v>0</v>
      </c>
      <c r="GV17" s="283"/>
      <c r="GW17" s="283">
        <v>0</v>
      </c>
      <c r="GX17" s="283">
        <v>0</v>
      </c>
      <c r="GY17" s="283"/>
      <c r="GZ17" s="283">
        <v>0</v>
      </c>
      <c r="HA17" s="283"/>
      <c r="HB17" s="283"/>
      <c r="HC17" s="283"/>
      <c r="HD17" s="283">
        <v>0</v>
      </c>
      <c r="HE17" s="283">
        <v>0</v>
      </c>
      <c r="HF17" s="283">
        <v>0</v>
      </c>
      <c r="HG17" s="283"/>
      <c r="HH17" s="283">
        <v>0</v>
      </c>
      <c r="HI17" s="283"/>
      <c r="HJ17" s="283">
        <v>0</v>
      </c>
      <c r="HK17" s="283"/>
      <c r="HL17" s="283">
        <v>0</v>
      </c>
      <c r="HM17" s="283">
        <v>-8.25</v>
      </c>
      <c r="HN17" s="283">
        <v>8.25</v>
      </c>
      <c r="HO17" s="283"/>
      <c r="HP17" s="283">
        <v>8.25</v>
      </c>
      <c r="HQ17" s="283"/>
      <c r="HR17" s="283">
        <v>0</v>
      </c>
      <c r="HS17" s="283"/>
      <c r="HT17" s="283">
        <v>0</v>
      </c>
      <c r="HU17" s="283">
        <f>8.25-1.67-23</f>
        <v>-16.420000000000002</v>
      </c>
      <c r="HV17" s="283">
        <v>16.5</v>
      </c>
      <c r="HW17" s="283"/>
      <c r="HX17" s="283">
        <v>0</v>
      </c>
      <c r="HY17" s="283">
        <v>8.25</v>
      </c>
      <c r="HZ17" s="283"/>
      <c r="IA17" s="283">
        <v>0</v>
      </c>
      <c r="IB17" s="283">
        <v>-8.25</v>
      </c>
      <c r="IC17" s="283">
        <v>8.25</v>
      </c>
      <c r="ID17" s="283"/>
      <c r="IE17" s="283">
        <v>8.25</v>
      </c>
      <c r="IF17" s="283"/>
      <c r="IG17" s="283">
        <v>8.3000000000000007</v>
      </c>
      <c r="IH17" s="283"/>
      <c r="II17" s="283">
        <v>7.5</v>
      </c>
      <c r="IJ17" s="283"/>
      <c r="IK17" s="283">
        <v>0</v>
      </c>
      <c r="IL17" s="283"/>
      <c r="IM17" s="283">
        <v>0</v>
      </c>
      <c r="IN17" s="283"/>
      <c r="IO17" s="260">
        <v>0</v>
      </c>
      <c r="IP17" s="288"/>
      <c r="IQ17" s="284">
        <f>+IR17+IS17</f>
        <v>0</v>
      </c>
      <c r="IR17" s="284">
        <v>-16.5</v>
      </c>
      <c r="IS17" s="284">
        <v>16.5</v>
      </c>
      <c r="IT17" s="284">
        <f>8.25+8.25</f>
        <v>16.5</v>
      </c>
      <c r="IU17" s="284">
        <v>0</v>
      </c>
      <c r="IV17" s="284"/>
      <c r="IW17" s="284">
        <v>0</v>
      </c>
      <c r="IX17" s="284"/>
      <c r="IY17" s="284">
        <v>38.25</v>
      </c>
      <c r="IZ17" s="284">
        <f>8.25-16.5+8.25+15+15</f>
        <v>30</v>
      </c>
      <c r="JA17" s="284">
        <v>8.25</v>
      </c>
      <c r="JB17" s="284">
        <f>8.25+45-30-30-9+8.25</f>
        <v>-7.5</v>
      </c>
      <c r="JC17" s="284">
        <f>8.25+7.5</f>
        <v>15.75</v>
      </c>
      <c r="JD17" s="284"/>
      <c r="JE17" s="284">
        <v>22.5</v>
      </c>
      <c r="JF17" s="284">
        <f>7.5+8.25</f>
        <v>15.75</v>
      </c>
      <c r="JG17" s="284">
        <v>6.8</v>
      </c>
      <c r="JH17" s="284"/>
      <c r="JI17" s="284">
        <v>0.25</v>
      </c>
      <c r="JJ17" s="284">
        <f>8.25*5-41</f>
        <v>0.25</v>
      </c>
      <c r="JK17" s="284">
        <v>0</v>
      </c>
      <c r="JL17" s="284">
        <f>8.25+8.25+8.25+8.25+8.25+8.25+8.25-30-30-14.5</f>
        <v>-16.75</v>
      </c>
      <c r="JM17" s="284">
        <v>16.7</v>
      </c>
      <c r="JN17" s="284">
        <f>8.25+8.25-30-11+8.25+8.25</f>
        <v>-8</v>
      </c>
      <c r="JO17" s="284">
        <v>24.78</v>
      </c>
      <c r="JP17" s="284"/>
      <c r="JQ17" s="284">
        <v>24.78</v>
      </c>
      <c r="JR17" s="284"/>
      <c r="JS17" s="284">
        <v>0</v>
      </c>
      <c r="JT17" s="284"/>
      <c r="JU17" s="284">
        <v>15.9</v>
      </c>
      <c r="JV17" s="284">
        <f>8.25+8.25+8.25+8.25-11.3-10-20+8.25+7.5</f>
        <v>7.4499999999999993</v>
      </c>
      <c r="JW17" s="284">
        <v>8.5</v>
      </c>
      <c r="JX17" s="284">
        <f>-66+8.25+8.25-8</f>
        <v>-57.5</v>
      </c>
      <c r="JY17" s="284">
        <v>66</v>
      </c>
      <c r="JZ17" s="284">
        <v>41.25</v>
      </c>
      <c r="KA17" s="284">
        <v>24.75</v>
      </c>
      <c r="KB17" s="284"/>
      <c r="KC17" s="284">
        <v>0</v>
      </c>
      <c r="KD17" s="284"/>
      <c r="KE17" s="284">
        <v>0</v>
      </c>
      <c r="KF17" s="284"/>
      <c r="KG17" s="284">
        <v>40.53</v>
      </c>
      <c r="KH17" s="284"/>
      <c r="KI17" s="284">
        <v>24.75</v>
      </c>
      <c r="KJ17" s="284"/>
      <c r="KK17" s="284">
        <v>0</v>
      </c>
      <c r="KL17" s="284"/>
      <c r="KM17" s="284">
        <v>0</v>
      </c>
      <c r="KN17" s="284"/>
      <c r="KO17" s="284">
        <v>0</v>
      </c>
      <c r="KP17" s="284"/>
      <c r="KQ17" s="284">
        <v>16.5</v>
      </c>
      <c r="KR17" s="284"/>
      <c r="KS17" s="284">
        <v>16.5</v>
      </c>
      <c r="KT17" s="284">
        <v>8.3000000000000007</v>
      </c>
      <c r="KU17">
        <v>92</v>
      </c>
      <c r="LA17">
        <v>2.5</v>
      </c>
      <c r="LB17">
        <v>44</v>
      </c>
      <c r="LC17">
        <v>44.4</v>
      </c>
      <c r="LD17">
        <v>44.4</v>
      </c>
      <c r="LE17">
        <v>66.400000000000006</v>
      </c>
      <c r="LF17">
        <v>66.400000000000006</v>
      </c>
      <c r="LJ17">
        <v>62.1</v>
      </c>
      <c r="LK17">
        <v>62.1</v>
      </c>
      <c r="LL17">
        <v>62.1</v>
      </c>
      <c r="LM17">
        <v>62.1</v>
      </c>
      <c r="LN17">
        <v>62.1</v>
      </c>
      <c r="LT17">
        <v>24</v>
      </c>
      <c r="LU17">
        <v>23</v>
      </c>
      <c r="LV17">
        <v>23.8</v>
      </c>
      <c r="LY17">
        <v>32.200000000000003</v>
      </c>
      <c r="MA17">
        <v>33</v>
      </c>
      <c r="MB17">
        <v>22.4</v>
      </c>
      <c r="MC17">
        <v>100.3</v>
      </c>
      <c r="MD17">
        <v>100.3</v>
      </c>
      <c r="ME17">
        <v>70</v>
      </c>
      <c r="MF17">
        <v>27.3</v>
      </c>
      <c r="MH17">
        <v>65.5</v>
      </c>
      <c r="MI17">
        <v>21.2</v>
      </c>
      <c r="MJ17">
        <v>21.2</v>
      </c>
      <c r="MK17">
        <v>21.2</v>
      </c>
      <c r="MQ17">
        <v>16.5</v>
      </c>
      <c r="MR17">
        <v>38.6</v>
      </c>
      <c r="MS17">
        <v>9</v>
      </c>
      <c r="MT17">
        <v>33</v>
      </c>
      <c r="MU17">
        <v>3.85</v>
      </c>
      <c r="MV17">
        <v>3.85</v>
      </c>
      <c r="MW17">
        <v>8.3000000000000007</v>
      </c>
      <c r="MX17">
        <v>2</v>
      </c>
      <c r="MY17">
        <v>6.3</v>
      </c>
      <c r="MZ17">
        <v>2</v>
      </c>
      <c r="NA17">
        <v>2</v>
      </c>
      <c r="NB17">
        <v>2</v>
      </c>
      <c r="NC17">
        <v>16.5</v>
      </c>
      <c r="NE17">
        <v>257.5</v>
      </c>
      <c r="NF17">
        <v>49.5</v>
      </c>
      <c r="NG17">
        <v>20</v>
      </c>
      <c r="NH17">
        <v>82</v>
      </c>
      <c r="NN17">
        <v>1</v>
      </c>
      <c r="NR17">
        <v>58.5</v>
      </c>
      <c r="NS17">
        <v>116.5</v>
      </c>
      <c r="NT17">
        <v>0.2</v>
      </c>
      <c r="NW17">
        <v>13.1</v>
      </c>
      <c r="NX17">
        <v>43.2</v>
      </c>
      <c r="NY17">
        <v>25</v>
      </c>
      <c r="NZ17">
        <v>13.8</v>
      </c>
      <c r="OA17">
        <v>13.8</v>
      </c>
      <c r="OB17">
        <v>92.7</v>
      </c>
      <c r="OD17">
        <v>139.4</v>
      </c>
      <c r="OL17">
        <v>81</v>
      </c>
      <c r="OM17">
        <v>22</v>
      </c>
      <c r="ON17">
        <v>65</v>
      </c>
      <c r="OO17">
        <v>222</v>
      </c>
      <c r="OP17">
        <v>22</v>
      </c>
      <c r="OQ17">
        <v>22</v>
      </c>
      <c r="OR17">
        <v>22</v>
      </c>
      <c r="OS17">
        <v>14.5</v>
      </c>
      <c r="OT17">
        <v>25</v>
      </c>
      <c r="OU17">
        <v>0.6</v>
      </c>
      <c r="OV17">
        <v>0.6</v>
      </c>
      <c r="OW17">
        <v>21</v>
      </c>
      <c r="OX17">
        <v>21</v>
      </c>
      <c r="RQ17">
        <v>62.1</v>
      </c>
      <c r="RR17">
        <v>62.1</v>
      </c>
      <c r="RS17">
        <v>62.1</v>
      </c>
      <c r="RT17">
        <v>62.1</v>
      </c>
      <c r="RU17">
        <v>62.1</v>
      </c>
      <c r="RV17">
        <v>62.1</v>
      </c>
      <c r="RW17">
        <v>62.1</v>
      </c>
      <c r="RX17">
        <v>62.1</v>
      </c>
      <c r="RY17">
        <v>62.1</v>
      </c>
      <c r="RZ17">
        <v>62.1</v>
      </c>
      <c r="SA17">
        <v>62.1</v>
      </c>
      <c r="SB17">
        <v>62.1</v>
      </c>
      <c r="SC17">
        <v>62.1</v>
      </c>
      <c r="SD17">
        <v>62.1</v>
      </c>
      <c r="SE17">
        <v>62.1</v>
      </c>
      <c r="SF17">
        <v>62.1</v>
      </c>
      <c r="SG17">
        <v>62.1</v>
      </c>
      <c r="SH17">
        <v>62.1</v>
      </c>
      <c r="SI17">
        <v>62.1</v>
      </c>
      <c r="SJ17">
        <v>62.1</v>
      </c>
      <c r="SK17">
        <v>62.1</v>
      </c>
      <c r="SL17">
        <v>62.1</v>
      </c>
      <c r="SM17">
        <v>62.1</v>
      </c>
      <c r="SN17">
        <v>62.1</v>
      </c>
      <c r="SO17">
        <v>62.1</v>
      </c>
      <c r="SP17">
        <v>62.1</v>
      </c>
      <c r="SQ17">
        <v>62.1</v>
      </c>
      <c r="SR17">
        <v>62.1</v>
      </c>
      <c r="SS17">
        <v>62.1</v>
      </c>
      <c r="ST17">
        <v>62.1</v>
      </c>
      <c r="AEK17" s="1304">
        <v>180</v>
      </c>
      <c r="AEM17" s="1304">
        <v>120</v>
      </c>
      <c r="AJT17">
        <v>62.1</v>
      </c>
      <c r="AJU17">
        <v>62.1</v>
      </c>
      <c r="AJV17">
        <v>62.1</v>
      </c>
      <c r="AJW17">
        <v>62.1</v>
      </c>
      <c r="AJX17">
        <v>62.1</v>
      </c>
      <c r="AJY17">
        <v>62.1</v>
      </c>
      <c r="AJZ17">
        <v>62.1</v>
      </c>
      <c r="AKA17">
        <v>62.1</v>
      </c>
      <c r="AKB17">
        <v>62.1</v>
      </c>
    </row>
    <row r="18" spans="1:964">
      <c r="A18" s="83">
        <v>14</v>
      </c>
      <c r="B18" s="74" t="s">
        <v>1704</v>
      </c>
      <c r="C18" s="74">
        <v>310453508</v>
      </c>
      <c r="D18" s="906" t="s">
        <v>6925</v>
      </c>
      <c r="E18" s="74">
        <v>310453508</v>
      </c>
      <c r="F18" s="74">
        <v>0</v>
      </c>
      <c r="G18" s="75">
        <v>168969</v>
      </c>
      <c r="H18" s="260"/>
      <c r="I18" s="260"/>
      <c r="J18" s="260"/>
      <c r="K18" s="260"/>
      <c r="L18" s="260"/>
      <c r="M18" s="260"/>
      <c r="N18" s="260"/>
      <c r="O18" s="283"/>
      <c r="P18" s="283"/>
      <c r="Q18" s="283"/>
      <c r="R18" s="283"/>
      <c r="S18" s="283"/>
      <c r="T18" s="283"/>
      <c r="U18" s="283"/>
      <c r="V18" s="283"/>
      <c r="W18" s="283"/>
      <c r="X18" s="283"/>
      <c r="Y18" s="283"/>
      <c r="Z18" s="283"/>
      <c r="AA18" s="283"/>
      <c r="AB18" s="283"/>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283"/>
      <c r="BL18" s="283"/>
      <c r="BM18" s="283"/>
      <c r="BN18" s="283"/>
      <c r="BO18" s="283"/>
      <c r="BP18" s="283"/>
      <c r="BQ18" s="283"/>
      <c r="BR18" s="283"/>
      <c r="BS18" s="283"/>
      <c r="BT18" s="283"/>
      <c r="BU18" s="283"/>
      <c r="BV18" s="283"/>
      <c r="BW18" s="283"/>
      <c r="BX18" s="283"/>
      <c r="BY18" s="283"/>
      <c r="BZ18" s="283"/>
      <c r="CA18" s="283"/>
      <c r="CB18" s="283"/>
      <c r="CC18" s="283"/>
      <c r="CD18" s="283"/>
      <c r="CE18" s="283"/>
      <c r="CF18" s="283"/>
      <c r="CG18" s="283"/>
      <c r="CH18" s="283"/>
      <c r="CI18" s="283"/>
      <c r="CJ18" s="283"/>
      <c r="CK18" s="283"/>
      <c r="CL18" s="283"/>
      <c r="CM18" s="283"/>
      <c r="CN18" s="283"/>
      <c r="CO18" s="283"/>
      <c r="CP18" s="283"/>
      <c r="CQ18" s="283"/>
      <c r="CR18" s="283"/>
      <c r="CS18" s="283"/>
      <c r="CT18" s="283"/>
      <c r="CU18" s="283"/>
      <c r="CV18" s="283"/>
      <c r="CW18" s="283"/>
      <c r="CX18" s="283"/>
      <c r="CY18" s="283"/>
      <c r="CZ18" s="283"/>
      <c r="DA18" s="283"/>
      <c r="DB18" s="283"/>
      <c r="DC18" s="283"/>
      <c r="DD18" s="283"/>
      <c r="DE18" s="283"/>
      <c r="DF18" s="283"/>
      <c r="DG18" s="283"/>
      <c r="DH18" s="283"/>
      <c r="DI18" s="283"/>
      <c r="DJ18" s="283"/>
      <c r="DK18" s="283"/>
      <c r="DL18" s="283"/>
      <c r="DM18" s="283"/>
      <c r="DN18" s="283"/>
      <c r="DO18" s="283"/>
      <c r="DP18" s="283"/>
      <c r="DQ18" s="283"/>
      <c r="DR18" s="283"/>
      <c r="DS18" s="283"/>
      <c r="DT18" s="283"/>
      <c r="DU18" s="283"/>
      <c r="DV18" s="283"/>
      <c r="DW18" s="283"/>
      <c r="DX18" s="283">
        <v>0</v>
      </c>
      <c r="DY18" s="283"/>
      <c r="DZ18" s="283"/>
      <c r="EA18" s="283"/>
      <c r="EB18" s="283"/>
      <c r="EC18" s="283"/>
      <c r="ED18" s="283"/>
      <c r="EE18" s="283"/>
      <c r="EF18" s="283">
        <v>0</v>
      </c>
      <c r="EG18" s="283"/>
      <c r="EH18" s="283"/>
      <c r="EI18" s="283"/>
      <c r="EJ18" s="283">
        <v>0</v>
      </c>
      <c r="EK18" s="283"/>
      <c r="EL18" s="283"/>
      <c r="EM18" s="283"/>
      <c r="EN18" s="283"/>
      <c r="EO18" s="283"/>
      <c r="EP18" s="283">
        <v>0</v>
      </c>
      <c r="EQ18" s="283"/>
      <c r="ER18" s="283">
        <v>2</v>
      </c>
      <c r="ES18" s="283"/>
      <c r="ET18" s="283">
        <v>2</v>
      </c>
      <c r="EU18" s="283"/>
      <c r="EV18" s="283">
        <v>2</v>
      </c>
      <c r="EW18" s="283"/>
      <c r="EX18" s="283">
        <v>2</v>
      </c>
      <c r="EY18" s="283"/>
      <c r="EZ18" s="283">
        <v>2</v>
      </c>
      <c r="FA18" s="283"/>
      <c r="FB18" s="283">
        <v>2.06</v>
      </c>
      <c r="FC18" s="283"/>
      <c r="FD18" s="283">
        <v>2.0329999999999999</v>
      </c>
      <c r="FE18" s="283"/>
      <c r="FF18" s="283"/>
      <c r="FG18" s="283"/>
      <c r="FH18" s="283"/>
      <c r="FI18" s="283"/>
      <c r="FJ18" s="283">
        <v>0</v>
      </c>
      <c r="FK18" s="283"/>
      <c r="FL18" s="283"/>
      <c r="FM18" s="283"/>
      <c r="FN18" s="283"/>
      <c r="FO18" s="283"/>
      <c r="FP18" s="283">
        <v>0</v>
      </c>
      <c r="FQ18" s="283"/>
      <c r="FR18" s="283">
        <v>22.7</v>
      </c>
      <c r="FS18" s="283"/>
      <c r="FT18" s="283">
        <v>23</v>
      </c>
      <c r="FU18" s="283"/>
      <c r="FV18" s="283"/>
      <c r="FW18" s="283"/>
      <c r="FX18" s="283"/>
      <c r="FY18" s="283"/>
      <c r="FZ18" s="283"/>
      <c r="GA18" s="283"/>
      <c r="GB18" s="283"/>
      <c r="GC18" s="283"/>
      <c r="GD18" s="283"/>
      <c r="GE18" s="283">
        <v>0</v>
      </c>
      <c r="GF18" s="283"/>
      <c r="GG18" s="283"/>
      <c r="GH18" s="283"/>
      <c r="GI18" s="283">
        <v>0</v>
      </c>
      <c r="GJ18" s="283"/>
      <c r="GK18" s="283"/>
      <c r="GL18" s="283"/>
      <c r="GM18" s="283"/>
      <c r="GN18" s="283"/>
      <c r="GO18" s="283">
        <v>0</v>
      </c>
      <c r="GP18" s="283"/>
      <c r="GQ18" s="283">
        <v>0</v>
      </c>
      <c r="GR18" s="283"/>
      <c r="GS18" s="283">
        <v>0</v>
      </c>
      <c r="GT18" s="283"/>
      <c r="GU18" s="283"/>
      <c r="GV18" s="283"/>
      <c r="GW18" s="283">
        <v>0</v>
      </c>
      <c r="GX18" s="283">
        <v>0</v>
      </c>
      <c r="GY18" s="283"/>
      <c r="GZ18" s="283">
        <v>0</v>
      </c>
      <c r="HA18" s="283"/>
      <c r="HB18" s="283"/>
      <c r="HC18" s="283"/>
      <c r="HD18" s="283">
        <v>0</v>
      </c>
      <c r="HE18" s="283">
        <v>0</v>
      </c>
      <c r="HF18" s="283">
        <v>0</v>
      </c>
      <c r="HG18" s="283"/>
      <c r="HH18" s="283">
        <v>0</v>
      </c>
      <c r="HI18" s="283"/>
      <c r="HJ18" s="283">
        <v>0</v>
      </c>
      <c r="HK18" s="283"/>
      <c r="HL18" s="283">
        <v>0</v>
      </c>
      <c r="HM18" s="283"/>
      <c r="HN18" s="283">
        <v>0</v>
      </c>
      <c r="HO18" s="283">
        <v>0</v>
      </c>
      <c r="HP18" s="283">
        <v>0</v>
      </c>
      <c r="HQ18" s="283"/>
      <c r="HR18" s="283">
        <v>0</v>
      </c>
      <c r="HS18" s="283"/>
      <c r="HT18" s="283">
        <v>0</v>
      </c>
      <c r="HU18" s="283"/>
      <c r="HV18" s="283">
        <v>0</v>
      </c>
      <c r="HW18" s="283">
        <f>5-4.98</f>
        <v>1.9999999999999574E-2</v>
      </c>
      <c r="HX18" s="283">
        <v>0</v>
      </c>
      <c r="HY18" s="283">
        <v>0</v>
      </c>
      <c r="HZ18" s="283">
        <v>0</v>
      </c>
      <c r="IA18" s="283">
        <v>0</v>
      </c>
      <c r="IB18" s="283">
        <v>-22</v>
      </c>
      <c r="IC18" s="283">
        <v>22</v>
      </c>
      <c r="ID18" s="283">
        <v>22</v>
      </c>
      <c r="IE18" s="283">
        <v>22</v>
      </c>
      <c r="IF18" s="283">
        <v>22</v>
      </c>
      <c r="IG18" s="283">
        <v>21</v>
      </c>
      <c r="IH18" s="283">
        <f>-28.1+21</f>
        <v>-7.1000000000000014</v>
      </c>
      <c r="II18" s="283">
        <v>28.1</v>
      </c>
      <c r="IJ18" s="283">
        <v>24</v>
      </c>
      <c r="IK18" s="283">
        <v>4.0999999999999996</v>
      </c>
      <c r="IL18" s="283">
        <v>4.0999999999999996</v>
      </c>
      <c r="IM18" s="283">
        <v>0</v>
      </c>
      <c r="IN18" s="283"/>
      <c r="IO18" s="283">
        <v>0</v>
      </c>
      <c r="IP18" s="283"/>
      <c r="IQ18" s="283">
        <f>+IR18+IS18</f>
        <v>0</v>
      </c>
      <c r="IR18" s="283">
        <f>-15-5</f>
        <v>-20</v>
      </c>
      <c r="IS18" s="283">
        <v>20</v>
      </c>
      <c r="IT18" s="283">
        <v>20</v>
      </c>
      <c r="IU18" s="283">
        <v>0</v>
      </c>
      <c r="IV18" s="283">
        <v>0</v>
      </c>
      <c r="IW18" s="283">
        <v>0</v>
      </c>
      <c r="IX18" s="283"/>
      <c r="IY18" s="283">
        <v>0</v>
      </c>
      <c r="IZ18" s="283"/>
      <c r="JA18" s="283">
        <v>0</v>
      </c>
      <c r="JB18" s="283"/>
      <c r="JC18" s="283">
        <v>0</v>
      </c>
      <c r="JD18" s="283"/>
      <c r="JE18" s="283">
        <v>33</v>
      </c>
      <c r="JF18" s="283">
        <v>33</v>
      </c>
      <c r="JG18" s="283">
        <v>0</v>
      </c>
      <c r="JH18" s="283">
        <v>0</v>
      </c>
      <c r="JI18" s="283">
        <v>0</v>
      </c>
      <c r="JJ18" s="283"/>
      <c r="JK18" s="283">
        <v>0</v>
      </c>
      <c r="JL18" s="283"/>
      <c r="JM18" s="283">
        <v>0</v>
      </c>
      <c r="JN18" s="283"/>
      <c r="JO18" s="283">
        <v>0</v>
      </c>
      <c r="JP18" s="283">
        <v>-32.200000000000003</v>
      </c>
      <c r="JQ18" s="283">
        <v>32.200000000000003</v>
      </c>
      <c r="JR18" s="283">
        <v>31.71</v>
      </c>
      <c r="JS18" s="283">
        <v>0.5</v>
      </c>
      <c r="JT18" s="283"/>
      <c r="JU18" s="283">
        <v>0.5</v>
      </c>
      <c r="JV18" s="283"/>
      <c r="JW18" s="283">
        <v>0.5</v>
      </c>
      <c r="JX18" s="283"/>
      <c r="JY18" s="283">
        <v>0.5</v>
      </c>
      <c r="JZ18" s="283"/>
      <c r="KA18" s="283">
        <v>0.5</v>
      </c>
      <c r="KB18" s="283"/>
      <c r="KC18" s="283">
        <v>0.5</v>
      </c>
      <c r="KD18" s="283"/>
      <c r="KE18" s="283">
        <v>0.5</v>
      </c>
      <c r="KF18" s="283">
        <v>0</v>
      </c>
      <c r="KG18" s="283">
        <v>0.5</v>
      </c>
      <c r="KH18" s="283"/>
      <c r="KI18" s="283">
        <v>0.5</v>
      </c>
      <c r="KJ18" s="283">
        <v>-52</v>
      </c>
      <c r="KK18" s="283">
        <v>52.5</v>
      </c>
      <c r="KL18" s="283">
        <f>23-74+24+30-1.66</f>
        <v>1.34</v>
      </c>
      <c r="KM18" s="283">
        <v>51.2</v>
      </c>
      <c r="KN18" s="283">
        <v>33</v>
      </c>
      <c r="KO18" s="283">
        <v>18.2</v>
      </c>
      <c r="KP18" s="283"/>
      <c r="KQ18" s="283">
        <v>0.2</v>
      </c>
      <c r="KR18" s="297">
        <v>69</v>
      </c>
      <c r="KS18" s="283">
        <f>+KT18-KW18</f>
        <v>69.199999999999989</v>
      </c>
      <c r="KT18" s="283">
        <v>159.19999999999999</v>
      </c>
      <c r="KU18" s="260">
        <v>135.19999999999999</v>
      </c>
      <c r="KV18" s="288"/>
      <c r="KW18" s="288">
        <v>90</v>
      </c>
      <c r="LA18">
        <v>93.7</v>
      </c>
      <c r="LB18">
        <v>33.700000000000003</v>
      </c>
      <c r="LC18">
        <v>55.7</v>
      </c>
      <c r="LD18">
        <v>55.7</v>
      </c>
      <c r="LE18">
        <v>5.7</v>
      </c>
      <c r="LF18">
        <v>5.7</v>
      </c>
      <c r="LG18">
        <v>5.7</v>
      </c>
      <c r="LH18">
        <v>10</v>
      </c>
      <c r="LI18">
        <v>10</v>
      </c>
      <c r="LJ18">
        <v>1</v>
      </c>
      <c r="LK18">
        <v>1</v>
      </c>
      <c r="LL18">
        <v>1</v>
      </c>
      <c r="LM18">
        <v>1</v>
      </c>
      <c r="LO18">
        <v>10</v>
      </c>
      <c r="LP18">
        <v>24</v>
      </c>
      <c r="LQ18">
        <v>24.75</v>
      </c>
      <c r="LR18">
        <v>40.53</v>
      </c>
      <c r="LT18">
        <v>120.4</v>
      </c>
      <c r="LU18">
        <v>23.8</v>
      </c>
      <c r="LV18">
        <v>21.5</v>
      </c>
      <c r="LY18">
        <v>16.5</v>
      </c>
      <c r="MA18">
        <v>77</v>
      </c>
      <c r="MB18">
        <v>34.799999999999997</v>
      </c>
      <c r="MF18">
        <v>49.5</v>
      </c>
      <c r="MH18">
        <v>108.8</v>
      </c>
      <c r="MI18">
        <v>22.5</v>
      </c>
      <c r="MJ18">
        <v>22.5</v>
      </c>
      <c r="MK18">
        <v>22.5</v>
      </c>
      <c r="MQ18">
        <v>20</v>
      </c>
      <c r="MS18">
        <v>39.5</v>
      </c>
      <c r="MT18">
        <v>153.5</v>
      </c>
      <c r="MU18">
        <v>2</v>
      </c>
      <c r="MV18">
        <v>2</v>
      </c>
      <c r="MW18">
        <v>21</v>
      </c>
      <c r="MX18">
        <v>8.25</v>
      </c>
      <c r="MY18">
        <v>8.3000000000000007</v>
      </c>
      <c r="MZ18">
        <v>5</v>
      </c>
      <c r="NA18">
        <v>5</v>
      </c>
      <c r="NB18">
        <v>8.25</v>
      </c>
      <c r="NF18">
        <v>194.2</v>
      </c>
      <c r="NN18">
        <v>31.76</v>
      </c>
      <c r="NS18">
        <v>86.5</v>
      </c>
      <c r="NT18">
        <v>33.4</v>
      </c>
      <c r="NW18">
        <v>69.599999999999994</v>
      </c>
      <c r="OB18">
        <v>27.4</v>
      </c>
      <c r="OM18">
        <v>48.5</v>
      </c>
      <c r="ON18">
        <v>20.2</v>
      </c>
      <c r="OO18">
        <v>199.2</v>
      </c>
      <c r="OP18">
        <v>134.30000000000001</v>
      </c>
      <c r="OQ18">
        <v>134.30000000000001</v>
      </c>
      <c r="OR18">
        <v>134.30000000000001</v>
      </c>
      <c r="OS18">
        <v>66</v>
      </c>
      <c r="OU18">
        <v>26.5</v>
      </c>
      <c r="OV18">
        <v>14.5</v>
      </c>
      <c r="OW18">
        <v>0.5</v>
      </c>
      <c r="OX18">
        <v>0.5</v>
      </c>
      <c r="AEK18" s="1304">
        <v>40</v>
      </c>
      <c r="AEM18" s="1304">
        <v>20</v>
      </c>
      <c r="AEN18" s="1304">
        <v>664</v>
      </c>
    </row>
    <row r="19" spans="1:964">
      <c r="A19" s="83">
        <v>15</v>
      </c>
      <c r="B19" s="74" t="s">
        <v>1705</v>
      </c>
      <c r="C19" s="911">
        <v>310453174</v>
      </c>
      <c r="D19" s="911"/>
      <c r="E19" s="74">
        <v>310453174</v>
      </c>
      <c r="F19" s="922">
        <v>0</v>
      </c>
      <c r="G19" s="75">
        <v>337796</v>
      </c>
      <c r="H19" s="260"/>
      <c r="I19" s="260"/>
      <c r="J19" s="260"/>
      <c r="K19" s="260"/>
      <c r="L19" s="260"/>
      <c r="M19" s="260"/>
      <c r="N19" s="260"/>
      <c r="O19" s="283"/>
      <c r="P19" s="283"/>
      <c r="Q19" s="283"/>
      <c r="R19" s="283"/>
      <c r="S19" s="283"/>
      <c r="T19" s="283"/>
      <c r="U19" s="283"/>
      <c r="V19" s="283"/>
      <c r="W19" s="283"/>
      <c r="X19" s="283" t="s">
        <v>1345</v>
      </c>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c r="CQ19" s="283"/>
      <c r="CR19" s="283"/>
      <c r="CS19" s="283"/>
      <c r="CT19" s="283"/>
      <c r="CU19" s="283"/>
      <c r="CV19" s="283"/>
      <c r="CW19" s="283"/>
      <c r="CX19" s="283"/>
      <c r="CY19" s="283"/>
      <c r="CZ19" s="283"/>
      <c r="DA19" s="283"/>
      <c r="DB19" s="283"/>
      <c r="DC19" s="283"/>
      <c r="DD19" s="283"/>
      <c r="DE19" s="283"/>
      <c r="DF19" s="283"/>
      <c r="DG19" s="283"/>
      <c r="DH19" s="283"/>
      <c r="DI19" s="283"/>
      <c r="DJ19" s="283"/>
      <c r="DK19" s="283"/>
      <c r="DL19" s="283"/>
      <c r="DM19" s="283"/>
      <c r="DN19" s="283"/>
      <c r="DO19" s="283"/>
      <c r="DP19" s="283"/>
      <c r="DQ19" s="283"/>
      <c r="DR19" s="283"/>
      <c r="DS19" s="283"/>
      <c r="DT19" s="283"/>
      <c r="DU19" s="283"/>
      <c r="DV19" s="283"/>
      <c r="DW19" s="283"/>
      <c r="DX19" s="283">
        <v>0</v>
      </c>
      <c r="DY19" s="283"/>
      <c r="DZ19" s="283"/>
      <c r="EA19" s="283"/>
      <c r="EB19" s="283"/>
      <c r="EC19" s="283"/>
      <c r="ED19" s="283"/>
      <c r="EE19" s="283"/>
      <c r="EF19" s="283">
        <v>0</v>
      </c>
      <c r="EG19" s="283"/>
      <c r="EH19" s="283"/>
      <c r="EI19" s="283"/>
      <c r="EJ19" s="283">
        <v>0</v>
      </c>
      <c r="EK19" s="283"/>
      <c r="EL19" s="283"/>
      <c r="EM19" s="283"/>
      <c r="EN19" s="283"/>
      <c r="EO19" s="283"/>
      <c r="EP19" s="283">
        <v>0</v>
      </c>
      <c r="EQ19" s="283"/>
      <c r="ER19" s="283">
        <v>0</v>
      </c>
      <c r="ES19" s="283"/>
      <c r="ET19" s="283">
        <v>0</v>
      </c>
      <c r="EU19" s="283"/>
      <c r="EV19" s="283">
        <v>0</v>
      </c>
      <c r="EW19" s="283"/>
      <c r="EX19" s="283">
        <v>0</v>
      </c>
      <c r="EY19" s="283"/>
      <c r="EZ19" s="283">
        <v>0</v>
      </c>
      <c r="FA19" s="283"/>
      <c r="FB19" s="283">
        <v>0</v>
      </c>
      <c r="FC19" s="283"/>
      <c r="FD19" s="283">
        <v>0</v>
      </c>
      <c r="FE19" s="283"/>
      <c r="FF19" s="283"/>
      <c r="FG19" s="283"/>
      <c r="FH19" s="283"/>
      <c r="FI19" s="283"/>
      <c r="FJ19" s="283">
        <v>0</v>
      </c>
      <c r="FK19" s="283"/>
      <c r="FL19" s="283"/>
      <c r="FM19" s="283"/>
      <c r="FN19" s="283"/>
      <c r="FO19" s="283"/>
      <c r="FP19" s="283">
        <v>0</v>
      </c>
      <c r="FQ19" s="283"/>
      <c r="FR19" s="283">
        <v>0</v>
      </c>
      <c r="FS19" s="283"/>
      <c r="FT19" s="283">
        <v>0</v>
      </c>
      <c r="FU19" s="283">
        <v>0</v>
      </c>
      <c r="FV19" s="283"/>
      <c r="FW19" s="283"/>
      <c r="FX19" s="283"/>
      <c r="FY19" s="283"/>
      <c r="FZ19" s="283"/>
      <c r="GA19" s="283"/>
      <c r="GB19" s="283"/>
      <c r="GC19" s="283"/>
      <c r="GD19" s="283"/>
      <c r="GE19" s="283">
        <v>0</v>
      </c>
      <c r="GF19" s="283"/>
      <c r="GG19" s="283"/>
      <c r="GH19" s="283"/>
      <c r="GI19" s="283">
        <v>0</v>
      </c>
      <c r="GJ19" s="283"/>
      <c r="GK19" s="283"/>
      <c r="GL19" s="283"/>
      <c r="GM19" s="283"/>
      <c r="GN19" s="283"/>
      <c r="GO19" s="283">
        <v>0</v>
      </c>
      <c r="GP19" s="283"/>
      <c r="GQ19" s="283">
        <v>0</v>
      </c>
      <c r="GR19" s="283"/>
      <c r="GS19" s="283">
        <v>0</v>
      </c>
      <c r="GT19" s="283"/>
      <c r="GU19" s="283"/>
      <c r="GV19" s="283"/>
      <c r="GW19" s="283">
        <v>0</v>
      </c>
      <c r="GX19" s="283">
        <v>0</v>
      </c>
      <c r="GY19" s="283"/>
      <c r="GZ19" s="283">
        <v>0</v>
      </c>
      <c r="HA19" s="283"/>
      <c r="HB19" s="283">
        <v>0</v>
      </c>
      <c r="HC19" s="283"/>
      <c r="HD19" s="283">
        <v>0</v>
      </c>
      <c r="HE19" s="283">
        <v>0</v>
      </c>
      <c r="HF19" s="283">
        <v>0</v>
      </c>
      <c r="HG19" s="283"/>
      <c r="HH19" s="283">
        <v>0</v>
      </c>
      <c r="HI19" s="283"/>
      <c r="HJ19" s="283">
        <v>0</v>
      </c>
      <c r="HK19" s="283"/>
      <c r="HL19" s="283">
        <v>0</v>
      </c>
      <c r="HM19" s="283"/>
      <c r="HN19" s="283">
        <v>0</v>
      </c>
      <c r="HO19" s="283">
        <v>0</v>
      </c>
      <c r="HP19" s="283">
        <v>0</v>
      </c>
      <c r="HQ19" s="283"/>
      <c r="HR19" s="283">
        <v>0</v>
      </c>
      <c r="HS19" s="283"/>
      <c r="HT19" s="283">
        <v>0</v>
      </c>
      <c r="HU19" s="283"/>
      <c r="HV19" s="283">
        <v>0</v>
      </c>
      <c r="HW19" s="283"/>
      <c r="HX19" s="283">
        <v>0</v>
      </c>
      <c r="HY19" s="283">
        <v>0</v>
      </c>
      <c r="HZ19" s="283">
        <v>0</v>
      </c>
      <c r="IA19" s="283">
        <v>0</v>
      </c>
      <c r="IB19" s="283">
        <v>-11</v>
      </c>
      <c r="IC19" s="283">
        <v>11</v>
      </c>
      <c r="ID19" s="283">
        <v>11</v>
      </c>
      <c r="IE19" s="283">
        <v>0</v>
      </c>
      <c r="IF19" s="283"/>
      <c r="IG19" s="283">
        <v>0</v>
      </c>
      <c r="IH19" s="283">
        <v>-3.2</v>
      </c>
      <c r="II19" s="283">
        <v>3.2</v>
      </c>
      <c r="IJ19" s="283"/>
      <c r="IK19" s="283">
        <v>3.2</v>
      </c>
      <c r="IL19" s="283">
        <v>3.2</v>
      </c>
      <c r="IM19" s="283">
        <v>0</v>
      </c>
      <c r="IN19" s="283"/>
      <c r="IO19" s="283">
        <v>0</v>
      </c>
      <c r="IP19" s="283"/>
      <c r="IQ19" s="283">
        <v>0</v>
      </c>
      <c r="IR19" s="283"/>
      <c r="IS19" s="283">
        <v>0</v>
      </c>
      <c r="IT19" s="283">
        <v>0</v>
      </c>
      <c r="IU19" s="283">
        <v>0</v>
      </c>
      <c r="IV19" s="283">
        <v>0</v>
      </c>
      <c r="IW19" s="283">
        <v>0</v>
      </c>
      <c r="IX19" s="283"/>
      <c r="IY19" s="283">
        <v>0</v>
      </c>
      <c r="IZ19" s="283"/>
      <c r="JA19" s="283">
        <v>0</v>
      </c>
      <c r="JB19" s="283"/>
      <c r="JC19" s="283">
        <v>0</v>
      </c>
      <c r="JD19" s="283"/>
      <c r="JE19" s="283">
        <v>0</v>
      </c>
      <c r="JF19" s="283">
        <v>0</v>
      </c>
      <c r="JG19" s="283">
        <v>0</v>
      </c>
      <c r="JH19" s="283">
        <v>0</v>
      </c>
      <c r="JI19" s="283">
        <v>24</v>
      </c>
      <c r="JJ19" s="283">
        <v>24</v>
      </c>
      <c r="JK19" s="283">
        <v>0</v>
      </c>
      <c r="JL19" s="283"/>
      <c r="JM19" s="283">
        <v>0</v>
      </c>
      <c r="JN19" s="283"/>
      <c r="JO19" s="283">
        <v>0</v>
      </c>
      <c r="JP19" s="283">
        <v>-32.200000000000003</v>
      </c>
      <c r="JQ19" s="283">
        <v>32.200000000000003</v>
      </c>
      <c r="JR19" s="283">
        <v>32.200000000000003</v>
      </c>
      <c r="JS19" s="283">
        <v>0</v>
      </c>
      <c r="JT19" s="283"/>
      <c r="JU19" s="283">
        <v>0</v>
      </c>
      <c r="JV19" s="283"/>
      <c r="JW19" s="283">
        <v>0</v>
      </c>
      <c r="JX19" s="283"/>
      <c r="JY19" s="283">
        <v>50</v>
      </c>
      <c r="JZ19" s="283"/>
      <c r="KA19" s="283">
        <v>0</v>
      </c>
      <c r="KB19" s="283">
        <v>-50</v>
      </c>
      <c r="KC19" s="283">
        <v>50</v>
      </c>
      <c r="KD19" s="283">
        <v>50</v>
      </c>
      <c r="KE19" s="283">
        <v>0</v>
      </c>
      <c r="KF19" s="283">
        <v>0</v>
      </c>
      <c r="KG19" s="283">
        <v>0</v>
      </c>
      <c r="KH19" s="283"/>
      <c r="KI19" s="283">
        <v>0</v>
      </c>
      <c r="KJ19" s="283">
        <v>-32</v>
      </c>
      <c r="KK19" s="283">
        <v>32.04</v>
      </c>
      <c r="KL19" s="283">
        <f>25-1.66</f>
        <v>23.34</v>
      </c>
      <c r="KM19" s="283">
        <v>8.6999999999999993</v>
      </c>
      <c r="KN19" s="283">
        <v>-200</v>
      </c>
      <c r="KO19" s="283">
        <v>209</v>
      </c>
      <c r="KP19" s="283">
        <v>100</v>
      </c>
      <c r="KQ19" s="283">
        <f>24+KS19</f>
        <v>190</v>
      </c>
      <c r="KR19" s="283"/>
      <c r="KS19" s="283">
        <f>+KT19+KV19-KW19</f>
        <v>166</v>
      </c>
      <c r="KT19" s="283">
        <v>211</v>
      </c>
      <c r="KU19" s="260">
        <v>111.9</v>
      </c>
      <c r="KV19" s="288">
        <f>21+24</f>
        <v>45</v>
      </c>
      <c r="KW19" s="288">
        <v>90</v>
      </c>
      <c r="LA19">
        <v>116</v>
      </c>
      <c r="LB19">
        <v>92</v>
      </c>
      <c r="LC19">
        <v>92</v>
      </c>
      <c r="LD19">
        <v>92</v>
      </c>
      <c r="LE19">
        <v>8.3000000000000007</v>
      </c>
      <c r="LF19">
        <v>16.5</v>
      </c>
      <c r="LG19">
        <v>16.5</v>
      </c>
      <c r="LH19">
        <v>18.2</v>
      </c>
      <c r="LI19">
        <v>51.2</v>
      </c>
      <c r="LJ19">
        <v>25</v>
      </c>
      <c r="LK19">
        <v>25</v>
      </c>
      <c r="LL19">
        <v>25</v>
      </c>
      <c r="LM19">
        <v>25</v>
      </c>
      <c r="LN19">
        <v>25</v>
      </c>
      <c r="LO19">
        <v>51.2</v>
      </c>
      <c r="LP19">
        <v>52.5</v>
      </c>
      <c r="LQ19">
        <v>0.5</v>
      </c>
      <c r="LR19">
        <v>0.5</v>
      </c>
      <c r="LT19">
        <v>30.2</v>
      </c>
      <c r="LU19">
        <v>21.5</v>
      </c>
      <c r="LV19">
        <v>97.3</v>
      </c>
      <c r="LW19">
        <v>52.3</v>
      </c>
      <c r="LX19">
        <v>52.3</v>
      </c>
      <c r="LY19">
        <v>21.5</v>
      </c>
      <c r="MH19">
        <v>19</v>
      </c>
      <c r="MI19">
        <v>83.7</v>
      </c>
      <c r="MJ19">
        <v>83.7</v>
      </c>
      <c r="MK19">
        <v>83.7</v>
      </c>
      <c r="MQ19">
        <v>76</v>
      </c>
      <c r="MS19">
        <v>76.5</v>
      </c>
      <c r="MU19">
        <v>4.0999999999999996</v>
      </c>
      <c r="MV19">
        <v>7.5</v>
      </c>
      <c r="MW19">
        <v>29.9</v>
      </c>
      <c r="MX19">
        <v>22</v>
      </c>
      <c r="MY19">
        <v>2</v>
      </c>
      <c r="NB19">
        <v>4.5</v>
      </c>
      <c r="NN19">
        <v>18</v>
      </c>
      <c r="NS19">
        <v>136.5</v>
      </c>
      <c r="NT19">
        <v>23.1</v>
      </c>
      <c r="OP19">
        <v>25</v>
      </c>
      <c r="OQ19">
        <v>25</v>
      </c>
      <c r="OR19">
        <v>25</v>
      </c>
      <c r="OS19">
        <v>85.1</v>
      </c>
      <c r="OU19">
        <v>14.5</v>
      </c>
      <c r="OV19">
        <v>25</v>
      </c>
      <c r="OW19">
        <v>21.9</v>
      </c>
      <c r="OX19">
        <v>21.9</v>
      </c>
      <c r="RQ19">
        <v>25</v>
      </c>
      <c r="RR19">
        <v>25</v>
      </c>
      <c r="RS19">
        <v>25</v>
      </c>
      <c r="RT19">
        <v>25</v>
      </c>
      <c r="RU19">
        <v>25</v>
      </c>
      <c r="AEM19" s="1304">
        <v>190</v>
      </c>
      <c r="AEN19" s="1304">
        <v>1521</v>
      </c>
    </row>
    <row r="20" spans="1:964">
      <c r="A20" s="83">
        <v>16</v>
      </c>
      <c r="B20" s="74" t="s">
        <v>1762</v>
      </c>
      <c r="C20" s="74">
        <v>310455544</v>
      </c>
      <c r="D20" s="74"/>
      <c r="E20" s="74">
        <v>310455544</v>
      </c>
      <c r="F20" s="74">
        <v>0</v>
      </c>
      <c r="G20" s="75">
        <v>845517</v>
      </c>
      <c r="H20" s="260"/>
      <c r="I20" s="260"/>
      <c r="J20" s="260"/>
      <c r="K20" s="260"/>
      <c r="L20" s="260"/>
      <c r="M20" s="260"/>
      <c r="N20" s="260"/>
      <c r="O20" s="283"/>
      <c r="P20" s="283"/>
      <c r="Q20" s="283"/>
      <c r="R20" s="283"/>
      <c r="S20" s="283"/>
      <c r="T20" s="283"/>
      <c r="U20" s="283"/>
      <c r="V20" s="283"/>
      <c r="W20" s="283"/>
      <c r="X20" s="283"/>
      <c r="Y20" s="283"/>
      <c r="Z20" s="283"/>
      <c r="AA20" s="283"/>
      <c r="AB20" s="283"/>
      <c r="AC20" s="283"/>
      <c r="AD20" s="283"/>
      <c r="AE20" s="283"/>
      <c r="AF20" s="283"/>
      <c r="AG20" s="283"/>
      <c r="AH20" s="283"/>
      <c r="AI20" s="283"/>
      <c r="AJ20" s="283"/>
      <c r="AK20" s="283"/>
      <c r="AL20" s="283"/>
      <c r="AM20" s="283"/>
      <c r="AN20" s="283"/>
      <c r="AO20" s="283"/>
      <c r="AP20" s="283"/>
      <c r="AQ20" s="283"/>
      <c r="AR20" s="283"/>
      <c r="AS20" s="283"/>
      <c r="AT20" s="283"/>
      <c r="AU20" s="283"/>
      <c r="AV20" s="283"/>
      <c r="AW20" s="283"/>
      <c r="AX20" s="283"/>
      <c r="AY20" s="283"/>
      <c r="AZ20" s="283"/>
      <c r="BA20" s="283"/>
      <c r="BB20" s="283"/>
      <c r="BC20" s="283"/>
      <c r="BD20" s="283"/>
      <c r="BE20" s="283"/>
      <c r="BF20" s="283"/>
      <c r="BG20" s="283"/>
      <c r="BH20" s="283"/>
      <c r="BI20" s="283"/>
      <c r="BJ20" s="283"/>
      <c r="BK20" s="283"/>
      <c r="BL20" s="283"/>
      <c r="BM20" s="283"/>
      <c r="BN20" s="283"/>
      <c r="BO20" s="283"/>
      <c r="BP20" s="283"/>
      <c r="BQ20" s="283"/>
      <c r="BR20" s="283"/>
      <c r="BS20" s="283"/>
      <c r="BT20" s="283"/>
      <c r="BU20" s="283"/>
      <c r="BV20" s="283"/>
      <c r="BW20" s="283"/>
      <c r="BX20" s="283"/>
      <c r="BY20" s="283"/>
      <c r="BZ20" s="283"/>
      <c r="CA20" s="283"/>
      <c r="CB20" s="283"/>
      <c r="CC20" s="283"/>
      <c r="CD20" s="283"/>
      <c r="CE20" s="283"/>
      <c r="CF20" s="283"/>
      <c r="CG20" s="283"/>
      <c r="CH20" s="283"/>
      <c r="CI20" s="283"/>
      <c r="CJ20" s="283"/>
      <c r="CK20" s="283"/>
      <c r="CL20" s="283"/>
      <c r="CM20" s="283"/>
      <c r="CN20" s="283"/>
      <c r="CO20" s="283"/>
      <c r="CP20" s="283"/>
      <c r="CQ20" s="283"/>
      <c r="CR20" s="283"/>
      <c r="CS20" s="283"/>
      <c r="CT20" s="283"/>
      <c r="CU20" s="283"/>
      <c r="CV20" s="283"/>
      <c r="CW20" s="283"/>
      <c r="CX20" s="283"/>
      <c r="CY20" s="283"/>
      <c r="CZ20" s="283"/>
      <c r="DA20" s="283"/>
      <c r="DB20" s="283"/>
      <c r="DC20" s="283"/>
      <c r="DD20" s="283"/>
      <c r="DE20" s="283"/>
      <c r="DF20" s="283"/>
      <c r="DG20" s="283"/>
      <c r="DH20" s="283"/>
      <c r="DI20" s="283"/>
      <c r="DJ20" s="283"/>
      <c r="DK20" s="283"/>
      <c r="DL20" s="283"/>
      <c r="DM20" s="283"/>
      <c r="DN20" s="283"/>
      <c r="DO20" s="283"/>
      <c r="DP20" s="283"/>
      <c r="DQ20" s="283"/>
      <c r="DR20" s="283"/>
      <c r="DS20" s="283"/>
      <c r="DT20" s="283"/>
      <c r="DU20" s="283"/>
      <c r="DV20" s="283"/>
      <c r="DW20" s="283"/>
      <c r="DX20" s="283">
        <v>0</v>
      </c>
      <c r="DY20" s="283"/>
      <c r="DZ20" s="283"/>
      <c r="EA20" s="283"/>
      <c r="EB20" s="283"/>
      <c r="EC20" s="283"/>
      <c r="ED20" s="283"/>
      <c r="EE20" s="283"/>
      <c r="EF20" s="283">
        <v>0</v>
      </c>
      <c r="EG20" s="283"/>
      <c r="EH20" s="283"/>
      <c r="EI20" s="283"/>
      <c r="EJ20" s="283">
        <v>0</v>
      </c>
      <c r="EK20" s="283"/>
      <c r="EL20" s="283"/>
      <c r="EM20" s="283"/>
      <c r="EN20" s="283"/>
      <c r="EO20" s="283"/>
      <c r="EP20" s="283">
        <v>0</v>
      </c>
      <c r="EQ20" s="283"/>
      <c r="ER20" s="283">
        <v>0</v>
      </c>
      <c r="ES20" s="283"/>
      <c r="ET20" s="283">
        <v>0</v>
      </c>
      <c r="EU20" s="283"/>
      <c r="EV20" s="283">
        <v>0</v>
      </c>
      <c r="EW20" s="283"/>
      <c r="EX20" s="283">
        <v>0</v>
      </c>
      <c r="EY20" s="283"/>
      <c r="EZ20" s="283">
        <v>0</v>
      </c>
      <c r="FA20" s="283"/>
      <c r="FB20" s="283">
        <v>0</v>
      </c>
      <c r="FC20" s="283"/>
      <c r="FD20" s="283">
        <v>0</v>
      </c>
      <c r="FE20" s="283"/>
      <c r="FF20" s="283"/>
      <c r="FG20" s="283"/>
      <c r="FH20" s="283"/>
      <c r="FI20" s="283"/>
      <c r="FJ20" s="283">
        <v>0</v>
      </c>
      <c r="FK20" s="283"/>
      <c r="FL20" s="283"/>
      <c r="FM20" s="283"/>
      <c r="FN20" s="283"/>
      <c r="FO20" s="283"/>
      <c r="FP20" s="283">
        <v>0</v>
      </c>
      <c r="FQ20" s="283"/>
      <c r="FR20" s="283">
        <v>0</v>
      </c>
      <c r="FS20" s="283"/>
      <c r="FT20" s="283">
        <v>0</v>
      </c>
      <c r="FU20" s="283">
        <v>0</v>
      </c>
      <c r="FV20" s="283"/>
      <c r="FW20" s="283"/>
      <c r="FX20" s="283"/>
      <c r="FY20" s="283"/>
      <c r="FZ20" s="283"/>
      <c r="GA20" s="283"/>
      <c r="GB20" s="283"/>
      <c r="GC20" s="283"/>
      <c r="GD20" s="283"/>
      <c r="GE20" s="283">
        <v>0</v>
      </c>
      <c r="GF20" s="283"/>
      <c r="GG20" s="283"/>
      <c r="GH20" s="283"/>
      <c r="GI20" s="283">
        <v>0</v>
      </c>
      <c r="GJ20" s="283"/>
      <c r="GK20" s="283"/>
      <c r="GL20" s="283"/>
      <c r="GM20" s="283"/>
      <c r="GN20" s="283"/>
      <c r="GO20" s="283">
        <v>0</v>
      </c>
      <c r="GP20" s="283"/>
      <c r="GQ20" s="283">
        <v>0</v>
      </c>
      <c r="GR20" s="283"/>
      <c r="GS20" s="283">
        <v>0</v>
      </c>
      <c r="GT20" s="283"/>
      <c r="GU20" s="283"/>
      <c r="GV20" s="283"/>
      <c r="GW20" s="283">
        <v>0</v>
      </c>
      <c r="GX20" s="283">
        <v>0</v>
      </c>
      <c r="GY20" s="283"/>
      <c r="GZ20" s="283">
        <v>0</v>
      </c>
      <c r="HA20" s="283"/>
      <c r="HB20" s="283"/>
      <c r="HC20" s="283"/>
      <c r="HD20" s="283">
        <v>0</v>
      </c>
      <c r="HE20" s="283">
        <v>0</v>
      </c>
      <c r="HF20" s="283">
        <v>0</v>
      </c>
      <c r="HG20" s="283"/>
      <c r="HH20" s="283">
        <v>0</v>
      </c>
      <c r="HI20" s="283"/>
      <c r="HJ20" s="283">
        <v>0</v>
      </c>
      <c r="HK20" s="283"/>
      <c r="HL20" s="283">
        <v>0</v>
      </c>
      <c r="HM20" s="283"/>
      <c r="HN20" s="283">
        <v>0</v>
      </c>
      <c r="HO20" s="283">
        <v>0</v>
      </c>
      <c r="HP20" s="283">
        <v>0</v>
      </c>
      <c r="HQ20" s="283"/>
      <c r="HR20" s="283">
        <v>0</v>
      </c>
      <c r="HS20" s="283"/>
      <c r="HT20" s="283">
        <v>0</v>
      </c>
      <c r="HU20" s="283"/>
      <c r="HV20" s="283">
        <v>0</v>
      </c>
      <c r="HW20" s="283"/>
      <c r="HX20" s="283">
        <v>0</v>
      </c>
      <c r="HY20" s="283">
        <v>0</v>
      </c>
      <c r="HZ20" s="283">
        <v>0</v>
      </c>
      <c r="IA20" s="283">
        <v>0</v>
      </c>
      <c r="IB20" s="283">
        <v>0</v>
      </c>
      <c r="IC20" s="283">
        <v>0</v>
      </c>
      <c r="ID20" s="283"/>
      <c r="IE20" s="283">
        <v>0</v>
      </c>
      <c r="IF20" s="283"/>
      <c r="IG20" s="283">
        <v>0</v>
      </c>
      <c r="IH20" s="283">
        <v>0</v>
      </c>
      <c r="II20" s="283">
        <v>0</v>
      </c>
      <c r="IJ20" s="283"/>
      <c r="IK20" s="283">
        <v>0</v>
      </c>
      <c r="IL20" s="283">
        <v>0</v>
      </c>
      <c r="IM20" s="283">
        <v>0</v>
      </c>
      <c r="IN20" s="283"/>
      <c r="IO20" s="283">
        <v>0</v>
      </c>
      <c r="IP20" s="283"/>
      <c r="IQ20" s="283">
        <v>0</v>
      </c>
      <c r="IR20" s="283"/>
      <c r="IS20" s="283">
        <v>0</v>
      </c>
      <c r="IT20" s="283">
        <v>0</v>
      </c>
      <c r="IU20" s="283">
        <v>0</v>
      </c>
      <c r="IV20" s="283">
        <v>0</v>
      </c>
      <c r="IW20" s="283">
        <v>0</v>
      </c>
      <c r="IX20" s="283"/>
      <c r="IY20" s="283">
        <v>0</v>
      </c>
      <c r="IZ20" s="283"/>
      <c r="JA20" s="283">
        <v>0</v>
      </c>
      <c r="JB20" s="283"/>
      <c r="JC20" s="283">
        <v>0</v>
      </c>
      <c r="JD20" s="283"/>
      <c r="JE20" s="283">
        <v>0</v>
      </c>
      <c r="JF20" s="283">
        <v>0</v>
      </c>
      <c r="JG20" s="283">
        <v>0</v>
      </c>
      <c r="JH20" s="283">
        <v>0</v>
      </c>
      <c r="JI20" s="283">
        <v>0</v>
      </c>
      <c r="JJ20" s="283"/>
      <c r="JK20" s="283">
        <v>0</v>
      </c>
      <c r="JL20" s="283"/>
      <c r="JM20" s="283">
        <v>0</v>
      </c>
      <c r="JN20" s="283"/>
      <c r="JO20" s="283">
        <v>0</v>
      </c>
      <c r="JP20" s="283">
        <v>-16.5</v>
      </c>
      <c r="JQ20" s="283">
        <v>16.5</v>
      </c>
      <c r="JR20" s="283">
        <v>-2.5</v>
      </c>
      <c r="JS20" s="283">
        <v>19</v>
      </c>
      <c r="JT20" s="283"/>
      <c r="JU20" s="283">
        <v>23</v>
      </c>
      <c r="JV20" s="283"/>
      <c r="JW20" s="283">
        <v>23</v>
      </c>
      <c r="JX20" s="283">
        <f>-24+23</f>
        <v>-1</v>
      </c>
      <c r="JY20" s="283">
        <v>24</v>
      </c>
      <c r="JZ20" s="283">
        <v>24</v>
      </c>
      <c r="KA20" s="283">
        <v>0</v>
      </c>
      <c r="KB20" s="283"/>
      <c r="KC20" s="283">
        <v>0</v>
      </c>
      <c r="KD20" s="283"/>
      <c r="KE20" s="283">
        <v>0</v>
      </c>
      <c r="KF20" s="283">
        <v>-25.9</v>
      </c>
      <c r="KG20" s="283">
        <v>25.9</v>
      </c>
      <c r="KH20" s="283"/>
      <c r="KI20" s="283">
        <v>25.9</v>
      </c>
      <c r="KJ20" s="283">
        <v>26</v>
      </c>
      <c r="KK20" s="283">
        <v>0</v>
      </c>
      <c r="KL20" s="283">
        <v>-105.5</v>
      </c>
      <c r="KM20" s="283">
        <v>105.5</v>
      </c>
      <c r="KN20" s="283">
        <f>-100-100</f>
        <v>-200</v>
      </c>
      <c r="KO20" s="283">
        <v>305.7</v>
      </c>
      <c r="KP20" s="283">
        <v>100</v>
      </c>
      <c r="KQ20" s="283">
        <f>+KS20-KR20</f>
        <v>250.5</v>
      </c>
      <c r="KR20" s="283">
        <v>10</v>
      </c>
      <c r="KS20" s="283">
        <f>+KT20+KV20-KW20</f>
        <v>260.5</v>
      </c>
      <c r="KT20" s="283">
        <v>313.5</v>
      </c>
      <c r="KU20" s="260">
        <v>338.5</v>
      </c>
      <c r="KV20" s="288">
        <f>24+22+18+33</f>
        <v>97</v>
      </c>
      <c r="KW20" s="288">
        <f>100+50</f>
        <v>150</v>
      </c>
      <c r="LA20">
        <v>153.9</v>
      </c>
      <c r="LB20">
        <v>116</v>
      </c>
      <c r="LC20">
        <v>135.19999999999999</v>
      </c>
      <c r="LD20">
        <v>135.19999999999999</v>
      </c>
      <c r="LE20">
        <v>159.19999999999999</v>
      </c>
      <c r="LF20">
        <v>69.2</v>
      </c>
      <c r="LG20">
        <v>0.2</v>
      </c>
      <c r="LH20">
        <v>209</v>
      </c>
      <c r="LI20">
        <v>8.6999999999999993</v>
      </c>
      <c r="LJ20">
        <v>2.2000000000000002</v>
      </c>
      <c r="LK20">
        <v>2.2000000000000002</v>
      </c>
      <c r="LL20">
        <v>2.2000000000000002</v>
      </c>
      <c r="LM20">
        <v>2.2000000000000002</v>
      </c>
      <c r="LN20">
        <v>2.2000000000000002</v>
      </c>
      <c r="LO20">
        <v>8.6999999999999993</v>
      </c>
      <c r="LP20">
        <v>32.04</v>
      </c>
      <c r="LQ20">
        <v>25.9</v>
      </c>
      <c r="LR20">
        <v>25.9</v>
      </c>
      <c r="LT20">
        <v>128</v>
      </c>
      <c r="LY20">
        <v>41.7</v>
      </c>
      <c r="MU20">
        <v>3.2</v>
      </c>
      <c r="MV20">
        <v>28.1</v>
      </c>
      <c r="MW20">
        <v>100</v>
      </c>
      <c r="MX20">
        <v>22</v>
      </c>
      <c r="MY20">
        <v>22</v>
      </c>
      <c r="NB20">
        <v>19.600000000000001</v>
      </c>
      <c r="OS20">
        <v>25</v>
      </c>
      <c r="OU20">
        <v>13.77</v>
      </c>
      <c r="OV20">
        <v>22</v>
      </c>
      <c r="OW20">
        <v>14.5</v>
      </c>
      <c r="OX20">
        <v>14.5</v>
      </c>
      <c r="RQ20">
        <v>2.2000000000000002</v>
      </c>
      <c r="RR20">
        <v>2.2000000000000002</v>
      </c>
      <c r="RS20">
        <v>2.2000000000000002</v>
      </c>
      <c r="RT20">
        <v>2.2000000000000002</v>
      </c>
      <c r="RU20">
        <f>2.2+17.5</f>
        <v>19.7</v>
      </c>
      <c r="RV20">
        <v>19.7</v>
      </c>
      <c r="RW20">
        <v>19.5</v>
      </c>
      <c r="RX20">
        <f>2.2+17.5</f>
        <v>19.7</v>
      </c>
      <c r="RY20">
        <v>19.7</v>
      </c>
      <c r="RZ20">
        <v>19.7</v>
      </c>
      <c r="SA20">
        <v>19.7</v>
      </c>
      <c r="SB20">
        <v>19.7</v>
      </c>
      <c r="SC20">
        <v>19.7</v>
      </c>
      <c r="SD20">
        <v>19.7</v>
      </c>
      <c r="SE20">
        <v>19.7</v>
      </c>
      <c r="SF20">
        <v>19.7</v>
      </c>
      <c r="SG20">
        <v>19.7</v>
      </c>
      <c r="SH20">
        <v>19.7</v>
      </c>
      <c r="SI20">
        <v>14.7</v>
      </c>
      <c r="SJ20">
        <v>14.7</v>
      </c>
      <c r="SK20">
        <v>14.7</v>
      </c>
      <c r="SL20">
        <v>14.7</v>
      </c>
      <c r="SM20">
        <v>14.7</v>
      </c>
      <c r="SN20">
        <v>14.7</v>
      </c>
      <c r="SO20">
        <v>14.7</v>
      </c>
      <c r="SP20">
        <v>14.7</v>
      </c>
      <c r="SQ20">
        <v>14.7</v>
      </c>
      <c r="SR20">
        <v>14.7</v>
      </c>
      <c r="SS20">
        <v>14.7</v>
      </c>
      <c r="ST20">
        <v>14.7</v>
      </c>
      <c r="AEK20" s="1304">
        <v>350</v>
      </c>
      <c r="AEL20" s="1304">
        <v>300</v>
      </c>
      <c r="AEM20" s="1304">
        <v>200</v>
      </c>
      <c r="AEN20" s="1304">
        <v>360</v>
      </c>
      <c r="AEO20" s="1304">
        <v>414</v>
      </c>
      <c r="AEP20" s="1304">
        <v>950</v>
      </c>
      <c r="AEQ20" s="1304">
        <v>395</v>
      </c>
      <c r="AER20" s="1304">
        <v>2244</v>
      </c>
      <c r="AES20" s="1304">
        <v>1515</v>
      </c>
      <c r="AET20" s="1304">
        <v>587</v>
      </c>
      <c r="AEU20" s="1304">
        <v>1700</v>
      </c>
      <c r="AEV20" s="1304">
        <v>2700</v>
      </c>
      <c r="AEW20" s="1304">
        <v>2700</v>
      </c>
      <c r="AEX20" s="1304">
        <v>2700</v>
      </c>
      <c r="AJT20">
        <v>14.7</v>
      </c>
      <c r="AJU20">
        <v>14.7</v>
      </c>
      <c r="AJV20">
        <v>14.7</v>
      </c>
      <c r="AJW20">
        <v>14.7</v>
      </c>
      <c r="AJX20">
        <v>14.7</v>
      </c>
      <c r="AJY20">
        <v>14.7</v>
      </c>
      <c r="AJZ20">
        <v>14.7</v>
      </c>
      <c r="AKA20">
        <v>14.7</v>
      </c>
      <c r="AKB20">
        <v>14.7</v>
      </c>
    </row>
    <row r="21" spans="1:964">
      <c r="A21" s="83">
        <v>17</v>
      </c>
      <c r="B21" s="74" t="s">
        <v>1706</v>
      </c>
      <c r="C21" s="74">
        <v>310455536</v>
      </c>
      <c r="D21" s="906" t="s">
        <v>6925</v>
      </c>
      <c r="E21" s="74">
        <v>310455536</v>
      </c>
      <c r="F21" s="74">
        <v>0</v>
      </c>
      <c r="G21" s="75">
        <v>317083</v>
      </c>
      <c r="H21" s="260"/>
      <c r="I21" s="260"/>
      <c r="J21" s="260"/>
      <c r="K21" s="260"/>
      <c r="L21" s="260"/>
      <c r="M21" s="260"/>
      <c r="N21" s="260"/>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c r="CQ21" s="283"/>
      <c r="CR21" s="283"/>
      <c r="CS21" s="283"/>
      <c r="CT21" s="283"/>
      <c r="CU21" s="283"/>
      <c r="CV21" s="283"/>
      <c r="CW21" s="283"/>
      <c r="CX21" s="283"/>
      <c r="CY21" s="283"/>
      <c r="CZ21" s="283"/>
      <c r="DA21" s="283"/>
      <c r="DB21" s="283"/>
      <c r="DC21" s="283"/>
      <c r="DD21" s="283"/>
      <c r="DE21" s="283"/>
      <c r="DF21" s="283"/>
      <c r="DG21" s="283"/>
      <c r="DH21" s="283"/>
      <c r="DI21" s="283"/>
      <c r="DJ21" s="283"/>
      <c r="DK21" s="283"/>
      <c r="DL21" s="283"/>
      <c r="DM21" s="283"/>
      <c r="DN21" s="283"/>
      <c r="DO21" s="283"/>
      <c r="DP21" s="283"/>
      <c r="DQ21" s="283"/>
      <c r="DR21" s="283"/>
      <c r="DS21" s="283"/>
      <c r="DT21" s="283"/>
      <c r="DU21" s="283"/>
      <c r="DV21" s="283"/>
      <c r="DW21" s="283"/>
      <c r="DX21" s="283">
        <v>0</v>
      </c>
      <c r="DY21" s="283"/>
      <c r="DZ21" s="283"/>
      <c r="EA21" s="283"/>
      <c r="EB21" s="283"/>
      <c r="EC21" s="283"/>
      <c r="ED21" s="283"/>
      <c r="EE21" s="283"/>
      <c r="EF21" s="283">
        <v>0</v>
      </c>
      <c r="EG21" s="283"/>
      <c r="EH21" s="283"/>
      <c r="EI21" s="283"/>
      <c r="EJ21" s="283">
        <v>0</v>
      </c>
      <c r="EK21" s="283"/>
      <c r="EL21" s="283"/>
      <c r="EM21" s="283"/>
      <c r="EN21" s="283">
        <v>0</v>
      </c>
      <c r="EO21" s="283"/>
      <c r="EP21" s="283">
        <v>0</v>
      </c>
      <c r="EQ21" s="283"/>
      <c r="ER21" s="283">
        <v>0</v>
      </c>
      <c r="ES21" s="283"/>
      <c r="ET21" s="283">
        <v>0</v>
      </c>
      <c r="EU21" s="283"/>
      <c r="EV21" s="283">
        <v>0</v>
      </c>
      <c r="EW21" s="283"/>
      <c r="EX21" s="283">
        <v>0</v>
      </c>
      <c r="EY21" s="283"/>
      <c r="EZ21" s="283">
        <v>0</v>
      </c>
      <c r="FA21" s="283"/>
      <c r="FB21" s="283">
        <v>0</v>
      </c>
      <c r="FC21" s="283"/>
      <c r="FD21" s="283">
        <v>0</v>
      </c>
      <c r="FE21" s="283"/>
      <c r="FF21" s="283"/>
      <c r="FG21" s="283"/>
      <c r="FH21" s="283"/>
      <c r="FI21" s="283"/>
      <c r="FJ21" s="283">
        <v>0</v>
      </c>
      <c r="FK21" s="283"/>
      <c r="FL21" s="283"/>
      <c r="FM21" s="283"/>
      <c r="FN21" s="283"/>
      <c r="FO21" s="283"/>
      <c r="FP21" s="283">
        <v>0</v>
      </c>
      <c r="FQ21" s="283"/>
      <c r="FR21" s="283">
        <v>0</v>
      </c>
      <c r="FS21" s="283"/>
      <c r="FT21" s="283">
        <v>0</v>
      </c>
      <c r="FU21" s="283">
        <v>0</v>
      </c>
      <c r="FV21" s="283"/>
      <c r="FW21" s="283"/>
      <c r="FX21" s="283"/>
      <c r="FY21" s="283"/>
      <c r="FZ21" s="283"/>
      <c r="GA21" s="283"/>
      <c r="GB21" s="283"/>
      <c r="GC21" s="283"/>
      <c r="GD21" s="283"/>
      <c r="GE21" s="283">
        <v>0</v>
      </c>
      <c r="GF21" s="283"/>
      <c r="GG21" s="283"/>
      <c r="GH21" s="283"/>
      <c r="GI21" s="283">
        <v>0</v>
      </c>
      <c r="GJ21" s="283"/>
      <c r="GK21" s="283"/>
      <c r="GL21" s="283"/>
      <c r="GM21" s="283"/>
      <c r="GN21" s="283"/>
      <c r="GO21" s="283">
        <v>0</v>
      </c>
      <c r="GP21" s="283"/>
      <c r="GQ21" s="283">
        <v>0</v>
      </c>
      <c r="GR21" s="283"/>
      <c r="GS21" s="283">
        <v>0</v>
      </c>
      <c r="GT21" s="283"/>
      <c r="GU21" s="283"/>
      <c r="GV21" s="283"/>
      <c r="GW21" s="283">
        <v>0</v>
      </c>
      <c r="GX21" s="283">
        <v>0</v>
      </c>
      <c r="GY21" s="283"/>
      <c r="GZ21" s="283">
        <v>0</v>
      </c>
      <c r="HA21" s="283"/>
      <c r="HB21" s="283"/>
      <c r="HC21" s="283"/>
      <c r="HD21" s="283">
        <v>0</v>
      </c>
      <c r="HE21" s="283">
        <v>0</v>
      </c>
      <c r="HF21" s="283">
        <v>0</v>
      </c>
      <c r="HG21" s="283"/>
      <c r="HH21" s="283">
        <v>0</v>
      </c>
      <c r="HI21" s="283"/>
      <c r="HJ21" s="283">
        <v>0</v>
      </c>
      <c r="HK21" s="283"/>
      <c r="HL21" s="283">
        <v>0</v>
      </c>
      <c r="HM21" s="283"/>
      <c r="HN21" s="283">
        <v>0</v>
      </c>
      <c r="HO21" s="283">
        <v>0</v>
      </c>
      <c r="HP21" s="283">
        <v>0</v>
      </c>
      <c r="HQ21" s="283"/>
      <c r="HR21" s="283">
        <v>0</v>
      </c>
      <c r="HS21" s="283"/>
      <c r="HT21" s="283">
        <v>0</v>
      </c>
      <c r="HU21" s="283"/>
      <c r="HV21" s="283">
        <v>0</v>
      </c>
      <c r="HW21" s="283"/>
      <c r="HX21" s="283">
        <v>0</v>
      </c>
      <c r="HY21" s="283">
        <v>0</v>
      </c>
      <c r="HZ21" s="283">
        <v>0</v>
      </c>
      <c r="IA21" s="283">
        <v>0</v>
      </c>
      <c r="IB21" s="283">
        <v>0</v>
      </c>
      <c r="IC21" s="283">
        <v>0</v>
      </c>
      <c r="ID21" s="283"/>
      <c r="IE21" s="283">
        <v>0</v>
      </c>
      <c r="IF21" s="283"/>
      <c r="IG21" s="283">
        <v>0</v>
      </c>
      <c r="IH21" s="283">
        <v>-1.92</v>
      </c>
      <c r="II21" s="283">
        <v>1.92</v>
      </c>
      <c r="IJ21" s="283"/>
      <c r="IK21" s="283">
        <v>1.92</v>
      </c>
      <c r="IL21" s="283">
        <v>1.9590000000000001</v>
      </c>
      <c r="IM21" s="283">
        <v>0</v>
      </c>
      <c r="IN21" s="283"/>
      <c r="IO21" s="283">
        <v>0</v>
      </c>
      <c r="IP21" s="283"/>
      <c r="IQ21" s="283">
        <v>0</v>
      </c>
      <c r="IR21" s="283"/>
      <c r="IS21" s="283">
        <v>0</v>
      </c>
      <c r="IT21" s="283">
        <v>0</v>
      </c>
      <c r="IU21" s="283">
        <v>0</v>
      </c>
      <c r="IV21" s="283">
        <v>0</v>
      </c>
      <c r="IW21" s="283">
        <v>0</v>
      </c>
      <c r="IX21" s="283"/>
      <c r="IY21" s="283">
        <v>0</v>
      </c>
      <c r="IZ21" s="283"/>
      <c r="JA21" s="283">
        <v>0</v>
      </c>
      <c r="JB21" s="283"/>
      <c r="JC21" s="283">
        <v>0</v>
      </c>
      <c r="JD21" s="283"/>
      <c r="JE21" s="283">
        <v>0</v>
      </c>
      <c r="JF21" s="283">
        <v>0</v>
      </c>
      <c r="JG21" s="283">
        <v>0</v>
      </c>
      <c r="JH21" s="283">
        <v>0</v>
      </c>
      <c r="JI21" s="283">
        <v>0</v>
      </c>
      <c r="JJ21" s="283">
        <v>0</v>
      </c>
      <c r="JK21" s="283">
        <v>0</v>
      </c>
      <c r="JL21" s="283"/>
      <c r="JM21" s="283">
        <v>0</v>
      </c>
      <c r="JN21" s="283"/>
      <c r="JO21" s="283">
        <v>0</v>
      </c>
      <c r="JP21" s="283">
        <v>-21.5</v>
      </c>
      <c r="JQ21" s="283">
        <v>21.5</v>
      </c>
      <c r="JR21" s="283">
        <f>24-2.5</f>
        <v>21.5</v>
      </c>
      <c r="JS21" s="283">
        <v>0</v>
      </c>
      <c r="JT21" s="283"/>
      <c r="JU21" s="283">
        <v>23.8</v>
      </c>
      <c r="JV21" s="283"/>
      <c r="JW21" s="283">
        <v>23.8</v>
      </c>
      <c r="JX21" s="283">
        <f>-59.8-59.8+23</f>
        <v>-96.6</v>
      </c>
      <c r="JY21" s="283">
        <v>120.4</v>
      </c>
      <c r="JZ21" s="283"/>
      <c r="KA21" s="283">
        <v>120.4</v>
      </c>
      <c r="KB21" s="283">
        <f>10+33</f>
        <v>43</v>
      </c>
      <c r="KC21" s="283">
        <v>77.400000000000006</v>
      </c>
      <c r="KD21" s="283">
        <v>21</v>
      </c>
      <c r="KE21" s="283">
        <v>56.4</v>
      </c>
      <c r="KF21" s="283">
        <f>-59.8-59.8-26+28+28</f>
        <v>-89.6</v>
      </c>
      <c r="KG21" s="283">
        <v>146</v>
      </c>
      <c r="KH21" s="283">
        <f>33+17+19.2</f>
        <v>69.2</v>
      </c>
      <c r="KI21" s="283">
        <v>76.8</v>
      </c>
      <c r="KJ21" s="283">
        <f>-22+24+22+6.5+24</f>
        <v>54.5</v>
      </c>
      <c r="KK21" s="283">
        <f>+KL21+KM21</f>
        <v>22.340000000000003</v>
      </c>
      <c r="KL21" s="283">
        <f>-60-1.66+24</f>
        <v>-37.659999999999997</v>
      </c>
      <c r="KM21" s="283">
        <v>60</v>
      </c>
      <c r="KN21" s="283">
        <f>22+30-100</f>
        <v>-48</v>
      </c>
      <c r="KO21" s="283">
        <v>108</v>
      </c>
      <c r="KP21" s="283">
        <v>100</v>
      </c>
      <c r="KQ21" s="283">
        <f>+KS21-KR21</f>
        <v>53</v>
      </c>
      <c r="KR21" s="297">
        <f>90+100</f>
        <v>190</v>
      </c>
      <c r="KS21" s="283">
        <v>243</v>
      </c>
      <c r="KT21" s="283">
        <v>432.3</v>
      </c>
      <c r="KU21" s="260">
        <v>265.39999999999998</v>
      </c>
      <c r="KV21" s="288">
        <f>25+27+24</f>
        <v>76</v>
      </c>
      <c r="KW21" s="288">
        <f>250+15</f>
        <v>265</v>
      </c>
      <c r="LA21">
        <v>161</v>
      </c>
      <c r="LB21">
        <v>208</v>
      </c>
      <c r="LC21">
        <v>111.9</v>
      </c>
      <c r="LD21">
        <v>111.9</v>
      </c>
      <c r="LE21">
        <v>211</v>
      </c>
      <c r="LF21">
        <v>166</v>
      </c>
      <c r="LG21">
        <v>190</v>
      </c>
      <c r="LH21">
        <v>305.7</v>
      </c>
      <c r="LI21">
        <v>105.5</v>
      </c>
      <c r="LJ21">
        <v>35</v>
      </c>
      <c r="LK21">
        <v>35</v>
      </c>
      <c r="LL21">
        <v>35</v>
      </c>
      <c r="LM21">
        <v>35</v>
      </c>
      <c r="LN21">
        <v>35</v>
      </c>
      <c r="LO21">
        <v>105.5</v>
      </c>
      <c r="LP21">
        <v>22.34</v>
      </c>
      <c r="LQ21">
        <v>76.8</v>
      </c>
      <c r="LR21">
        <v>146</v>
      </c>
      <c r="LS21">
        <v>56.4</v>
      </c>
      <c r="LT21">
        <v>155.30000000000001</v>
      </c>
      <c r="LY21">
        <v>22</v>
      </c>
      <c r="LZ21">
        <v>87</v>
      </c>
      <c r="MU21">
        <v>2</v>
      </c>
      <c r="MV21">
        <v>3.2</v>
      </c>
      <c r="MY21">
        <v>11</v>
      </c>
      <c r="NN21">
        <v>104.8</v>
      </c>
      <c r="OU21">
        <v>30</v>
      </c>
      <c r="OW21">
        <v>6.8</v>
      </c>
      <c r="OX21">
        <v>6.8</v>
      </c>
      <c r="RQ21">
        <v>35</v>
      </c>
      <c r="RR21">
        <v>35</v>
      </c>
      <c r="RS21">
        <v>35</v>
      </c>
      <c r="RT21">
        <v>35</v>
      </c>
      <c r="RU21">
        <v>35</v>
      </c>
      <c r="RV21">
        <v>35</v>
      </c>
      <c r="RW21">
        <v>35</v>
      </c>
      <c r="RX21">
        <v>35</v>
      </c>
      <c r="RY21">
        <v>35</v>
      </c>
      <c r="RZ21">
        <v>35</v>
      </c>
      <c r="SA21">
        <v>35</v>
      </c>
      <c r="SB21">
        <v>35</v>
      </c>
      <c r="SC21">
        <v>35</v>
      </c>
      <c r="SD21">
        <v>35</v>
      </c>
      <c r="SE21">
        <v>35</v>
      </c>
      <c r="SF21">
        <v>35</v>
      </c>
      <c r="SG21">
        <v>35</v>
      </c>
      <c r="SH21">
        <v>36</v>
      </c>
      <c r="SI21">
        <v>36</v>
      </c>
      <c r="SJ21">
        <v>36</v>
      </c>
      <c r="SK21">
        <v>36</v>
      </c>
      <c r="SL21">
        <v>36</v>
      </c>
      <c r="SM21">
        <v>36</v>
      </c>
      <c r="SN21">
        <v>0</v>
      </c>
      <c r="AEK21" s="1304">
        <v>1461</v>
      </c>
      <c r="AEL21" s="1304">
        <v>1476</v>
      </c>
      <c r="AEM21" s="1304">
        <v>1353</v>
      </c>
      <c r="AEN21" s="1304">
        <v>440</v>
      </c>
      <c r="AEO21" s="1304">
        <v>1040</v>
      </c>
      <c r="AEP21" s="1304">
        <v>901</v>
      </c>
      <c r="AEQ21" s="1304">
        <v>1200</v>
      </c>
      <c r="AER21" s="1304">
        <v>1820</v>
      </c>
      <c r="AES21" s="1304">
        <v>1948</v>
      </c>
      <c r="AET21" s="1304">
        <v>2345</v>
      </c>
      <c r="AEU21" s="1304">
        <v>2965</v>
      </c>
      <c r="AEV21" s="1304">
        <v>970</v>
      </c>
      <c r="AEW21" s="1304">
        <v>236</v>
      </c>
      <c r="AEX21" s="1304">
        <v>292</v>
      </c>
      <c r="AEZ21" s="1304">
        <f>600*1.21</f>
        <v>726</v>
      </c>
      <c r="AGL21" s="1304">
        <v>-45</v>
      </c>
      <c r="AGM21" s="1304">
        <v>-45</v>
      </c>
    </row>
    <row r="22" spans="1:964">
      <c r="A22" s="83">
        <v>18</v>
      </c>
      <c r="B22" s="74" t="s">
        <v>1006</v>
      </c>
      <c r="C22" s="74">
        <v>310495320</v>
      </c>
      <c r="D22" s="906" t="s">
        <v>6925</v>
      </c>
      <c r="E22" s="74">
        <v>310495320</v>
      </c>
      <c r="F22" s="922">
        <v>0</v>
      </c>
      <c r="G22" s="75">
        <v>170580</v>
      </c>
      <c r="H22" s="1308"/>
      <c r="I22" s="1308"/>
      <c r="J22" s="1308"/>
      <c r="K22" s="1308"/>
      <c r="L22" s="1308"/>
      <c r="M22" s="1308"/>
      <c r="N22" s="1308"/>
      <c r="O22" s="285"/>
      <c r="P22" s="285"/>
      <c r="Q22" s="285"/>
      <c r="R22" s="285"/>
      <c r="S22" s="285"/>
      <c r="T22" s="285"/>
      <c r="U22" s="285"/>
      <c r="V22" s="285"/>
      <c r="W22" s="285"/>
      <c r="X22" s="285" t="s">
        <v>4535</v>
      </c>
      <c r="Y22" s="285"/>
      <c r="Z22" s="285"/>
      <c r="AA22" s="285"/>
      <c r="AB22" s="285"/>
      <c r="AC22" s="285"/>
      <c r="AD22" s="285"/>
      <c r="AE22" s="285"/>
      <c r="AF22" s="285"/>
      <c r="AG22" s="285"/>
      <c r="AH22" s="285"/>
      <c r="AI22" s="285"/>
      <c r="AJ22" s="285"/>
      <c r="AK22" s="285"/>
      <c r="AL22" s="285"/>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5"/>
      <c r="BK22" s="285"/>
      <c r="BL22" s="285"/>
      <c r="BM22" s="285"/>
      <c r="BN22" s="285"/>
      <c r="BO22" s="285"/>
      <c r="BP22" s="285"/>
      <c r="BQ22" s="285"/>
      <c r="BR22" s="285"/>
      <c r="BS22" s="285"/>
      <c r="BT22" s="285"/>
      <c r="BU22" s="285"/>
      <c r="BV22" s="285"/>
      <c r="BW22" s="285"/>
      <c r="BX22" s="285"/>
      <c r="BY22" s="285"/>
      <c r="BZ22" s="285"/>
      <c r="CA22" s="285"/>
      <c r="CB22" s="285"/>
      <c r="CC22" s="285"/>
      <c r="CD22" s="285"/>
      <c r="CE22" s="285"/>
      <c r="CF22" s="285"/>
      <c r="CG22" s="285"/>
      <c r="CH22" s="285"/>
      <c r="CI22" s="285"/>
      <c r="CJ22" s="285"/>
      <c r="CK22" s="285"/>
      <c r="CL22" s="285"/>
      <c r="CM22" s="285"/>
      <c r="CN22" s="285"/>
      <c r="CO22" s="285"/>
      <c r="CP22" s="285"/>
      <c r="CQ22" s="285"/>
      <c r="CR22" s="285"/>
      <c r="CS22" s="285"/>
      <c r="CT22" s="285"/>
      <c r="CU22" s="285"/>
      <c r="CV22" s="285"/>
      <c r="CW22" s="285"/>
      <c r="CX22" s="285"/>
      <c r="CY22" s="285"/>
      <c r="CZ22" s="285"/>
      <c r="DA22" s="285"/>
      <c r="DB22" s="285"/>
      <c r="DC22" s="285"/>
      <c r="DD22" s="285"/>
      <c r="DE22" s="285"/>
      <c r="DF22" s="285"/>
      <c r="DG22" s="285"/>
      <c r="DH22" s="285"/>
      <c r="DI22" s="285"/>
      <c r="DJ22" s="285"/>
      <c r="DK22" s="285"/>
      <c r="DL22" s="285"/>
      <c r="DM22" s="285"/>
      <c r="DN22" s="285"/>
      <c r="DO22" s="285"/>
      <c r="DP22" s="285"/>
      <c r="DQ22" s="285"/>
      <c r="DR22" s="285"/>
      <c r="DS22" s="285"/>
      <c r="DT22" s="285"/>
      <c r="DU22" s="285"/>
      <c r="DV22" s="285"/>
      <c r="DW22" s="285"/>
      <c r="DX22" s="285">
        <v>0</v>
      </c>
      <c r="DY22" s="285"/>
      <c r="DZ22" s="285"/>
      <c r="EA22" s="285"/>
      <c r="EB22" s="285"/>
      <c r="EC22" s="285"/>
      <c r="ED22" s="285"/>
      <c r="EE22" s="285"/>
      <c r="EF22" s="285">
        <v>0</v>
      </c>
      <c r="EG22" s="285"/>
      <c r="EH22" s="285"/>
      <c r="EI22" s="285"/>
      <c r="EJ22" s="285">
        <v>0</v>
      </c>
      <c r="EK22" s="285"/>
      <c r="EL22" s="285"/>
      <c r="EM22" s="285"/>
      <c r="EN22" s="285">
        <v>0</v>
      </c>
      <c r="EO22" s="285"/>
      <c r="EP22" s="285">
        <v>0</v>
      </c>
      <c r="EQ22" s="285"/>
      <c r="ER22" s="285">
        <v>0</v>
      </c>
      <c r="ES22" s="285"/>
      <c r="ET22" s="285">
        <v>0</v>
      </c>
      <c r="EU22" s="285"/>
      <c r="EV22" s="285">
        <v>0</v>
      </c>
      <c r="EW22" s="285"/>
      <c r="EX22" s="285">
        <v>0</v>
      </c>
      <c r="EY22" s="285"/>
      <c r="EZ22" s="285">
        <v>0</v>
      </c>
      <c r="FA22" s="285"/>
      <c r="FB22" s="285">
        <v>0</v>
      </c>
      <c r="FC22" s="285"/>
      <c r="FD22" s="285">
        <v>0</v>
      </c>
      <c r="FE22" s="285"/>
      <c r="FF22" s="285"/>
      <c r="FG22" s="285"/>
      <c r="FH22" s="285"/>
      <c r="FI22" s="285"/>
      <c r="FJ22" s="285">
        <v>0</v>
      </c>
      <c r="FK22" s="285"/>
      <c r="FL22" s="285"/>
      <c r="FM22" s="285"/>
      <c r="FN22" s="285"/>
      <c r="FO22" s="285"/>
      <c r="FP22" s="285">
        <v>0</v>
      </c>
      <c r="FQ22" s="285"/>
      <c r="FR22" s="285">
        <v>0</v>
      </c>
      <c r="FS22" s="285"/>
      <c r="FT22" s="285">
        <v>0</v>
      </c>
      <c r="FU22" s="285">
        <v>0</v>
      </c>
      <c r="FV22" s="285"/>
      <c r="FW22" s="285"/>
      <c r="FX22" s="285"/>
      <c r="FY22" s="285"/>
      <c r="FZ22" s="285"/>
      <c r="GA22" s="285"/>
      <c r="GB22" s="285"/>
      <c r="GC22" s="285"/>
      <c r="GD22" s="285"/>
      <c r="GE22" s="285">
        <v>0</v>
      </c>
      <c r="GF22" s="285"/>
      <c r="GG22" s="285"/>
      <c r="GH22" s="285"/>
      <c r="GI22" s="285">
        <v>0</v>
      </c>
      <c r="GJ22" s="285"/>
      <c r="GK22" s="285"/>
      <c r="GL22" s="285"/>
      <c r="GM22" s="285"/>
      <c r="GN22" s="285"/>
      <c r="GO22" s="285">
        <v>0</v>
      </c>
      <c r="GP22" s="285"/>
      <c r="GQ22" s="285">
        <v>0</v>
      </c>
      <c r="GR22" s="285"/>
      <c r="GS22" s="285">
        <v>0</v>
      </c>
      <c r="GT22" s="285"/>
      <c r="GU22" s="285"/>
      <c r="GV22" s="285"/>
      <c r="GW22" s="285">
        <v>0</v>
      </c>
      <c r="GX22" s="285">
        <v>0</v>
      </c>
      <c r="GY22" s="285"/>
      <c r="GZ22" s="285">
        <v>0</v>
      </c>
      <c r="HA22" s="285"/>
      <c r="HB22" s="285"/>
      <c r="HC22" s="285"/>
      <c r="HD22" s="285">
        <v>0</v>
      </c>
      <c r="HE22" s="285">
        <v>0</v>
      </c>
      <c r="HF22" s="285">
        <v>0</v>
      </c>
      <c r="HG22" s="285"/>
      <c r="HH22" s="285">
        <v>0</v>
      </c>
      <c r="HI22" s="285"/>
      <c r="HJ22" s="285">
        <v>0</v>
      </c>
      <c r="HK22" s="285"/>
      <c r="HL22" s="285">
        <v>0</v>
      </c>
      <c r="HM22" s="285"/>
      <c r="HN22" s="285">
        <v>0</v>
      </c>
      <c r="HO22" s="285">
        <v>0</v>
      </c>
      <c r="HP22" s="285">
        <v>0</v>
      </c>
      <c r="HQ22" s="285"/>
      <c r="HR22" s="285">
        <v>0</v>
      </c>
      <c r="HS22" s="285"/>
      <c r="HT22" s="285">
        <v>0</v>
      </c>
      <c r="HU22" s="285"/>
      <c r="HV22" s="285">
        <v>0</v>
      </c>
      <c r="HW22" s="285"/>
      <c r="HX22" s="285">
        <v>0</v>
      </c>
      <c r="HY22" s="285">
        <v>0</v>
      </c>
      <c r="HZ22" s="285">
        <v>0</v>
      </c>
      <c r="IA22" s="285">
        <v>0</v>
      </c>
      <c r="IB22" s="285">
        <v>0</v>
      </c>
      <c r="IC22" s="285">
        <v>0</v>
      </c>
      <c r="ID22" s="285"/>
      <c r="IE22" s="285">
        <v>0</v>
      </c>
      <c r="IF22" s="285"/>
      <c r="IG22" s="285">
        <v>0</v>
      </c>
      <c r="IH22" s="285">
        <v>-25.1</v>
      </c>
      <c r="II22" s="285">
        <v>25.15</v>
      </c>
      <c r="IJ22" s="285"/>
      <c r="IK22" s="285">
        <v>25.15</v>
      </c>
      <c r="IL22" s="285">
        <f>22+3.15</f>
        <v>25.15</v>
      </c>
      <c r="IM22" s="285">
        <v>0</v>
      </c>
      <c r="IN22" s="285"/>
      <c r="IO22" s="285">
        <v>0</v>
      </c>
      <c r="IP22" s="285"/>
      <c r="IQ22" s="285">
        <v>0</v>
      </c>
      <c r="IR22" s="285"/>
      <c r="IS22" s="285">
        <v>0</v>
      </c>
      <c r="IT22" s="285">
        <v>0</v>
      </c>
      <c r="IU22" s="285">
        <v>0</v>
      </c>
      <c r="IV22" s="285">
        <v>0</v>
      </c>
      <c r="IW22" s="285">
        <v>0</v>
      </c>
      <c r="IX22" s="285"/>
      <c r="IY22" s="285">
        <v>0</v>
      </c>
      <c r="IZ22" s="285"/>
      <c r="JA22" s="285">
        <v>0</v>
      </c>
      <c r="JB22" s="285"/>
      <c r="JC22" s="285">
        <v>0</v>
      </c>
      <c r="JD22" s="285"/>
      <c r="JE22" s="285">
        <v>0</v>
      </c>
      <c r="JF22" s="285">
        <v>0</v>
      </c>
      <c r="JG22" s="285">
        <v>0</v>
      </c>
      <c r="JH22" s="285">
        <v>0</v>
      </c>
      <c r="JI22" s="285">
        <v>0</v>
      </c>
      <c r="JJ22" s="285">
        <v>-23</v>
      </c>
      <c r="JK22" s="285">
        <v>23</v>
      </c>
      <c r="JL22" s="285">
        <v>23</v>
      </c>
      <c r="JM22" s="285">
        <v>0</v>
      </c>
      <c r="JN22" s="285">
        <v>-20</v>
      </c>
      <c r="JO22" s="285">
        <v>20</v>
      </c>
      <c r="JP22" s="285">
        <f>-41.7+20</f>
        <v>-21.700000000000003</v>
      </c>
      <c r="JQ22" s="285">
        <v>41.7</v>
      </c>
      <c r="JR22" s="285">
        <f>21+23-2.5</f>
        <v>41.5</v>
      </c>
      <c r="JS22" s="285">
        <v>0</v>
      </c>
      <c r="JT22" s="285"/>
      <c r="JU22" s="285">
        <v>0</v>
      </c>
      <c r="JV22" s="285"/>
      <c r="JW22" s="285">
        <v>0</v>
      </c>
      <c r="JX22" s="285">
        <v>-30</v>
      </c>
      <c r="JY22" s="285">
        <v>30.2</v>
      </c>
      <c r="JZ22" s="285"/>
      <c r="KA22" s="285">
        <v>30.2</v>
      </c>
      <c r="KB22" s="285">
        <f>11.5+23-100</f>
        <v>-65.5</v>
      </c>
      <c r="KC22" s="285">
        <v>95.7</v>
      </c>
      <c r="KD22" s="285">
        <f>-100-90+21+22</f>
        <v>-147</v>
      </c>
      <c r="KE22" s="285">
        <v>242.7</v>
      </c>
      <c r="KF22" s="285">
        <f>-400-1+28+23+32+20+22</f>
        <v>-276</v>
      </c>
      <c r="KG22" s="285">
        <v>518.70000000000005</v>
      </c>
      <c r="KH22" s="285">
        <f>22+20+28+24</f>
        <v>94</v>
      </c>
      <c r="KI22" s="285">
        <f>+KJ22+KK22</f>
        <v>424.69</v>
      </c>
      <c r="KJ22" s="285">
        <v>30</v>
      </c>
      <c r="KK22" s="285">
        <f>+KL22+KM22</f>
        <v>394.69</v>
      </c>
      <c r="KL22" s="285">
        <f>22+23+23-1.66-1.1-0.25+33+23+23</f>
        <v>143.99</v>
      </c>
      <c r="KM22" s="285">
        <v>250.7</v>
      </c>
      <c r="KN22" s="285">
        <f>22+22+22+33+2+32+33-100+22</f>
        <v>88</v>
      </c>
      <c r="KO22" s="285">
        <v>163</v>
      </c>
      <c r="KP22" s="285">
        <v>100</v>
      </c>
      <c r="KQ22" s="285"/>
      <c r="KR22" s="298"/>
      <c r="KS22" s="285"/>
      <c r="KT22" s="285"/>
      <c r="KU22" s="268"/>
      <c r="KV22" s="288"/>
      <c r="KW22" s="288"/>
      <c r="LH22">
        <v>108</v>
      </c>
      <c r="LI22">
        <v>60</v>
      </c>
      <c r="LO22">
        <v>60</v>
      </c>
      <c r="LP22">
        <v>394.7</v>
      </c>
      <c r="LQ22">
        <v>424.7</v>
      </c>
      <c r="LR22">
        <v>518.70000000000005</v>
      </c>
      <c r="LS22">
        <v>242.7</v>
      </c>
      <c r="LY22">
        <v>150.80000000000001</v>
      </c>
      <c r="LZ22">
        <v>190.8</v>
      </c>
      <c r="MU22">
        <v>25.1</v>
      </c>
      <c r="MV22">
        <v>2</v>
      </c>
      <c r="MY22">
        <v>22</v>
      </c>
      <c r="OU22">
        <v>25</v>
      </c>
      <c r="OW22">
        <v>25</v>
      </c>
      <c r="OX22">
        <v>25</v>
      </c>
      <c r="AEK22" s="1304">
        <v>470</v>
      </c>
      <c r="AEL22" s="1304">
        <v>590</v>
      </c>
      <c r="AEM22" s="1304">
        <v>1100</v>
      </c>
      <c r="AEN22" s="1304">
        <v>243</v>
      </c>
      <c r="AEO22" s="1304">
        <v>0</v>
      </c>
      <c r="AEP22" s="1304">
        <v>0</v>
      </c>
      <c r="AEQ22" s="1304">
        <v>0</v>
      </c>
      <c r="AER22" s="1304">
        <v>0</v>
      </c>
      <c r="AES22" s="1304">
        <v>0</v>
      </c>
      <c r="AET22" s="1304">
        <v>0</v>
      </c>
      <c r="AEV22" s="1304">
        <f>1110-680</f>
        <v>430</v>
      </c>
      <c r="AEW22" s="1304">
        <v>720</v>
      </c>
      <c r="AEX22" s="1304">
        <v>176</v>
      </c>
      <c r="AEY22" s="1304">
        <v>280</v>
      </c>
      <c r="AEZ22" s="1304">
        <v>260</v>
      </c>
      <c r="AFJ22" s="1304">
        <v>-250</v>
      </c>
      <c r="AFK22" s="1304">
        <v>-250</v>
      </c>
      <c r="AFL22" s="1304">
        <v>-250</v>
      </c>
      <c r="AFM22" s="1304">
        <v>-250</v>
      </c>
      <c r="AFN22" s="1304">
        <v>-250</v>
      </c>
      <c r="AFO22" s="1304">
        <v>-250</v>
      </c>
      <c r="AFP22" s="1304">
        <v>-250</v>
      </c>
      <c r="AFQ22" s="1304">
        <v>-250</v>
      </c>
      <c r="AFR22" s="1304">
        <v>-250</v>
      </c>
      <c r="AFS22" s="1304">
        <v>-250</v>
      </c>
      <c r="AFT22" s="1304">
        <v>-250</v>
      </c>
      <c r="AFU22" s="1304">
        <v>-250</v>
      </c>
      <c r="AFV22" s="1304">
        <v>-250</v>
      </c>
      <c r="AFW22" s="1304">
        <v>-225</v>
      </c>
      <c r="AFX22" s="1304">
        <v>-225</v>
      </c>
      <c r="AFY22" s="1304">
        <v>-225</v>
      </c>
      <c r="AFZ22" s="1304">
        <v>-225</v>
      </c>
      <c r="AGA22" s="1304">
        <v>-225</v>
      </c>
      <c r="AGB22" s="1304">
        <v>-225</v>
      </c>
      <c r="AGC22" s="1304">
        <v>-225</v>
      </c>
      <c r="AGD22" s="1304">
        <f>-180-22</f>
        <v>-202</v>
      </c>
      <c r="AGE22" s="1304">
        <v>-180</v>
      </c>
      <c r="AGF22" s="1304">
        <v>-175</v>
      </c>
      <c r="AGG22" s="1304">
        <v>-175</v>
      </c>
      <c r="AGH22" s="1304">
        <v>-175</v>
      </c>
      <c r="AGI22" s="1304">
        <v>-175</v>
      </c>
      <c r="AGJ22" s="1304">
        <v>-175</v>
      </c>
      <c r="AGK22" s="1304">
        <v>-175</v>
      </c>
      <c r="AGL22" s="1304">
        <v>-175</v>
      </c>
      <c r="AGM22" s="1304">
        <v>-175</v>
      </c>
      <c r="AGN22" s="1304">
        <v>-175</v>
      </c>
      <c r="AGO22" s="1304">
        <v>-175</v>
      </c>
      <c r="AGP22" s="1304">
        <v>-175</v>
      </c>
      <c r="AGQ22" s="1304">
        <v>-175</v>
      </c>
      <c r="AGR22" s="1304">
        <v>-175</v>
      </c>
      <c r="AGS22" s="1304">
        <v>-175</v>
      </c>
      <c r="AGT22" s="1304">
        <v>-150</v>
      </c>
      <c r="AGU22" s="1304">
        <v>-150</v>
      </c>
      <c r="AGV22" s="1304">
        <v>-150</v>
      </c>
      <c r="AGW22" s="1304">
        <v>-150</v>
      </c>
      <c r="AGX22" s="1304">
        <v>-125</v>
      </c>
      <c r="AGY22" s="1304">
        <v>-125</v>
      </c>
      <c r="AGZ22" s="1304">
        <v>-120</v>
      </c>
      <c r="AHA22" s="1304">
        <v>-120</v>
      </c>
      <c r="AHB22" s="1304">
        <v>-120</v>
      </c>
      <c r="AHC22" s="1304">
        <v>-120</v>
      </c>
      <c r="AHD22" s="1304">
        <v>-120</v>
      </c>
      <c r="AHE22" s="1304">
        <v>-120</v>
      </c>
      <c r="AHF22" s="1304">
        <v>-120</v>
      </c>
      <c r="AHG22" s="1304">
        <v>-120</v>
      </c>
      <c r="AHH22" s="1304">
        <v>-120</v>
      </c>
      <c r="AHI22" s="1304">
        <v>-120</v>
      </c>
      <c r="AHJ22" s="1304">
        <v>-120</v>
      </c>
      <c r="AHK22" s="1304">
        <v>-120</v>
      </c>
      <c r="AHL22" s="1304">
        <v>-120</v>
      </c>
      <c r="AHM22" s="1304">
        <v>-120</v>
      </c>
      <c r="AHN22" s="1304">
        <v>-120</v>
      </c>
      <c r="AHO22" s="1304">
        <f>-95-25</f>
        <v>-120</v>
      </c>
      <c r="AHP22" s="1304">
        <v>-95</v>
      </c>
      <c r="AHQ22" s="1304">
        <v>-95</v>
      </c>
      <c r="AHR22" s="1304">
        <f>-63.2-26.8-5</f>
        <v>-95</v>
      </c>
      <c r="AHS22" s="1304">
        <v>-63.2</v>
      </c>
      <c r="AHT22" s="1304">
        <v>-63.2</v>
      </c>
      <c r="AHU22" s="1304">
        <v>-63.2</v>
      </c>
      <c r="AHV22" s="1304">
        <v>-63.2</v>
      </c>
      <c r="AHW22" s="1304">
        <v>-63.2</v>
      </c>
      <c r="AHX22" s="1304">
        <v>-63.2</v>
      </c>
      <c r="AHY22" s="1304">
        <v>-63.2</v>
      </c>
      <c r="AHZ22" s="1304">
        <v>-63.2</v>
      </c>
      <c r="AIA22" s="1304">
        <v>-63.2</v>
      </c>
      <c r="AIB22" s="1304">
        <v>-63.2</v>
      </c>
      <c r="AIC22" s="1304">
        <v>-63.2</v>
      </c>
      <c r="AID22" s="1304">
        <v>-63.2</v>
      </c>
      <c r="AIE22" s="1304">
        <v>-63.2</v>
      </c>
      <c r="AIF22" s="1304">
        <f>-31.4-26.3-5.5</f>
        <v>-63.2</v>
      </c>
      <c r="AIG22" s="1304">
        <v>-31.4</v>
      </c>
      <c r="AIH22" s="1304">
        <v>-31.4</v>
      </c>
      <c r="AII22" s="1304">
        <f>-17-14.4</f>
        <v>-31.4</v>
      </c>
    </row>
    <row r="23" spans="1:964">
      <c r="A23" s="83">
        <v>19</v>
      </c>
      <c r="B23" s="74" t="s">
        <v>617</v>
      </c>
      <c r="C23" s="74">
        <v>310495337</v>
      </c>
      <c r="D23" s="906" t="s">
        <v>6925</v>
      </c>
      <c r="E23" s="74">
        <v>310495337</v>
      </c>
      <c r="F23" s="74">
        <v>0</v>
      </c>
      <c r="G23" s="75">
        <v>396479</v>
      </c>
      <c r="H23" s="1308"/>
      <c r="I23" s="1308"/>
      <c r="J23" s="1308"/>
      <c r="K23" s="1308"/>
      <c r="L23" s="1308"/>
      <c r="M23" s="1308"/>
      <c r="N23" s="1308"/>
      <c r="O23" s="285"/>
      <c r="P23" s="285"/>
      <c r="Q23" s="285"/>
      <c r="R23" s="285"/>
      <c r="S23" s="285"/>
      <c r="T23" s="285"/>
      <c r="U23" s="285"/>
      <c r="V23" s="285"/>
      <c r="W23" s="285"/>
      <c r="X23" s="285"/>
      <c r="Y23" s="285"/>
      <c r="Z23" s="285"/>
      <c r="AA23" s="285"/>
      <c r="AB23" s="285"/>
      <c r="AC23" s="285"/>
      <c r="AD23" s="285"/>
      <c r="AE23" s="285"/>
      <c r="AF23" s="285"/>
      <c r="AG23" s="285"/>
      <c r="AH23" s="285"/>
      <c r="AI23" s="285"/>
      <c r="AJ23" s="285"/>
      <c r="AK23" s="285"/>
      <c r="AL23" s="285"/>
      <c r="AM23" s="285"/>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5"/>
      <c r="BK23" s="285"/>
      <c r="BL23" s="285"/>
      <c r="BM23" s="285"/>
      <c r="BN23" s="285"/>
      <c r="BO23" s="285"/>
      <c r="BP23" s="285"/>
      <c r="BQ23" s="285"/>
      <c r="BR23" s="285"/>
      <c r="BS23" s="285"/>
      <c r="BT23" s="285"/>
      <c r="BU23" s="285"/>
      <c r="BV23" s="285"/>
      <c r="BW23" s="285"/>
      <c r="BX23" s="285"/>
      <c r="BY23" s="285"/>
      <c r="BZ23" s="285"/>
      <c r="CA23" s="285"/>
      <c r="CB23" s="285"/>
      <c r="CC23" s="285"/>
      <c r="CD23" s="285"/>
      <c r="CE23" s="285"/>
      <c r="CF23" s="285"/>
      <c r="CG23" s="285"/>
      <c r="CH23" s="285"/>
      <c r="CI23" s="285"/>
      <c r="CJ23" s="285"/>
      <c r="CK23" s="285"/>
      <c r="CL23" s="285"/>
      <c r="CM23" s="285"/>
      <c r="CN23" s="285"/>
      <c r="CO23" s="285"/>
      <c r="CP23" s="285"/>
      <c r="CQ23" s="285"/>
      <c r="CR23" s="285"/>
      <c r="CS23" s="285"/>
      <c r="CT23" s="285"/>
      <c r="CU23" s="285"/>
      <c r="CV23" s="285"/>
      <c r="CW23" s="285"/>
      <c r="CX23" s="285"/>
      <c r="CY23" s="285"/>
      <c r="CZ23" s="285"/>
      <c r="DA23" s="285"/>
      <c r="DB23" s="285"/>
      <c r="DC23" s="285"/>
      <c r="DD23" s="285"/>
      <c r="DE23" s="285"/>
      <c r="DF23" s="285"/>
      <c r="DG23" s="285"/>
      <c r="DH23" s="285"/>
      <c r="DI23" s="285"/>
      <c r="DJ23" s="285"/>
      <c r="DK23" s="285"/>
      <c r="DL23" s="285"/>
      <c r="DM23" s="285"/>
      <c r="DN23" s="285"/>
      <c r="DO23" s="285"/>
      <c r="DP23" s="285"/>
      <c r="DQ23" s="285"/>
      <c r="DR23" s="285"/>
      <c r="DS23" s="285"/>
      <c r="DT23" s="285"/>
      <c r="DU23" s="285"/>
      <c r="DV23" s="285"/>
      <c r="DW23" s="285"/>
      <c r="DX23" s="285">
        <v>0</v>
      </c>
      <c r="DY23" s="285"/>
      <c r="DZ23" s="285"/>
      <c r="EA23" s="285"/>
      <c r="EB23" s="285"/>
      <c r="EC23" s="285"/>
      <c r="ED23" s="285"/>
      <c r="EE23" s="285"/>
      <c r="EF23" s="285">
        <v>0</v>
      </c>
      <c r="EG23" s="285"/>
      <c r="EH23" s="285"/>
      <c r="EI23" s="285"/>
      <c r="EJ23" s="285">
        <v>0</v>
      </c>
      <c r="EK23" s="285"/>
      <c r="EL23" s="285"/>
      <c r="EM23" s="285"/>
      <c r="EN23" s="285">
        <v>0</v>
      </c>
      <c r="EO23" s="285"/>
      <c r="EP23" s="285">
        <v>0</v>
      </c>
      <c r="EQ23" s="285"/>
      <c r="ER23" s="285">
        <v>21</v>
      </c>
      <c r="ES23" s="285"/>
      <c r="ET23" s="285">
        <v>21</v>
      </c>
      <c r="EU23" s="285"/>
      <c r="EV23" s="285">
        <v>21</v>
      </c>
      <c r="EW23" s="285"/>
      <c r="EX23" s="285">
        <v>21</v>
      </c>
      <c r="EY23" s="285"/>
      <c r="EZ23" s="285">
        <v>21</v>
      </c>
      <c r="FA23" s="285"/>
      <c r="FB23" s="285">
        <v>0</v>
      </c>
      <c r="FC23" s="285"/>
      <c r="FD23" s="285">
        <v>0</v>
      </c>
      <c r="FE23" s="285"/>
      <c r="FF23" s="285"/>
      <c r="FG23" s="285"/>
      <c r="FH23" s="285"/>
      <c r="FI23" s="285"/>
      <c r="FJ23" s="285">
        <v>0</v>
      </c>
      <c r="FK23" s="285"/>
      <c r="FL23" s="285"/>
      <c r="FM23" s="285"/>
      <c r="FN23" s="285"/>
      <c r="FO23" s="285"/>
      <c r="FP23" s="285">
        <v>0</v>
      </c>
      <c r="FQ23" s="285"/>
      <c r="FR23" s="285">
        <v>0</v>
      </c>
      <c r="FS23" s="285"/>
      <c r="FT23" s="285">
        <v>0</v>
      </c>
      <c r="FU23" s="285">
        <v>0</v>
      </c>
      <c r="FV23" s="285"/>
      <c r="FW23" s="285"/>
      <c r="FX23" s="285"/>
      <c r="FY23" s="285"/>
      <c r="FZ23" s="285"/>
      <c r="GA23" s="285"/>
      <c r="GB23" s="285"/>
      <c r="GC23" s="285"/>
      <c r="GD23" s="285"/>
      <c r="GE23" s="285">
        <v>0</v>
      </c>
      <c r="GF23" s="285"/>
      <c r="GG23" s="285"/>
      <c r="GH23" s="285"/>
      <c r="GI23" s="285">
        <v>0</v>
      </c>
      <c r="GJ23" s="285"/>
      <c r="GK23" s="285"/>
      <c r="GL23" s="285"/>
      <c r="GM23" s="285"/>
      <c r="GN23" s="285"/>
      <c r="GO23" s="285">
        <v>0</v>
      </c>
      <c r="GP23" s="285"/>
      <c r="GQ23" s="285">
        <v>0</v>
      </c>
      <c r="GR23" s="285"/>
      <c r="GS23" s="285">
        <v>0</v>
      </c>
      <c r="GT23" s="285"/>
      <c r="GU23" s="285">
        <v>0</v>
      </c>
      <c r="GV23" s="285"/>
      <c r="GW23" s="285">
        <v>0</v>
      </c>
      <c r="GX23" s="285">
        <v>0</v>
      </c>
      <c r="GY23" s="285"/>
      <c r="GZ23" s="285">
        <v>0</v>
      </c>
      <c r="HA23" s="285"/>
      <c r="HB23" s="285"/>
      <c r="HC23" s="285"/>
      <c r="HD23" s="285">
        <v>0</v>
      </c>
      <c r="HE23" s="285">
        <v>0</v>
      </c>
      <c r="HF23" s="285">
        <v>0</v>
      </c>
      <c r="HG23" s="285"/>
      <c r="HH23" s="285">
        <v>0</v>
      </c>
      <c r="HI23" s="285"/>
      <c r="HJ23" s="285">
        <v>0</v>
      </c>
      <c r="HK23" s="285"/>
      <c r="HL23" s="285">
        <v>0</v>
      </c>
      <c r="HM23" s="285"/>
      <c r="HN23" s="285">
        <v>0</v>
      </c>
      <c r="HO23" s="285">
        <v>0</v>
      </c>
      <c r="HP23" s="285">
        <v>0</v>
      </c>
      <c r="HQ23" s="285"/>
      <c r="HR23" s="285">
        <v>0</v>
      </c>
      <c r="HS23" s="285"/>
      <c r="HT23" s="285">
        <v>0</v>
      </c>
      <c r="HU23" s="285"/>
      <c r="HV23" s="285">
        <v>0</v>
      </c>
      <c r="HW23" s="285"/>
      <c r="HX23" s="285">
        <v>0</v>
      </c>
      <c r="HY23" s="285">
        <v>0</v>
      </c>
      <c r="HZ23" s="285">
        <v>0</v>
      </c>
      <c r="IA23" s="285">
        <v>0</v>
      </c>
      <c r="IB23" s="285">
        <v>0</v>
      </c>
      <c r="IC23" s="285">
        <v>0</v>
      </c>
      <c r="ID23" s="285"/>
      <c r="IE23" s="285">
        <v>0</v>
      </c>
      <c r="IF23" s="285"/>
      <c r="IG23" s="285">
        <v>0</v>
      </c>
      <c r="IH23" s="285">
        <v>0</v>
      </c>
      <c r="II23" s="285">
        <v>0</v>
      </c>
      <c r="IJ23" s="285"/>
      <c r="IK23" s="285">
        <v>0</v>
      </c>
      <c r="IL23" s="285">
        <v>0</v>
      </c>
      <c r="IM23" s="285">
        <v>0</v>
      </c>
      <c r="IN23" s="285"/>
      <c r="IO23" s="285">
        <v>0</v>
      </c>
      <c r="IP23" s="285"/>
      <c r="IQ23" s="285">
        <v>0</v>
      </c>
      <c r="IR23" s="285"/>
      <c r="IS23" s="285">
        <v>0</v>
      </c>
      <c r="IT23" s="285">
        <v>0</v>
      </c>
      <c r="IU23" s="285">
        <v>0</v>
      </c>
      <c r="IV23" s="285">
        <v>0</v>
      </c>
      <c r="IW23" s="285">
        <v>0</v>
      </c>
      <c r="IX23" s="285">
        <v>-32</v>
      </c>
      <c r="IY23" s="285">
        <v>32</v>
      </c>
      <c r="IZ23" s="285"/>
      <c r="JA23" s="285">
        <v>0</v>
      </c>
      <c r="JB23" s="285"/>
      <c r="JC23" s="285">
        <v>0</v>
      </c>
      <c r="JD23" s="285"/>
      <c r="JE23" s="285">
        <v>0</v>
      </c>
      <c r="JF23" s="285">
        <v>-10</v>
      </c>
      <c r="JG23" s="285">
        <v>10</v>
      </c>
      <c r="JH23" s="285">
        <v>10</v>
      </c>
      <c r="JI23" s="285">
        <v>0</v>
      </c>
      <c r="JJ23" s="285">
        <f>-97+33-33.5</f>
        <v>-97.5</v>
      </c>
      <c r="JK23" s="285">
        <v>97.5</v>
      </c>
      <c r="JL23" s="285">
        <f>-33+26+22+22+27.5</f>
        <v>64.5</v>
      </c>
      <c r="JM23" s="285">
        <v>33</v>
      </c>
      <c r="JN23" s="285">
        <f>-87+33</f>
        <v>-54</v>
      </c>
      <c r="JO23" s="285">
        <v>87</v>
      </c>
      <c r="JP23" s="285">
        <f>-22+32+22+33</f>
        <v>65</v>
      </c>
      <c r="JQ23" s="285">
        <v>22</v>
      </c>
      <c r="JR23" s="285">
        <v>22</v>
      </c>
      <c r="JS23" s="285">
        <v>0</v>
      </c>
      <c r="JT23" s="285"/>
      <c r="JU23" s="285">
        <v>21.5</v>
      </c>
      <c r="JV23" s="285"/>
      <c r="JW23" s="285">
        <v>21.5</v>
      </c>
      <c r="JX23" s="285">
        <f>-28-100+21.5</f>
        <v>-106.5</v>
      </c>
      <c r="JY23" s="285">
        <v>128</v>
      </c>
      <c r="JZ23" s="285">
        <f>-10+24+23+33</f>
        <v>70</v>
      </c>
      <c r="KA23" s="285">
        <v>58</v>
      </c>
      <c r="KB23" s="285">
        <f>22+22.7+23+33-100+33+24</f>
        <v>57.7</v>
      </c>
      <c r="KC23" s="285">
        <v>0</v>
      </c>
      <c r="KD23" s="285">
        <f>22+24+24-100-46</f>
        <v>-76</v>
      </c>
      <c r="KE23" s="285">
        <v>76.3</v>
      </c>
      <c r="KF23" s="285">
        <f>-200-0.5</f>
        <v>-200.5</v>
      </c>
      <c r="KG23" s="285">
        <v>276.83999999999997</v>
      </c>
      <c r="KH23" s="285">
        <f>12+22</f>
        <v>34</v>
      </c>
      <c r="KI23" s="285">
        <f>+KJ23+KK23</f>
        <v>242.84</v>
      </c>
      <c r="KJ23" s="285">
        <f>24+33+33+33</f>
        <v>123</v>
      </c>
      <c r="KK23" s="285">
        <f>+KL23+KM23</f>
        <v>119.84</v>
      </c>
      <c r="KL23" s="285">
        <f>33-1.66</f>
        <v>31.34</v>
      </c>
      <c r="KM23" s="285">
        <v>88.5</v>
      </c>
      <c r="KN23" s="285">
        <v>58.5</v>
      </c>
      <c r="KO23" s="285">
        <v>30</v>
      </c>
      <c r="KP23" s="285"/>
      <c r="KQ23" s="285"/>
      <c r="KR23" s="298"/>
      <c r="KS23" s="285"/>
      <c r="KT23" s="285"/>
      <c r="KU23" s="268"/>
      <c r="KV23" s="288"/>
      <c r="KW23" s="288"/>
      <c r="LH23">
        <v>163</v>
      </c>
      <c r="LI23">
        <v>250.7</v>
      </c>
      <c r="LO23">
        <v>250.7</v>
      </c>
      <c r="LP23">
        <v>119.84</v>
      </c>
      <c r="LQ23">
        <v>242.84</v>
      </c>
      <c r="LR23">
        <v>276.83999999999997</v>
      </c>
      <c r="LS23">
        <v>76.3</v>
      </c>
      <c r="MU23">
        <v>2.1</v>
      </c>
      <c r="MV23">
        <v>25.15</v>
      </c>
      <c r="MY23">
        <v>2.65</v>
      </c>
      <c r="OW23">
        <v>200</v>
      </c>
      <c r="OX23">
        <v>200</v>
      </c>
      <c r="OY23">
        <v>185.95</v>
      </c>
      <c r="OZ23">
        <v>228.4</v>
      </c>
      <c r="PA23">
        <v>370.5</v>
      </c>
      <c r="PB23">
        <v>426</v>
      </c>
      <c r="PC23">
        <v>204.06</v>
      </c>
      <c r="PD23">
        <v>204.06</v>
      </c>
      <c r="PE23">
        <v>275.3</v>
      </c>
      <c r="PF23">
        <v>256</v>
      </c>
      <c r="PG23">
        <v>229.5</v>
      </c>
      <c r="PH23">
        <v>144</v>
      </c>
      <c r="PI23">
        <v>164.2</v>
      </c>
      <c r="PJ23">
        <v>164.2</v>
      </c>
      <c r="PK23">
        <v>35.200000000000003</v>
      </c>
      <c r="PL23">
        <v>67.2</v>
      </c>
      <c r="PM23">
        <v>72.5</v>
      </c>
      <c r="PN23">
        <v>9.68</v>
      </c>
      <c r="PO23">
        <v>9.68</v>
      </c>
      <c r="PP23">
        <v>304.7</v>
      </c>
      <c r="PQ23">
        <v>654.45000000000005</v>
      </c>
      <c r="PR23">
        <v>498.4</v>
      </c>
      <c r="PS23">
        <v>334.4</v>
      </c>
      <c r="PT23">
        <v>93.8</v>
      </c>
      <c r="PU23">
        <v>715.2</v>
      </c>
      <c r="PV23">
        <v>531.9</v>
      </c>
      <c r="PW23">
        <v>600.20000000000005</v>
      </c>
      <c r="PX23">
        <v>668</v>
      </c>
      <c r="PY23">
        <v>508.5</v>
      </c>
      <c r="PZ23">
        <v>363.6</v>
      </c>
      <c r="QA23">
        <v>726.5</v>
      </c>
      <c r="QB23">
        <v>1106.7</v>
      </c>
      <c r="QC23">
        <v>1375.3</v>
      </c>
      <c r="QD23">
        <v>1592.9</v>
      </c>
      <c r="QE23">
        <v>1248.5999999999999</v>
      </c>
      <c r="QF23">
        <v>1223.9000000000001</v>
      </c>
      <c r="QG23">
        <v>1033.7</v>
      </c>
      <c r="QH23">
        <v>734.4</v>
      </c>
      <c r="QI23">
        <v>624.70000000000005</v>
      </c>
      <c r="QJ23">
        <v>237.6</v>
      </c>
      <c r="QK23">
        <v>483.56</v>
      </c>
      <c r="QL23">
        <v>538.79999999999995</v>
      </c>
      <c r="QM23">
        <v>719.8</v>
      </c>
      <c r="QN23">
        <v>748.3</v>
      </c>
      <c r="QO23">
        <v>638.79999999999995</v>
      </c>
      <c r="QP23">
        <v>731.1</v>
      </c>
      <c r="QQ23">
        <v>633</v>
      </c>
      <c r="QR23">
        <v>1061</v>
      </c>
      <c r="QS23">
        <v>1040.25</v>
      </c>
      <c r="QT23">
        <v>1044.2</v>
      </c>
      <c r="QU23">
        <v>1046</v>
      </c>
      <c r="QV23">
        <v>723.9</v>
      </c>
      <c r="QW23">
        <v>531.9</v>
      </c>
      <c r="QX23">
        <v>389.8</v>
      </c>
      <c r="QY23">
        <v>346.39</v>
      </c>
      <c r="QZ23">
        <v>82.24</v>
      </c>
      <c r="RA23">
        <v>437.14</v>
      </c>
      <c r="RB23">
        <v>222.6</v>
      </c>
      <c r="RC23">
        <v>4.3</v>
      </c>
      <c r="RD23">
        <v>56.7</v>
      </c>
      <c r="RE23">
        <v>123.5</v>
      </c>
      <c r="RF23">
        <v>164</v>
      </c>
      <c r="RG23">
        <v>58.7</v>
      </c>
      <c r="RH23">
        <v>22</v>
      </c>
      <c r="RI23">
        <v>2.2999999999999998</v>
      </c>
      <c r="RJ23">
        <v>33</v>
      </c>
      <c r="RK23">
        <v>51.13</v>
      </c>
      <c r="RL23">
        <v>3</v>
      </c>
      <c r="RM23">
        <v>5</v>
      </c>
      <c r="RN23">
        <v>114</v>
      </c>
      <c r="RO23">
        <v>40.299999999999997</v>
      </c>
      <c r="RP23">
        <v>17.5</v>
      </c>
      <c r="SU23">
        <v>59.4</v>
      </c>
      <c r="SV23">
        <v>9.4</v>
      </c>
      <c r="SW23">
        <v>230.3</v>
      </c>
      <c r="SX23">
        <v>140.4</v>
      </c>
      <c r="SY23">
        <v>164.4</v>
      </c>
      <c r="SZ23">
        <v>54</v>
      </c>
      <c r="TA23">
        <v>63</v>
      </c>
      <c r="TB23">
        <v>84.6</v>
      </c>
      <c r="TC23">
        <v>176.6</v>
      </c>
      <c r="TD23">
        <v>302.3</v>
      </c>
      <c r="TE23">
        <v>207.3</v>
      </c>
      <c r="TF23">
        <v>134.4</v>
      </c>
      <c r="TG23">
        <v>231.8</v>
      </c>
      <c r="TH23">
        <v>160.69999999999999</v>
      </c>
      <c r="TI23">
        <v>156.80000000000001</v>
      </c>
      <c r="TJ23">
        <v>414.2</v>
      </c>
      <c r="TK23">
        <v>553.1</v>
      </c>
      <c r="TL23">
        <v>720.7</v>
      </c>
      <c r="TM23">
        <v>715.7</v>
      </c>
      <c r="TN23">
        <v>451.7</v>
      </c>
      <c r="TO23">
        <v>957.25</v>
      </c>
      <c r="TP23">
        <v>496.3</v>
      </c>
      <c r="TQ23">
        <v>706.4</v>
      </c>
      <c r="TR23">
        <v>1205.74</v>
      </c>
      <c r="TS23">
        <v>1891.9</v>
      </c>
      <c r="TT23">
        <v>1824.1</v>
      </c>
      <c r="TU23">
        <v>1927.9</v>
      </c>
      <c r="TV23">
        <v>2018.4</v>
      </c>
      <c r="TW23">
        <v>1940.3</v>
      </c>
      <c r="TX23">
        <v>2203.8000000000002</v>
      </c>
      <c r="TY23">
        <v>2676.6</v>
      </c>
      <c r="TZ23">
        <v>2727.57</v>
      </c>
      <c r="UA23">
        <v>2727.57</v>
      </c>
      <c r="UB23">
        <v>3038.84</v>
      </c>
      <c r="UC23">
        <v>2842.59</v>
      </c>
      <c r="UD23">
        <v>3007.7</v>
      </c>
      <c r="UE23">
        <v>3093.19</v>
      </c>
      <c r="UF23">
        <v>3296.2</v>
      </c>
      <c r="UG23">
        <v>2970.6</v>
      </c>
      <c r="UH23">
        <v>3286.04</v>
      </c>
      <c r="UI23">
        <v>3640.5</v>
      </c>
      <c r="UJ23">
        <v>3972.55</v>
      </c>
      <c r="UK23">
        <v>4393.7</v>
      </c>
      <c r="UL23">
        <v>4053.8</v>
      </c>
      <c r="UM23">
        <v>4648.1000000000004</v>
      </c>
      <c r="UN23">
        <v>4067.67</v>
      </c>
      <c r="UO23">
        <v>3859.07</v>
      </c>
      <c r="UP23">
        <v>3751.3</v>
      </c>
      <c r="UQ23">
        <v>3697.5</v>
      </c>
      <c r="UR23">
        <v>3295.5</v>
      </c>
      <c r="US23">
        <v>3073.5</v>
      </c>
      <c r="UT23">
        <v>3479.66</v>
      </c>
      <c r="UU23">
        <v>3439.2</v>
      </c>
      <c r="UV23">
        <v>3373.81</v>
      </c>
      <c r="UW23">
        <v>3470.7</v>
      </c>
      <c r="UX23">
        <v>3613.4</v>
      </c>
      <c r="UY23">
        <v>3305.8</v>
      </c>
      <c r="UZ23">
        <v>3616.6</v>
      </c>
      <c r="VA23">
        <v>3518.3</v>
      </c>
      <c r="VB23">
        <v>3193.25</v>
      </c>
      <c r="VC23">
        <v>3642.6</v>
      </c>
      <c r="VD23">
        <v>4571.1000000000004</v>
      </c>
      <c r="VE23">
        <v>4497.1000000000004</v>
      </c>
      <c r="VF23" s="1304">
        <v>4392.3</v>
      </c>
      <c r="VG23" s="1304">
        <v>4467.7</v>
      </c>
      <c r="VH23" s="1304">
        <v>4259.5</v>
      </c>
      <c r="VI23" s="1304">
        <v>4071.9</v>
      </c>
      <c r="VJ23" s="1304">
        <v>3686.1</v>
      </c>
      <c r="VK23">
        <v>3382.8</v>
      </c>
      <c r="VL23" s="1304">
        <v>3185.7</v>
      </c>
      <c r="VM23" s="1304">
        <v>3175.8</v>
      </c>
      <c r="VN23" s="1304">
        <v>3205.3</v>
      </c>
      <c r="VO23" s="1304">
        <v>3092.8</v>
      </c>
      <c r="VP23" s="1304">
        <v>2696.4</v>
      </c>
      <c r="VQ23" s="1304">
        <v>2519.5</v>
      </c>
      <c r="VR23" s="1304">
        <v>2812.8</v>
      </c>
      <c r="VS23" s="1304">
        <v>2694.4</v>
      </c>
      <c r="VT23" s="1304">
        <v>2270.0500000000002</v>
      </c>
      <c r="VU23" s="1304">
        <v>2044.6</v>
      </c>
      <c r="VV23" s="1304">
        <v>2012.2</v>
      </c>
      <c r="VW23" s="1304">
        <v>2952.4</v>
      </c>
      <c r="VX23" s="1304">
        <v>3240.5</v>
      </c>
      <c r="VY23" s="1304">
        <v>3482.5</v>
      </c>
      <c r="VZ23" s="1304">
        <f>3622.2-95</f>
        <v>3527.2</v>
      </c>
      <c r="WA23" s="1304">
        <v>3366.8</v>
      </c>
      <c r="WB23" s="1304">
        <v>2928.1</v>
      </c>
      <c r="WC23" s="1304">
        <v>2926</v>
      </c>
      <c r="WD23" s="1304">
        <v>3002.2</v>
      </c>
      <c r="WE23" s="1304">
        <v>3234.5</v>
      </c>
      <c r="WF23" s="1304">
        <v>2764.3</v>
      </c>
      <c r="WG23" s="1304">
        <v>2692.2</v>
      </c>
      <c r="WH23" s="1304">
        <v>2591</v>
      </c>
      <c r="WI23" s="1304">
        <v>2623.1</v>
      </c>
      <c r="WJ23" s="1304">
        <v>2496.8000000000002</v>
      </c>
      <c r="WK23" s="1304">
        <v>2556.8000000000002</v>
      </c>
      <c r="WL23" s="1304">
        <v>2326.3000000000002</v>
      </c>
      <c r="WM23" s="1304">
        <v>1935.85</v>
      </c>
      <c r="WN23" s="1304">
        <v>1669.6</v>
      </c>
      <c r="WO23" s="1304">
        <v>1424.96</v>
      </c>
      <c r="WP23" s="1304">
        <v>1177.3</v>
      </c>
      <c r="WQ23" s="1304">
        <v>1355.1</v>
      </c>
      <c r="WR23" s="1304">
        <v>1414.1</v>
      </c>
      <c r="WS23" s="1304">
        <v>1476.6</v>
      </c>
      <c r="WT23" s="1304">
        <v>1561.3</v>
      </c>
      <c r="WU23" s="1304">
        <v>1922.3</v>
      </c>
      <c r="WV23" s="1304">
        <v>1922</v>
      </c>
      <c r="WW23" s="1304">
        <v>1956.4</v>
      </c>
      <c r="WX23" s="1304">
        <v>1968.2</v>
      </c>
      <c r="WY23" s="1304">
        <v>1936.7</v>
      </c>
      <c r="WZ23" s="1304">
        <v>1774.6</v>
      </c>
      <c r="XA23" s="1304">
        <v>1700</v>
      </c>
      <c r="XB23" s="1304">
        <v>1753.7</v>
      </c>
      <c r="XC23" s="1304">
        <v>1762</v>
      </c>
      <c r="XD23" s="1304">
        <v>2132.3000000000002</v>
      </c>
      <c r="XE23" s="1304">
        <v>2351.3000000000002</v>
      </c>
      <c r="XF23" s="1304">
        <v>2642.3</v>
      </c>
      <c r="XG23" s="1304">
        <v>2682.2</v>
      </c>
      <c r="XH23" s="1304">
        <v>2323.1</v>
      </c>
      <c r="XI23" s="1304">
        <v>2639.2</v>
      </c>
      <c r="XJ23" s="1304">
        <v>2199</v>
      </c>
      <c r="XK23" s="1304">
        <v>1886</v>
      </c>
      <c r="XL23" s="1304">
        <v>1549</v>
      </c>
      <c r="XM23" s="1304">
        <v>1488.3</v>
      </c>
      <c r="XN23" s="1304">
        <v>1234.5</v>
      </c>
      <c r="XO23" s="1304">
        <v>926</v>
      </c>
      <c r="XP23" s="1304">
        <v>489</v>
      </c>
      <c r="XQ23" s="1304">
        <v>566</v>
      </c>
      <c r="XR23" s="1304">
        <v>386</v>
      </c>
      <c r="XS23" s="1304">
        <v>308.60000000000002</v>
      </c>
      <c r="XT23" s="1304">
        <v>356.78</v>
      </c>
      <c r="XU23" s="1304">
        <v>771.7</v>
      </c>
      <c r="XV23" s="1304">
        <v>790.5</v>
      </c>
      <c r="XW23" s="1304">
        <v>564.4</v>
      </c>
      <c r="XX23" s="1304">
        <v>417</v>
      </c>
      <c r="XY23" s="1304">
        <v>325</v>
      </c>
      <c r="XZ23" s="1304">
        <v>269</v>
      </c>
      <c r="YA23" s="1304">
        <v>298.5</v>
      </c>
      <c r="YB23" s="1304">
        <v>152.80000000000001</v>
      </c>
      <c r="YC23" s="1304">
        <v>379.14</v>
      </c>
      <c r="YD23" s="1304">
        <v>469.2</v>
      </c>
      <c r="YE23" s="1304">
        <v>365.8</v>
      </c>
      <c r="YF23" s="1304">
        <v>645</v>
      </c>
      <c r="YG23" s="1304">
        <v>671.6</v>
      </c>
      <c r="YH23" s="1304">
        <v>1004.6</v>
      </c>
      <c r="YI23" s="1304">
        <v>822</v>
      </c>
      <c r="YJ23" s="1304">
        <v>861</v>
      </c>
      <c r="YK23" s="1304">
        <v>983.1</v>
      </c>
      <c r="YL23" s="1304">
        <v>846.4</v>
      </c>
      <c r="YM23" s="1304">
        <v>1064.2</v>
      </c>
      <c r="YN23" s="1304">
        <v>1115</v>
      </c>
      <c r="YO23" s="1304">
        <v>1002.2</v>
      </c>
      <c r="YP23" s="1304">
        <v>869.02</v>
      </c>
      <c r="YQ23" s="1304">
        <v>875.8</v>
      </c>
      <c r="YR23" s="1304">
        <v>901.1</v>
      </c>
      <c r="YS23" s="1304">
        <v>1007.2</v>
      </c>
      <c r="YT23" s="1304">
        <v>743.7</v>
      </c>
      <c r="YU23" s="1304">
        <v>747.5</v>
      </c>
      <c r="YV23" s="1304">
        <v>618.5</v>
      </c>
      <c r="YW23" s="1304">
        <v>569</v>
      </c>
      <c r="YX23" s="1304">
        <v>454</v>
      </c>
      <c r="YY23" s="1304">
        <v>478.1</v>
      </c>
      <c r="YZ23" s="1304">
        <v>703.5</v>
      </c>
      <c r="ZA23" s="1304">
        <v>610.1</v>
      </c>
      <c r="ZB23" s="1304">
        <v>395</v>
      </c>
      <c r="ZC23" s="1304">
        <v>215.3</v>
      </c>
      <c r="ZD23" s="1304">
        <v>127</v>
      </c>
      <c r="ZE23" s="1304">
        <v>230</v>
      </c>
      <c r="ZF23" s="1304">
        <v>201</v>
      </c>
      <c r="ZG23" s="1304">
        <v>259</v>
      </c>
      <c r="ZH23" s="1304">
        <v>78.5</v>
      </c>
      <c r="ZI23" s="1304">
        <v>270</v>
      </c>
      <c r="ZJ23" s="1304">
        <v>380</v>
      </c>
      <c r="ZK23" s="1304">
        <v>196</v>
      </c>
      <c r="ZL23" s="1304">
        <v>512</v>
      </c>
      <c r="ZM23" s="1304">
        <v>380</v>
      </c>
      <c r="ZN23" s="1304">
        <v>249</v>
      </c>
      <c r="ZO23" s="1304">
        <v>297</v>
      </c>
      <c r="ZP23" s="1304">
        <v>286</v>
      </c>
      <c r="ZQ23" s="1304">
        <v>136</v>
      </c>
      <c r="ZR23" s="1304">
        <v>255</v>
      </c>
      <c r="ZS23" s="1304">
        <v>117</v>
      </c>
      <c r="ZT23" s="1304">
        <v>115</v>
      </c>
      <c r="ZU23" s="1304">
        <v>34</v>
      </c>
      <c r="ZV23" s="1304">
        <v>37</v>
      </c>
      <c r="ZW23" s="1304">
        <v>133.19999999999999</v>
      </c>
      <c r="ZX23" s="1304">
        <v>34</v>
      </c>
      <c r="ZY23" s="1304">
        <v>16.5</v>
      </c>
      <c r="ZZ23" s="1304">
        <v>47.3</v>
      </c>
      <c r="AAA23" s="1304">
        <v>78</v>
      </c>
      <c r="AAB23" s="1304">
        <v>144</v>
      </c>
      <c r="AAC23" s="1304">
        <v>384</v>
      </c>
      <c r="AAD23" s="1304">
        <v>334</v>
      </c>
      <c r="AAE23" s="1304">
        <v>133</v>
      </c>
      <c r="AAF23" s="1304">
        <v>197</v>
      </c>
      <c r="AAG23" s="1304">
        <v>283</v>
      </c>
      <c r="AAH23" s="1304">
        <v>329</v>
      </c>
      <c r="AAI23" s="1304">
        <v>144</v>
      </c>
      <c r="AAJ23" s="1304">
        <v>139</v>
      </c>
      <c r="AAK23" s="1304">
        <v>190</v>
      </c>
      <c r="AAL23" s="1304">
        <v>142</v>
      </c>
      <c r="AAM23" s="1304">
        <v>142</v>
      </c>
      <c r="AAN23" s="1304">
        <v>212</v>
      </c>
      <c r="AAO23" s="1304">
        <v>185</v>
      </c>
      <c r="AAP23" s="1304">
        <v>88</v>
      </c>
      <c r="AAQ23" s="1304">
        <v>70</v>
      </c>
      <c r="AAR23" s="1304">
        <v>276</v>
      </c>
      <c r="AAS23" s="1304">
        <f>71+33</f>
        <v>104</v>
      </c>
      <c r="AAT23" s="1304">
        <v>122</v>
      </c>
      <c r="AAU23" s="1304">
        <v>122</v>
      </c>
      <c r="AAV23" s="1304">
        <v>825</v>
      </c>
      <c r="AAW23" s="1304">
        <v>798</v>
      </c>
      <c r="AAX23" s="1304">
        <v>1036</v>
      </c>
      <c r="AAY23" s="1304">
        <v>923</v>
      </c>
      <c r="AAZ23" s="1304">
        <v>957</v>
      </c>
      <c r="ABA23" s="1304">
        <v>264</v>
      </c>
      <c r="ABB23" s="1304">
        <v>177</v>
      </c>
      <c r="ABC23" s="1304">
        <v>332</v>
      </c>
      <c r="ABD23" s="1304">
        <v>335</v>
      </c>
      <c r="ABE23" s="1304">
        <v>440</v>
      </c>
      <c r="ABF23" s="1304">
        <v>485</v>
      </c>
      <c r="ABG23" s="1304">
        <v>434</v>
      </c>
      <c r="ABH23" s="1304">
        <v>301</v>
      </c>
      <c r="ABI23" s="1304">
        <v>82</v>
      </c>
      <c r="ABJ23" s="1304">
        <v>113</v>
      </c>
      <c r="ABK23" s="1304">
        <v>145</v>
      </c>
      <c r="ABL23" s="1304">
        <v>211</v>
      </c>
      <c r="ABM23" s="1304">
        <v>136</v>
      </c>
      <c r="ABN23" s="1304">
        <v>333</v>
      </c>
      <c r="ABO23" s="1304">
        <v>363</v>
      </c>
      <c r="ABP23" s="1304">
        <v>215</v>
      </c>
      <c r="ABQ23" s="1304">
        <v>13</v>
      </c>
      <c r="ABR23" s="1304">
        <v>13</v>
      </c>
      <c r="ABS23" s="1304">
        <v>13</v>
      </c>
      <c r="ABT23" s="1304">
        <v>78</v>
      </c>
      <c r="ABU23" s="1304">
        <v>16</v>
      </c>
      <c r="ABV23" s="1304">
        <v>13</v>
      </c>
      <c r="ABW23" s="1304">
        <v>56</v>
      </c>
      <c r="ABX23" s="1304">
        <v>37</v>
      </c>
      <c r="ABY23" s="1304">
        <v>76</v>
      </c>
      <c r="ABZ23" s="1304">
        <v>73</v>
      </c>
      <c r="ACA23" s="1304">
        <v>48</v>
      </c>
      <c r="ACB23" s="1304">
        <v>160</v>
      </c>
      <c r="ACC23" s="1304">
        <v>106</v>
      </c>
      <c r="ACD23" s="1304">
        <v>126</v>
      </c>
      <c r="ACE23" s="1304">
        <v>75</v>
      </c>
      <c r="ACF23" s="1304">
        <v>86</v>
      </c>
      <c r="ACG23" s="1304">
        <v>176</v>
      </c>
      <c r="ACH23" s="1304">
        <v>14</v>
      </c>
      <c r="ACI23" s="1304">
        <v>303</v>
      </c>
      <c r="ACJ23" s="1304">
        <v>615</v>
      </c>
      <c r="ACK23" s="1304">
        <v>845</v>
      </c>
      <c r="ACL23" s="1304">
        <v>1099</v>
      </c>
      <c r="ACM23" s="1304">
        <v>1235</v>
      </c>
      <c r="ACN23" s="1304">
        <v>1404</v>
      </c>
      <c r="ACO23" s="1304">
        <v>1231</v>
      </c>
      <c r="ACP23" s="1304">
        <v>956</v>
      </c>
      <c r="ACQ23" s="1304">
        <v>1299</v>
      </c>
      <c r="ACR23" s="1304">
        <v>1246</v>
      </c>
      <c r="ACS23" s="1304">
        <v>1525</v>
      </c>
      <c r="ACT23" s="1304">
        <v>1135</v>
      </c>
      <c r="ACU23" s="1304">
        <v>1241</v>
      </c>
      <c r="ACV23" s="1304">
        <v>558</v>
      </c>
      <c r="ACW23" s="1304">
        <v>824</v>
      </c>
      <c r="ACX23" s="1304">
        <v>640</v>
      </c>
      <c r="ACY23" s="1304">
        <v>856</v>
      </c>
      <c r="ACZ23" s="1304">
        <v>1081</v>
      </c>
      <c r="ADA23" s="1304">
        <v>813</v>
      </c>
      <c r="ADB23" s="1304">
        <v>1261</v>
      </c>
      <c r="ADC23" s="1304">
        <v>580</v>
      </c>
      <c r="ADD23" s="1304">
        <v>641</v>
      </c>
      <c r="ADE23" s="1304">
        <v>745</v>
      </c>
      <c r="ADF23" s="1304">
        <v>129</v>
      </c>
      <c r="ADG23" s="1304">
        <v>60</v>
      </c>
      <c r="ADH23" s="1304">
        <v>290</v>
      </c>
      <c r="ADI23" s="1304">
        <v>10</v>
      </c>
      <c r="ADJ23" s="1304">
        <v>53</v>
      </c>
      <c r="ADK23" s="1304">
        <v>634</v>
      </c>
      <c r="ADL23" s="1304">
        <v>168</v>
      </c>
      <c r="ADM23" s="1304">
        <v>59</v>
      </c>
      <c r="ADN23" s="1304">
        <v>1187</v>
      </c>
      <c r="ADO23" s="1304">
        <v>366</v>
      </c>
      <c r="ADP23" s="1304">
        <v>391</v>
      </c>
      <c r="ADQ23" s="1304">
        <v>256</v>
      </c>
      <c r="ADR23" s="1304">
        <v>0</v>
      </c>
      <c r="ADS23" s="1304">
        <v>180</v>
      </c>
      <c r="ADT23" s="1304">
        <v>136</v>
      </c>
      <c r="ADU23" s="1304">
        <v>380</v>
      </c>
      <c r="ADV23" s="1304">
        <v>132</v>
      </c>
      <c r="ADW23" s="1304">
        <v>322</v>
      </c>
      <c r="ADX23" s="1304">
        <v>538</v>
      </c>
      <c r="ADY23" s="1304">
        <v>831</v>
      </c>
      <c r="ADZ23" s="1304">
        <v>1143</v>
      </c>
      <c r="AEA23" s="1304">
        <v>1270</v>
      </c>
      <c r="AEB23" s="1304">
        <v>698</v>
      </c>
      <c r="AEC23" s="1304">
        <v>146.19999999999999</v>
      </c>
      <c r="AED23" s="1304">
        <v>1432.5</v>
      </c>
      <c r="AEE23" s="1304">
        <v>2362</v>
      </c>
      <c r="AEF23" s="1304">
        <v>1531</v>
      </c>
      <c r="AEG23" s="1304">
        <v>2302</v>
      </c>
      <c r="AEH23" s="1304">
        <v>3798</v>
      </c>
      <c r="AEI23" s="1304">
        <v>508</v>
      </c>
      <c r="AEK23" s="1304">
        <v>1222</v>
      </c>
      <c r="AEL23" s="1304">
        <v>350</v>
      </c>
      <c r="AEM23" s="1304">
        <v>300</v>
      </c>
      <c r="AEN23" s="1304">
        <v>250</v>
      </c>
      <c r="AEO23" s="1304">
        <v>0</v>
      </c>
      <c r="AEP23" s="1304">
        <v>0</v>
      </c>
      <c r="AEQ23" s="1304">
        <v>0</v>
      </c>
      <c r="AER23" s="1304">
        <v>0</v>
      </c>
      <c r="AES23" s="1304">
        <v>0</v>
      </c>
      <c r="AET23" s="1304">
        <v>0</v>
      </c>
      <c r="AEU23" s="1304">
        <v>150</v>
      </c>
      <c r="AEV23" s="1304">
        <v>2</v>
      </c>
      <c r="AEW23" s="1304">
        <v>2</v>
      </c>
      <c r="AEX23" s="1304">
        <v>2</v>
      </c>
      <c r="AEY23" s="1304">
        <v>2</v>
      </c>
      <c r="AEZ23" s="1304">
        <v>2</v>
      </c>
      <c r="AFA23" s="1304">
        <v>2</v>
      </c>
      <c r="AFB23" s="1304">
        <v>2</v>
      </c>
      <c r="AFC23" s="1304">
        <v>6</v>
      </c>
      <c r="AFD23" s="1304">
        <v>6</v>
      </c>
      <c r="AFE23" s="1304">
        <v>8</v>
      </c>
      <c r="AFF23" s="1304">
        <v>10</v>
      </c>
      <c r="AFG23" s="1304">
        <v>10</v>
      </c>
      <c r="AFH23" s="1304">
        <v>20</v>
      </c>
      <c r="AFI23" s="1304">
        <v>38</v>
      </c>
      <c r="AFJ23" s="1304">
        <v>3</v>
      </c>
      <c r="AFK23" s="1304">
        <v>6</v>
      </c>
      <c r="AFL23" s="1304">
        <v>3</v>
      </c>
      <c r="AFM23" s="1304">
        <v>80</v>
      </c>
      <c r="AFN23" s="1304">
        <v>125</v>
      </c>
      <c r="AFO23" s="1304">
        <v>125</v>
      </c>
      <c r="AFP23" s="1304">
        <v>125</v>
      </c>
      <c r="AFQ23" s="1304">
        <v>125</v>
      </c>
      <c r="AFR23" s="1304">
        <v>125</v>
      </c>
      <c r="AFS23" s="1304">
        <v>125</v>
      </c>
      <c r="AFT23" s="1304">
        <v>125</v>
      </c>
      <c r="AFU23" s="1304">
        <v>125</v>
      </c>
      <c r="AFV23" s="1304">
        <v>125</v>
      </c>
      <c r="AFW23" s="1304">
        <v>125</v>
      </c>
      <c r="AFX23" s="1304">
        <v>125</v>
      </c>
      <c r="AFY23" s="1304">
        <v>125</v>
      </c>
      <c r="AFZ23" s="1304">
        <v>125</v>
      </c>
      <c r="AGA23" s="1304">
        <v>125</v>
      </c>
      <c r="AGB23" s="1304">
        <v>125</v>
      </c>
      <c r="AGC23" s="1304">
        <v>125</v>
      </c>
      <c r="AGD23" s="1304">
        <v>8</v>
      </c>
      <c r="AGE23" s="1304">
        <v>3</v>
      </c>
      <c r="AGF23" s="1304">
        <v>162</v>
      </c>
      <c r="AGG23" s="1304">
        <v>83</v>
      </c>
      <c r="AGH23" s="1304">
        <v>162</v>
      </c>
      <c r="AGI23" s="1304">
        <v>115</v>
      </c>
      <c r="AGJ23" s="1304">
        <v>350</v>
      </c>
      <c r="AGK23" s="1304">
        <v>262</v>
      </c>
      <c r="AGL23" s="1304">
        <v>269</v>
      </c>
      <c r="AGM23" s="1304">
        <v>127</v>
      </c>
      <c r="AGN23" s="1304">
        <v>3</v>
      </c>
      <c r="AGO23" s="1304">
        <v>1</v>
      </c>
      <c r="AGP23" s="1304">
        <v>15</v>
      </c>
      <c r="AGQ23" s="1304">
        <v>129</v>
      </c>
      <c r="AGR23" s="1304">
        <v>1</v>
      </c>
      <c r="AGS23" s="1304">
        <v>170</v>
      </c>
      <c r="AGT23" s="1304">
        <v>51</v>
      </c>
      <c r="AGU23" s="1304">
        <v>2</v>
      </c>
      <c r="AGV23" s="1304">
        <v>2</v>
      </c>
      <c r="AGW23" s="1304">
        <v>2</v>
      </c>
      <c r="AGX23" s="1304">
        <v>35</v>
      </c>
      <c r="AGY23" s="1304">
        <v>139</v>
      </c>
      <c r="AGZ23" s="1304">
        <v>13</v>
      </c>
      <c r="AHA23" s="1304">
        <v>1</v>
      </c>
      <c r="AHB23" s="1304">
        <v>1</v>
      </c>
      <c r="AHC23" s="1304">
        <v>93</v>
      </c>
      <c r="AHD23" s="1304">
        <v>191</v>
      </c>
      <c r="AHE23" s="1304">
        <v>70</v>
      </c>
      <c r="AHF23" s="1304">
        <v>24</v>
      </c>
      <c r="AHG23" s="1304">
        <v>28</v>
      </c>
      <c r="AHH23" s="1304">
        <v>55</v>
      </c>
      <c r="AHI23" s="1304">
        <v>63</v>
      </c>
      <c r="AHJ23" s="1304">
        <v>151</v>
      </c>
      <c r="AHK23" s="1304">
        <v>142</v>
      </c>
      <c r="AHL23" s="1304">
        <v>314</v>
      </c>
      <c r="AHM23" s="1304">
        <v>285</v>
      </c>
      <c r="AHN23" s="1304">
        <v>118</v>
      </c>
      <c r="AHO23" s="1304">
        <v>185</v>
      </c>
      <c r="AHP23" s="1304">
        <v>56</v>
      </c>
      <c r="AHQ23" s="1304">
        <v>65</v>
      </c>
      <c r="AHR23" s="1304">
        <v>188</v>
      </c>
      <c r="AHS23" s="1304">
        <v>41</v>
      </c>
      <c r="AHT23" s="1304">
        <v>12</v>
      </c>
      <c r="AHU23" s="1304">
        <v>83</v>
      </c>
      <c r="AHV23" s="1304">
        <v>1</v>
      </c>
      <c r="AHW23" s="1304">
        <v>9</v>
      </c>
      <c r="AHX23" s="1304">
        <v>21</v>
      </c>
      <c r="AHY23" s="1304">
        <v>1</v>
      </c>
      <c r="AHZ23" s="1304">
        <v>157</v>
      </c>
      <c r="AIA23" s="1304">
        <v>184</v>
      </c>
      <c r="AIB23" s="1304">
        <v>14</v>
      </c>
      <c r="AIC23" s="1304">
        <v>5</v>
      </c>
      <c r="AID23" s="1304">
        <v>7</v>
      </c>
      <c r="AIE23" s="1304">
        <v>1</v>
      </c>
      <c r="AIF23" s="1304">
        <v>4</v>
      </c>
      <c r="AIG23" s="1304">
        <v>0.2</v>
      </c>
      <c r="AIH23" s="1304">
        <v>0.2</v>
      </c>
      <c r="AII23" s="1304">
        <v>129</v>
      </c>
      <c r="AIJ23" s="1304">
        <v>191</v>
      </c>
      <c r="AIK23" s="1304">
        <v>37.200000000000003</v>
      </c>
    </row>
    <row r="24" spans="1:964">
      <c r="A24" s="9">
        <v>20</v>
      </c>
      <c r="B24" s="74" t="s">
        <v>1996</v>
      </c>
      <c r="C24" s="74">
        <v>310483842</v>
      </c>
      <c r="D24" s="74"/>
      <c r="E24" s="74">
        <v>310483842</v>
      </c>
      <c r="F24" s="922">
        <v>0.29399999999999998</v>
      </c>
      <c r="G24" s="75">
        <v>716581</v>
      </c>
      <c r="H24" s="944"/>
      <c r="I24" s="944"/>
      <c r="J24" s="944"/>
      <c r="K24" s="1308"/>
      <c r="L24" s="1308"/>
      <c r="M24" s="1308"/>
      <c r="N24" s="1308"/>
      <c r="O24" s="285"/>
      <c r="P24" s="285"/>
      <c r="Q24" s="285"/>
      <c r="R24" s="285"/>
      <c r="S24" s="285"/>
      <c r="T24" s="285"/>
      <c r="U24" s="285"/>
      <c r="V24" s="285"/>
      <c r="W24" s="285"/>
      <c r="X24" s="285"/>
      <c r="Y24" s="285"/>
      <c r="Z24" s="285"/>
      <c r="AA24" s="285"/>
      <c r="AB24" s="285"/>
      <c r="AC24" s="285"/>
      <c r="AD24" s="285"/>
      <c r="AE24" s="285"/>
      <c r="AF24" s="285"/>
      <c r="AG24" s="285"/>
      <c r="AH24" s="285"/>
      <c r="AI24" s="285"/>
      <c r="AJ24" s="285"/>
      <c r="AK24" s="285"/>
      <c r="AL24" s="285"/>
      <c r="AM24" s="285"/>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5"/>
      <c r="BK24" s="285"/>
      <c r="BL24" s="285"/>
      <c r="BM24" s="285"/>
      <c r="BN24" s="285"/>
      <c r="BO24" s="285"/>
      <c r="BP24" s="285"/>
      <c r="BQ24" s="285"/>
      <c r="BR24" s="285"/>
      <c r="BS24" s="285"/>
      <c r="BT24" s="285"/>
      <c r="BU24" s="285"/>
      <c r="BV24" s="285"/>
      <c r="BW24" s="285"/>
      <c r="BX24" s="285"/>
      <c r="BY24" s="285"/>
      <c r="BZ24" s="285"/>
      <c r="CA24" s="285"/>
      <c r="CB24" s="285"/>
      <c r="CC24" s="285"/>
      <c r="CD24" s="285"/>
      <c r="CE24" s="285"/>
      <c r="CF24" s="285"/>
      <c r="CG24" s="285"/>
      <c r="CH24" s="285"/>
      <c r="CI24" s="285"/>
      <c r="CJ24" s="285"/>
      <c r="CK24" s="285"/>
      <c r="CL24" s="285"/>
      <c r="CM24" s="285"/>
      <c r="CN24" s="285"/>
      <c r="CO24" s="285"/>
      <c r="CP24" s="285"/>
      <c r="CQ24" s="285"/>
      <c r="CR24" s="285"/>
      <c r="CS24" s="285"/>
      <c r="CT24" s="285"/>
      <c r="CU24" s="285"/>
      <c r="CV24" s="285"/>
      <c r="CW24" s="285"/>
      <c r="CX24" s="285"/>
      <c r="CY24" s="285"/>
      <c r="CZ24" s="285"/>
      <c r="DA24" s="285"/>
      <c r="DB24" s="285"/>
      <c r="DC24" s="285"/>
      <c r="DD24" s="285"/>
      <c r="DE24" s="285"/>
      <c r="DF24" s="285"/>
      <c r="DG24" s="285"/>
      <c r="DH24" s="285"/>
      <c r="DI24" s="285"/>
      <c r="DJ24" s="285"/>
      <c r="DK24" s="285"/>
      <c r="DL24" s="285"/>
      <c r="DM24" s="285"/>
      <c r="DN24" s="285"/>
      <c r="DO24" s="285"/>
      <c r="DP24" s="285"/>
      <c r="DQ24" s="285"/>
      <c r="DR24" s="285"/>
      <c r="DS24" s="285"/>
      <c r="DT24" s="285"/>
      <c r="DU24" s="285"/>
      <c r="DV24" s="285"/>
      <c r="DW24" s="285"/>
      <c r="DX24" s="285">
        <v>0</v>
      </c>
      <c r="DY24" s="285"/>
      <c r="DZ24" s="285"/>
      <c r="EA24" s="285"/>
      <c r="EB24" s="285"/>
      <c r="EC24" s="285"/>
      <c r="ED24" s="285"/>
      <c r="EE24" s="285"/>
      <c r="EF24" s="285">
        <v>0</v>
      </c>
      <c r="EG24" s="285"/>
      <c r="EH24" s="285"/>
      <c r="EI24" s="285"/>
      <c r="EJ24" s="285">
        <v>0</v>
      </c>
      <c r="EK24" s="285"/>
      <c r="EL24" s="285"/>
      <c r="EM24" s="285"/>
      <c r="EN24" s="285">
        <v>0</v>
      </c>
      <c r="EO24" s="285"/>
      <c r="EP24" s="285">
        <v>0</v>
      </c>
      <c r="EQ24" s="285"/>
      <c r="ER24" s="285">
        <v>0</v>
      </c>
      <c r="ES24" s="285"/>
      <c r="ET24" s="285">
        <v>0</v>
      </c>
      <c r="EU24" s="285"/>
      <c r="EV24" s="285">
        <v>0</v>
      </c>
      <c r="EW24" s="285"/>
      <c r="EX24" s="285">
        <v>0</v>
      </c>
      <c r="EY24" s="285"/>
      <c r="EZ24" s="285">
        <v>0</v>
      </c>
      <c r="FA24" s="285"/>
      <c r="FB24" s="285">
        <v>0</v>
      </c>
      <c r="FC24" s="285"/>
      <c r="FD24" s="285">
        <v>0</v>
      </c>
      <c r="FE24" s="285"/>
      <c r="FF24" s="285"/>
      <c r="FG24" s="285"/>
      <c r="FH24" s="285"/>
      <c r="FI24" s="285"/>
      <c r="FJ24" s="285">
        <v>0</v>
      </c>
      <c r="FK24" s="285"/>
      <c r="FL24" s="285"/>
      <c r="FM24" s="285"/>
      <c r="FN24" s="285"/>
      <c r="FO24" s="285"/>
      <c r="FP24" s="285">
        <v>0</v>
      </c>
      <c r="FQ24" s="285"/>
      <c r="FR24" s="285">
        <v>0</v>
      </c>
      <c r="FS24" s="285"/>
      <c r="FT24" s="285">
        <v>0</v>
      </c>
      <c r="FU24" s="285">
        <v>0</v>
      </c>
      <c r="FV24" s="285"/>
      <c r="FW24" s="285"/>
      <c r="FX24" s="285"/>
      <c r="FY24" s="285"/>
      <c r="FZ24" s="285"/>
      <c r="GA24" s="285"/>
      <c r="GB24" s="285"/>
      <c r="GC24" s="285"/>
      <c r="GD24" s="285"/>
      <c r="GE24" s="285">
        <v>0</v>
      </c>
      <c r="GF24" s="285"/>
      <c r="GG24" s="285"/>
      <c r="GH24" s="285"/>
      <c r="GI24" s="285">
        <v>0</v>
      </c>
      <c r="GJ24" s="285"/>
      <c r="GK24" s="285"/>
      <c r="GL24" s="285"/>
      <c r="GM24" s="285"/>
      <c r="GN24" s="285"/>
      <c r="GO24" s="285">
        <v>0</v>
      </c>
      <c r="GP24" s="285"/>
      <c r="GQ24" s="285">
        <v>0</v>
      </c>
      <c r="GR24" s="285"/>
      <c r="GS24" s="285">
        <v>0</v>
      </c>
      <c r="GT24" s="285"/>
      <c r="GU24" s="285">
        <v>0</v>
      </c>
      <c r="GV24" s="285"/>
      <c r="GW24" s="285">
        <v>0</v>
      </c>
      <c r="GX24" s="285">
        <v>0</v>
      </c>
      <c r="GY24" s="285"/>
      <c r="GZ24" s="285">
        <v>0</v>
      </c>
      <c r="HA24" s="285"/>
      <c r="HB24" s="285">
        <v>0</v>
      </c>
      <c r="HC24" s="285"/>
      <c r="HD24" s="285">
        <v>0</v>
      </c>
      <c r="HE24" s="285">
        <v>0</v>
      </c>
      <c r="HF24" s="285">
        <v>0</v>
      </c>
      <c r="HG24" s="285"/>
      <c r="HH24" s="285">
        <v>0</v>
      </c>
      <c r="HI24" s="285"/>
      <c r="HJ24" s="285">
        <v>0</v>
      </c>
      <c r="HK24" s="285"/>
      <c r="HL24" s="285">
        <v>0</v>
      </c>
      <c r="HM24" s="285"/>
      <c r="HN24" s="285">
        <v>0</v>
      </c>
      <c r="HO24" s="285">
        <v>0</v>
      </c>
      <c r="HP24" s="285">
        <v>0</v>
      </c>
      <c r="HQ24" s="285"/>
      <c r="HR24" s="285">
        <v>0</v>
      </c>
      <c r="HS24" s="285"/>
      <c r="HT24" s="285">
        <v>0</v>
      </c>
      <c r="HU24" s="285"/>
      <c r="HV24" s="285">
        <v>0</v>
      </c>
      <c r="HW24" s="285"/>
      <c r="HX24" s="285"/>
      <c r="HY24" s="285">
        <v>0</v>
      </c>
      <c r="HZ24" s="285">
        <v>0</v>
      </c>
      <c r="IA24" s="285">
        <v>0</v>
      </c>
      <c r="IB24" s="285">
        <v>-22</v>
      </c>
      <c r="IC24" s="285">
        <v>22</v>
      </c>
      <c r="ID24" s="285">
        <v>22</v>
      </c>
      <c r="IE24" s="285">
        <v>22</v>
      </c>
      <c r="IF24" s="285">
        <v>22</v>
      </c>
      <c r="IG24" s="285">
        <v>0</v>
      </c>
      <c r="IH24" s="285">
        <v>-2</v>
      </c>
      <c r="II24" s="285">
        <v>2.1</v>
      </c>
      <c r="IJ24" s="285">
        <v>0</v>
      </c>
      <c r="IK24" s="285">
        <v>2.1</v>
      </c>
      <c r="IL24" s="285">
        <f>-48+2.1</f>
        <v>-45.9</v>
      </c>
      <c r="IM24" s="285">
        <v>48</v>
      </c>
      <c r="IN24" s="285">
        <v>33</v>
      </c>
      <c r="IO24" s="285">
        <v>15</v>
      </c>
      <c r="IP24" s="285"/>
      <c r="IQ24" s="285">
        <v>0</v>
      </c>
      <c r="IR24" s="285"/>
      <c r="IS24" s="285">
        <v>0</v>
      </c>
      <c r="IT24" s="285">
        <v>0</v>
      </c>
      <c r="IU24" s="285">
        <v>0</v>
      </c>
      <c r="IV24" s="285">
        <f>33-33</f>
        <v>0</v>
      </c>
      <c r="IW24" s="285">
        <v>0</v>
      </c>
      <c r="IX24" s="285">
        <f>-21+11.7+22-33.9</f>
        <v>-21.2</v>
      </c>
      <c r="IY24" s="285">
        <v>21.2</v>
      </c>
      <c r="IZ24" s="285"/>
      <c r="JA24" s="285">
        <v>33.299999999999997</v>
      </c>
      <c r="JB24" s="285"/>
      <c r="JC24" s="285">
        <v>0.3</v>
      </c>
      <c r="JD24" s="285">
        <v>0</v>
      </c>
      <c r="JE24" s="285">
        <v>27.3</v>
      </c>
      <c r="JF24" s="285">
        <v>27</v>
      </c>
      <c r="JG24" s="285">
        <v>0.3</v>
      </c>
      <c r="JH24" s="285">
        <v>-66</v>
      </c>
      <c r="JI24" s="285">
        <v>66.25</v>
      </c>
      <c r="JJ24" s="285">
        <f>24+22-68+33+32.85</f>
        <v>43.85</v>
      </c>
      <c r="JK24" s="285">
        <v>22.4</v>
      </c>
      <c r="JL24" s="285">
        <v>22</v>
      </c>
      <c r="JM24" s="285">
        <v>0.4</v>
      </c>
      <c r="JN24" s="285">
        <f>-97-93</f>
        <v>-190</v>
      </c>
      <c r="JO24" s="285">
        <v>190.8</v>
      </c>
      <c r="JP24" s="285">
        <f>-150+20+24+28+21.5+22+22+26+26.5</f>
        <v>40</v>
      </c>
      <c r="JQ24" s="285">
        <v>150.80000000000001</v>
      </c>
      <c r="JR24" s="285">
        <f>22+23-2.5+33+23</f>
        <v>98.5</v>
      </c>
      <c r="JS24" s="285">
        <v>52.3</v>
      </c>
      <c r="JT24" s="285">
        <f>-97+22+22+8</f>
        <v>-45</v>
      </c>
      <c r="JU24" s="285">
        <v>97.3</v>
      </c>
      <c r="JV24" s="285">
        <f>22+27+26.5+22</f>
        <v>97.5</v>
      </c>
      <c r="JW24" s="285">
        <v>0</v>
      </c>
      <c r="JX24" s="285">
        <f>33-188</f>
        <v>-155</v>
      </c>
      <c r="JY24" s="285">
        <v>155.30000000000001</v>
      </c>
      <c r="JZ24" s="285">
        <v>155.32499999999999</v>
      </c>
      <c r="KA24" s="285"/>
      <c r="KB24" s="285"/>
      <c r="KC24" s="285"/>
      <c r="KD24" s="285"/>
      <c r="KE24" s="285"/>
      <c r="KF24" s="285"/>
      <c r="KG24" s="285"/>
      <c r="KH24" s="285"/>
      <c r="KI24" s="285"/>
      <c r="KJ24" s="285"/>
      <c r="KK24" s="285"/>
      <c r="KL24" s="285"/>
      <c r="KM24" s="285"/>
      <c r="KN24" s="285"/>
      <c r="KO24" s="285"/>
      <c r="KP24" s="285"/>
      <c r="KQ24" s="285"/>
      <c r="KR24" s="298"/>
      <c r="KS24" s="285"/>
      <c r="KT24" s="285"/>
      <c r="KU24" s="268"/>
      <c r="KV24" s="288"/>
      <c r="KW24" s="288"/>
      <c r="MU24">
        <v>1</v>
      </c>
      <c r="MV24">
        <v>2.1</v>
      </c>
      <c r="MY24">
        <v>3.8</v>
      </c>
      <c r="AEM24" s="1304">
        <v>0</v>
      </c>
      <c r="AEN24" s="1304">
        <v>0</v>
      </c>
      <c r="AEO24" s="1304">
        <v>0</v>
      </c>
      <c r="AEP24" s="1304">
        <v>0</v>
      </c>
      <c r="AEQ24" s="1304">
        <v>0</v>
      </c>
      <c r="AER24" s="1304">
        <v>0</v>
      </c>
      <c r="AES24" s="1304">
        <v>0</v>
      </c>
      <c r="AET24" s="1304">
        <v>0</v>
      </c>
      <c r="AEV24" s="1304">
        <v>0</v>
      </c>
      <c r="AEW24" s="1304">
        <v>0</v>
      </c>
      <c r="AEX24" s="1304">
        <v>0</v>
      </c>
      <c r="AEY24" s="1304">
        <v>0</v>
      </c>
      <c r="AEZ24" s="1304">
        <v>0</v>
      </c>
      <c r="AFB24" s="1304">
        <v>0</v>
      </c>
      <c r="AFC24" s="1304">
        <v>0</v>
      </c>
      <c r="AFD24" s="1304">
        <v>0</v>
      </c>
      <c r="AFE24" s="1304">
        <v>0</v>
      </c>
      <c r="AFF24" s="1304">
        <v>0</v>
      </c>
      <c r="AFG24" s="1304">
        <v>0</v>
      </c>
      <c r="AFH24" s="1304">
        <v>0</v>
      </c>
      <c r="AFI24" s="1304">
        <v>0</v>
      </c>
      <c r="AFJ24" s="1304">
        <v>0</v>
      </c>
      <c r="AFK24" s="1304">
        <v>57</v>
      </c>
      <c r="AFL24" s="1304">
        <v>7</v>
      </c>
      <c r="AFM24" s="1304">
        <v>13</v>
      </c>
      <c r="AFN24" s="1304">
        <v>5</v>
      </c>
      <c r="AFO24" s="1304">
        <v>2</v>
      </c>
      <c r="AFP24" s="1304">
        <v>3</v>
      </c>
      <c r="AFQ24" s="1304">
        <v>6.2</v>
      </c>
      <c r="AFR24" s="1304">
        <v>0</v>
      </c>
      <c r="AFS24" s="1304">
        <v>28</v>
      </c>
      <c r="AFT24" s="1304">
        <v>1</v>
      </c>
      <c r="AFU24" s="1304">
        <v>1</v>
      </c>
      <c r="AFV24" s="1304">
        <v>1</v>
      </c>
      <c r="AFW24" s="1304">
        <v>31</v>
      </c>
      <c r="AFX24" s="1304">
        <v>4</v>
      </c>
      <c r="AFY24" s="1304">
        <v>2.5</v>
      </c>
      <c r="AFZ24" s="1304">
        <v>3.5</v>
      </c>
      <c r="AGA24" s="1304">
        <v>16</v>
      </c>
      <c r="AGB24" s="1304">
        <v>0</v>
      </c>
      <c r="AGC24" s="1304">
        <v>0</v>
      </c>
      <c r="AGD24" s="1304">
        <v>416</v>
      </c>
      <c r="AGE24" s="1304">
        <v>100</v>
      </c>
      <c r="AGF24" s="1304">
        <v>21</v>
      </c>
      <c r="AGG24" s="1304">
        <v>155</v>
      </c>
      <c r="AGH24" s="1304">
        <v>119</v>
      </c>
      <c r="AGI24" s="1304">
        <v>83</v>
      </c>
      <c r="AGJ24" s="1304">
        <v>28</v>
      </c>
      <c r="AGK24" s="1304">
        <v>51</v>
      </c>
      <c r="AGL24" s="1304">
        <v>69</v>
      </c>
      <c r="AGM24" s="1304">
        <v>68</v>
      </c>
      <c r="AGN24" s="1304">
        <v>2</v>
      </c>
      <c r="AGO24" s="1304">
        <v>5</v>
      </c>
      <c r="AGP24" s="1304">
        <v>102</v>
      </c>
      <c r="AGQ24" s="1304">
        <v>19</v>
      </c>
      <c r="AGR24" s="1304">
        <v>3</v>
      </c>
      <c r="AGS24" s="1304">
        <v>110</v>
      </c>
      <c r="AGT24" s="1304">
        <v>3</v>
      </c>
      <c r="AGU24" s="1304">
        <v>1</v>
      </c>
      <c r="AGV24" s="1304">
        <v>1</v>
      </c>
      <c r="AGW24" s="1304">
        <v>2</v>
      </c>
      <c r="AGX24" s="1304">
        <v>218</v>
      </c>
      <c r="AGY24" s="1304">
        <v>55</v>
      </c>
      <c r="AGZ24" s="1304">
        <v>1</v>
      </c>
      <c r="AHA24" s="1304">
        <v>1</v>
      </c>
      <c r="AHB24" s="1304">
        <v>1</v>
      </c>
      <c r="AHC24" s="1304">
        <v>102</v>
      </c>
      <c r="AHD24" s="1304">
        <v>69</v>
      </c>
      <c r="AHE24" s="1304">
        <v>4</v>
      </c>
      <c r="AHF24" s="1304">
        <v>80</v>
      </c>
      <c r="AHG24" s="1304">
        <v>5</v>
      </c>
      <c r="AHH24" s="1304">
        <v>253</v>
      </c>
      <c r="AHI24" s="1304">
        <v>176</v>
      </c>
      <c r="AHJ24" s="1304">
        <v>71</v>
      </c>
      <c r="AHK24" s="1304">
        <v>50</v>
      </c>
      <c r="AHL24" s="1304">
        <v>6</v>
      </c>
      <c r="AHM24" s="1304">
        <v>2</v>
      </c>
      <c r="AHN24" s="1304">
        <v>39</v>
      </c>
      <c r="AHO24" s="1304">
        <v>37</v>
      </c>
      <c r="AHP24" s="1304">
        <v>2</v>
      </c>
      <c r="AHQ24" s="1304">
        <v>1</v>
      </c>
      <c r="AHR24" s="1304">
        <v>5</v>
      </c>
      <c r="AHS24" s="1304">
        <v>142</v>
      </c>
      <c r="AHT24" s="1304">
        <v>4</v>
      </c>
      <c r="AHU24" s="1304">
        <v>23</v>
      </c>
      <c r="AHV24" s="1304">
        <v>0</v>
      </c>
      <c r="AHW24" s="1304">
        <v>4</v>
      </c>
      <c r="AHX24" s="1304">
        <v>21</v>
      </c>
      <c r="AHY24" s="1304">
        <v>0</v>
      </c>
      <c r="AHZ24" s="1304">
        <v>40</v>
      </c>
      <c r="AIA24" s="1304">
        <v>1</v>
      </c>
      <c r="AIB24" s="1304">
        <v>81</v>
      </c>
      <c r="AIC24" s="1304">
        <v>25</v>
      </c>
      <c r="AID24" s="1304">
        <v>48</v>
      </c>
      <c r="AIE24" s="1304">
        <v>1</v>
      </c>
      <c r="AIF24" s="1304">
        <v>46</v>
      </c>
      <c r="AIG24" s="1304">
        <v>1.2</v>
      </c>
      <c r="AIH24" s="1304">
        <v>0.2</v>
      </c>
      <c r="AII24" s="1304">
        <v>0.5</v>
      </c>
      <c r="AIJ24" s="1304">
        <v>4.3</v>
      </c>
      <c r="AIK24" s="1304">
        <v>101</v>
      </c>
      <c r="AIN24" s="1304">
        <v>3</v>
      </c>
      <c r="AIY24" s="1304">
        <v>20</v>
      </c>
      <c r="AIZ24" s="1304">
        <v>20</v>
      </c>
      <c r="AJA24" s="1304">
        <v>20</v>
      </c>
      <c r="AJB24" s="1304">
        <v>20</v>
      </c>
    </row>
    <row r="25" spans="1:964">
      <c r="A25" s="83">
        <v>21</v>
      </c>
      <c r="B25" s="74" t="s">
        <v>2323</v>
      </c>
      <c r="C25" s="74">
        <v>310488749</v>
      </c>
      <c r="D25" s="906" t="s">
        <v>6925</v>
      </c>
      <c r="E25" s="74">
        <v>310488749</v>
      </c>
      <c r="F25" s="74">
        <v>0</v>
      </c>
      <c r="G25" s="75">
        <v>214100</v>
      </c>
      <c r="H25" s="944"/>
      <c r="I25" s="944"/>
      <c r="J25" s="944"/>
      <c r="K25" s="1308"/>
      <c r="L25" s="1308"/>
      <c r="M25" s="1308"/>
      <c r="N25" s="1308"/>
      <c r="O25" s="285"/>
      <c r="P25" s="285"/>
      <c r="Q25" s="285"/>
      <c r="R25" s="285"/>
      <c r="S25" s="285"/>
      <c r="T25" s="285"/>
      <c r="U25" s="285"/>
      <c r="V25" s="285"/>
      <c r="W25" s="285"/>
      <c r="X25" s="285"/>
      <c r="Y25" s="285"/>
      <c r="Z25" s="285"/>
      <c r="AA25" s="285"/>
      <c r="AB25" s="285"/>
      <c r="AC25" s="285"/>
      <c r="AD25" s="285"/>
      <c r="AE25" s="285"/>
      <c r="AF25" s="285"/>
      <c r="AG25" s="285"/>
      <c r="AH25" s="285"/>
      <c r="AI25" s="285"/>
      <c r="AJ25" s="285"/>
      <c r="AK25" s="285"/>
      <c r="AL25" s="285"/>
      <c r="AM25" s="285"/>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5"/>
      <c r="BK25" s="285"/>
      <c r="BL25" s="285"/>
      <c r="BM25" s="285"/>
      <c r="BN25" s="285"/>
      <c r="BO25" s="285"/>
      <c r="BP25" s="285"/>
      <c r="BQ25" s="285"/>
      <c r="BR25" s="285"/>
      <c r="BS25" s="285"/>
      <c r="BT25" s="285"/>
      <c r="BU25" s="285"/>
      <c r="BV25" s="285"/>
      <c r="BW25" s="285"/>
      <c r="BX25" s="285"/>
      <c r="BY25" s="285"/>
      <c r="BZ25" s="285"/>
      <c r="CA25" s="285"/>
      <c r="CB25" s="285"/>
      <c r="CC25" s="285"/>
      <c r="CD25" s="285"/>
      <c r="CE25" s="285"/>
      <c r="CF25" s="285"/>
      <c r="CG25" s="285"/>
      <c r="CH25" s="285"/>
      <c r="CI25" s="285"/>
      <c r="CJ25" s="285"/>
      <c r="CK25" s="285"/>
      <c r="CL25" s="285"/>
      <c r="CM25" s="285"/>
      <c r="CN25" s="285"/>
      <c r="CO25" s="285"/>
      <c r="CP25" s="285"/>
      <c r="CQ25" s="285"/>
      <c r="CR25" s="285"/>
      <c r="CS25" s="285"/>
      <c r="CT25" s="285"/>
      <c r="CU25" s="285"/>
      <c r="CV25" s="285"/>
      <c r="CW25" s="285"/>
      <c r="CX25" s="285"/>
      <c r="CY25" s="285"/>
      <c r="CZ25" s="285"/>
      <c r="DA25" s="285"/>
      <c r="DB25" s="285"/>
      <c r="DC25" s="285"/>
      <c r="DD25" s="285"/>
      <c r="DE25" s="285"/>
      <c r="DF25" s="285"/>
      <c r="DG25" s="285"/>
      <c r="DH25" s="285"/>
      <c r="DI25" s="285"/>
      <c r="DJ25" s="285"/>
      <c r="DK25" s="285"/>
      <c r="DL25" s="285"/>
      <c r="DM25" s="285"/>
      <c r="DN25" s="285"/>
      <c r="DO25" s="285"/>
      <c r="DP25" s="285"/>
      <c r="DQ25" s="285"/>
      <c r="DR25" s="285"/>
      <c r="DS25" s="285"/>
      <c r="DT25" s="285"/>
      <c r="DU25" s="285"/>
      <c r="DV25" s="285"/>
      <c r="DW25" s="285"/>
      <c r="DX25" s="285">
        <v>0</v>
      </c>
      <c r="DY25" s="285"/>
      <c r="DZ25" s="285"/>
      <c r="EA25" s="285"/>
      <c r="EB25" s="285"/>
      <c r="EC25" s="285"/>
      <c r="ED25" s="285"/>
      <c r="EE25" s="285"/>
      <c r="EF25" s="285">
        <v>0</v>
      </c>
      <c r="EG25" s="285"/>
      <c r="EH25" s="285"/>
      <c r="EI25" s="285"/>
      <c r="EJ25" s="285">
        <v>0</v>
      </c>
      <c r="EK25" s="285"/>
      <c r="EL25" s="285"/>
      <c r="EM25" s="285"/>
      <c r="EN25" s="285">
        <v>0</v>
      </c>
      <c r="EO25" s="285"/>
      <c r="EP25" s="285">
        <v>2.5</v>
      </c>
      <c r="EQ25" s="285"/>
      <c r="ER25" s="285">
        <v>0</v>
      </c>
      <c r="ES25" s="285"/>
      <c r="ET25" s="285">
        <v>0</v>
      </c>
      <c r="EU25" s="285"/>
      <c r="EV25" s="285">
        <v>0</v>
      </c>
      <c r="EW25" s="285"/>
      <c r="EX25" s="285">
        <v>0</v>
      </c>
      <c r="EY25" s="285"/>
      <c r="EZ25" s="285">
        <v>0</v>
      </c>
      <c r="FA25" s="285"/>
      <c r="FB25" s="285">
        <v>0</v>
      </c>
      <c r="FC25" s="285"/>
      <c r="FD25" s="285">
        <v>0</v>
      </c>
      <c r="FE25" s="285"/>
      <c r="FF25" s="285"/>
      <c r="FG25" s="285"/>
      <c r="FH25" s="285">
        <v>25</v>
      </c>
      <c r="FI25" s="285"/>
      <c r="FJ25" s="285">
        <v>0</v>
      </c>
      <c r="FK25" s="285"/>
      <c r="FL25" s="285"/>
      <c r="FM25" s="285"/>
      <c r="FN25" s="285"/>
      <c r="FO25" s="285"/>
      <c r="FP25" s="285">
        <v>0</v>
      </c>
      <c r="FQ25" s="285"/>
      <c r="FR25" s="285">
        <v>0</v>
      </c>
      <c r="FS25" s="285"/>
      <c r="FT25" s="285">
        <v>0</v>
      </c>
      <c r="FU25" s="285">
        <v>0</v>
      </c>
      <c r="FV25" s="285"/>
      <c r="FW25" s="285"/>
      <c r="FX25" s="285"/>
      <c r="FY25" s="285"/>
      <c r="FZ25" s="285"/>
      <c r="GA25" s="285"/>
      <c r="GB25" s="285"/>
      <c r="GC25" s="285"/>
      <c r="GD25" s="285"/>
      <c r="GE25" s="285">
        <v>0</v>
      </c>
      <c r="GF25" s="285"/>
      <c r="GG25" s="285"/>
      <c r="GH25" s="285"/>
      <c r="GI25" s="285">
        <v>0</v>
      </c>
      <c r="GJ25" s="285"/>
      <c r="GK25" s="285"/>
      <c r="GL25" s="285"/>
      <c r="GM25" s="285"/>
      <c r="GN25" s="285"/>
      <c r="GO25" s="285">
        <v>0</v>
      </c>
      <c r="GP25" s="285"/>
      <c r="GQ25" s="285">
        <v>0</v>
      </c>
      <c r="GR25" s="285"/>
      <c r="GS25" s="285">
        <v>0</v>
      </c>
      <c r="GT25" s="285"/>
      <c r="GU25" s="285">
        <v>11.8</v>
      </c>
      <c r="GV25" s="285"/>
      <c r="GW25" s="285">
        <v>11.8</v>
      </c>
      <c r="GX25" s="285">
        <v>11.8</v>
      </c>
      <c r="GY25" s="285"/>
      <c r="GZ25" s="285">
        <v>297.39999999999998</v>
      </c>
      <c r="HA25" s="285"/>
      <c r="HB25" s="285">
        <v>0</v>
      </c>
      <c r="HC25" s="285"/>
      <c r="HD25" s="285">
        <v>0</v>
      </c>
      <c r="HE25" s="285">
        <v>0</v>
      </c>
      <c r="HF25" s="285">
        <v>0</v>
      </c>
      <c r="HG25" s="285"/>
      <c r="HH25" s="285">
        <v>0</v>
      </c>
      <c r="HI25" s="285"/>
      <c r="HJ25" s="285">
        <v>0</v>
      </c>
      <c r="HK25" s="285"/>
      <c r="HL25" s="285">
        <v>0</v>
      </c>
      <c r="HM25" s="285"/>
      <c r="HN25" s="285">
        <v>0</v>
      </c>
      <c r="HO25" s="285">
        <v>0</v>
      </c>
      <c r="HP25" s="285">
        <v>0</v>
      </c>
      <c r="HQ25" s="285"/>
      <c r="HR25" s="285">
        <v>0</v>
      </c>
      <c r="HS25" s="285"/>
      <c r="HT25" s="285">
        <v>0</v>
      </c>
      <c r="HU25" s="285"/>
      <c r="HV25" s="285">
        <v>0</v>
      </c>
      <c r="HW25" s="285"/>
      <c r="HX25" s="285"/>
      <c r="HY25" s="285">
        <v>0</v>
      </c>
      <c r="HZ25" s="285">
        <v>0</v>
      </c>
      <c r="IA25" s="285">
        <v>0</v>
      </c>
      <c r="IB25" s="285">
        <v>-2.64</v>
      </c>
      <c r="IC25" s="285">
        <v>2.65</v>
      </c>
      <c r="ID25" s="285">
        <v>2.65</v>
      </c>
      <c r="IE25" s="285">
        <v>0</v>
      </c>
      <c r="IF25" s="285"/>
      <c r="IG25" s="285">
        <v>0</v>
      </c>
      <c r="IH25" s="285">
        <v>-5</v>
      </c>
      <c r="II25" s="285">
        <v>5</v>
      </c>
      <c r="IJ25" s="285">
        <v>5</v>
      </c>
      <c r="IK25" s="285">
        <v>0</v>
      </c>
      <c r="IL25" s="285">
        <v>0</v>
      </c>
      <c r="IM25" s="285">
        <v>33</v>
      </c>
      <c r="IN25" s="285">
        <v>24</v>
      </c>
      <c r="IO25" s="285">
        <v>9</v>
      </c>
      <c r="IP25" s="285"/>
      <c r="IQ25" s="285">
        <v>0</v>
      </c>
      <c r="IR25" s="285"/>
      <c r="IS25" s="285">
        <v>0</v>
      </c>
      <c r="IT25" s="285">
        <v>0</v>
      </c>
      <c r="IU25" s="285">
        <v>0</v>
      </c>
      <c r="IV25" s="285">
        <f>22-22.4</f>
        <v>-0.39999999999999858</v>
      </c>
      <c r="IW25" s="285">
        <v>0.4</v>
      </c>
      <c r="IX25" s="285">
        <f>15+7-44</f>
        <v>-22</v>
      </c>
      <c r="IY25" s="285">
        <v>22.5</v>
      </c>
      <c r="IZ25" s="285">
        <f>-65+22</f>
        <v>-43</v>
      </c>
      <c r="JA25" s="285">
        <v>65.5</v>
      </c>
      <c r="JB25" s="285">
        <f>21.5+22</f>
        <v>43.5</v>
      </c>
      <c r="JC25" s="285">
        <v>22</v>
      </c>
      <c r="JD25" s="285">
        <f>-49.5+22+33+22-77+22</f>
        <v>-27.5</v>
      </c>
      <c r="JE25" s="285">
        <v>49.5</v>
      </c>
      <c r="JF25" s="285">
        <f>-15-55+23+26.5</f>
        <v>-20.5</v>
      </c>
      <c r="JG25" s="285">
        <v>70</v>
      </c>
      <c r="JH25" s="285">
        <f>-100+22+24+24</f>
        <v>-30</v>
      </c>
      <c r="JI25" s="285">
        <v>100.3</v>
      </c>
      <c r="JJ25" s="285">
        <f>22+22+22+21.5+21+24+33-100</f>
        <v>65.5</v>
      </c>
      <c r="JK25" s="285">
        <v>34.799999999999997</v>
      </c>
      <c r="JL25" s="285">
        <f>-76+12+22</f>
        <v>-42</v>
      </c>
      <c r="JM25" s="285">
        <v>77</v>
      </c>
      <c r="JN25" s="285">
        <f>22+22+33</f>
        <v>77</v>
      </c>
      <c r="JO25" s="285"/>
      <c r="JP25" s="285"/>
      <c r="JQ25" s="285"/>
      <c r="JR25" s="285"/>
      <c r="JS25" s="285"/>
      <c r="JT25" s="285"/>
      <c r="JU25" s="285"/>
      <c r="JV25" s="285"/>
      <c r="JW25" s="285"/>
      <c r="JX25" s="285"/>
      <c r="JY25" s="285"/>
      <c r="JZ25" s="285"/>
      <c r="KA25" s="285"/>
      <c r="KB25" s="285"/>
      <c r="KC25" s="285"/>
      <c r="KD25" s="285"/>
      <c r="KE25" s="285"/>
      <c r="KF25" s="285"/>
      <c r="KG25" s="285"/>
      <c r="KH25" s="285"/>
      <c r="KI25" s="285"/>
      <c r="KJ25" s="285"/>
      <c r="KK25" s="285"/>
      <c r="KL25" s="285"/>
      <c r="KM25" s="285"/>
      <c r="KN25" s="285"/>
      <c r="KO25" s="285"/>
      <c r="KP25" s="285"/>
      <c r="KQ25" s="285"/>
      <c r="KR25" s="298"/>
      <c r="KS25" s="285"/>
      <c r="KT25" s="285"/>
      <c r="KU25" s="268"/>
      <c r="KV25" s="288"/>
      <c r="KW25" s="288"/>
      <c r="MU25">
        <v>41.6</v>
      </c>
      <c r="MV25">
        <v>5</v>
      </c>
      <c r="MY25">
        <v>130.5</v>
      </c>
      <c r="AEM25" s="1304">
        <v>0</v>
      </c>
      <c r="AEN25" s="1304">
        <v>0</v>
      </c>
      <c r="AEO25" s="1304">
        <v>26</v>
      </c>
      <c r="AEP25" s="1304">
        <v>37</v>
      </c>
      <c r="AEQ25" s="1304">
        <v>30</v>
      </c>
      <c r="AER25" s="1304">
        <v>25</v>
      </c>
      <c r="AES25" s="1304">
        <v>10</v>
      </c>
      <c r="AET25" s="1304">
        <v>0</v>
      </c>
      <c r="AEV25" s="1304">
        <v>0</v>
      </c>
      <c r="AEW25" s="1304">
        <v>0</v>
      </c>
      <c r="AEX25" s="1304">
        <v>0</v>
      </c>
      <c r="AEY25" s="1304">
        <v>0</v>
      </c>
      <c r="AEZ25" s="1304">
        <v>0</v>
      </c>
      <c r="AFB25" s="1304">
        <v>0</v>
      </c>
      <c r="AFC25" s="1304">
        <v>0</v>
      </c>
      <c r="AFD25" s="1304">
        <v>0</v>
      </c>
      <c r="AFE25" s="1304">
        <v>0</v>
      </c>
      <c r="AFF25" s="1304">
        <v>0</v>
      </c>
      <c r="AFG25" s="1304">
        <v>0</v>
      </c>
      <c r="AFH25" s="1304">
        <v>0</v>
      </c>
      <c r="AFI25" s="1304">
        <v>0</v>
      </c>
      <c r="AFJ25" s="1304">
        <v>0</v>
      </c>
      <c r="AFK25" s="1304">
        <v>0</v>
      </c>
      <c r="AFL25" s="1304">
        <v>0</v>
      </c>
      <c r="AFM25" s="1304">
        <v>70</v>
      </c>
      <c r="AFN25" s="1304">
        <v>0</v>
      </c>
      <c r="AFO25" s="1304">
        <v>0</v>
      </c>
      <c r="AFP25" s="1304">
        <v>0</v>
      </c>
      <c r="AFQ25" s="1304">
        <v>0</v>
      </c>
      <c r="AFR25" s="1304">
        <v>2</v>
      </c>
      <c r="AFS25" s="1304">
        <v>2</v>
      </c>
      <c r="AFT25" s="1304">
        <v>2</v>
      </c>
      <c r="AFU25" s="1304">
        <v>1</v>
      </c>
      <c r="AFV25" s="1304">
        <v>1</v>
      </c>
      <c r="AFW25" s="1304">
        <v>1</v>
      </c>
      <c r="AFX25" s="1304">
        <v>1</v>
      </c>
      <c r="AFY25" s="1304">
        <v>1</v>
      </c>
      <c r="AFZ25" s="1304">
        <v>1</v>
      </c>
      <c r="AGA25" s="1304">
        <v>1</v>
      </c>
      <c r="AGB25" s="1304">
        <v>5</v>
      </c>
      <c r="AGC25" s="1304">
        <v>1.1000000000000001</v>
      </c>
      <c r="AGD25" s="1304">
        <v>1.1000000000000001</v>
      </c>
      <c r="AGE25" s="1304">
        <v>1.1000000000000001</v>
      </c>
      <c r="AGF25" s="1304">
        <v>1.1000000000000001</v>
      </c>
      <c r="AGG25" s="1304">
        <v>1.1000000000000001</v>
      </c>
      <c r="AGH25" s="1304">
        <v>1.1000000000000001</v>
      </c>
      <c r="AGI25" s="1304">
        <v>1.1000000000000001</v>
      </c>
      <c r="AGJ25" s="1304">
        <v>1.1000000000000001</v>
      </c>
      <c r="AGK25" s="1304">
        <v>1.1000000000000001</v>
      </c>
      <c r="AGL25" s="1304">
        <v>1.1000000000000001</v>
      </c>
      <c r="AGM25" s="1304">
        <v>1.1000000000000001</v>
      </c>
      <c r="AGN25" s="1304">
        <v>1.1000000000000001</v>
      </c>
      <c r="AGO25" s="1304">
        <v>1.1000000000000001</v>
      </c>
      <c r="AGP25" s="1304">
        <v>1.1000000000000001</v>
      </c>
      <c r="AGQ25" s="1304">
        <v>1.1000000000000001</v>
      </c>
      <c r="AGR25" s="1304">
        <v>1.1000000000000001</v>
      </c>
      <c r="AGS25" s="1304">
        <v>1.1000000000000001</v>
      </c>
      <c r="AGT25" s="1304">
        <v>1.1000000000000001</v>
      </c>
      <c r="AGU25" s="1304">
        <v>1.1000000000000001</v>
      </c>
      <c r="AGV25" s="1304">
        <v>1.1000000000000001</v>
      </c>
      <c r="AGW25" s="1304">
        <v>1.1000000000000001</v>
      </c>
      <c r="AGX25" s="1304">
        <v>1.1000000000000001</v>
      </c>
      <c r="AGY25" s="1304">
        <v>1.1000000000000001</v>
      </c>
      <c r="AGZ25" s="1304">
        <v>1.1000000000000001</v>
      </c>
      <c r="AHA25" s="1304">
        <v>1.1000000000000001</v>
      </c>
      <c r="AHB25" s="1304">
        <v>1.1000000000000001</v>
      </c>
      <c r="AHC25" s="1304">
        <v>1.1000000000000001</v>
      </c>
      <c r="AHD25" s="1304">
        <v>1.1000000000000001</v>
      </c>
      <c r="AHE25" s="1304">
        <v>1.1000000000000001</v>
      </c>
      <c r="AHF25" s="1304">
        <v>1.1000000000000001</v>
      </c>
      <c r="AHG25" s="1304">
        <v>1.1000000000000001</v>
      </c>
      <c r="AHH25" s="1304">
        <v>1.1000000000000001</v>
      </c>
      <c r="AHI25" s="1304">
        <v>1.1000000000000001</v>
      </c>
      <c r="AHJ25" s="1304">
        <v>1.1000000000000001</v>
      </c>
      <c r="AHK25" s="1304">
        <v>1.1000000000000001</v>
      </c>
      <c r="AHL25" s="1304">
        <v>1.1000000000000001</v>
      </c>
      <c r="AHM25" s="1304">
        <v>1.1000000000000001</v>
      </c>
      <c r="AHN25" s="1304">
        <v>1.1000000000000001</v>
      </c>
      <c r="AHO25" s="1304">
        <v>1.1000000000000001</v>
      </c>
      <c r="AHP25" s="1304">
        <v>1.1000000000000001</v>
      </c>
      <c r="AHQ25" s="1304">
        <v>1.1000000000000001</v>
      </c>
      <c r="AHR25" s="1304">
        <v>1.1000000000000001</v>
      </c>
      <c r="AHS25" s="1304">
        <v>1.1000000000000001</v>
      </c>
      <c r="AHT25" s="1304">
        <v>1.1000000000000001</v>
      </c>
      <c r="AHU25" s="1304">
        <v>1.1000000000000001</v>
      </c>
      <c r="AHV25" s="1304">
        <v>0</v>
      </c>
      <c r="AHW25" s="1304">
        <v>0</v>
      </c>
      <c r="AHX25" s="1304">
        <v>0</v>
      </c>
      <c r="AHY25" s="1304">
        <v>0</v>
      </c>
      <c r="AHZ25" s="1304">
        <v>0</v>
      </c>
      <c r="AIA25" s="1304">
        <v>0</v>
      </c>
      <c r="AIB25" s="1304">
        <v>0</v>
      </c>
      <c r="AIC25" s="1304">
        <v>0</v>
      </c>
      <c r="AID25" s="1304">
        <v>0</v>
      </c>
      <c r="AIE25" s="1304">
        <v>0</v>
      </c>
      <c r="AIF25" s="1304">
        <v>1</v>
      </c>
      <c r="AIG25" s="1304">
        <v>1</v>
      </c>
      <c r="AIH25" s="1304">
        <v>1</v>
      </c>
      <c r="AII25" s="1304">
        <v>1</v>
      </c>
      <c r="AIJ25" s="1304">
        <v>1</v>
      </c>
      <c r="AIK25" s="1304">
        <v>1</v>
      </c>
      <c r="AIL25" s="1304">
        <v>1</v>
      </c>
      <c r="AIM25" s="1304">
        <v>1</v>
      </c>
      <c r="AIN25" s="1304">
        <v>1</v>
      </c>
      <c r="AIO25" s="1304">
        <v>1</v>
      </c>
      <c r="AIP25" s="1304">
        <v>1</v>
      </c>
      <c r="AIQ25" s="1304">
        <v>1</v>
      </c>
      <c r="AIR25" s="1304">
        <v>1</v>
      </c>
      <c r="AIS25" s="1304">
        <v>1</v>
      </c>
      <c r="AIT25" s="1304">
        <v>1</v>
      </c>
      <c r="AIU25" s="1304">
        <v>1</v>
      </c>
      <c r="AIV25" s="1304">
        <v>1</v>
      </c>
      <c r="AIW25" s="1304">
        <v>1</v>
      </c>
      <c r="AIX25" s="1304">
        <v>1</v>
      </c>
      <c r="AIY25" s="1304">
        <v>1</v>
      </c>
      <c r="AIZ25" s="1304">
        <v>1</v>
      </c>
      <c r="AJA25" s="1304">
        <v>1</v>
      </c>
      <c r="AJB25" s="1304">
        <v>1</v>
      </c>
      <c r="AJC25" s="1304">
        <v>1</v>
      </c>
      <c r="AJD25" s="1304">
        <v>1</v>
      </c>
      <c r="AJE25" s="1304">
        <v>1</v>
      </c>
      <c r="AJF25" s="1304">
        <v>1</v>
      </c>
      <c r="AJG25" s="1304">
        <v>1</v>
      </c>
      <c r="AJH25" s="1304">
        <v>30</v>
      </c>
      <c r="AJI25" s="1304">
        <v>45</v>
      </c>
      <c r="AJJ25" s="1304">
        <v>45</v>
      </c>
      <c r="AJK25" s="1304">
        <v>45</v>
      </c>
      <c r="AJL25" s="1304">
        <v>45</v>
      </c>
      <c r="AJM25" s="1304">
        <v>45</v>
      </c>
      <c r="AJN25" s="1304">
        <v>45</v>
      </c>
      <c r="AJO25" s="1304">
        <v>45</v>
      </c>
      <c r="AJP25" s="1304">
        <v>45</v>
      </c>
      <c r="AJQ25" s="1304">
        <v>25</v>
      </c>
      <c r="AJR25" s="1304">
        <v>5</v>
      </c>
      <c r="AJS25" s="2">
        <v>209</v>
      </c>
      <c r="AJT25">
        <v>311</v>
      </c>
      <c r="AJU25" s="6">
        <v>262</v>
      </c>
      <c r="AKA25">
        <v>1367</v>
      </c>
    </row>
    <row r="26" spans="1:964">
      <c r="A26" s="83">
        <v>22</v>
      </c>
      <c r="B26" s="74" t="s">
        <v>2322</v>
      </c>
      <c r="C26" s="74">
        <v>310510278</v>
      </c>
      <c r="D26" s="74"/>
      <c r="E26" s="74">
        <v>310510278</v>
      </c>
      <c r="F26" s="74">
        <v>0</v>
      </c>
      <c r="G26" s="75">
        <v>729470</v>
      </c>
      <c r="H26" s="944">
        <v>9</v>
      </c>
      <c r="I26" s="944"/>
      <c r="J26" s="944"/>
      <c r="K26" s="1308"/>
      <c r="L26" s="1308"/>
      <c r="M26" s="1308"/>
      <c r="N26" s="1308"/>
      <c r="O26" s="285">
        <v>9</v>
      </c>
      <c r="P26" s="285"/>
      <c r="Q26" s="285"/>
      <c r="R26" s="285">
        <f>5+4</f>
        <v>9</v>
      </c>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5"/>
      <c r="BK26" s="285"/>
      <c r="BL26" s="285"/>
      <c r="BM26" s="285"/>
      <c r="BN26" s="285"/>
      <c r="BO26" s="285"/>
      <c r="BP26" s="285"/>
      <c r="BQ26" s="285"/>
      <c r="BR26" s="285"/>
      <c r="BS26" s="285"/>
      <c r="BT26" s="285"/>
      <c r="BU26" s="285"/>
      <c r="BV26" s="285"/>
      <c r="BW26" s="285"/>
      <c r="BX26" s="285"/>
      <c r="BY26" s="285"/>
      <c r="BZ26" s="285"/>
      <c r="CA26" s="285"/>
      <c r="CB26" s="285"/>
      <c r="CC26" s="285"/>
      <c r="CD26" s="285"/>
      <c r="CE26" s="285"/>
      <c r="CF26" s="285"/>
      <c r="CG26" s="285"/>
      <c r="CH26" s="285"/>
      <c r="CI26" s="285"/>
      <c r="CJ26" s="285"/>
      <c r="CK26" s="285"/>
      <c r="CL26" s="285"/>
      <c r="CM26" s="285"/>
      <c r="CN26" s="285"/>
      <c r="CO26" s="285"/>
      <c r="CP26" s="285"/>
      <c r="CQ26" s="285"/>
      <c r="CR26" s="285"/>
      <c r="CS26" s="285"/>
      <c r="CT26" s="285"/>
      <c r="CU26" s="285"/>
      <c r="CV26" s="285"/>
      <c r="CW26" s="285"/>
      <c r="CX26" s="285"/>
      <c r="CY26" s="285"/>
      <c r="CZ26" s="285"/>
      <c r="DA26" s="285"/>
      <c r="DB26" s="285"/>
      <c r="DC26" s="285"/>
      <c r="DD26" s="285"/>
      <c r="DE26" s="285"/>
      <c r="DF26" s="285"/>
      <c r="DG26" s="285"/>
      <c r="DH26" s="285"/>
      <c r="DI26" s="285"/>
      <c r="DJ26" s="285"/>
      <c r="DK26" s="285"/>
      <c r="DL26" s="285"/>
      <c r="DM26" s="285"/>
      <c r="DN26" s="285"/>
      <c r="DO26" s="285"/>
      <c r="DP26" s="285"/>
      <c r="DQ26" s="285"/>
      <c r="DR26" s="285"/>
      <c r="DS26" s="285"/>
      <c r="DT26" s="285"/>
      <c r="DU26" s="285"/>
      <c r="DV26" s="285"/>
      <c r="DW26" s="285"/>
      <c r="DX26" s="285">
        <v>0</v>
      </c>
      <c r="DY26" s="285"/>
      <c r="DZ26" s="748" t="s">
        <v>122</v>
      </c>
      <c r="EA26" s="285"/>
      <c r="EB26" s="285"/>
      <c r="EC26" s="285"/>
      <c r="ED26" s="285"/>
      <c r="EE26" s="285"/>
      <c r="EF26" s="285">
        <v>0</v>
      </c>
      <c r="EG26" s="285"/>
      <c r="EH26" s="285"/>
      <c r="EI26" s="285"/>
      <c r="EJ26" s="285">
        <v>0</v>
      </c>
      <c r="EK26" s="285"/>
      <c r="EL26" s="285"/>
      <c r="EM26" s="285"/>
      <c r="EN26" s="285">
        <v>0</v>
      </c>
      <c r="EO26" s="285"/>
      <c r="EP26" s="285">
        <v>0</v>
      </c>
      <c r="EQ26" s="285"/>
      <c r="ER26" s="285">
        <v>0</v>
      </c>
      <c r="ES26" s="285"/>
      <c r="ET26" s="285">
        <v>0</v>
      </c>
      <c r="EU26" s="285"/>
      <c r="EV26" s="285">
        <v>0</v>
      </c>
      <c r="EW26" s="285"/>
      <c r="EX26" s="285">
        <v>0</v>
      </c>
      <c r="EY26" s="285"/>
      <c r="EZ26" s="285">
        <v>0</v>
      </c>
      <c r="FA26" s="285"/>
      <c r="FB26" s="285">
        <v>0</v>
      </c>
      <c r="FC26" s="285"/>
      <c r="FD26" s="285">
        <v>0</v>
      </c>
      <c r="FE26" s="285"/>
      <c r="FF26" s="285"/>
      <c r="FG26" s="285"/>
      <c r="FH26" s="285"/>
      <c r="FI26" s="285"/>
      <c r="FJ26" s="285">
        <v>0</v>
      </c>
      <c r="FK26" s="285"/>
      <c r="FL26" s="285"/>
      <c r="FM26" s="285"/>
      <c r="FN26" s="285">
        <v>0</v>
      </c>
      <c r="FO26" s="285"/>
      <c r="FP26" s="285">
        <v>0</v>
      </c>
      <c r="FQ26" s="285"/>
      <c r="FR26" s="285">
        <v>0</v>
      </c>
      <c r="FS26" s="285"/>
      <c r="FT26" s="285">
        <v>0</v>
      </c>
      <c r="FU26" s="285">
        <v>0</v>
      </c>
      <c r="FV26" s="285"/>
      <c r="FW26" s="285"/>
      <c r="FX26" s="285"/>
      <c r="FY26" s="285"/>
      <c r="FZ26" s="285"/>
      <c r="GA26" s="285"/>
      <c r="GB26" s="285"/>
      <c r="GC26" s="285"/>
      <c r="GD26" s="285"/>
      <c r="GE26" s="285">
        <v>0</v>
      </c>
      <c r="GF26" s="285"/>
      <c r="GG26" s="285"/>
      <c r="GH26" s="285"/>
      <c r="GI26" s="285">
        <v>0</v>
      </c>
      <c r="GJ26" s="285"/>
      <c r="GK26" s="285"/>
      <c r="GL26" s="285"/>
      <c r="GM26" s="285"/>
      <c r="GN26" s="285"/>
      <c r="GO26" s="285">
        <v>0</v>
      </c>
      <c r="GP26" s="285"/>
      <c r="GQ26" s="285">
        <v>0</v>
      </c>
      <c r="GR26" s="285"/>
      <c r="GS26" s="285">
        <v>0</v>
      </c>
      <c r="GT26" s="285"/>
      <c r="GU26" s="285">
        <v>0</v>
      </c>
      <c r="GV26" s="285"/>
      <c r="GW26" s="285">
        <v>0</v>
      </c>
      <c r="GX26" s="285">
        <v>0</v>
      </c>
      <c r="GY26" s="285"/>
      <c r="GZ26" s="285">
        <v>0</v>
      </c>
      <c r="HA26" s="285"/>
      <c r="HB26" s="285">
        <v>0</v>
      </c>
      <c r="HC26" s="285"/>
      <c r="HD26" s="285">
        <v>0</v>
      </c>
      <c r="HE26" s="285">
        <v>0</v>
      </c>
      <c r="HF26" s="285">
        <v>0</v>
      </c>
      <c r="HG26" s="285"/>
      <c r="HH26" s="285">
        <v>0</v>
      </c>
      <c r="HI26" s="285"/>
      <c r="HJ26" s="285">
        <v>0</v>
      </c>
      <c r="HK26" s="285"/>
      <c r="HL26" s="285">
        <v>0</v>
      </c>
      <c r="HM26" s="285"/>
      <c r="HN26" s="285">
        <v>0</v>
      </c>
      <c r="HO26" s="285">
        <v>0</v>
      </c>
      <c r="HP26" s="285">
        <v>0</v>
      </c>
      <c r="HQ26" s="285">
        <v>0</v>
      </c>
      <c r="HR26" s="285">
        <v>0</v>
      </c>
      <c r="HS26" s="285"/>
      <c r="HT26" s="285">
        <v>0</v>
      </c>
      <c r="HU26" s="285"/>
      <c r="HV26" s="285">
        <v>0</v>
      </c>
      <c r="HW26" s="285">
        <f>4.5+4.5-9</f>
        <v>0</v>
      </c>
      <c r="HX26" s="285"/>
      <c r="HY26" s="285">
        <v>4.5</v>
      </c>
      <c r="HZ26" s="285">
        <v>-0.5</v>
      </c>
      <c r="IA26" s="285">
        <v>5</v>
      </c>
      <c r="IB26" s="285">
        <f>-1.66+32-34.1+5</f>
        <v>1.2399999999999984</v>
      </c>
      <c r="IC26" s="285">
        <v>3.8</v>
      </c>
      <c r="ID26" s="285">
        <f>4.7-1</f>
        <v>3.7</v>
      </c>
      <c r="IE26" s="285">
        <v>0</v>
      </c>
      <c r="IF26" s="285">
        <v>-29.9</v>
      </c>
      <c r="IG26" s="285">
        <v>29.9</v>
      </c>
      <c r="IH26" s="285">
        <f>-80+18+11.9</f>
        <v>-50.1</v>
      </c>
      <c r="II26" s="285">
        <v>80</v>
      </c>
      <c r="IJ26" s="285">
        <f>33+22+25</f>
        <v>80</v>
      </c>
      <c r="IK26" s="285">
        <v>0</v>
      </c>
      <c r="IL26" s="285">
        <v>0</v>
      </c>
      <c r="IM26" s="285">
        <v>0</v>
      </c>
      <c r="IN26" s="285">
        <v>24</v>
      </c>
      <c r="IO26" s="285">
        <v>39.5</v>
      </c>
      <c r="IP26" s="285">
        <f>32.9-71.5+23+16.5</f>
        <v>0.89999999999999858</v>
      </c>
      <c r="IQ26" s="285">
        <v>38.6</v>
      </c>
      <c r="IR26" s="285">
        <f>-76+22+16.5</f>
        <v>-37.5</v>
      </c>
      <c r="IS26" s="285">
        <v>76</v>
      </c>
      <c r="IT26" s="285">
        <f>9+21+22+24</f>
        <v>76</v>
      </c>
      <c r="IU26" s="285">
        <v>0</v>
      </c>
      <c r="IV26" s="285">
        <f>26-10+31+28-95+33-3-30+33+22+22+22-99</f>
        <v>-20</v>
      </c>
      <c r="IW26" s="285">
        <v>20.2</v>
      </c>
      <c r="IX26" s="285">
        <f>-15+21.5+22.5-100+28.5-41+20</f>
        <v>-63.5</v>
      </c>
      <c r="IY26" s="285">
        <f>50.8+32.975</f>
        <v>83.775000000000006</v>
      </c>
      <c r="IZ26" s="285">
        <f>-100+22+22+33+32+33-100</f>
        <v>-58</v>
      </c>
      <c r="JA26" s="285">
        <f>22+31.8+22+33</f>
        <v>108.8</v>
      </c>
      <c r="JB26" s="285"/>
      <c r="JC26" s="285"/>
      <c r="JD26" s="285"/>
      <c r="JE26" s="285"/>
      <c r="JF26" s="285"/>
      <c r="JG26" s="285"/>
      <c r="JH26" s="285"/>
      <c r="JI26" s="285"/>
      <c r="JJ26" s="285"/>
      <c r="JK26" s="285"/>
      <c r="JL26" s="285"/>
      <c r="JM26" s="285"/>
      <c r="JN26" s="285"/>
      <c r="JO26" s="285"/>
      <c r="JP26" s="285"/>
      <c r="JQ26" s="285"/>
      <c r="JR26" s="285"/>
      <c r="JS26" s="285"/>
      <c r="JT26" s="285"/>
      <c r="JU26" s="285"/>
      <c r="JV26" s="285"/>
      <c r="JW26" s="285"/>
      <c r="JX26" s="285"/>
      <c r="JY26" s="285"/>
      <c r="JZ26" s="285"/>
      <c r="KA26" s="285"/>
      <c r="KB26" s="285"/>
      <c r="KC26" s="285"/>
      <c r="KD26" s="285"/>
      <c r="KE26" s="285"/>
      <c r="KF26" s="285"/>
      <c r="KG26" s="285"/>
      <c r="KH26" s="285"/>
      <c r="KI26" s="285"/>
      <c r="KJ26" s="285"/>
      <c r="KK26" s="285"/>
      <c r="KL26" s="285"/>
      <c r="KM26" s="285"/>
      <c r="KN26" s="285"/>
      <c r="KO26" s="285"/>
      <c r="KP26" s="285"/>
      <c r="KQ26" s="285"/>
      <c r="KR26" s="298"/>
      <c r="KS26" s="285"/>
      <c r="KT26" s="285"/>
      <c r="KU26" s="268"/>
      <c r="KV26" s="288"/>
      <c r="KW26" s="288"/>
      <c r="MV26">
        <v>80</v>
      </c>
      <c r="MY26">
        <v>49.6</v>
      </c>
      <c r="AEM26" s="1304">
        <v>0</v>
      </c>
      <c r="AEN26" s="1304">
        <v>5</v>
      </c>
      <c r="AEO26" s="1304">
        <v>4.8</v>
      </c>
      <c r="AEP26" s="1304">
        <v>0</v>
      </c>
      <c r="AEQ26" s="1304">
        <v>0</v>
      </c>
      <c r="AER26" s="1304">
        <v>0</v>
      </c>
      <c r="AES26" s="1304">
        <v>0</v>
      </c>
      <c r="AET26" s="1304">
        <v>0</v>
      </c>
      <c r="AEV26" s="1304">
        <v>0</v>
      </c>
      <c r="AEW26" s="1304">
        <v>0</v>
      </c>
      <c r="AEX26" s="1304">
        <v>0</v>
      </c>
      <c r="AEY26" s="1304">
        <v>0</v>
      </c>
      <c r="AEZ26" s="1304">
        <v>5.7</v>
      </c>
      <c r="AFA26" s="1304">
        <v>2.9</v>
      </c>
      <c r="AFB26" s="1304">
        <v>2.9</v>
      </c>
      <c r="AFC26" s="1304">
        <v>2.9</v>
      </c>
      <c r="AFD26" s="1304">
        <v>2.9</v>
      </c>
      <c r="AFE26" s="1304">
        <v>2.9</v>
      </c>
      <c r="AFF26" s="1304">
        <v>2.9</v>
      </c>
      <c r="AFG26" s="1304">
        <v>2.9</v>
      </c>
      <c r="AFH26" s="1304">
        <v>2.9</v>
      </c>
      <c r="AFI26" s="1304">
        <v>2.9</v>
      </c>
      <c r="AFJ26" s="1304">
        <v>2.9</v>
      </c>
      <c r="AFK26" s="1304">
        <v>2.9</v>
      </c>
      <c r="AFL26" s="1304">
        <v>2.9</v>
      </c>
      <c r="AFM26" s="1304">
        <v>2.9</v>
      </c>
      <c r="AFN26" s="1304">
        <v>2.9</v>
      </c>
      <c r="AFO26" s="1304">
        <v>2.9</v>
      </c>
      <c r="AFP26" s="1304">
        <v>2.9</v>
      </c>
      <c r="AFQ26" s="1304">
        <v>2.9</v>
      </c>
      <c r="AFR26" s="1304">
        <v>2.9</v>
      </c>
      <c r="AFS26" s="1304">
        <v>2.9</v>
      </c>
      <c r="AFT26" s="1304">
        <v>2.9</v>
      </c>
      <c r="AFU26" s="1304">
        <v>2.9</v>
      </c>
      <c r="AFV26" s="1304">
        <v>2.9</v>
      </c>
      <c r="AFW26" s="1304">
        <v>2.9</v>
      </c>
      <c r="AFX26" s="1304">
        <v>2.9</v>
      </c>
      <c r="AFY26" s="1304">
        <v>2.9</v>
      </c>
      <c r="AFZ26" s="1304">
        <v>2.9</v>
      </c>
      <c r="AGA26" s="1304">
        <v>2.9</v>
      </c>
      <c r="AGB26" s="1304">
        <v>2.9</v>
      </c>
      <c r="AGC26" s="1304">
        <v>2.9</v>
      </c>
      <c r="AGD26" s="1304">
        <v>2.9</v>
      </c>
      <c r="AGE26" s="1304">
        <v>2.9</v>
      </c>
      <c r="AGF26" s="1304">
        <v>2.9</v>
      </c>
      <c r="AGG26" s="1304">
        <v>2.9</v>
      </c>
      <c r="AGH26" s="1304">
        <v>2.9</v>
      </c>
      <c r="AGI26" s="1304">
        <v>2.9</v>
      </c>
      <c r="AGJ26" s="1304">
        <v>2.9</v>
      </c>
      <c r="AGK26" s="1304">
        <v>2.9</v>
      </c>
      <c r="AGL26" s="1304">
        <v>2.9</v>
      </c>
      <c r="AGM26" s="1304">
        <v>2.9</v>
      </c>
      <c r="AGN26" s="1304">
        <v>2.9</v>
      </c>
      <c r="AGO26" s="1304">
        <v>2.9</v>
      </c>
      <c r="AGP26" s="1304">
        <v>2.9</v>
      </c>
      <c r="AGQ26" s="1304">
        <v>2.9</v>
      </c>
      <c r="AGR26" s="1304">
        <v>2.9</v>
      </c>
      <c r="AGS26" s="1304">
        <v>2.9</v>
      </c>
      <c r="AGT26" s="1304">
        <v>2.9</v>
      </c>
      <c r="AGU26" s="1304">
        <v>2.9</v>
      </c>
      <c r="AGV26" s="1304">
        <v>2.9</v>
      </c>
      <c r="AGW26" s="1304">
        <v>2.9</v>
      </c>
      <c r="AGX26" s="1304">
        <v>2.9</v>
      </c>
      <c r="AGY26" s="1304">
        <v>2.9</v>
      </c>
      <c r="AGZ26" s="1304">
        <v>2.9</v>
      </c>
      <c r="AHA26" s="1304">
        <v>2.9</v>
      </c>
      <c r="AHB26" s="1304">
        <v>2.9</v>
      </c>
      <c r="AHC26" s="1304">
        <v>2.9</v>
      </c>
      <c r="AHD26" s="1304">
        <v>2.9</v>
      </c>
      <c r="AHE26" s="1304">
        <v>2.9</v>
      </c>
      <c r="AHF26" s="1304">
        <v>2.9</v>
      </c>
      <c r="AHG26" s="1304">
        <v>2.9</v>
      </c>
      <c r="AHH26" s="1304">
        <v>2.9</v>
      </c>
      <c r="AHI26" s="1304">
        <v>2.9</v>
      </c>
      <c r="AHJ26" s="1304">
        <v>2.9</v>
      </c>
      <c r="AHK26" s="1304">
        <v>2.9</v>
      </c>
      <c r="AHL26" s="1304">
        <v>2.9</v>
      </c>
      <c r="AHM26" s="1304">
        <v>2.9</v>
      </c>
      <c r="AHN26" s="1304">
        <v>2.9</v>
      </c>
      <c r="AHO26" s="1304">
        <v>2.9</v>
      </c>
      <c r="AHP26" s="1304">
        <v>2.9</v>
      </c>
      <c r="AHQ26" s="1304">
        <v>2.9</v>
      </c>
      <c r="AHR26" s="1304">
        <v>2.9</v>
      </c>
      <c r="AHS26" s="1304">
        <v>2.9</v>
      </c>
      <c r="AHT26" s="1304">
        <v>2.9</v>
      </c>
      <c r="AHU26" s="1304">
        <v>2.9</v>
      </c>
      <c r="AHV26" s="1304">
        <v>2.9</v>
      </c>
      <c r="AHW26" s="1304">
        <v>2.9</v>
      </c>
      <c r="AHX26" s="1304">
        <v>2.9</v>
      </c>
      <c r="AHY26" s="1304">
        <v>2.9</v>
      </c>
      <c r="AHZ26" s="1304">
        <v>2.9</v>
      </c>
      <c r="AIA26" s="1304">
        <v>2.9</v>
      </c>
      <c r="AIB26" s="1304">
        <v>2.9</v>
      </c>
      <c r="AIC26" s="1304">
        <v>2.9</v>
      </c>
      <c r="AID26" s="1304">
        <v>2.9</v>
      </c>
      <c r="AIE26" s="1304">
        <v>2.9</v>
      </c>
      <c r="AIF26" s="1304">
        <v>2.9</v>
      </c>
      <c r="AIG26" s="1304">
        <v>2.9</v>
      </c>
      <c r="AIH26" s="1304">
        <v>1</v>
      </c>
      <c r="AII26" s="1304">
        <v>1</v>
      </c>
      <c r="AIJ26" s="1304">
        <v>1</v>
      </c>
      <c r="AIK26" s="1304">
        <v>1</v>
      </c>
      <c r="AIL26" s="1304">
        <v>1</v>
      </c>
      <c r="AIM26" s="1304">
        <v>1</v>
      </c>
      <c r="AIN26" s="1304">
        <v>1</v>
      </c>
      <c r="AIO26" s="1304">
        <v>1</v>
      </c>
      <c r="AIP26" s="1304">
        <v>1</v>
      </c>
      <c r="AIQ26" s="1304">
        <v>1</v>
      </c>
      <c r="AIR26" s="1304">
        <v>1</v>
      </c>
      <c r="AIS26" s="1304">
        <v>1</v>
      </c>
      <c r="AIT26" s="1304">
        <v>1</v>
      </c>
      <c r="AIU26" s="1304">
        <v>1</v>
      </c>
      <c r="AIV26" s="1304">
        <v>1</v>
      </c>
      <c r="AIW26" s="1304">
        <v>1</v>
      </c>
      <c r="AIX26" s="1304">
        <v>1</v>
      </c>
      <c r="AIY26" s="1304">
        <v>1</v>
      </c>
      <c r="AIZ26" s="1304">
        <v>1</v>
      </c>
      <c r="AJA26" s="1304">
        <v>1</v>
      </c>
      <c r="AJB26" s="1304">
        <v>1</v>
      </c>
      <c r="AJC26" s="1304">
        <v>1</v>
      </c>
      <c r="AJD26" s="1304">
        <v>1</v>
      </c>
      <c r="AJE26" s="1304">
        <v>1</v>
      </c>
      <c r="AJF26" s="1304">
        <v>1</v>
      </c>
      <c r="AJG26" s="1304">
        <v>1</v>
      </c>
      <c r="AJH26" s="1304">
        <v>1</v>
      </c>
      <c r="AJI26" s="1304">
        <v>1</v>
      </c>
      <c r="AJJ26" s="1304">
        <v>1</v>
      </c>
      <c r="AJK26" s="1304">
        <v>1</v>
      </c>
      <c r="AJL26" s="1304">
        <v>1</v>
      </c>
      <c r="AJM26" s="1304">
        <v>1</v>
      </c>
      <c r="AJN26" s="1304">
        <v>1</v>
      </c>
      <c r="AJO26" s="1304">
        <v>1</v>
      </c>
      <c r="AJP26" s="1304">
        <v>1</v>
      </c>
      <c r="AJQ26" s="1304">
        <v>1</v>
      </c>
      <c r="AJR26" s="1304">
        <v>1</v>
      </c>
      <c r="AJS26" s="2">
        <v>1</v>
      </c>
      <c r="AJT26">
        <v>1</v>
      </c>
      <c r="AJU26" s="6">
        <v>1</v>
      </c>
      <c r="AJV26">
        <v>1</v>
      </c>
      <c r="AKA26">
        <v>43</v>
      </c>
    </row>
    <row r="27" spans="1:964">
      <c r="A27" s="83">
        <v>23</v>
      </c>
      <c r="B27" s="74" t="s">
        <v>2321</v>
      </c>
      <c r="C27" s="74">
        <v>996767914</v>
      </c>
      <c r="D27" s="906" t="s">
        <v>6925</v>
      </c>
      <c r="E27" s="74">
        <v>996767914</v>
      </c>
      <c r="F27" s="74">
        <v>0</v>
      </c>
      <c r="G27" s="75">
        <v>603038</v>
      </c>
      <c r="H27" s="944"/>
      <c r="I27" s="944"/>
      <c r="J27" s="944"/>
      <c r="K27" s="1308"/>
      <c r="L27" s="1308"/>
      <c r="M27" s="1308"/>
      <c r="N27" s="1308"/>
      <c r="O27" s="285"/>
      <c r="P27" s="285"/>
      <c r="Q27" s="285"/>
      <c r="R27" s="285"/>
      <c r="S27" s="285"/>
      <c r="T27" s="285"/>
      <c r="U27" s="285"/>
      <c r="V27" s="285"/>
      <c r="W27" s="285"/>
      <c r="X27" s="285"/>
      <c r="Y27" s="285"/>
      <c r="Z27" s="285"/>
      <c r="AA27" s="285"/>
      <c r="AB27" s="285"/>
      <c r="AC27" s="285"/>
      <c r="AD27" s="285"/>
      <c r="AE27" s="285"/>
      <c r="AF27" s="285"/>
      <c r="AG27" s="285"/>
      <c r="AH27" s="285"/>
      <c r="AI27" s="285"/>
      <c r="AJ27" s="285"/>
      <c r="AK27" s="285"/>
      <c r="AL27" s="285"/>
      <c r="AM27" s="285"/>
      <c r="AN27" s="285"/>
      <c r="AO27" s="285"/>
      <c r="AP27" s="285"/>
      <c r="AQ27" s="285"/>
      <c r="AR27" s="285"/>
      <c r="AS27" s="285"/>
      <c r="AT27" s="285"/>
      <c r="AU27" s="285"/>
      <c r="AV27" s="285"/>
      <c r="AW27" s="285"/>
      <c r="AX27" s="285"/>
      <c r="AY27" s="285"/>
      <c r="AZ27" s="285"/>
      <c r="BA27" s="285"/>
      <c r="BB27" s="285">
        <v>0</v>
      </c>
      <c r="BC27" s="285"/>
      <c r="BD27" s="285">
        <v>0</v>
      </c>
      <c r="BE27" s="285"/>
      <c r="BF27" s="285">
        <v>0</v>
      </c>
      <c r="BG27" s="285"/>
      <c r="BH27" s="285"/>
      <c r="BI27" s="285"/>
      <c r="BJ27" s="285"/>
      <c r="BK27" s="285"/>
      <c r="BL27" s="285"/>
      <c r="BM27" s="285"/>
      <c r="BN27" s="285"/>
      <c r="BO27" s="285"/>
      <c r="BP27" s="285"/>
      <c r="BQ27" s="285"/>
      <c r="BR27" s="285"/>
      <c r="BS27" s="285"/>
      <c r="BT27" s="285"/>
      <c r="BU27" s="285"/>
      <c r="BV27" s="285"/>
      <c r="BW27" s="285"/>
      <c r="BX27" s="285">
        <v>0</v>
      </c>
      <c r="BY27" s="285"/>
      <c r="BZ27" s="285"/>
      <c r="CA27" s="285"/>
      <c r="CB27" s="285"/>
      <c r="CC27" s="285"/>
      <c r="CD27" s="285"/>
      <c r="CE27" s="285"/>
      <c r="CF27" s="285"/>
      <c r="CG27" s="285"/>
      <c r="CH27" s="285"/>
      <c r="CI27" s="285"/>
      <c r="CJ27" s="285"/>
      <c r="CK27" s="285"/>
      <c r="CL27" s="285"/>
      <c r="CM27" s="285"/>
      <c r="CN27" s="285"/>
      <c r="CO27" s="285"/>
      <c r="CP27" s="285"/>
      <c r="CQ27" s="285"/>
      <c r="CR27" s="285"/>
      <c r="CS27" s="285"/>
      <c r="CT27" s="285"/>
      <c r="CU27" s="285"/>
      <c r="CV27" s="285"/>
      <c r="CW27" s="285"/>
      <c r="CX27" s="285"/>
      <c r="CY27" s="285"/>
      <c r="CZ27" s="285"/>
      <c r="DA27" s="285"/>
      <c r="DB27" s="285"/>
      <c r="DC27" s="285"/>
      <c r="DD27" s="285"/>
      <c r="DE27" s="285"/>
      <c r="DF27" s="285"/>
      <c r="DG27" s="285"/>
      <c r="DH27" s="285"/>
      <c r="DI27" s="285"/>
      <c r="DJ27" s="285"/>
      <c r="DK27" s="285"/>
      <c r="DL27" s="285"/>
      <c r="DM27" s="285"/>
      <c r="DN27" s="285"/>
      <c r="DO27" s="285"/>
      <c r="DP27" s="285"/>
      <c r="DQ27" s="285"/>
      <c r="DR27" s="285"/>
      <c r="DS27" s="285"/>
      <c r="DT27" s="285"/>
      <c r="DU27" s="285"/>
      <c r="DV27" s="285"/>
      <c r="DW27" s="285"/>
      <c r="DX27" s="285">
        <v>0</v>
      </c>
      <c r="DY27" s="285"/>
      <c r="DZ27" s="285">
        <v>0</v>
      </c>
      <c r="EA27" s="285"/>
      <c r="EB27" s="285"/>
      <c r="EC27" s="285"/>
      <c r="ED27" s="285"/>
      <c r="EE27" s="285"/>
      <c r="EF27" s="285">
        <v>0</v>
      </c>
      <c r="EG27" s="285"/>
      <c r="EH27" s="285"/>
      <c r="EI27" s="285"/>
      <c r="EJ27" s="285">
        <v>0</v>
      </c>
      <c r="EK27" s="285"/>
      <c r="EL27" s="285"/>
      <c r="EM27" s="285"/>
      <c r="EN27" s="285">
        <v>0</v>
      </c>
      <c r="EO27" s="285"/>
      <c r="EP27" s="285">
        <v>0.5</v>
      </c>
      <c r="EQ27" s="285"/>
      <c r="ER27" s="285">
        <v>0.5</v>
      </c>
      <c r="ES27" s="285"/>
      <c r="ET27" s="285">
        <v>0.5</v>
      </c>
      <c r="EU27" s="285"/>
      <c r="EV27" s="285">
        <v>0.5</v>
      </c>
      <c r="EW27" s="285"/>
      <c r="EX27" s="285">
        <v>0.5</v>
      </c>
      <c r="EY27" s="285"/>
      <c r="EZ27" s="285">
        <v>0.5</v>
      </c>
      <c r="FA27" s="285"/>
      <c r="FB27" s="285">
        <v>0.63800000000000001</v>
      </c>
      <c r="FC27" s="285"/>
      <c r="FD27" s="285">
        <v>0.63800000000000001</v>
      </c>
      <c r="FE27" s="285"/>
      <c r="FF27" s="285"/>
      <c r="FG27" s="285"/>
      <c r="FH27" s="285">
        <v>0</v>
      </c>
      <c r="FI27" s="285"/>
      <c r="FJ27" s="285">
        <v>0</v>
      </c>
      <c r="FK27" s="285"/>
      <c r="FL27" s="285">
        <v>0</v>
      </c>
      <c r="FM27" s="285"/>
      <c r="FN27" s="285">
        <v>0</v>
      </c>
      <c r="FO27" s="285"/>
      <c r="FP27" s="285">
        <v>0</v>
      </c>
      <c r="FQ27" s="285"/>
      <c r="FR27" s="285">
        <v>0</v>
      </c>
      <c r="FS27" s="285"/>
      <c r="FT27" s="285">
        <v>0</v>
      </c>
      <c r="FU27" s="285">
        <v>0</v>
      </c>
      <c r="FV27" s="285"/>
      <c r="FW27" s="285"/>
      <c r="FX27" s="285"/>
      <c r="FY27" s="285"/>
      <c r="FZ27" s="285"/>
      <c r="GA27" s="285"/>
      <c r="GB27" s="285"/>
      <c r="GC27" s="285"/>
      <c r="GD27" s="285"/>
      <c r="GE27" s="285">
        <v>0</v>
      </c>
      <c r="GF27" s="285"/>
      <c r="GG27" s="285"/>
      <c r="GH27" s="285"/>
      <c r="GI27" s="285">
        <v>0</v>
      </c>
      <c r="GJ27" s="285"/>
      <c r="GK27" s="285"/>
      <c r="GL27" s="285"/>
      <c r="GM27" s="285"/>
      <c r="GN27" s="285"/>
      <c r="GO27" s="285">
        <v>0</v>
      </c>
      <c r="GP27" s="285"/>
      <c r="GQ27" s="285">
        <v>0</v>
      </c>
      <c r="GR27" s="285">
        <v>0</v>
      </c>
      <c r="GS27" s="285">
        <v>0</v>
      </c>
      <c r="GT27" s="285">
        <v>0</v>
      </c>
      <c r="GU27" s="285">
        <v>0</v>
      </c>
      <c r="GV27" s="285"/>
      <c r="GW27" s="285">
        <v>0</v>
      </c>
      <c r="GX27" s="285">
        <v>0</v>
      </c>
      <c r="GY27" s="285"/>
      <c r="GZ27" s="285">
        <v>0</v>
      </c>
      <c r="HA27" s="285"/>
      <c r="HB27" s="285">
        <f>5.26+26.5</f>
        <v>31.759999999999998</v>
      </c>
      <c r="HC27" s="285"/>
      <c r="HD27" s="285">
        <v>0</v>
      </c>
      <c r="HE27" s="285">
        <v>5.28</v>
      </c>
      <c r="HF27" s="285">
        <v>0</v>
      </c>
      <c r="HG27" s="285"/>
      <c r="HH27" s="285">
        <v>0</v>
      </c>
      <c r="HI27" s="285"/>
      <c r="HJ27" s="285">
        <v>0</v>
      </c>
      <c r="HK27" s="285"/>
      <c r="HL27" s="285">
        <v>0</v>
      </c>
      <c r="HM27" s="285"/>
      <c r="HN27" s="285">
        <v>0</v>
      </c>
      <c r="HO27" s="285">
        <v>0</v>
      </c>
      <c r="HP27" s="285">
        <v>0</v>
      </c>
      <c r="HQ27" s="285">
        <v>-172</v>
      </c>
      <c r="HR27" s="285">
        <v>172</v>
      </c>
      <c r="HS27" s="285">
        <f>22+150</f>
        <v>172</v>
      </c>
      <c r="HT27" s="285">
        <v>0</v>
      </c>
      <c r="HU27" s="285">
        <f>50+50+50-1.6-100-48.4</f>
        <v>0</v>
      </c>
      <c r="HV27" s="285">
        <v>0</v>
      </c>
      <c r="HW27" s="285">
        <f>26.5+22-48.2</f>
        <v>0.29999999999999716</v>
      </c>
      <c r="HX27" s="285"/>
      <c r="HY27" s="285">
        <v>0</v>
      </c>
      <c r="HZ27" s="285">
        <v>0</v>
      </c>
      <c r="IA27" s="285">
        <v>0</v>
      </c>
      <c r="IB27" s="285">
        <f>-1.6-100-28.8-98+28+24+24+22</f>
        <v>-130.4</v>
      </c>
      <c r="IC27" s="285">
        <v>130.5</v>
      </c>
      <c r="ID27" s="285">
        <f>24+18+33+22.5+33</f>
        <v>130.5</v>
      </c>
      <c r="IE27" s="285">
        <v>0</v>
      </c>
      <c r="IF27" s="285">
        <v>-99.8</v>
      </c>
      <c r="IG27" s="285">
        <v>100</v>
      </c>
      <c r="IH27" s="285">
        <f>22+22+22+33</f>
        <v>99</v>
      </c>
      <c r="II27" s="285">
        <v>1</v>
      </c>
      <c r="IJ27" s="285"/>
      <c r="IK27" s="285">
        <v>1</v>
      </c>
      <c r="IL27" s="285">
        <f>33+33-18-200</f>
        <v>-152</v>
      </c>
      <c r="IM27" s="285">
        <v>153.5</v>
      </c>
      <c r="IN27" s="285">
        <f>22+22+33</f>
        <v>77</v>
      </c>
      <c r="IO27" s="285">
        <f>27.5+27+22</f>
        <v>76.5</v>
      </c>
      <c r="IP27" s="285"/>
      <c r="IQ27" s="285">
        <v>0</v>
      </c>
      <c r="IR27" s="285"/>
      <c r="IS27" s="285">
        <v>0</v>
      </c>
      <c r="IT27" s="285"/>
      <c r="IU27" s="285"/>
      <c r="IV27" s="285"/>
      <c r="IW27" s="285"/>
      <c r="IX27" s="285"/>
      <c r="IY27" s="285"/>
      <c r="IZ27" s="285"/>
      <c r="JA27" s="285"/>
      <c r="JB27" s="285"/>
      <c r="JC27" s="285"/>
      <c r="JD27" s="285"/>
      <c r="JE27" s="285"/>
      <c r="JF27" s="285"/>
      <c r="JG27" s="285"/>
      <c r="JH27" s="285"/>
      <c r="JI27" s="285"/>
      <c r="JJ27" s="285"/>
      <c r="JK27" s="285"/>
      <c r="JL27" s="285"/>
      <c r="JM27" s="285"/>
      <c r="JN27" s="285"/>
      <c r="JO27" s="285"/>
      <c r="JP27" s="285"/>
      <c r="JQ27" s="285"/>
      <c r="JR27" s="285"/>
      <c r="JS27" s="285"/>
      <c r="JT27" s="285"/>
      <c r="JU27" s="285"/>
      <c r="JV27" s="285"/>
      <c r="JW27" s="285"/>
      <c r="JX27" s="285"/>
      <c r="JY27" s="285"/>
      <c r="JZ27" s="285"/>
      <c r="KA27" s="285"/>
      <c r="KB27" s="285"/>
      <c r="KC27" s="285"/>
      <c r="KD27" s="285"/>
      <c r="KE27" s="285"/>
      <c r="KF27" s="285"/>
      <c r="KG27" s="285"/>
      <c r="KH27" s="285"/>
      <c r="KI27" s="285"/>
      <c r="KJ27" s="285"/>
      <c r="KK27" s="285"/>
      <c r="KL27" s="285"/>
      <c r="KM27" s="285"/>
      <c r="KN27" s="285"/>
      <c r="KO27" s="285"/>
      <c r="KP27" s="285"/>
      <c r="KQ27" s="285"/>
      <c r="KR27" s="298"/>
      <c r="KS27" s="285"/>
      <c r="KT27" s="285"/>
      <c r="KU27" s="268"/>
      <c r="KV27" s="288"/>
      <c r="KW27" s="288"/>
      <c r="MV27">
        <v>1</v>
      </c>
      <c r="AEM27" s="1304">
        <v>0</v>
      </c>
      <c r="AEN27" s="1304">
        <v>0</v>
      </c>
      <c r="AEO27" s="1304">
        <v>35</v>
      </c>
      <c r="AEP27" s="1304">
        <v>0</v>
      </c>
      <c r="AEQ27" s="1304">
        <v>0</v>
      </c>
      <c r="AER27" s="1304">
        <v>0</v>
      </c>
      <c r="AES27" s="1304">
        <v>0</v>
      </c>
      <c r="AET27" s="1304">
        <v>17</v>
      </c>
      <c r="AEU27" s="1304">
        <v>17</v>
      </c>
      <c r="AEV27" s="1304">
        <v>680</v>
      </c>
      <c r="AEW27" s="1304">
        <v>1110</v>
      </c>
      <c r="AEX27" s="1304">
        <v>1515</v>
      </c>
      <c r="AEY27" s="1304">
        <v>3485</v>
      </c>
      <c r="AEZ27" s="1304">
        <v>4121</v>
      </c>
      <c r="AFA27" s="1304">
        <v>5130</v>
      </c>
      <c r="AFB27" s="1304">
        <v>5130</v>
      </c>
      <c r="AFC27" s="1304">
        <v>4606</v>
      </c>
      <c r="AFD27" s="1304">
        <v>4330</v>
      </c>
      <c r="AFE27" s="1304">
        <v>4440</v>
      </c>
      <c r="AFF27" s="1304">
        <v>4440</v>
      </c>
      <c r="AFG27" s="1304">
        <v>4350</v>
      </c>
      <c r="AFH27" s="1304">
        <v>4381</v>
      </c>
      <c r="AFI27" s="1304">
        <v>4861</v>
      </c>
      <c r="AFJ27" s="1304">
        <v>4700</v>
      </c>
      <c r="AFK27" s="1304">
        <v>3123</v>
      </c>
      <c r="AFL27" s="1304">
        <v>3100</v>
      </c>
      <c r="AFM27" s="1304">
        <v>3020</v>
      </c>
      <c r="AFN27" s="1304">
        <v>2472</v>
      </c>
      <c r="AFO27" s="1304">
        <v>2624</v>
      </c>
      <c r="AFP27" s="1304">
        <v>2692</v>
      </c>
      <c r="AFQ27" s="1304">
        <v>2119</v>
      </c>
      <c r="AFR27" s="1304">
        <v>988</v>
      </c>
      <c r="AFS27" s="1304">
        <v>1106</v>
      </c>
      <c r="AFT27" s="1304">
        <v>1179</v>
      </c>
      <c r="AFU27" s="1304">
        <v>1276</v>
      </c>
      <c r="AFV27" s="1304">
        <v>1258</v>
      </c>
      <c r="AFW27" s="1304">
        <v>1364</v>
      </c>
      <c r="AFX27" s="1304">
        <v>1364</v>
      </c>
      <c r="AFY27" s="1304">
        <v>1364</v>
      </c>
      <c r="AFZ27" s="1304">
        <v>1364</v>
      </c>
      <c r="AGA27" s="1304">
        <v>1364</v>
      </c>
      <c r="AGB27" s="1304">
        <v>1364</v>
      </c>
      <c r="AGC27" s="1304">
        <v>1456</v>
      </c>
      <c r="AGD27" s="1304">
        <v>1431</v>
      </c>
      <c r="AGE27" s="1304">
        <v>1431</v>
      </c>
      <c r="AGF27" s="1304">
        <v>1431</v>
      </c>
      <c r="AGG27" s="1304">
        <v>1431</v>
      </c>
      <c r="AGH27" s="1304">
        <v>1431</v>
      </c>
      <c r="AGI27" s="1304">
        <v>1431</v>
      </c>
      <c r="AGJ27" s="1304">
        <v>1431</v>
      </c>
      <c r="AGK27" s="1304">
        <v>1431</v>
      </c>
      <c r="AGL27" s="1304">
        <v>1431</v>
      </c>
      <c r="AGM27" s="1304">
        <v>1431</v>
      </c>
      <c r="AGN27" s="1304">
        <v>1431</v>
      </c>
      <c r="AGO27" s="1304">
        <v>1431</v>
      </c>
      <c r="AGP27" s="1304">
        <v>1431</v>
      </c>
      <c r="AGQ27" s="1304">
        <v>1431</v>
      </c>
      <c r="AGR27" s="1304">
        <v>1431</v>
      </c>
      <c r="AGS27" s="1304">
        <v>1431</v>
      </c>
      <c r="AGT27" s="1304">
        <v>1404</v>
      </c>
      <c r="AGU27" s="1304">
        <v>1404</v>
      </c>
      <c r="AGV27" s="1304">
        <v>1404</v>
      </c>
      <c r="AGW27" s="1304">
        <v>1404</v>
      </c>
      <c r="AGX27" s="1304">
        <v>1404</v>
      </c>
      <c r="AGY27" s="1304">
        <v>1404</v>
      </c>
      <c r="AGZ27" s="1304">
        <v>1404</v>
      </c>
      <c r="AHA27" s="1304">
        <v>1404</v>
      </c>
      <c r="AHB27" s="1304">
        <v>1404</v>
      </c>
      <c r="AHC27" s="1304">
        <v>1404</v>
      </c>
      <c r="AHD27" s="1304">
        <v>1404</v>
      </c>
      <c r="AHE27" s="1304">
        <v>1404</v>
      </c>
      <c r="AHF27" s="1304">
        <v>1404</v>
      </c>
      <c r="AHG27" s="1304">
        <v>1404</v>
      </c>
      <c r="AHH27" s="1304">
        <v>1404</v>
      </c>
      <c r="AHI27" s="1304">
        <v>1404</v>
      </c>
      <c r="AHJ27" s="1304">
        <v>1404</v>
      </c>
      <c r="AHK27" s="1304">
        <v>1404</v>
      </c>
      <c r="AHL27" s="1304">
        <v>1404</v>
      </c>
      <c r="AHM27" s="1304">
        <v>1404</v>
      </c>
      <c r="AHN27" s="1304">
        <v>1404</v>
      </c>
      <c r="AHO27" s="1304">
        <v>1404</v>
      </c>
      <c r="AHP27" s="1304">
        <v>1379</v>
      </c>
      <c r="AHQ27" s="1304">
        <v>1379</v>
      </c>
      <c r="AHR27" s="1304">
        <v>1379</v>
      </c>
      <c r="AHS27" s="1304">
        <v>1379</v>
      </c>
      <c r="AHT27" s="1304">
        <v>1379</v>
      </c>
      <c r="AHU27" s="1304">
        <v>1380</v>
      </c>
      <c r="AHV27" s="1304">
        <v>1380</v>
      </c>
      <c r="AHW27" s="1304">
        <v>1387</v>
      </c>
      <c r="AHX27" s="1304">
        <v>1387</v>
      </c>
      <c r="AHY27" s="1304">
        <v>1387</v>
      </c>
      <c r="AHZ27" s="1304">
        <v>1387</v>
      </c>
      <c r="AIA27" s="1304">
        <v>1387</v>
      </c>
      <c r="AIB27" s="1304">
        <v>1387</v>
      </c>
      <c r="AIC27" s="1304">
        <v>1387</v>
      </c>
      <c r="AID27" s="1304">
        <v>1387</v>
      </c>
      <c r="AIE27" s="1304">
        <v>1387</v>
      </c>
      <c r="AIF27" s="1304">
        <v>1387</v>
      </c>
      <c r="AIG27" s="1304">
        <v>1361</v>
      </c>
      <c r="AIH27" s="1304">
        <v>1361</v>
      </c>
      <c r="AII27" s="1304">
        <v>1361</v>
      </c>
      <c r="AIJ27" s="1304">
        <v>1361</v>
      </c>
      <c r="AIK27" s="1304">
        <v>1361</v>
      </c>
      <c r="AIL27" s="1304">
        <v>1361</v>
      </c>
      <c r="AIM27" s="1304">
        <v>1373</v>
      </c>
      <c r="AIN27" s="1304">
        <v>1388</v>
      </c>
      <c r="AIO27" s="1304">
        <v>1425</v>
      </c>
      <c r="AIP27" s="1304">
        <v>1347</v>
      </c>
      <c r="AIQ27" s="1304">
        <v>1237</v>
      </c>
      <c r="AIR27" s="1304">
        <v>1286</v>
      </c>
      <c r="AIS27" s="1304">
        <v>1508</v>
      </c>
      <c r="AIT27" s="1304">
        <v>1658</v>
      </c>
      <c r="AIU27" s="1304">
        <v>1641</v>
      </c>
      <c r="AIV27" s="1304">
        <v>1638</v>
      </c>
      <c r="AIW27" s="1304">
        <v>1657</v>
      </c>
      <c r="AIX27" s="1304">
        <v>1485</v>
      </c>
      <c r="AIY27" s="1304">
        <v>1507</v>
      </c>
      <c r="AIZ27" s="1304">
        <v>1255</v>
      </c>
      <c r="AJA27" s="1304">
        <v>1131</v>
      </c>
      <c r="AJB27" s="1304">
        <v>1140</v>
      </c>
      <c r="AJC27" s="1304">
        <v>1230</v>
      </c>
      <c r="AJD27" s="1304">
        <v>1259</v>
      </c>
      <c r="AJE27" s="1304">
        <v>1232</v>
      </c>
      <c r="AJF27" s="1304">
        <v>1103</v>
      </c>
      <c r="AJG27" s="1304">
        <v>1103</v>
      </c>
      <c r="AJH27" s="1304">
        <v>1103</v>
      </c>
      <c r="AJI27" s="1304">
        <v>1103</v>
      </c>
      <c r="AJJ27" s="1304">
        <v>1103</v>
      </c>
      <c r="AJK27" s="1304">
        <v>1103</v>
      </c>
      <c r="AJL27" s="1304">
        <v>1310</v>
      </c>
      <c r="AJM27" s="1304">
        <v>1327</v>
      </c>
      <c r="AJN27" s="1304">
        <v>1327</v>
      </c>
      <c r="AJO27" s="1304">
        <v>1219</v>
      </c>
      <c r="AJP27" s="1304">
        <v>1300</v>
      </c>
      <c r="AJQ27" s="1304">
        <v>1503</v>
      </c>
      <c r="AJR27" s="1304">
        <v>1469</v>
      </c>
      <c r="AJS27" s="2">
        <v>1468</v>
      </c>
      <c r="AJT27">
        <v>1448</v>
      </c>
      <c r="AJU27" s="6">
        <v>1413</v>
      </c>
      <c r="AJV27">
        <v>2232</v>
      </c>
      <c r="AKA27">
        <v>1</v>
      </c>
    </row>
    <row r="28" spans="1:964">
      <c r="A28" s="83">
        <v>24</v>
      </c>
      <c r="B28" s="74" t="s">
        <v>2439</v>
      </c>
      <c r="C28" s="74">
        <v>309561982</v>
      </c>
      <c r="D28" s="74"/>
      <c r="E28" s="74">
        <v>309561982</v>
      </c>
      <c r="F28" s="74">
        <v>0</v>
      </c>
      <c r="G28" s="75">
        <v>872313</v>
      </c>
      <c r="H28" s="944"/>
      <c r="I28" s="944"/>
      <c r="J28" s="944"/>
      <c r="K28" s="1308"/>
      <c r="L28" s="1308"/>
      <c r="M28" s="1308"/>
      <c r="N28" s="1308"/>
      <c r="O28" s="285"/>
      <c r="P28" s="285"/>
      <c r="Q28" s="285"/>
      <c r="R28" s="285"/>
      <c r="S28" s="285"/>
      <c r="T28" s="285"/>
      <c r="U28" s="285"/>
      <c r="V28" s="285"/>
      <c r="W28" s="285"/>
      <c r="X28" s="285"/>
      <c r="Y28" s="285"/>
      <c r="Z28" s="285"/>
      <c r="AA28" s="285"/>
      <c r="AB28" s="285"/>
      <c r="AC28" s="285"/>
      <c r="AD28" s="285"/>
      <c r="AE28" s="285"/>
      <c r="AF28" s="285"/>
      <c r="AG28" s="285"/>
      <c r="AH28" s="285"/>
      <c r="AI28" s="285"/>
      <c r="AJ28" s="285"/>
      <c r="AK28" s="285"/>
      <c r="AL28" s="285"/>
      <c r="AM28" s="285"/>
      <c r="AN28" s="285"/>
      <c r="AO28" s="285"/>
      <c r="AP28" s="285"/>
      <c r="AQ28" s="285"/>
      <c r="AR28" s="285">
        <v>0</v>
      </c>
      <c r="AS28" s="285"/>
      <c r="AT28" s="285">
        <v>0</v>
      </c>
      <c r="AU28" s="285"/>
      <c r="AV28" s="285">
        <v>0</v>
      </c>
      <c r="AW28" s="285"/>
      <c r="AX28" s="285">
        <v>0</v>
      </c>
      <c r="AY28" s="285"/>
      <c r="AZ28" s="285">
        <v>0</v>
      </c>
      <c r="BA28" s="285"/>
      <c r="BB28" s="285">
        <v>0</v>
      </c>
      <c r="BC28" s="285"/>
      <c r="BD28" s="285">
        <v>0</v>
      </c>
      <c r="BE28" s="285"/>
      <c r="BF28" s="285">
        <v>0</v>
      </c>
      <c r="BG28" s="285"/>
      <c r="BH28" s="285"/>
      <c r="BI28" s="285"/>
      <c r="BJ28" s="285"/>
      <c r="BK28" s="285"/>
      <c r="BL28" s="285"/>
      <c r="BM28" s="285"/>
      <c r="BN28" s="285"/>
      <c r="BO28" s="285"/>
      <c r="BP28" s="285"/>
      <c r="BQ28" s="285"/>
      <c r="BR28" s="285"/>
      <c r="BS28" s="285"/>
      <c r="BT28" s="285"/>
      <c r="BU28" s="285"/>
      <c r="BV28" s="285"/>
      <c r="BW28" s="285"/>
      <c r="BX28" s="285">
        <v>0</v>
      </c>
      <c r="BY28" s="285"/>
      <c r="BZ28" s="285"/>
      <c r="CA28" s="285"/>
      <c r="CB28" s="285"/>
      <c r="CC28" s="285"/>
      <c r="CD28" s="285"/>
      <c r="CE28" s="285"/>
      <c r="CF28" s="285"/>
      <c r="CG28" s="285"/>
      <c r="CH28" s="285"/>
      <c r="CI28" s="285"/>
      <c r="CJ28" s="285"/>
      <c r="CK28" s="285"/>
      <c r="CL28" s="285"/>
      <c r="CM28" s="285"/>
      <c r="CN28" s="285"/>
      <c r="CO28" s="285"/>
      <c r="CP28" s="285"/>
      <c r="CQ28" s="285"/>
      <c r="CR28" s="285"/>
      <c r="CS28" s="285"/>
      <c r="CT28" s="285"/>
      <c r="CU28" s="285"/>
      <c r="CV28" s="285"/>
      <c r="CW28" s="285"/>
      <c r="CX28" s="285"/>
      <c r="CY28" s="285"/>
      <c r="CZ28" s="285"/>
      <c r="DA28" s="285"/>
      <c r="DB28" s="285"/>
      <c r="DC28" s="285"/>
      <c r="DD28" s="285"/>
      <c r="DE28" s="285"/>
      <c r="DF28" s="285"/>
      <c r="DG28" s="285"/>
      <c r="DH28" s="285"/>
      <c r="DI28" s="285"/>
      <c r="DJ28" s="285"/>
      <c r="DK28" s="285"/>
      <c r="DL28" s="285"/>
      <c r="DM28" s="285"/>
      <c r="DN28" s="285"/>
      <c r="DO28" s="285"/>
      <c r="DP28" s="285"/>
      <c r="DQ28" s="285"/>
      <c r="DR28" s="285"/>
      <c r="DS28" s="285"/>
      <c r="DT28" s="285"/>
      <c r="DU28" s="285"/>
      <c r="DV28" s="285"/>
      <c r="DW28" s="285"/>
      <c r="DX28" s="285">
        <v>0</v>
      </c>
      <c r="DY28" s="285"/>
      <c r="DZ28" s="285">
        <v>0</v>
      </c>
      <c r="EA28" s="285"/>
      <c r="EB28" s="285"/>
      <c r="EC28" s="285"/>
      <c r="ED28" s="285"/>
      <c r="EE28" s="285"/>
      <c r="EF28" s="285">
        <v>61.5</v>
      </c>
      <c r="EG28" s="285"/>
      <c r="EH28" s="285">
        <v>0</v>
      </c>
      <c r="EI28" s="285"/>
      <c r="EJ28" s="285">
        <v>0</v>
      </c>
      <c r="EK28" s="285"/>
      <c r="EL28" s="285"/>
      <c r="EM28" s="285"/>
      <c r="EN28" s="285">
        <v>0</v>
      </c>
      <c r="EO28" s="285"/>
      <c r="EP28" s="285">
        <v>0</v>
      </c>
      <c r="EQ28" s="285"/>
      <c r="ER28" s="285">
        <v>0</v>
      </c>
      <c r="ES28" s="285"/>
      <c r="ET28" s="285">
        <v>0</v>
      </c>
      <c r="EU28" s="285"/>
      <c r="EV28" s="285">
        <v>0</v>
      </c>
      <c r="EW28" s="285"/>
      <c r="EX28" s="285">
        <v>0</v>
      </c>
      <c r="EY28" s="285"/>
      <c r="EZ28" s="285">
        <v>0</v>
      </c>
      <c r="FA28" s="285"/>
      <c r="FB28" s="285">
        <v>0</v>
      </c>
      <c r="FC28" s="285"/>
      <c r="FD28" s="285">
        <v>0</v>
      </c>
      <c r="FE28" s="285"/>
      <c r="FF28" s="285">
        <v>0</v>
      </c>
      <c r="FG28" s="285"/>
      <c r="FH28" s="285">
        <v>49</v>
      </c>
      <c r="FI28" s="285"/>
      <c r="FJ28" s="285">
        <v>65</v>
      </c>
      <c r="FK28" s="285"/>
      <c r="FL28" s="285">
        <v>0</v>
      </c>
      <c r="FM28" s="285">
        <v>0</v>
      </c>
      <c r="FN28" s="285">
        <v>0</v>
      </c>
      <c r="FO28" s="285"/>
      <c r="FP28" s="285">
        <v>0</v>
      </c>
      <c r="FQ28" s="285"/>
      <c r="FR28" s="285">
        <v>0</v>
      </c>
      <c r="FS28" s="285"/>
      <c r="FT28" s="285">
        <v>0</v>
      </c>
      <c r="FU28" s="285">
        <v>0</v>
      </c>
      <c r="FV28" s="285"/>
      <c r="FW28" s="285">
        <v>0</v>
      </c>
      <c r="FX28" s="285"/>
      <c r="FY28" s="285"/>
      <c r="FZ28" s="285"/>
      <c r="GA28" s="285">
        <v>0</v>
      </c>
      <c r="GB28" s="285"/>
      <c r="GC28" s="285"/>
      <c r="GD28" s="285"/>
      <c r="GE28" s="285">
        <v>0</v>
      </c>
      <c r="GF28" s="285"/>
      <c r="GG28" s="285"/>
      <c r="GH28" s="285">
        <f>49-36.6-50-30.4+24-24</f>
        <v>-68</v>
      </c>
      <c r="GI28" s="285">
        <v>68</v>
      </c>
      <c r="GJ28" s="285">
        <f>17+28+23</f>
        <v>68</v>
      </c>
      <c r="GK28" s="285">
        <v>0</v>
      </c>
      <c r="GL28" s="285">
        <f>32.5-36.6-15.1</f>
        <v>-19.200000000000003</v>
      </c>
      <c r="GM28" s="285">
        <v>20.9</v>
      </c>
      <c r="GN28" s="285"/>
      <c r="GO28" s="285">
        <v>20.9</v>
      </c>
      <c r="GP28" s="285">
        <f>20-36.6-36.6</f>
        <v>-53.2</v>
      </c>
      <c r="GQ28" s="285">
        <v>74.2</v>
      </c>
      <c r="GR28" s="285">
        <v>49</v>
      </c>
      <c r="GS28" s="285">
        <v>25.2</v>
      </c>
      <c r="GT28" s="285">
        <v>25</v>
      </c>
      <c r="GU28" s="285">
        <v>0.2</v>
      </c>
      <c r="GV28" s="285">
        <v>-116.3</v>
      </c>
      <c r="GW28" s="285">
        <f>49.5+49+18</f>
        <v>116.5</v>
      </c>
      <c r="GX28" s="285">
        <v>0</v>
      </c>
      <c r="GY28" s="285"/>
      <c r="GZ28" s="285">
        <v>0</v>
      </c>
      <c r="HA28" s="285"/>
      <c r="HB28" s="285">
        <v>18</v>
      </c>
      <c r="HC28" s="285"/>
      <c r="HD28" s="285">
        <v>0</v>
      </c>
      <c r="HE28" s="285">
        <v>0</v>
      </c>
      <c r="HF28" s="285">
        <v>0</v>
      </c>
      <c r="HG28" s="285">
        <v>0</v>
      </c>
      <c r="HH28" s="285">
        <v>0</v>
      </c>
      <c r="HI28" s="285"/>
      <c r="HJ28" s="285">
        <v>0</v>
      </c>
      <c r="HK28" s="285">
        <v>0</v>
      </c>
      <c r="HL28" s="285">
        <v>0</v>
      </c>
      <c r="HM28" s="285"/>
      <c r="HN28" s="285">
        <v>0</v>
      </c>
      <c r="HO28" s="285">
        <f>-36.6-12.9</f>
        <v>-49.5</v>
      </c>
      <c r="HP28" s="285">
        <v>49.5</v>
      </c>
      <c r="HQ28" s="285">
        <f>8.25-1.65+49.5-36.6</f>
        <v>19.5</v>
      </c>
      <c r="HR28" s="285">
        <v>30</v>
      </c>
      <c r="HS28" s="285">
        <v>30</v>
      </c>
      <c r="HT28" s="285">
        <v>0</v>
      </c>
      <c r="HU28" s="285"/>
      <c r="HV28" s="285">
        <v>0</v>
      </c>
      <c r="HW28" s="285">
        <f>8.25-8.25</f>
        <v>0</v>
      </c>
      <c r="HX28" s="285"/>
      <c r="HY28" s="285">
        <v>0</v>
      </c>
      <c r="HZ28" s="285">
        <f>20-19.6</f>
        <v>0.39999999999999858</v>
      </c>
      <c r="IA28" s="285">
        <v>0</v>
      </c>
      <c r="IB28" s="285">
        <v>-49.6</v>
      </c>
      <c r="IC28" s="285">
        <v>49.6</v>
      </c>
      <c r="ID28" s="285">
        <v>49.5</v>
      </c>
      <c r="IE28" s="285">
        <v>0</v>
      </c>
      <c r="IF28" s="285">
        <v>0</v>
      </c>
      <c r="IG28" s="285">
        <v>0</v>
      </c>
      <c r="IH28" s="285">
        <v>-41.6</v>
      </c>
      <c r="II28" s="285">
        <v>41.6</v>
      </c>
      <c r="IJ28" s="285"/>
      <c r="IK28" s="285">
        <v>41.6</v>
      </c>
      <c r="IL28" s="285">
        <f>45-3.4</f>
        <v>41.6</v>
      </c>
      <c r="IM28" s="285">
        <v>0</v>
      </c>
      <c r="IN28" s="285">
        <v>0</v>
      </c>
      <c r="IO28" s="285">
        <v>0</v>
      </c>
      <c r="IP28" s="285"/>
      <c r="IQ28" s="285">
        <v>0</v>
      </c>
      <c r="IR28" s="285"/>
      <c r="IS28" s="285">
        <v>0</v>
      </c>
      <c r="IT28" s="285"/>
      <c r="IU28" s="285"/>
      <c r="IV28" s="285"/>
      <c r="IW28" s="285"/>
      <c r="IX28" s="285"/>
      <c r="IY28" s="285"/>
      <c r="IZ28" s="285"/>
      <c r="JA28" s="285"/>
      <c r="JB28" s="285"/>
      <c r="JC28" s="285"/>
      <c r="JD28" s="285"/>
      <c r="JE28" s="285"/>
      <c r="JF28" s="285"/>
      <c r="JG28" s="285"/>
      <c r="JH28" s="285"/>
      <c r="JI28" s="285"/>
      <c r="JJ28" s="285"/>
      <c r="JK28" s="285"/>
      <c r="JL28" s="285"/>
      <c r="JM28" s="285"/>
      <c r="JN28" s="285"/>
      <c r="JO28" s="285"/>
      <c r="JP28" s="285"/>
      <c r="JQ28" s="285"/>
      <c r="JR28" s="285"/>
      <c r="JS28" s="285"/>
      <c r="JT28" s="285"/>
      <c r="JU28" s="285"/>
      <c r="JV28" s="285"/>
      <c r="JW28" s="285"/>
      <c r="JX28" s="285"/>
      <c r="JY28" s="285"/>
      <c r="JZ28" s="285"/>
      <c r="KA28" s="285"/>
      <c r="KB28" s="285"/>
      <c r="KC28" s="285"/>
      <c r="KD28" s="285"/>
      <c r="KE28" s="285"/>
      <c r="KF28" s="285"/>
      <c r="KG28" s="285"/>
      <c r="KH28" s="285"/>
      <c r="KI28" s="285"/>
      <c r="KJ28" s="285"/>
      <c r="KK28" s="285"/>
      <c r="KL28" s="285"/>
      <c r="KM28" s="285"/>
      <c r="KN28" s="285"/>
      <c r="KO28" s="285"/>
      <c r="KP28" s="285"/>
      <c r="KQ28" s="285"/>
      <c r="KR28" s="298"/>
      <c r="KS28" s="285"/>
      <c r="KT28" s="285"/>
      <c r="KU28" s="268"/>
      <c r="KV28" s="288"/>
      <c r="KW28" s="288"/>
      <c r="MV28">
        <v>41.6</v>
      </c>
      <c r="AEL28" s="1304">
        <v>50</v>
      </c>
      <c r="AEM28" s="1304">
        <v>36.299999999999997</v>
      </c>
      <c r="AEN28" s="1304">
        <v>0</v>
      </c>
      <c r="AEO28" s="1304">
        <v>1</v>
      </c>
      <c r="AEP28" s="1304">
        <v>1</v>
      </c>
      <c r="AEQ28" s="1304">
        <v>1</v>
      </c>
      <c r="AER28" s="1304">
        <v>1</v>
      </c>
      <c r="AES28" s="1304">
        <v>1</v>
      </c>
      <c r="AET28" s="1304">
        <v>1</v>
      </c>
      <c r="AEU28" s="1304">
        <v>1</v>
      </c>
      <c r="AEV28" s="1304">
        <v>1</v>
      </c>
      <c r="AEW28" s="1304">
        <v>1</v>
      </c>
      <c r="AEX28" s="1304">
        <v>1</v>
      </c>
      <c r="AEY28" s="1304">
        <v>1</v>
      </c>
      <c r="AEZ28" s="1304">
        <v>1</v>
      </c>
      <c r="AFA28" s="1304">
        <v>1</v>
      </c>
      <c r="AFB28" s="1304">
        <v>1</v>
      </c>
      <c r="AFC28" s="1304">
        <v>1</v>
      </c>
      <c r="AFD28" s="1304">
        <v>1</v>
      </c>
      <c r="AFE28" s="1304">
        <v>1</v>
      </c>
      <c r="AFF28" s="1304">
        <v>1</v>
      </c>
      <c r="AFG28" s="1304">
        <v>1</v>
      </c>
      <c r="AFH28" s="1304">
        <v>1</v>
      </c>
      <c r="AFI28" s="1304">
        <v>1</v>
      </c>
      <c r="AFJ28" s="1304">
        <v>1</v>
      </c>
      <c r="AFK28" s="1304">
        <v>1</v>
      </c>
      <c r="AFL28" s="1304">
        <v>1</v>
      </c>
      <c r="AFM28" s="1304">
        <v>1</v>
      </c>
      <c r="AFN28" s="1304">
        <v>1</v>
      </c>
      <c r="AFO28" s="1304">
        <v>1</v>
      </c>
      <c r="AFP28" s="1304">
        <v>1</v>
      </c>
      <c r="AFQ28" s="1304">
        <v>1</v>
      </c>
      <c r="AFR28" s="1304">
        <v>1</v>
      </c>
      <c r="AFS28" s="1304">
        <v>1</v>
      </c>
      <c r="AFT28" s="1304">
        <v>1</v>
      </c>
      <c r="AFU28" s="1304">
        <v>1</v>
      </c>
      <c r="AFV28" s="1304">
        <v>1</v>
      </c>
      <c r="AFW28" s="1304">
        <v>1</v>
      </c>
      <c r="AFX28" s="1304">
        <v>1</v>
      </c>
      <c r="AFY28" s="1304">
        <v>1</v>
      </c>
      <c r="AFZ28" s="1304">
        <v>1</v>
      </c>
      <c r="AGA28" s="1304">
        <v>1</v>
      </c>
      <c r="AGB28" s="1304">
        <v>1</v>
      </c>
      <c r="AGC28" s="1304">
        <v>1</v>
      </c>
      <c r="AGD28" s="1304">
        <v>1</v>
      </c>
      <c r="AGE28" s="1304">
        <v>1</v>
      </c>
      <c r="AGF28" s="1304">
        <v>1</v>
      </c>
      <c r="AGG28" s="1304">
        <v>1</v>
      </c>
      <c r="AGH28" s="1304">
        <v>1</v>
      </c>
      <c r="AGI28" s="1304">
        <v>1</v>
      </c>
      <c r="AGJ28" s="1304">
        <v>1</v>
      </c>
      <c r="AGK28" s="1304">
        <v>1</v>
      </c>
      <c r="AGL28" s="1304">
        <v>1</v>
      </c>
      <c r="AGM28" s="1304">
        <v>1</v>
      </c>
      <c r="AGN28" s="1304">
        <v>1</v>
      </c>
      <c r="AGO28" s="1304">
        <v>1</v>
      </c>
      <c r="AGP28" s="1304">
        <v>1</v>
      </c>
      <c r="AGQ28" s="1304">
        <v>1</v>
      </c>
      <c r="AGR28" s="1304">
        <v>1</v>
      </c>
      <c r="AGS28" s="1304">
        <v>1</v>
      </c>
      <c r="AGT28" s="1304">
        <v>1</v>
      </c>
      <c r="AGU28" s="1304">
        <v>1</v>
      </c>
      <c r="AGV28" s="1304">
        <v>1</v>
      </c>
      <c r="AGW28" s="1304">
        <v>1</v>
      </c>
      <c r="AGX28" s="1304">
        <v>1</v>
      </c>
      <c r="AGY28" s="1304">
        <v>1</v>
      </c>
      <c r="AGZ28" s="1304">
        <v>1</v>
      </c>
      <c r="AHA28" s="1304">
        <v>1</v>
      </c>
      <c r="AHB28" s="1304">
        <v>1</v>
      </c>
      <c r="AHC28" s="1304">
        <v>1</v>
      </c>
      <c r="AHD28" s="1304">
        <v>1</v>
      </c>
      <c r="AHE28" s="1304">
        <v>1</v>
      </c>
      <c r="AHF28" s="1304">
        <v>1</v>
      </c>
      <c r="AHG28" s="1304">
        <v>1</v>
      </c>
      <c r="AHH28" s="1304">
        <v>1</v>
      </c>
      <c r="AHI28" s="1304">
        <v>1</v>
      </c>
      <c r="AHJ28" s="1304">
        <v>1</v>
      </c>
      <c r="AHK28" s="1304">
        <v>1</v>
      </c>
      <c r="AHL28" s="1304">
        <v>1</v>
      </c>
      <c r="AHM28" s="1304">
        <v>1</v>
      </c>
      <c r="AHN28" s="1304">
        <v>1</v>
      </c>
      <c r="AHO28" s="1304">
        <v>1</v>
      </c>
      <c r="AHP28" s="1304">
        <v>1</v>
      </c>
      <c r="AHQ28" s="1304">
        <v>1</v>
      </c>
      <c r="AHR28" s="1304">
        <v>1</v>
      </c>
      <c r="AHS28" s="1304">
        <v>1</v>
      </c>
      <c r="AHT28" s="1304">
        <v>1</v>
      </c>
      <c r="AHU28" s="1304">
        <v>1</v>
      </c>
      <c r="AHV28" s="1304">
        <v>1</v>
      </c>
      <c r="AHW28" s="1304">
        <v>1</v>
      </c>
      <c r="AHX28" s="1304">
        <v>1</v>
      </c>
      <c r="AHY28" s="1304">
        <v>1</v>
      </c>
      <c r="AHZ28" s="1304">
        <v>45</v>
      </c>
      <c r="AIA28" s="1304">
        <v>45</v>
      </c>
      <c r="AIB28" s="1304">
        <v>45</v>
      </c>
      <c r="AIC28" s="1304">
        <v>45</v>
      </c>
      <c r="AID28" s="1304">
        <v>64</v>
      </c>
      <c r="AIE28" s="1304">
        <v>64</v>
      </c>
      <c r="AIF28" s="1304">
        <v>64</v>
      </c>
      <c r="AIG28" s="1304">
        <v>64</v>
      </c>
      <c r="AIH28" s="1304">
        <v>93</v>
      </c>
      <c r="AII28" s="1304">
        <v>93</v>
      </c>
      <c r="AIJ28" s="1304">
        <v>93</v>
      </c>
      <c r="AIK28" s="1304">
        <v>93</v>
      </c>
      <c r="AIL28" s="1304">
        <v>92</v>
      </c>
      <c r="AIM28" s="1304">
        <v>92</v>
      </c>
      <c r="AIN28" s="1304">
        <v>92</v>
      </c>
      <c r="AIO28" s="1304">
        <v>92</v>
      </c>
      <c r="AIP28" s="1304">
        <v>92</v>
      </c>
      <c r="AIQ28" s="1304">
        <v>92</v>
      </c>
      <c r="AIR28" s="1304">
        <v>92</v>
      </c>
      <c r="AIS28" s="1304">
        <v>92</v>
      </c>
      <c r="AIT28" s="1304">
        <v>92</v>
      </c>
      <c r="AIU28" s="1304">
        <v>90</v>
      </c>
      <c r="AIV28" s="1304">
        <v>90</v>
      </c>
      <c r="AIW28" s="1304">
        <v>90</v>
      </c>
      <c r="AIX28" s="1304">
        <v>90</v>
      </c>
      <c r="AIY28" s="1304">
        <v>90</v>
      </c>
      <c r="AIZ28" s="1304">
        <v>90</v>
      </c>
      <c r="AJA28" s="1304">
        <v>90</v>
      </c>
      <c r="AJB28" s="1304">
        <v>90</v>
      </c>
      <c r="AJC28" s="1304">
        <v>90</v>
      </c>
      <c r="AJD28" s="1304">
        <v>90</v>
      </c>
      <c r="AJE28" s="1304">
        <v>90</v>
      </c>
      <c r="AJF28" s="1304">
        <v>90</v>
      </c>
      <c r="AJG28" s="1304">
        <v>90</v>
      </c>
      <c r="AJH28" s="1304">
        <v>88</v>
      </c>
      <c r="AJI28" s="1304">
        <v>88</v>
      </c>
      <c r="AJJ28" s="1304">
        <v>88</v>
      </c>
      <c r="AJK28" s="1304">
        <v>88</v>
      </c>
      <c r="AJL28" s="1304">
        <v>88</v>
      </c>
      <c r="AJM28" s="1304">
        <v>88</v>
      </c>
      <c r="AJN28" s="1304">
        <v>88</v>
      </c>
      <c r="AJO28" s="1304">
        <v>88</v>
      </c>
      <c r="AJP28" s="1304">
        <v>88</v>
      </c>
      <c r="AJQ28" s="1304">
        <v>88</v>
      </c>
      <c r="AJR28" s="1304">
        <v>162</v>
      </c>
      <c r="AJS28" s="2">
        <v>162</v>
      </c>
      <c r="AJT28">
        <v>161</v>
      </c>
      <c r="AJU28" s="6">
        <v>161</v>
      </c>
      <c r="AJV28">
        <v>284</v>
      </c>
      <c r="AKA28">
        <v>284</v>
      </c>
    </row>
    <row r="29" spans="1:964">
      <c r="A29" s="83">
        <v>25</v>
      </c>
      <c r="B29" s="944" t="s">
        <v>2440</v>
      </c>
      <c r="C29" s="940">
        <v>310572178</v>
      </c>
      <c r="D29" s="940"/>
      <c r="E29" s="658">
        <v>310572178</v>
      </c>
      <c r="F29" s="74">
        <v>0</v>
      </c>
      <c r="G29" s="75">
        <v>753273</v>
      </c>
      <c r="H29" s="944"/>
      <c r="I29" s="944"/>
      <c r="J29" s="944"/>
      <c r="K29" s="1308"/>
      <c r="L29" s="1308"/>
      <c r="M29" s="1308"/>
      <c r="N29" s="1308"/>
      <c r="O29" s="285"/>
      <c r="P29" s="285"/>
      <c r="Q29" s="285"/>
      <c r="R29" s="285"/>
      <c r="S29" s="285"/>
      <c r="T29" s="285"/>
      <c r="U29" s="285"/>
      <c r="V29" s="285"/>
      <c r="W29" s="285"/>
      <c r="X29" s="285"/>
      <c r="Y29" s="285"/>
      <c r="Z29" s="285"/>
      <c r="AA29" s="285"/>
      <c r="AB29" s="285"/>
      <c r="AC29" s="285"/>
      <c r="AD29" s="285"/>
      <c r="AE29" s="285"/>
      <c r="AF29" s="285"/>
      <c r="AG29" s="285"/>
      <c r="AH29" s="285"/>
      <c r="AI29" s="285"/>
      <c r="AJ29" s="285"/>
      <c r="AK29" s="285"/>
      <c r="AL29" s="285"/>
      <c r="AM29" s="285"/>
      <c r="AN29" s="285"/>
      <c r="AO29" s="285"/>
      <c r="AP29" s="285"/>
      <c r="AQ29" s="285"/>
      <c r="AR29" s="285">
        <v>0</v>
      </c>
      <c r="AS29" s="285"/>
      <c r="AT29" s="285">
        <v>0</v>
      </c>
      <c r="AU29" s="285"/>
      <c r="AV29" s="285">
        <v>0</v>
      </c>
      <c r="AW29" s="285"/>
      <c r="AX29" s="285">
        <v>0</v>
      </c>
      <c r="AY29" s="285"/>
      <c r="AZ29" s="285">
        <v>0</v>
      </c>
      <c r="BA29" s="285"/>
      <c r="BB29" s="285">
        <v>0</v>
      </c>
      <c r="BC29" s="285"/>
      <c r="BD29" s="285">
        <v>0</v>
      </c>
      <c r="BE29" s="285"/>
      <c r="BF29" s="285">
        <v>0</v>
      </c>
      <c r="BG29" s="285"/>
      <c r="BH29" s="285"/>
      <c r="BI29" s="285"/>
      <c r="BJ29" s="285"/>
      <c r="BK29" s="285"/>
      <c r="BL29" s="285"/>
      <c r="BM29" s="285"/>
      <c r="BN29" s="285"/>
      <c r="BO29" s="285"/>
      <c r="BP29" s="285"/>
      <c r="BQ29" s="285"/>
      <c r="BR29" s="285"/>
      <c r="BS29" s="285"/>
      <c r="BT29" s="285"/>
      <c r="BU29" s="285"/>
      <c r="BV29" s="285"/>
      <c r="BW29" s="285"/>
      <c r="BX29" s="285">
        <v>0</v>
      </c>
      <c r="BY29" s="285"/>
      <c r="BZ29" s="285"/>
      <c r="CA29" s="285"/>
      <c r="CB29" s="285"/>
      <c r="CC29" s="285"/>
      <c r="CD29" s="285"/>
      <c r="CE29" s="285"/>
      <c r="CF29" s="285"/>
      <c r="CG29" s="285"/>
      <c r="CH29" s="285"/>
      <c r="CI29" s="285"/>
      <c r="CJ29" s="285"/>
      <c r="CK29" s="285"/>
      <c r="CL29" s="285"/>
      <c r="CM29" s="285"/>
      <c r="CN29" s="285"/>
      <c r="CO29" s="285"/>
      <c r="CP29" s="285"/>
      <c r="CQ29" s="285"/>
      <c r="CR29" s="285"/>
      <c r="CS29" s="285"/>
      <c r="CT29" s="285"/>
      <c r="CU29" s="285"/>
      <c r="CV29" s="285"/>
      <c r="CW29" s="285"/>
      <c r="CX29" s="285"/>
      <c r="CY29" s="285"/>
      <c r="CZ29" s="285"/>
      <c r="DA29" s="285"/>
      <c r="DB29" s="285"/>
      <c r="DC29" s="285"/>
      <c r="DD29" s="285"/>
      <c r="DE29" s="285"/>
      <c r="DF29" s="285"/>
      <c r="DG29" s="285"/>
      <c r="DH29" s="285">
        <v>0</v>
      </c>
      <c r="DI29" s="285"/>
      <c r="DJ29" s="285">
        <v>0</v>
      </c>
      <c r="DK29" s="285"/>
      <c r="DL29" s="285"/>
      <c r="DM29" s="285"/>
      <c r="DN29" s="285"/>
      <c r="DO29" s="285"/>
      <c r="DP29" s="285"/>
      <c r="DQ29" s="285"/>
      <c r="DR29" s="285"/>
      <c r="DS29" s="285"/>
      <c r="DT29" s="285">
        <v>0</v>
      </c>
      <c r="DU29" s="285"/>
      <c r="DV29" s="285">
        <v>0</v>
      </c>
      <c r="DW29" s="285"/>
      <c r="DX29" s="285">
        <v>0</v>
      </c>
      <c r="DY29" s="285"/>
      <c r="DZ29" s="285">
        <v>0</v>
      </c>
      <c r="EA29" s="285"/>
      <c r="EB29" s="285"/>
      <c r="EC29" s="285"/>
      <c r="ED29" s="285"/>
      <c r="EE29" s="285"/>
      <c r="EF29" s="285">
        <v>0</v>
      </c>
      <c r="EG29" s="285"/>
      <c r="EH29" s="285">
        <v>0</v>
      </c>
      <c r="EI29" s="285"/>
      <c r="EJ29" s="285">
        <v>0</v>
      </c>
      <c r="EK29" s="285"/>
      <c r="EL29" s="285"/>
      <c r="EM29" s="285"/>
      <c r="EN29" s="285">
        <v>0</v>
      </c>
      <c r="EO29" s="285"/>
      <c r="EP29" s="285">
        <v>0</v>
      </c>
      <c r="EQ29" s="285"/>
      <c r="ER29" s="285">
        <v>22</v>
      </c>
      <c r="ES29" s="285"/>
      <c r="ET29" s="285">
        <v>22</v>
      </c>
      <c r="EU29" s="285"/>
      <c r="EV29" s="285">
        <v>22</v>
      </c>
      <c r="EW29" s="285"/>
      <c r="EX29" s="285">
        <v>0</v>
      </c>
      <c r="EY29" s="285"/>
      <c r="EZ29" s="285">
        <v>0</v>
      </c>
      <c r="FA29" s="285"/>
      <c r="FB29" s="285">
        <v>0</v>
      </c>
      <c r="FC29" s="285"/>
      <c r="FD29" s="285">
        <v>26.5</v>
      </c>
      <c r="FE29" s="285"/>
      <c r="FF29" s="285">
        <v>0</v>
      </c>
      <c r="FG29" s="285"/>
      <c r="FH29" s="285">
        <v>0</v>
      </c>
      <c r="FI29" s="285"/>
      <c r="FJ29" s="285">
        <v>0</v>
      </c>
      <c r="FK29" s="285"/>
      <c r="FL29" s="285">
        <v>0</v>
      </c>
      <c r="FM29" s="285">
        <v>0</v>
      </c>
      <c r="FN29" s="285">
        <v>0</v>
      </c>
      <c r="FO29" s="285"/>
      <c r="FP29" s="285">
        <v>0</v>
      </c>
      <c r="FQ29" s="285">
        <v>0</v>
      </c>
      <c r="FR29" s="285">
        <v>0</v>
      </c>
      <c r="FS29" s="285"/>
      <c r="FT29" s="285">
        <v>0</v>
      </c>
      <c r="FU29" s="285">
        <v>0</v>
      </c>
      <c r="FV29" s="285">
        <v>22</v>
      </c>
      <c r="FW29" s="285">
        <v>0</v>
      </c>
      <c r="FX29" s="285"/>
      <c r="FY29" s="285">
        <v>0</v>
      </c>
      <c r="FZ29" s="285"/>
      <c r="GA29" s="285">
        <v>0</v>
      </c>
      <c r="GB29" s="285"/>
      <c r="GC29" s="285">
        <v>0</v>
      </c>
      <c r="GD29" s="285">
        <f>-71.5+22+22-44</f>
        <v>-71.5</v>
      </c>
      <c r="GE29" s="285">
        <f>26+23.5+22</f>
        <v>71.5</v>
      </c>
      <c r="GF29" s="285"/>
      <c r="GG29" s="285">
        <v>0</v>
      </c>
      <c r="GH29" s="285">
        <f>-49+24-24</f>
        <v>-49</v>
      </c>
      <c r="GI29" s="580">
        <v>49</v>
      </c>
      <c r="GJ29" s="285">
        <v>25.5</v>
      </c>
      <c r="GK29" s="285">
        <v>23.5</v>
      </c>
      <c r="GL29" s="285">
        <f>-100-32+23.5-2.5</f>
        <v>-111</v>
      </c>
      <c r="GM29" s="285">
        <v>134.5</v>
      </c>
      <c r="GN29" s="285">
        <f>20+28.5</f>
        <v>48.5</v>
      </c>
      <c r="GO29" s="285">
        <v>86</v>
      </c>
      <c r="GP29" s="285">
        <f>33-100-36.3+33+33+24+22+27+28+22+22+24+19+30+22-100-100-30+10</f>
        <v>-17.300000000000011</v>
      </c>
      <c r="GQ29" s="285">
        <v>103.4</v>
      </c>
      <c r="GR29" s="285">
        <f>21.4+27+22+33</f>
        <v>103.4</v>
      </c>
      <c r="GS29" s="285">
        <v>0</v>
      </c>
      <c r="GT29" s="285">
        <f>-25+26-34.4+22+22-44</f>
        <v>-33.4</v>
      </c>
      <c r="GU29" s="285">
        <v>33.4</v>
      </c>
      <c r="GV29" s="285">
        <f>-86.2+33</f>
        <v>-53.2</v>
      </c>
      <c r="GW29" s="285">
        <f>22+32.5+32</f>
        <v>86.5</v>
      </c>
      <c r="GX29" s="285">
        <v>22</v>
      </c>
      <c r="GY29" s="285"/>
      <c r="GZ29" s="285">
        <v>0</v>
      </c>
      <c r="HA29" s="285"/>
      <c r="HB29" s="285">
        <v>0</v>
      </c>
      <c r="HC29" s="285"/>
      <c r="HD29" s="285"/>
      <c r="HE29" s="285"/>
      <c r="HF29" s="285"/>
      <c r="HG29" s="285"/>
      <c r="HH29" s="285"/>
      <c r="HI29" s="285"/>
      <c r="HJ29" s="285"/>
      <c r="HK29" s="285"/>
      <c r="HL29" s="285"/>
      <c r="HM29" s="285"/>
      <c r="HN29" s="285"/>
      <c r="HO29" s="285"/>
      <c r="HP29" s="285"/>
      <c r="HQ29" s="285"/>
      <c r="HR29" s="285"/>
      <c r="HS29" s="285"/>
      <c r="HT29" s="285"/>
      <c r="HU29" s="285"/>
      <c r="HV29" s="285"/>
      <c r="HW29" s="285"/>
      <c r="HX29" s="285"/>
      <c r="HY29" s="285"/>
      <c r="HZ29" s="285"/>
      <c r="IA29" s="285"/>
      <c r="IB29" s="285"/>
      <c r="IC29" s="285"/>
      <c r="ID29" s="285"/>
      <c r="IE29" s="285"/>
      <c r="IF29" s="285"/>
      <c r="IG29" s="285"/>
      <c r="IH29" s="285"/>
      <c r="II29" s="285"/>
      <c r="IJ29" s="285"/>
      <c r="IK29" s="285"/>
      <c r="IL29" s="285"/>
      <c r="IM29" s="285"/>
      <c r="IN29" s="285"/>
      <c r="IO29" s="285"/>
      <c r="IP29" s="285"/>
      <c r="IQ29" s="285"/>
      <c r="IR29" s="285"/>
      <c r="IS29" s="285"/>
      <c r="IT29" s="285"/>
      <c r="IU29" s="285"/>
      <c r="IV29" s="285"/>
      <c r="IW29" s="285"/>
      <c r="IX29" s="285"/>
      <c r="IY29" s="285"/>
      <c r="IZ29" s="285"/>
      <c r="JA29" s="285"/>
      <c r="JB29" s="285"/>
      <c r="JC29" s="285"/>
      <c r="JD29" s="285"/>
      <c r="JE29" s="285"/>
      <c r="JF29" s="285"/>
      <c r="JG29" s="285"/>
      <c r="JH29" s="285"/>
      <c r="JI29" s="285"/>
      <c r="JJ29" s="285"/>
      <c r="JK29" s="285"/>
      <c r="JL29" s="285"/>
      <c r="JM29" s="285"/>
      <c r="JN29" s="285"/>
      <c r="JO29" s="285"/>
      <c r="JP29" s="285"/>
      <c r="JQ29" s="285"/>
      <c r="JR29" s="285"/>
      <c r="JS29" s="285"/>
      <c r="JT29" s="285"/>
      <c r="JU29" s="285"/>
      <c r="JV29" s="285"/>
      <c r="JW29" s="285"/>
      <c r="JX29" s="285"/>
      <c r="JY29" s="285"/>
      <c r="JZ29" s="285"/>
      <c r="KA29" s="285"/>
      <c r="KB29" s="285"/>
      <c r="KC29" s="285"/>
      <c r="KD29" s="285"/>
      <c r="KE29" s="285"/>
      <c r="KF29" s="285"/>
      <c r="KG29" s="285"/>
      <c r="KH29" s="285"/>
      <c r="KI29" s="285"/>
      <c r="KJ29" s="285"/>
      <c r="KK29" s="285"/>
      <c r="KL29" s="285"/>
      <c r="KM29" s="285"/>
      <c r="KN29" s="285"/>
      <c r="KO29" s="285"/>
      <c r="KP29" s="285"/>
      <c r="KQ29" s="285"/>
      <c r="KR29" s="298"/>
      <c r="KS29" s="285"/>
      <c r="KT29" s="285"/>
      <c r="KU29" s="268"/>
      <c r="KV29" s="288"/>
      <c r="KW29" s="288"/>
      <c r="AEK29" s="1304">
        <v>284</v>
      </c>
      <c r="AEL29" s="1304">
        <v>284</v>
      </c>
      <c r="AEM29" s="1304">
        <v>284</v>
      </c>
      <c r="AEN29" s="1304">
        <v>284</v>
      </c>
      <c r="AEO29" s="1304">
        <v>284</v>
      </c>
      <c r="AEP29" s="1304">
        <v>284</v>
      </c>
      <c r="AEQ29" s="1304">
        <v>284</v>
      </c>
      <c r="AER29" s="1304">
        <v>284</v>
      </c>
      <c r="AES29" s="1304">
        <v>284</v>
      </c>
      <c r="AET29" s="1304">
        <v>284</v>
      </c>
      <c r="AEU29" s="1304">
        <v>284</v>
      </c>
      <c r="AEV29" s="1304">
        <v>284</v>
      </c>
      <c r="AEW29" s="1304">
        <v>284</v>
      </c>
      <c r="AEX29" s="1304">
        <v>284</v>
      </c>
      <c r="AEY29" s="1304">
        <v>284</v>
      </c>
      <c r="AEZ29" s="1304">
        <v>284</v>
      </c>
      <c r="AFA29" s="1304">
        <v>284</v>
      </c>
      <c r="AFB29" s="1304">
        <v>284</v>
      </c>
      <c r="AFC29" s="1304">
        <v>284</v>
      </c>
      <c r="AFD29" s="1304">
        <v>284</v>
      </c>
      <c r="AFE29" s="1304">
        <v>284</v>
      </c>
      <c r="AFF29" s="1304">
        <v>284</v>
      </c>
      <c r="AFG29" s="1304">
        <v>284</v>
      </c>
      <c r="AFH29" s="1304">
        <v>284</v>
      </c>
      <c r="AFI29" s="1304">
        <v>284</v>
      </c>
      <c r="AFJ29" s="1304">
        <v>284</v>
      </c>
      <c r="AFK29" s="1304">
        <v>284</v>
      </c>
      <c r="AFL29" s="1304">
        <v>284</v>
      </c>
      <c r="AFM29" s="1304">
        <v>284</v>
      </c>
      <c r="AFN29" s="1304">
        <v>284</v>
      </c>
      <c r="AFO29" s="1304">
        <v>284</v>
      </c>
      <c r="AFP29" s="1304">
        <v>284</v>
      </c>
      <c r="AFQ29" s="1304">
        <v>284</v>
      </c>
      <c r="AFR29" s="1304">
        <v>284</v>
      </c>
      <c r="AFS29" s="1304">
        <v>284</v>
      </c>
      <c r="AFT29" s="1304">
        <v>284</v>
      </c>
      <c r="AFU29" s="1304">
        <v>284</v>
      </c>
      <c r="AFV29" s="1304">
        <v>284</v>
      </c>
      <c r="AFW29" s="1304">
        <v>284</v>
      </c>
      <c r="AFX29" s="1304">
        <v>284</v>
      </c>
      <c r="AFY29" s="1304">
        <v>284</v>
      </c>
      <c r="AFZ29" s="1304">
        <v>284</v>
      </c>
      <c r="AGA29" s="1304">
        <v>284</v>
      </c>
      <c r="AGB29" s="1304">
        <v>284</v>
      </c>
      <c r="AGC29" s="1304">
        <v>284</v>
      </c>
      <c r="AGD29" s="1304">
        <v>284</v>
      </c>
      <c r="AGE29" s="1304">
        <v>284</v>
      </c>
      <c r="AGF29" s="1304">
        <v>284</v>
      </c>
      <c r="AGG29" s="1304">
        <v>284</v>
      </c>
      <c r="AGH29" s="1304">
        <v>284</v>
      </c>
      <c r="AGI29" s="1304">
        <v>284</v>
      </c>
      <c r="AGJ29" s="1304">
        <v>284</v>
      </c>
      <c r="AGK29" s="1304">
        <v>284</v>
      </c>
      <c r="AGL29" s="1304">
        <v>284</v>
      </c>
      <c r="AGM29" s="1304">
        <v>284</v>
      </c>
      <c r="AGN29" s="1304">
        <v>284</v>
      </c>
      <c r="AGO29" s="1304">
        <v>284</v>
      </c>
      <c r="AGP29" s="1304">
        <v>284</v>
      </c>
      <c r="AGQ29" s="1304">
        <v>284</v>
      </c>
      <c r="AGR29" s="1304">
        <v>284</v>
      </c>
      <c r="AGS29" s="1304">
        <v>284</v>
      </c>
      <c r="AGT29" s="1304">
        <v>284</v>
      </c>
      <c r="AGU29" s="1304">
        <v>284</v>
      </c>
      <c r="AGV29" s="1304">
        <v>284</v>
      </c>
      <c r="AGW29" s="1304">
        <v>284</v>
      </c>
      <c r="AGX29" s="1304">
        <v>284</v>
      </c>
      <c r="AGY29" s="1304">
        <v>284</v>
      </c>
      <c r="AGZ29" s="1304">
        <v>284</v>
      </c>
      <c r="AHA29" s="1304">
        <v>284</v>
      </c>
      <c r="AHB29" s="1304">
        <v>284</v>
      </c>
      <c r="AHC29" s="1304">
        <v>284</v>
      </c>
      <c r="AHD29" s="1304">
        <v>284</v>
      </c>
      <c r="AHE29" s="1304">
        <v>284</v>
      </c>
      <c r="AHF29" s="1304">
        <v>284</v>
      </c>
      <c r="AHG29" s="1304">
        <v>284</v>
      </c>
      <c r="AHH29" s="1304">
        <v>284</v>
      </c>
      <c r="AHI29" s="1304">
        <v>284</v>
      </c>
      <c r="AHJ29" s="1304">
        <v>284</v>
      </c>
      <c r="AHK29" s="1304">
        <v>284</v>
      </c>
      <c r="AHL29" s="1304">
        <v>284</v>
      </c>
      <c r="AHM29" s="1304">
        <v>284</v>
      </c>
      <c r="AHN29" s="1304">
        <v>284</v>
      </c>
      <c r="AHO29" s="1304">
        <v>284</v>
      </c>
      <c r="AHP29" s="1304">
        <v>284</v>
      </c>
      <c r="AHQ29" s="1304">
        <v>284</v>
      </c>
      <c r="AHR29" s="1304">
        <v>284</v>
      </c>
      <c r="AHS29" s="1304">
        <v>284</v>
      </c>
      <c r="AHT29" s="1304">
        <v>284</v>
      </c>
      <c r="AHU29" s="1304">
        <v>284</v>
      </c>
      <c r="AHV29" s="1304">
        <v>284</v>
      </c>
      <c r="AHW29" s="1304">
        <v>284</v>
      </c>
      <c r="AHX29" s="1304">
        <v>284</v>
      </c>
      <c r="AHY29" s="1304">
        <v>284</v>
      </c>
      <c r="AHZ29" s="1304">
        <v>284</v>
      </c>
      <c r="AIA29" s="1304">
        <v>284</v>
      </c>
      <c r="AIB29" s="1304">
        <v>284</v>
      </c>
      <c r="AIC29" s="1304">
        <v>284</v>
      </c>
      <c r="AID29" s="1304">
        <v>284</v>
      </c>
      <c r="AIE29" s="1304">
        <v>284</v>
      </c>
      <c r="AIF29" s="1304">
        <v>284</v>
      </c>
      <c r="AIG29" s="1304">
        <v>284</v>
      </c>
      <c r="AIH29" s="1304">
        <v>284</v>
      </c>
      <c r="AII29" s="1304">
        <v>284</v>
      </c>
      <c r="AIJ29" s="1304">
        <v>284</v>
      </c>
      <c r="AIK29" s="1304">
        <v>284</v>
      </c>
      <c r="AIL29" s="1304">
        <v>284</v>
      </c>
      <c r="AIM29" s="1304">
        <v>284</v>
      </c>
      <c r="AIN29" s="1304">
        <v>284</v>
      </c>
      <c r="AIO29" s="1304">
        <v>284</v>
      </c>
      <c r="AIP29" s="1304">
        <v>284</v>
      </c>
      <c r="AIQ29" s="1304">
        <v>284</v>
      </c>
      <c r="AIR29" s="1304">
        <v>284</v>
      </c>
      <c r="AIS29" s="1304">
        <v>284</v>
      </c>
      <c r="AIT29" s="1304">
        <v>284</v>
      </c>
      <c r="AIU29" s="1304">
        <v>284</v>
      </c>
      <c r="AIV29" s="1304">
        <v>284</v>
      </c>
      <c r="AIW29" s="1304">
        <v>284</v>
      </c>
      <c r="AIX29" s="1304">
        <v>284</v>
      </c>
      <c r="AIY29" s="1304">
        <v>284</v>
      </c>
      <c r="AIZ29" s="1304">
        <v>284</v>
      </c>
      <c r="AJA29" s="1304">
        <v>284</v>
      </c>
      <c r="AJB29" s="1304">
        <v>284</v>
      </c>
      <c r="AJC29" s="1304">
        <v>284</v>
      </c>
      <c r="AJD29" s="1304">
        <v>284</v>
      </c>
      <c r="AJE29" s="1304">
        <v>284</v>
      </c>
      <c r="AJF29" s="1304">
        <v>284</v>
      </c>
      <c r="AJG29" s="1304">
        <v>284</v>
      </c>
      <c r="AJH29" s="1304">
        <v>284</v>
      </c>
      <c r="AJI29" s="1304">
        <v>284</v>
      </c>
      <c r="AJJ29" s="1304">
        <v>284</v>
      </c>
      <c r="AJK29" s="1304">
        <v>284</v>
      </c>
      <c r="AJL29" s="1304">
        <v>284</v>
      </c>
      <c r="AJM29" s="1304">
        <v>284</v>
      </c>
      <c r="AJN29" s="1304">
        <v>284</v>
      </c>
      <c r="AJO29" s="1304">
        <v>284</v>
      </c>
      <c r="AJP29" s="1304">
        <v>284</v>
      </c>
      <c r="AJQ29" s="1304">
        <v>284</v>
      </c>
      <c r="AJR29" s="1304">
        <v>284</v>
      </c>
      <c r="AJS29" s="2">
        <v>284</v>
      </c>
      <c r="AJT29">
        <v>284</v>
      </c>
      <c r="AJU29" s="6">
        <v>284</v>
      </c>
      <c r="AJV29">
        <v>1</v>
      </c>
    </row>
    <row r="30" spans="1:964">
      <c r="A30" s="83">
        <v>26</v>
      </c>
      <c r="B30" s="74" t="s">
        <v>2664</v>
      </c>
      <c r="C30" s="74">
        <v>310573334</v>
      </c>
      <c r="D30" s="74"/>
      <c r="E30" s="74">
        <v>310573334</v>
      </c>
      <c r="F30" s="922">
        <v>0</v>
      </c>
      <c r="G30" s="75">
        <v>893304</v>
      </c>
      <c r="H30" s="944"/>
      <c r="I30" s="944"/>
      <c r="J30" s="944"/>
      <c r="K30" s="1308"/>
      <c r="L30" s="1308"/>
      <c r="M30" s="1308"/>
      <c r="N30" s="1308"/>
      <c r="O30" s="285"/>
      <c r="P30" s="285"/>
      <c r="Q30" s="285"/>
      <c r="R30" s="285"/>
      <c r="S30" s="285"/>
      <c r="T30" s="285"/>
      <c r="U30" s="285"/>
      <c r="V30" s="285"/>
      <c r="W30" s="285"/>
      <c r="X30" s="285" t="s">
        <v>4534</v>
      </c>
      <c r="Y30" s="285"/>
      <c r="Z30" s="285"/>
      <c r="AA30" s="285"/>
      <c r="AB30" s="285"/>
      <c r="AC30" s="285"/>
      <c r="AD30" s="285"/>
      <c r="AE30" s="285"/>
      <c r="AF30" s="285"/>
      <c r="AG30" s="285"/>
      <c r="AH30" s="285"/>
      <c r="AI30" s="285"/>
      <c r="AJ30" s="285"/>
      <c r="AK30" s="285"/>
      <c r="AL30" s="285"/>
      <c r="AM30" s="285"/>
      <c r="AN30" s="285"/>
      <c r="AO30" s="285"/>
      <c r="AP30" s="285"/>
      <c r="AQ30" s="285"/>
      <c r="AR30" s="285">
        <v>0</v>
      </c>
      <c r="AS30" s="285"/>
      <c r="AT30" s="285">
        <v>0</v>
      </c>
      <c r="AU30" s="285"/>
      <c r="AV30" s="285">
        <v>0</v>
      </c>
      <c r="AW30" s="285"/>
      <c r="AX30" s="285">
        <v>0</v>
      </c>
      <c r="AY30" s="285"/>
      <c r="AZ30" s="285">
        <v>0</v>
      </c>
      <c r="BA30" s="285"/>
      <c r="BB30" s="285">
        <v>0</v>
      </c>
      <c r="BC30" s="285"/>
      <c r="BD30" s="285">
        <v>0</v>
      </c>
      <c r="BE30" s="285"/>
      <c r="BF30" s="285">
        <v>0</v>
      </c>
      <c r="BG30" s="285"/>
      <c r="BH30" s="285">
        <v>0</v>
      </c>
      <c r="BI30" s="285"/>
      <c r="BJ30" s="285">
        <v>0</v>
      </c>
      <c r="BK30" s="285"/>
      <c r="BL30" s="285">
        <v>0</v>
      </c>
      <c r="BM30" s="285"/>
      <c r="BN30" s="285">
        <v>0</v>
      </c>
      <c r="BO30" s="285"/>
      <c r="BP30" s="285">
        <v>0</v>
      </c>
      <c r="BQ30" s="285"/>
      <c r="BR30" s="285">
        <v>0</v>
      </c>
      <c r="BS30" s="285"/>
      <c r="BT30" s="285">
        <v>0</v>
      </c>
      <c r="BU30" s="285"/>
      <c r="BV30" s="285"/>
      <c r="BW30" s="285"/>
      <c r="BX30" s="285">
        <v>0</v>
      </c>
      <c r="BY30" s="285"/>
      <c r="BZ30" s="285"/>
      <c r="CA30" s="285"/>
      <c r="CB30" s="285"/>
      <c r="CC30" s="285"/>
      <c r="CD30" s="285"/>
      <c r="CE30" s="285"/>
      <c r="CF30" s="285"/>
      <c r="CG30" s="285"/>
      <c r="CH30" s="285"/>
      <c r="CI30" s="285"/>
      <c r="CJ30" s="285"/>
      <c r="CK30" s="285"/>
      <c r="CL30" s="285"/>
      <c r="CM30" s="285"/>
      <c r="CN30" s="285"/>
      <c r="CO30" s="285"/>
      <c r="CP30" s="285"/>
      <c r="CQ30" s="285"/>
      <c r="CR30" s="285"/>
      <c r="CS30" s="285"/>
      <c r="CT30" s="285"/>
      <c r="CU30" s="285"/>
      <c r="CV30" s="285"/>
      <c r="CW30" s="285"/>
      <c r="CX30" s="285"/>
      <c r="CY30" s="285"/>
      <c r="CZ30" s="285"/>
      <c r="DA30" s="285"/>
      <c r="DB30" s="285">
        <v>0</v>
      </c>
      <c r="DC30" s="285"/>
      <c r="DD30" s="285">
        <v>0</v>
      </c>
      <c r="DE30" s="285"/>
      <c r="DF30" s="285"/>
      <c r="DG30" s="285"/>
      <c r="DH30" s="285">
        <v>0</v>
      </c>
      <c r="DI30" s="285"/>
      <c r="DJ30" s="285">
        <v>0</v>
      </c>
      <c r="DK30" s="285"/>
      <c r="DL30" s="285">
        <v>0</v>
      </c>
      <c r="DM30" s="285"/>
      <c r="DN30" s="285"/>
      <c r="DO30" s="285"/>
      <c r="DP30" s="285"/>
      <c r="DQ30" s="285"/>
      <c r="DR30" s="285"/>
      <c r="DS30" s="285"/>
      <c r="DT30" s="285">
        <v>0</v>
      </c>
      <c r="DU30" s="285"/>
      <c r="DV30" s="285">
        <v>0</v>
      </c>
      <c r="DW30" s="285"/>
      <c r="DX30" s="285">
        <v>0</v>
      </c>
      <c r="DY30" s="285"/>
      <c r="DZ30" s="285">
        <v>0</v>
      </c>
      <c r="EA30" s="285"/>
      <c r="EB30" s="285"/>
      <c r="EC30" s="285"/>
      <c r="ED30" s="285"/>
      <c r="EE30" s="285"/>
      <c r="EF30" s="285">
        <v>0</v>
      </c>
      <c r="EG30" s="285"/>
      <c r="EH30" s="285">
        <v>0</v>
      </c>
      <c r="EI30" s="285"/>
      <c r="EJ30" s="285">
        <v>0</v>
      </c>
      <c r="EK30" s="285"/>
      <c r="EL30" s="285">
        <v>0</v>
      </c>
      <c r="EM30" s="285"/>
      <c r="EN30" s="285">
        <v>0</v>
      </c>
      <c r="EO30" s="285"/>
      <c r="EP30" s="285">
        <v>0</v>
      </c>
      <c r="EQ30" s="285"/>
      <c r="ER30" s="285">
        <v>21.5</v>
      </c>
      <c r="ES30" s="285"/>
      <c r="ET30" s="285">
        <v>21.8</v>
      </c>
      <c r="EU30" s="285"/>
      <c r="EV30" s="285">
        <v>21.8</v>
      </c>
      <c r="EW30" s="285"/>
      <c r="EX30" s="285">
        <v>21.9</v>
      </c>
      <c r="EY30" s="285"/>
      <c r="EZ30" s="285">
        <v>21.9</v>
      </c>
      <c r="FA30" s="285"/>
      <c r="FB30" s="285">
        <v>0</v>
      </c>
      <c r="FC30" s="285"/>
      <c r="FD30" s="285">
        <v>0</v>
      </c>
      <c r="FE30" s="285"/>
      <c r="FF30" s="285">
        <v>0</v>
      </c>
      <c r="FG30" s="285"/>
      <c r="FH30" s="285">
        <v>0</v>
      </c>
      <c r="FI30" s="285"/>
      <c r="FJ30" s="285">
        <v>0</v>
      </c>
      <c r="FK30" s="285"/>
      <c r="FL30" s="285">
        <v>0</v>
      </c>
      <c r="FM30" s="285">
        <v>0</v>
      </c>
      <c r="FN30" s="285">
        <v>0</v>
      </c>
      <c r="FO30" s="285"/>
      <c r="FP30" s="285">
        <v>0</v>
      </c>
      <c r="FQ30" s="285">
        <v>0</v>
      </c>
      <c r="FR30" s="285">
        <v>0</v>
      </c>
      <c r="FS30" s="285"/>
      <c r="FT30" s="285">
        <v>0</v>
      </c>
      <c r="FU30" s="285">
        <v>0</v>
      </c>
      <c r="FV30" s="285">
        <v>0</v>
      </c>
      <c r="FW30" s="285">
        <v>0</v>
      </c>
      <c r="FX30" s="285"/>
      <c r="FY30" s="285">
        <v>0</v>
      </c>
      <c r="FZ30" s="285"/>
      <c r="GA30" s="285">
        <v>0</v>
      </c>
      <c r="GB30" s="285">
        <f>22-2.1-19.9</f>
        <v>0</v>
      </c>
      <c r="GC30" s="285">
        <v>0</v>
      </c>
      <c r="GD30" s="285">
        <v>0</v>
      </c>
      <c r="GE30" s="285">
        <v>0</v>
      </c>
      <c r="GF30" s="285"/>
      <c r="GG30" s="285">
        <v>0</v>
      </c>
      <c r="GH30" s="285">
        <v>0</v>
      </c>
      <c r="GI30" s="285">
        <v>0</v>
      </c>
      <c r="GJ30" s="285">
        <v>0</v>
      </c>
      <c r="GK30" s="285">
        <v>0</v>
      </c>
      <c r="GL30" s="285">
        <v>0</v>
      </c>
      <c r="GM30" s="285">
        <v>0</v>
      </c>
      <c r="GN30" s="285">
        <v>0</v>
      </c>
      <c r="GO30" s="285">
        <v>0</v>
      </c>
      <c r="GP30" s="285">
        <v>-13</v>
      </c>
      <c r="GQ30" s="285">
        <v>13.1</v>
      </c>
      <c r="GR30" s="285">
        <v>0</v>
      </c>
      <c r="GS30" s="285">
        <v>13.1</v>
      </c>
      <c r="GT30" s="285">
        <f>-23+13</f>
        <v>-10</v>
      </c>
      <c r="GU30" s="285">
        <v>23.1</v>
      </c>
      <c r="GV30" s="285">
        <f>-136.34+23</f>
        <v>-113.34</v>
      </c>
      <c r="GW30" s="285">
        <f>58.5+33+22+23</f>
        <v>136.5</v>
      </c>
      <c r="GX30" s="285">
        <v>0</v>
      </c>
      <c r="GY30" s="285">
        <v>-110.5</v>
      </c>
      <c r="GZ30" s="285">
        <v>110.5</v>
      </c>
      <c r="HA30" s="285">
        <f>-104.8+32.5+23+22+33</f>
        <v>5.7000000000000028</v>
      </c>
      <c r="HB30" s="285">
        <v>104.8</v>
      </c>
      <c r="HC30" s="285">
        <f>-20+12.87</f>
        <v>-7.1300000000000008</v>
      </c>
      <c r="HD30" s="285">
        <v>112</v>
      </c>
      <c r="HE30" s="285">
        <v>24</v>
      </c>
      <c r="HF30" s="285">
        <v>88</v>
      </c>
      <c r="HG30" s="285">
        <f>22+33+33-22</f>
        <v>66</v>
      </c>
      <c r="HH30" s="285">
        <v>22</v>
      </c>
      <c r="HI30" s="285">
        <f>33+22-66</f>
        <v>-11</v>
      </c>
      <c r="HJ30" s="285">
        <v>33</v>
      </c>
      <c r="HK30" s="285">
        <f>33-100-15+33</f>
        <v>-49</v>
      </c>
      <c r="HL30" s="285">
        <v>82</v>
      </c>
      <c r="HM30" s="285">
        <f>15+22+25</f>
        <v>62</v>
      </c>
      <c r="HN30" s="285">
        <v>20</v>
      </c>
      <c r="HO30" s="285">
        <f>22-100-100-16.2+20</f>
        <v>-174.2</v>
      </c>
      <c r="HP30" s="285">
        <v>194.2</v>
      </c>
      <c r="HQ30" s="285">
        <f>22+15-100</f>
        <v>-63</v>
      </c>
      <c r="HR30" s="285">
        <v>257.45999999999998</v>
      </c>
      <c r="HS30" s="285">
        <f>-1.55+25+33+33+33+10</f>
        <v>132.44999999999999</v>
      </c>
      <c r="HT30" s="285">
        <v>125</v>
      </c>
      <c r="HU30" s="285">
        <f>22+33+22+26+22</f>
        <v>125</v>
      </c>
      <c r="HV30" s="285">
        <v>0</v>
      </c>
      <c r="HW30" s="285"/>
      <c r="HX30" s="285"/>
      <c r="HY30" s="285">
        <v>19.600000000000001</v>
      </c>
      <c r="HZ30" s="285">
        <v>19.600000000000001</v>
      </c>
      <c r="IA30" s="285"/>
      <c r="IB30" s="285"/>
      <c r="IC30" s="285"/>
      <c r="ID30" s="285"/>
      <c r="IE30" s="285"/>
      <c r="IF30" s="285"/>
      <c r="IG30" s="285"/>
      <c r="IH30" s="285"/>
      <c r="II30" s="285"/>
      <c r="IJ30" s="285"/>
      <c r="IK30" s="285"/>
      <c r="IL30" s="285"/>
      <c r="IM30" s="285"/>
      <c r="IN30" s="285"/>
      <c r="IO30" s="285"/>
      <c r="IP30" s="285"/>
      <c r="IQ30" s="285"/>
      <c r="IR30" s="285"/>
      <c r="IS30" s="285"/>
      <c r="IT30" s="285"/>
      <c r="IU30" s="285"/>
      <c r="IV30" s="285"/>
      <c r="IW30" s="285"/>
      <c r="IX30" s="285"/>
      <c r="IY30" s="285"/>
      <c r="IZ30" s="285"/>
      <c r="JA30" s="285"/>
      <c r="JB30" s="285"/>
      <c r="JC30" s="285"/>
      <c r="JD30" s="285"/>
      <c r="JE30" s="285"/>
      <c r="JF30" s="285"/>
      <c r="JG30" s="285"/>
      <c r="JH30" s="285"/>
      <c r="JI30" s="285"/>
      <c r="JJ30" s="285"/>
      <c r="JK30" s="285"/>
      <c r="JL30" s="285"/>
      <c r="JM30" s="285"/>
      <c r="JN30" s="285"/>
      <c r="JO30" s="285"/>
      <c r="JP30" s="285"/>
      <c r="JQ30" s="285"/>
      <c r="JR30" s="285"/>
      <c r="JS30" s="285"/>
      <c r="JT30" s="285"/>
      <c r="JU30" s="285"/>
      <c r="JV30" s="285"/>
      <c r="JW30" s="285"/>
      <c r="JX30" s="285"/>
      <c r="JY30" s="285"/>
      <c r="JZ30" s="285"/>
      <c r="KA30" s="285"/>
      <c r="KB30" s="285"/>
      <c r="KC30" s="285"/>
      <c r="KD30" s="285"/>
      <c r="KE30" s="285"/>
      <c r="KF30" s="285"/>
      <c r="KG30" s="285"/>
      <c r="KH30" s="285"/>
      <c r="KI30" s="285"/>
      <c r="KJ30" s="285"/>
      <c r="KK30" s="285"/>
      <c r="KL30" s="285"/>
      <c r="KM30" s="285"/>
      <c r="KN30" s="285"/>
      <c r="KO30" s="285"/>
      <c r="KP30" s="285"/>
      <c r="KQ30" s="285"/>
      <c r="KR30" s="298"/>
      <c r="KS30" s="285"/>
      <c r="KT30" s="285"/>
      <c r="KU30" s="268"/>
      <c r="KV30" s="288"/>
      <c r="KW30" s="288"/>
      <c r="AEM30" s="1304">
        <v>0</v>
      </c>
      <c r="AEN30" s="1304">
        <v>0</v>
      </c>
      <c r="AEO30" s="1304">
        <v>0</v>
      </c>
      <c r="AEP30" s="1304">
        <v>0</v>
      </c>
      <c r="AEQ30" s="1304">
        <v>0</v>
      </c>
      <c r="AER30" s="1304">
        <v>0</v>
      </c>
      <c r="AES30" s="1304">
        <v>0</v>
      </c>
      <c r="AET30" s="1304">
        <v>0</v>
      </c>
      <c r="AEU30" s="1304">
        <v>0</v>
      </c>
      <c r="AEV30" s="1304">
        <v>0</v>
      </c>
      <c r="AEW30" s="1304">
        <v>0</v>
      </c>
      <c r="AEX30" s="1304">
        <v>0</v>
      </c>
      <c r="AEY30" s="1304">
        <v>0</v>
      </c>
      <c r="AEZ30" s="1304">
        <v>0</v>
      </c>
      <c r="AFA30" s="1304">
        <v>0</v>
      </c>
      <c r="AFB30" s="1304">
        <v>0</v>
      </c>
      <c r="AFC30" s="1304">
        <v>0</v>
      </c>
      <c r="AFD30" s="1304">
        <v>0</v>
      </c>
      <c r="AFE30" s="1304">
        <v>0</v>
      </c>
      <c r="AFF30" s="1304">
        <v>0</v>
      </c>
      <c r="AFG30" s="1304">
        <v>0</v>
      </c>
      <c r="AFH30" s="1304">
        <v>0</v>
      </c>
      <c r="AFI30" s="1304">
        <v>0</v>
      </c>
      <c r="AFJ30" s="1304">
        <v>0</v>
      </c>
      <c r="AFK30" s="1946">
        <f>929-145</f>
        <v>784</v>
      </c>
      <c r="AFL30" s="1304">
        <v>784</v>
      </c>
      <c r="AFM30" s="1304">
        <f>929-145</f>
        <v>784</v>
      </c>
      <c r="AFN30" s="1304">
        <f>929-145</f>
        <v>784</v>
      </c>
      <c r="AFO30" s="1304">
        <f>929-145</f>
        <v>784</v>
      </c>
      <c r="AFP30" s="1304">
        <f>898-145</f>
        <v>753</v>
      </c>
      <c r="AFQ30" s="1304">
        <f>943-145</f>
        <v>798</v>
      </c>
      <c r="AFR30" s="1304">
        <f>973-145</f>
        <v>828</v>
      </c>
      <c r="AFS30" s="1304">
        <f>1054-145</f>
        <v>909</v>
      </c>
      <c r="AFT30" s="1304">
        <f>1054-145</f>
        <v>909</v>
      </c>
      <c r="AFU30" s="1304">
        <f>1054-145</f>
        <v>909</v>
      </c>
      <c r="AFV30" s="1304">
        <f>1055-145</f>
        <v>910</v>
      </c>
      <c r="AFW30" s="1304">
        <v>970</v>
      </c>
      <c r="AFX30" s="1304">
        <v>970</v>
      </c>
      <c r="AFY30" s="1304">
        <v>970</v>
      </c>
      <c r="AFZ30" s="1304">
        <v>970</v>
      </c>
      <c r="AGA30" s="1304">
        <f>1115-145</f>
        <v>970</v>
      </c>
      <c r="AGB30" s="1304">
        <f>1115-145</f>
        <v>970</v>
      </c>
      <c r="AGC30" s="1304">
        <v>1000</v>
      </c>
      <c r="AGD30" s="1304">
        <f>1050+22</f>
        <v>1072</v>
      </c>
      <c r="AGE30" s="1304">
        <v>1050</v>
      </c>
      <c r="AGF30" s="1304">
        <v>1050</v>
      </c>
      <c r="AGG30" s="1304">
        <v>1050</v>
      </c>
      <c r="AGH30" s="1304">
        <v>1050</v>
      </c>
      <c r="AGI30" s="1304">
        <v>1000</v>
      </c>
      <c r="AGJ30" s="1304">
        <v>1000</v>
      </c>
      <c r="AGK30" s="1304">
        <v>1000</v>
      </c>
      <c r="AGL30" s="1304">
        <f>1145-145</f>
        <v>1000</v>
      </c>
      <c r="AGM30" s="1304">
        <f>1145-145</f>
        <v>1000</v>
      </c>
      <c r="AGN30" s="1811">
        <f>1139-139</f>
        <v>1000</v>
      </c>
      <c r="AGO30" s="1304">
        <f>1161-139</f>
        <v>1022</v>
      </c>
      <c r="AGP30" s="1304">
        <f>1199-139</f>
        <v>1060</v>
      </c>
      <c r="AGQ30" s="1304">
        <v>1060</v>
      </c>
      <c r="AGR30" s="1304">
        <f>1199-139</f>
        <v>1060</v>
      </c>
      <c r="AGS30" s="1304">
        <f>1204-139</f>
        <v>1065</v>
      </c>
      <c r="AGT30" s="1304">
        <f>1204-139</f>
        <v>1065</v>
      </c>
      <c r="AGU30" s="1304">
        <f>1204-139</f>
        <v>1065</v>
      </c>
      <c r="AGV30" s="1304">
        <f>1222-139</f>
        <v>1083</v>
      </c>
      <c r="AGW30" s="1304">
        <f>1365-139</f>
        <v>1226</v>
      </c>
      <c r="AGX30" s="1304">
        <v>1226</v>
      </c>
      <c r="AGY30" s="1304">
        <v>1226</v>
      </c>
      <c r="AGZ30" s="1304">
        <f>1254-28.7</f>
        <v>1225.3</v>
      </c>
      <c r="AHA30" s="1304">
        <f>1368-114</f>
        <v>1254</v>
      </c>
      <c r="AHB30" s="1304">
        <v>1368</v>
      </c>
      <c r="AHC30" s="1304">
        <v>1411</v>
      </c>
      <c r="AHD30" s="1304">
        <v>1411</v>
      </c>
      <c r="AHE30" s="1304">
        <v>1411</v>
      </c>
      <c r="AHF30" s="1304">
        <v>1411</v>
      </c>
      <c r="AHG30" s="1304">
        <v>1411</v>
      </c>
      <c r="AHH30" s="1304">
        <v>1411</v>
      </c>
      <c r="AHI30" s="1304">
        <v>1411</v>
      </c>
      <c r="AHJ30" s="1304">
        <v>1411</v>
      </c>
      <c r="AHK30" s="1304">
        <v>1411</v>
      </c>
      <c r="AHL30" s="1304">
        <v>1411</v>
      </c>
      <c r="AHM30" s="1304">
        <v>1411</v>
      </c>
      <c r="AHN30" s="1304">
        <v>1411</v>
      </c>
      <c r="AHO30" s="1304">
        <v>1411</v>
      </c>
      <c r="AHP30" s="1304">
        <v>1411</v>
      </c>
      <c r="AHQ30" s="1304">
        <v>1411</v>
      </c>
      <c r="AHR30" s="1304">
        <f>1550-139</f>
        <v>1411</v>
      </c>
      <c r="AHS30" s="1304">
        <f>1523-139</f>
        <v>1384</v>
      </c>
      <c r="AHT30" s="1304">
        <f>1523-139</f>
        <v>1384</v>
      </c>
      <c r="AHU30" s="1304">
        <v>1384</v>
      </c>
      <c r="AHV30" s="1304">
        <v>1384</v>
      </c>
      <c r="AHW30" s="1304">
        <f>1523-139</f>
        <v>1384</v>
      </c>
      <c r="AHX30" s="1304">
        <f>1523-139</f>
        <v>1384</v>
      </c>
      <c r="AHY30" s="1304">
        <f>1523-139</f>
        <v>1384</v>
      </c>
      <c r="AHZ30" s="1304">
        <f>1523-139</f>
        <v>1384</v>
      </c>
      <c r="AIA30" s="1304">
        <f>1523-139</f>
        <v>1384</v>
      </c>
      <c r="AIB30" s="1304">
        <f t="shared" ref="AIB30:AIG30" si="0">1523-139</f>
        <v>1384</v>
      </c>
      <c r="AIC30" s="1304">
        <f t="shared" si="0"/>
        <v>1384</v>
      </c>
      <c r="AID30" s="1304">
        <f t="shared" si="0"/>
        <v>1384</v>
      </c>
      <c r="AIE30" s="1304">
        <f t="shared" si="0"/>
        <v>1384</v>
      </c>
      <c r="AIF30" s="1304">
        <f t="shared" si="0"/>
        <v>1384</v>
      </c>
      <c r="AIG30" s="1304">
        <f t="shared" si="0"/>
        <v>1384</v>
      </c>
      <c r="AIH30" s="1304">
        <f>1536-139</f>
        <v>1397</v>
      </c>
      <c r="AII30" s="1304">
        <f>1539-139</f>
        <v>1400</v>
      </c>
      <c r="AIJ30" s="1304">
        <f>1507-139</f>
        <v>1368</v>
      </c>
      <c r="AIK30" s="1304">
        <f>1520-139</f>
        <v>1381</v>
      </c>
      <c r="AIL30" s="1304">
        <f>1455-139</f>
        <v>1316</v>
      </c>
      <c r="AIM30" s="1304">
        <f>1516-139</f>
        <v>1377</v>
      </c>
      <c r="AIN30" s="1304">
        <f>1674-139</f>
        <v>1535</v>
      </c>
      <c r="AIO30" s="1304">
        <f>1600-139</f>
        <v>1461</v>
      </c>
      <c r="AIP30" s="1304">
        <v>1597</v>
      </c>
      <c r="AIQ30" s="1304">
        <v>1600</v>
      </c>
      <c r="AIR30" s="1304">
        <v>1672</v>
      </c>
      <c r="AIS30" s="1304">
        <v>1652</v>
      </c>
      <c r="AIT30" s="1304">
        <v>1692</v>
      </c>
      <c r="AIU30" s="1304">
        <v>1735</v>
      </c>
      <c r="AIV30" s="1304">
        <v>1603</v>
      </c>
      <c r="AIW30" s="1304">
        <v>1530</v>
      </c>
      <c r="AIX30" s="1304">
        <v>1521</v>
      </c>
      <c r="AIY30" s="1304">
        <v>1521</v>
      </c>
      <c r="AIZ30" s="1304">
        <v>1521</v>
      </c>
      <c r="AJA30" s="1304">
        <v>1529</v>
      </c>
      <c r="AJB30" s="1304">
        <v>1476</v>
      </c>
      <c r="AJC30" s="1304">
        <v>1445</v>
      </c>
      <c r="AJD30" s="1304">
        <v>1423</v>
      </c>
      <c r="AJE30" s="1304">
        <v>1404</v>
      </c>
      <c r="AJF30" s="1304">
        <v>1410</v>
      </c>
      <c r="AJG30" s="1304">
        <v>1511</v>
      </c>
      <c r="AJH30" s="1304">
        <v>1214</v>
      </c>
      <c r="AJI30" s="1304">
        <v>1201.5</v>
      </c>
      <c r="AJJ30" s="1304">
        <v>1113</v>
      </c>
      <c r="AJK30" s="1304">
        <v>998</v>
      </c>
      <c r="AJL30" s="1304">
        <v>1064</v>
      </c>
      <c r="AJM30" s="1304">
        <v>865</v>
      </c>
      <c r="AJN30" s="1304">
        <v>748</v>
      </c>
      <c r="AJO30" s="1304">
        <v>748</v>
      </c>
      <c r="AJP30" s="1304">
        <v>768</v>
      </c>
      <c r="AJQ30" s="1304">
        <v>768</v>
      </c>
      <c r="AJR30" s="1304">
        <v>568.5</v>
      </c>
      <c r="AJS30" s="2">
        <v>374</v>
      </c>
      <c r="AJT30">
        <v>185</v>
      </c>
      <c r="AJU30" s="6">
        <v>185</v>
      </c>
    </row>
    <row r="31" spans="1:964">
      <c r="A31" s="83">
        <v>27</v>
      </c>
      <c r="B31" s="74" t="s">
        <v>2665</v>
      </c>
      <c r="C31" s="74">
        <v>310572408</v>
      </c>
      <c r="D31" s="74"/>
      <c r="E31" s="74">
        <v>310572408</v>
      </c>
      <c r="F31" s="74">
        <v>0</v>
      </c>
      <c r="G31" s="75">
        <v>635906</v>
      </c>
      <c r="H31" s="944"/>
      <c r="I31" s="944"/>
      <c r="J31" s="944"/>
      <c r="K31" s="1308"/>
      <c r="L31" s="1308"/>
      <c r="M31" s="1308"/>
      <c r="N31" s="1308"/>
      <c r="O31" s="285"/>
      <c r="P31" s="285"/>
      <c r="Q31" s="285"/>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v>0</v>
      </c>
      <c r="AS31" s="285"/>
      <c r="AT31" s="285">
        <v>0</v>
      </c>
      <c r="AU31" s="285"/>
      <c r="AV31" s="285">
        <v>0</v>
      </c>
      <c r="AW31" s="285"/>
      <c r="AX31" s="285">
        <v>0</v>
      </c>
      <c r="AY31" s="285"/>
      <c r="AZ31" s="285">
        <v>0</v>
      </c>
      <c r="BA31" s="285"/>
      <c r="BB31" s="285">
        <v>0</v>
      </c>
      <c r="BC31" s="285"/>
      <c r="BD31" s="285">
        <v>0</v>
      </c>
      <c r="BE31" s="285"/>
      <c r="BF31" s="285">
        <v>0</v>
      </c>
      <c r="BG31" s="285"/>
      <c r="BH31" s="285">
        <v>0</v>
      </c>
      <c r="BI31" s="285"/>
      <c r="BJ31" s="285">
        <v>0</v>
      </c>
      <c r="BK31" s="285"/>
      <c r="BL31" s="285">
        <v>0</v>
      </c>
      <c r="BM31" s="285"/>
      <c r="BN31" s="285">
        <v>0</v>
      </c>
      <c r="BO31" s="285"/>
      <c r="BP31" s="285">
        <v>0</v>
      </c>
      <c r="BQ31" s="285"/>
      <c r="BR31" s="285">
        <v>0</v>
      </c>
      <c r="BS31" s="285"/>
      <c r="BT31" s="285">
        <v>0</v>
      </c>
      <c r="BU31" s="285"/>
      <c r="BV31" s="285"/>
      <c r="BW31" s="285"/>
      <c r="BX31" s="285">
        <v>0</v>
      </c>
      <c r="BY31" s="285"/>
      <c r="BZ31" s="285"/>
      <c r="CA31" s="285"/>
      <c r="CB31" s="285"/>
      <c r="CC31" s="285"/>
      <c r="CD31" s="285"/>
      <c r="CE31" s="285"/>
      <c r="CF31" s="285"/>
      <c r="CG31" s="285"/>
      <c r="CH31" s="285"/>
      <c r="CI31" s="285"/>
      <c r="CJ31" s="285"/>
      <c r="CK31" s="285"/>
      <c r="CL31" s="285"/>
      <c r="CM31" s="285"/>
      <c r="CN31" s="285"/>
      <c r="CO31" s="285"/>
      <c r="CP31" s="285">
        <v>0</v>
      </c>
      <c r="CQ31" s="285"/>
      <c r="CR31" s="285">
        <v>0</v>
      </c>
      <c r="CS31" s="285"/>
      <c r="CT31" s="285">
        <v>0</v>
      </c>
      <c r="CU31" s="285"/>
      <c r="CV31" s="285">
        <v>0</v>
      </c>
      <c r="CW31" s="285"/>
      <c r="CX31" s="285">
        <v>0</v>
      </c>
      <c r="CY31" s="285"/>
      <c r="CZ31" s="285"/>
      <c r="DA31" s="285"/>
      <c r="DB31" s="285">
        <v>0</v>
      </c>
      <c r="DC31" s="285"/>
      <c r="DD31" s="285">
        <v>0</v>
      </c>
      <c r="DE31" s="285"/>
      <c r="DF31" s="285"/>
      <c r="DG31" s="285"/>
      <c r="DH31" s="285">
        <v>0</v>
      </c>
      <c r="DI31" s="285"/>
      <c r="DJ31" s="285">
        <v>0</v>
      </c>
      <c r="DK31" s="285"/>
      <c r="DL31" s="285">
        <v>0</v>
      </c>
      <c r="DM31" s="285"/>
      <c r="DN31" s="285"/>
      <c r="DO31" s="285"/>
      <c r="DP31" s="285"/>
      <c r="DQ31" s="285"/>
      <c r="DR31" s="285"/>
      <c r="DS31" s="285"/>
      <c r="DT31" s="285">
        <v>0</v>
      </c>
      <c r="DU31" s="285"/>
      <c r="DV31" s="285">
        <v>0</v>
      </c>
      <c r="DW31" s="285"/>
      <c r="DX31" s="285">
        <v>0</v>
      </c>
      <c r="DY31" s="285"/>
      <c r="DZ31" s="285">
        <v>0</v>
      </c>
      <c r="EA31" s="285"/>
      <c r="EB31" s="285"/>
      <c r="EC31" s="285"/>
      <c r="ED31" s="285"/>
      <c r="EE31" s="285"/>
      <c r="EF31" s="285">
        <v>0</v>
      </c>
      <c r="EG31" s="285"/>
      <c r="EH31" s="285">
        <v>0</v>
      </c>
      <c r="EI31" s="285"/>
      <c r="EJ31" s="285">
        <v>0</v>
      </c>
      <c r="EK31" s="285"/>
      <c r="EL31" s="285">
        <v>0</v>
      </c>
      <c r="EM31" s="285"/>
      <c r="EN31" s="285">
        <v>0</v>
      </c>
      <c r="EO31" s="285"/>
      <c r="EP31" s="285">
        <v>0.3</v>
      </c>
      <c r="EQ31" s="285"/>
      <c r="ER31" s="285">
        <v>10.3</v>
      </c>
      <c r="ES31" s="285"/>
      <c r="ET31" s="285">
        <f>14.5-4.2</f>
        <v>10.3</v>
      </c>
      <c r="EU31" s="285"/>
      <c r="EV31" s="285">
        <v>14.5</v>
      </c>
      <c r="EW31" s="285"/>
      <c r="EX31" s="285">
        <v>14.5</v>
      </c>
      <c r="EY31" s="285"/>
      <c r="EZ31" s="285">
        <v>14.5</v>
      </c>
      <c r="FA31" s="285"/>
      <c r="FB31" s="285">
        <v>14.5</v>
      </c>
      <c r="FC31" s="285"/>
      <c r="FD31" s="285">
        <v>14.5</v>
      </c>
      <c r="FE31" s="285"/>
      <c r="FF31" s="285">
        <v>14.5</v>
      </c>
      <c r="FG31" s="285"/>
      <c r="FH31" s="285">
        <v>14.5</v>
      </c>
      <c r="FI31" s="285">
        <f>-100-100</f>
        <v>-200</v>
      </c>
      <c r="FJ31" s="285">
        <v>214.5</v>
      </c>
      <c r="FK31" s="285">
        <f>24+33</f>
        <v>57</v>
      </c>
      <c r="FL31" s="285">
        <v>157.5</v>
      </c>
      <c r="FM31" s="285">
        <f>22+22+26.5</f>
        <v>70.5</v>
      </c>
      <c r="FN31" s="285">
        <v>87</v>
      </c>
      <c r="FO31" s="285">
        <f>-98-100+22+22+22+21</f>
        <v>-111</v>
      </c>
      <c r="FP31" s="285">
        <v>198</v>
      </c>
      <c r="FQ31" s="285">
        <f>24+21+33+30+25+22+19+24</f>
        <v>198</v>
      </c>
      <c r="FR31" s="285">
        <v>0</v>
      </c>
      <c r="FS31" s="285"/>
      <c r="FT31" s="285">
        <v>0</v>
      </c>
      <c r="FU31" s="285">
        <v>0</v>
      </c>
      <c r="FV31" s="285">
        <v>0</v>
      </c>
      <c r="FW31" s="285">
        <v>0</v>
      </c>
      <c r="FX31" s="285"/>
      <c r="FY31" s="285">
        <v>33</v>
      </c>
      <c r="FZ31" s="285"/>
      <c r="GA31" s="285">
        <v>0</v>
      </c>
      <c r="GB31" s="285">
        <v>0</v>
      </c>
      <c r="GC31" s="285">
        <v>0</v>
      </c>
      <c r="GD31" s="285">
        <f>24-24</f>
        <v>0</v>
      </c>
      <c r="GE31" s="285">
        <f>21.5+24-45.5</f>
        <v>0</v>
      </c>
      <c r="GF31" s="285"/>
      <c r="GG31" s="285">
        <v>0</v>
      </c>
      <c r="GH31" s="285">
        <f>-92+33-33.7</f>
        <v>-92.7</v>
      </c>
      <c r="GI31" s="285">
        <v>92.7</v>
      </c>
      <c r="GJ31" s="285">
        <f>21+19-73+26.5+33+33</f>
        <v>59.5</v>
      </c>
      <c r="GK31" s="285">
        <v>33.200000000000003</v>
      </c>
      <c r="GL31" s="285">
        <f>-85+33</f>
        <v>-52</v>
      </c>
      <c r="GM31" s="285">
        <v>85.2</v>
      </c>
      <c r="GN31" s="285">
        <f>10+22+10</f>
        <v>42</v>
      </c>
      <c r="GO31" s="285">
        <v>43.2</v>
      </c>
      <c r="GP31" s="285">
        <f>22+22+30-100</f>
        <v>-26</v>
      </c>
      <c r="GQ31" s="285">
        <v>69.599999999999994</v>
      </c>
      <c r="GR31" s="285">
        <v>69.599999999999994</v>
      </c>
      <c r="GS31" s="285"/>
      <c r="GT31" s="285"/>
      <c r="GU31" s="285"/>
      <c r="GV31" s="285"/>
      <c r="GW31" s="285"/>
      <c r="GX31" s="285"/>
      <c r="GY31" s="285"/>
      <c r="GZ31" s="285"/>
      <c r="HA31" s="285"/>
      <c r="HB31" s="285"/>
      <c r="HC31" s="285"/>
      <c r="HD31" s="285"/>
      <c r="HE31" s="285"/>
      <c r="HF31" s="285"/>
      <c r="HG31" s="285"/>
      <c r="HH31" s="285"/>
      <c r="HI31" s="285"/>
      <c r="HJ31" s="285"/>
      <c r="HK31" s="285"/>
      <c r="HL31" s="285"/>
      <c r="HM31" s="285"/>
      <c r="HN31" s="285"/>
      <c r="HO31" s="285"/>
      <c r="HP31" s="285"/>
      <c r="HQ31" s="285"/>
      <c r="HR31" s="285"/>
      <c r="HS31" s="285"/>
      <c r="HT31" s="285"/>
      <c r="HU31" s="285"/>
      <c r="HV31" s="285"/>
      <c r="HW31" s="285"/>
      <c r="HX31" s="285"/>
      <c r="HY31" s="285"/>
      <c r="HZ31" s="285"/>
      <c r="IA31" s="285"/>
      <c r="IB31" s="285"/>
      <c r="IC31" s="285"/>
      <c r="ID31" s="285"/>
      <c r="IE31" s="285"/>
      <c r="IF31" s="285"/>
      <c r="IG31" s="285"/>
      <c r="IH31" s="285"/>
      <c r="II31" s="285"/>
      <c r="IJ31" s="285"/>
      <c r="IK31" s="285"/>
      <c r="IL31" s="285"/>
      <c r="IM31" s="285"/>
      <c r="IN31" s="285"/>
      <c r="IO31" s="285"/>
      <c r="IP31" s="285"/>
      <c r="IQ31" s="285"/>
      <c r="IR31" s="285"/>
      <c r="IS31" s="285"/>
      <c r="IT31" s="285"/>
      <c r="IU31" s="285"/>
      <c r="IV31" s="285"/>
      <c r="IW31" s="285"/>
      <c r="IX31" s="285"/>
      <c r="IY31" s="285"/>
      <c r="IZ31" s="285"/>
      <c r="JA31" s="285"/>
      <c r="JB31" s="285"/>
      <c r="JC31" s="285"/>
      <c r="JD31" s="285"/>
      <c r="JE31" s="285"/>
      <c r="JF31" s="285"/>
      <c r="JG31" s="285"/>
      <c r="JH31" s="285"/>
      <c r="JI31" s="285"/>
      <c r="JJ31" s="285"/>
      <c r="JK31" s="285"/>
      <c r="JL31" s="285"/>
      <c r="JM31" s="285"/>
      <c r="JN31" s="285"/>
      <c r="JO31" s="285"/>
      <c r="JP31" s="285"/>
      <c r="JQ31" s="285"/>
      <c r="JR31" s="285"/>
      <c r="JS31" s="285"/>
      <c r="JT31" s="285"/>
      <c r="JU31" s="285"/>
      <c r="JV31" s="285"/>
      <c r="JW31" s="285"/>
      <c r="JX31" s="285"/>
      <c r="JY31" s="285"/>
      <c r="JZ31" s="285"/>
      <c r="KA31" s="285"/>
      <c r="KB31" s="285"/>
      <c r="KC31" s="285"/>
      <c r="KD31" s="285"/>
      <c r="KE31" s="285"/>
      <c r="KF31" s="285"/>
      <c r="KG31" s="285"/>
      <c r="KH31" s="285"/>
      <c r="KI31" s="285"/>
      <c r="KJ31" s="285"/>
      <c r="KK31" s="285"/>
      <c r="KL31" s="285"/>
      <c r="KM31" s="285"/>
      <c r="KN31" s="285"/>
      <c r="KO31" s="285"/>
      <c r="KP31" s="285"/>
      <c r="KQ31" s="285"/>
      <c r="KR31" s="298"/>
      <c r="KS31" s="285"/>
      <c r="KT31" s="285"/>
      <c r="KU31" s="268"/>
      <c r="KV31" s="288"/>
      <c r="KW31" s="288"/>
      <c r="AEM31" s="1304">
        <v>1</v>
      </c>
      <c r="AEN31" s="1304">
        <v>1</v>
      </c>
      <c r="AEO31" s="1304">
        <v>1</v>
      </c>
      <c r="AEP31" s="1304">
        <v>1</v>
      </c>
      <c r="AEQ31" s="1304">
        <v>1</v>
      </c>
      <c r="AER31" s="1304">
        <v>1</v>
      </c>
      <c r="AES31" s="1304">
        <v>1</v>
      </c>
      <c r="AET31" s="1304">
        <v>1</v>
      </c>
      <c r="AEU31" s="1304">
        <v>1</v>
      </c>
      <c r="AEV31" s="1304">
        <v>1</v>
      </c>
      <c r="AEW31" s="1304">
        <v>1</v>
      </c>
      <c r="AEX31" s="1304">
        <v>1</v>
      </c>
      <c r="AEY31" s="1304">
        <v>1</v>
      </c>
      <c r="AEZ31" s="1304">
        <v>1</v>
      </c>
      <c r="AFA31" s="1304">
        <v>1</v>
      </c>
      <c r="AFB31" s="1304">
        <v>1</v>
      </c>
      <c r="AFC31" s="1304">
        <v>1</v>
      </c>
      <c r="AFD31" s="1304">
        <v>1</v>
      </c>
      <c r="AFE31" s="1304">
        <v>1</v>
      </c>
      <c r="AFF31" s="1304">
        <v>1</v>
      </c>
      <c r="AFG31" s="1304">
        <v>1</v>
      </c>
      <c r="AFH31" s="1304">
        <v>1</v>
      </c>
      <c r="AFI31" s="1304">
        <v>1</v>
      </c>
      <c r="AFJ31" s="1304">
        <v>1</v>
      </c>
      <c r="AFK31" s="1304">
        <v>1</v>
      </c>
      <c r="AFL31" s="1304">
        <v>1</v>
      </c>
      <c r="AFM31" s="1304">
        <v>1</v>
      </c>
      <c r="AFN31" s="1304">
        <v>1</v>
      </c>
      <c r="AFO31" s="1304">
        <v>1</v>
      </c>
      <c r="AFP31" s="1304">
        <v>1</v>
      </c>
      <c r="AFQ31" s="1304">
        <v>1</v>
      </c>
      <c r="AFR31" s="1304">
        <v>1</v>
      </c>
      <c r="AFS31" s="1304">
        <v>1</v>
      </c>
      <c r="AFT31" s="1304">
        <v>1</v>
      </c>
      <c r="AFU31" s="1304">
        <v>1</v>
      </c>
      <c r="AFV31" s="1304">
        <v>1</v>
      </c>
      <c r="AFW31" s="1304">
        <v>1</v>
      </c>
      <c r="AFX31" s="1304">
        <v>1</v>
      </c>
      <c r="AFY31" s="1304">
        <v>1</v>
      </c>
      <c r="AFZ31" s="1304">
        <v>1</v>
      </c>
      <c r="AGA31" s="1304">
        <v>1</v>
      </c>
      <c r="AGB31" s="1304">
        <v>1</v>
      </c>
      <c r="AGC31" s="1304">
        <v>1</v>
      </c>
      <c r="AGD31" s="1304">
        <v>1</v>
      </c>
      <c r="AGE31" s="1304">
        <v>1</v>
      </c>
      <c r="AGF31" s="1304">
        <v>1</v>
      </c>
      <c r="AGG31" s="1304">
        <v>1</v>
      </c>
      <c r="AGH31" s="1304">
        <v>1</v>
      </c>
      <c r="AGI31" s="1304">
        <v>1</v>
      </c>
      <c r="AGJ31" s="1304">
        <v>1</v>
      </c>
      <c r="AGK31" s="1304">
        <v>1</v>
      </c>
      <c r="AGL31" s="1304">
        <v>1</v>
      </c>
      <c r="AGM31" s="1304">
        <v>1</v>
      </c>
      <c r="AGN31" s="1304">
        <v>1</v>
      </c>
      <c r="AGO31" s="1304">
        <v>1</v>
      </c>
      <c r="AGP31" s="1304">
        <v>1</v>
      </c>
      <c r="AGQ31" s="1304">
        <v>1</v>
      </c>
      <c r="AGR31" s="1304">
        <v>1</v>
      </c>
      <c r="AGS31" s="1304">
        <v>1</v>
      </c>
      <c r="AGT31" s="1304">
        <v>1</v>
      </c>
      <c r="AGU31" s="1304">
        <v>1</v>
      </c>
      <c r="AGV31" s="1304">
        <v>1</v>
      </c>
      <c r="AGW31" s="1304">
        <v>1</v>
      </c>
      <c r="AGX31" s="1304">
        <v>1</v>
      </c>
      <c r="AGY31" s="1304">
        <v>1</v>
      </c>
      <c r="AGZ31" s="1304">
        <v>1</v>
      </c>
      <c r="AHA31" s="1304">
        <v>1</v>
      </c>
      <c r="AHB31" s="1304">
        <v>1</v>
      </c>
      <c r="AHC31" s="1304">
        <v>1</v>
      </c>
      <c r="AHD31" s="1304">
        <v>1</v>
      </c>
      <c r="AHE31" s="1304">
        <v>1</v>
      </c>
      <c r="AHF31" s="1304">
        <v>1</v>
      </c>
      <c r="AHG31" s="1304">
        <v>1</v>
      </c>
      <c r="AHH31" s="1304">
        <v>1</v>
      </c>
      <c r="AHI31" s="1304">
        <v>1</v>
      </c>
      <c r="AHJ31" s="1304">
        <v>1</v>
      </c>
      <c r="AHK31" s="1304">
        <v>1</v>
      </c>
      <c r="AHL31" s="1304">
        <v>1</v>
      </c>
      <c r="AHM31" s="1304">
        <v>1</v>
      </c>
      <c r="AHN31" s="1304">
        <v>1</v>
      </c>
      <c r="AHO31" s="1304">
        <v>1</v>
      </c>
      <c r="AHP31" s="1304">
        <v>1</v>
      </c>
      <c r="AHQ31" s="1304">
        <v>1</v>
      </c>
      <c r="AHR31" s="1304">
        <v>1</v>
      </c>
      <c r="AHS31" s="1304">
        <v>1</v>
      </c>
      <c r="AHT31" s="1304">
        <v>1</v>
      </c>
      <c r="AHU31" s="1304">
        <v>1</v>
      </c>
      <c r="AHV31" s="1304">
        <v>1</v>
      </c>
      <c r="AHW31" s="1304">
        <v>1</v>
      </c>
      <c r="AHX31" s="1304">
        <v>1</v>
      </c>
      <c r="AHY31" s="1304">
        <v>1</v>
      </c>
      <c r="AHZ31" s="1304">
        <v>1</v>
      </c>
      <c r="AIA31" s="1304">
        <v>1</v>
      </c>
      <c r="AIB31" s="1304">
        <v>1</v>
      </c>
      <c r="AIC31" s="1304">
        <v>1</v>
      </c>
      <c r="AID31" s="1304">
        <v>1</v>
      </c>
      <c r="AIE31" s="1304">
        <v>1</v>
      </c>
      <c r="AIF31" s="1304">
        <v>1</v>
      </c>
      <c r="AIG31" s="1304">
        <v>1</v>
      </c>
      <c r="AIH31" s="1304">
        <v>1</v>
      </c>
      <c r="AII31" s="1304">
        <v>1</v>
      </c>
      <c r="AIJ31" s="1304">
        <v>1</v>
      </c>
      <c r="AIK31" s="1304">
        <v>1</v>
      </c>
      <c r="AIL31" s="1304">
        <v>1</v>
      </c>
      <c r="AIM31" s="1304">
        <v>1</v>
      </c>
      <c r="AIN31" s="1304">
        <v>1</v>
      </c>
      <c r="AIO31" s="1304">
        <v>1</v>
      </c>
      <c r="AIP31" s="1304">
        <v>1</v>
      </c>
      <c r="AIQ31" s="1304">
        <v>1</v>
      </c>
      <c r="AIR31" s="1304">
        <v>1</v>
      </c>
      <c r="AIS31" s="1304">
        <v>282</v>
      </c>
      <c r="AIT31" s="1304">
        <v>116</v>
      </c>
      <c r="AIU31" s="1304">
        <v>137</v>
      </c>
      <c r="AIV31" s="1304">
        <v>134</v>
      </c>
      <c r="AIW31" s="1304">
        <v>110</v>
      </c>
      <c r="AIX31" s="1304">
        <v>4</v>
      </c>
      <c r="AIY31" s="1304">
        <v>4</v>
      </c>
      <c r="AIZ31" s="1304">
        <v>4</v>
      </c>
      <c r="AJA31" s="1304">
        <v>4</v>
      </c>
      <c r="AJB31" s="1304">
        <v>4</v>
      </c>
      <c r="AJC31" s="1304">
        <v>4</v>
      </c>
      <c r="AJD31" s="1304">
        <v>4</v>
      </c>
      <c r="AJE31" s="1304">
        <v>3</v>
      </c>
      <c r="AJF31" s="1304">
        <v>3</v>
      </c>
      <c r="AJG31" s="1304">
        <v>4</v>
      </c>
      <c r="AJH31" s="1304">
        <v>14</v>
      </c>
      <c r="AJI31" s="1304">
        <v>16</v>
      </c>
      <c r="AJJ31" s="1304">
        <v>34</v>
      </c>
      <c r="AJK31" s="1304">
        <v>55</v>
      </c>
      <c r="AJL31" s="1304">
        <v>53</v>
      </c>
      <c r="AJM31" s="1304">
        <v>116</v>
      </c>
      <c r="AJN31" s="1304">
        <v>91</v>
      </c>
      <c r="AJO31" s="1304">
        <v>91</v>
      </c>
      <c r="AJP31" s="1304">
        <v>91</v>
      </c>
      <c r="AJQ31" s="1304">
        <v>91</v>
      </c>
      <c r="AJR31" s="1304">
        <v>91</v>
      </c>
      <c r="AJS31" s="2">
        <v>91</v>
      </c>
      <c r="AJT31">
        <v>91</v>
      </c>
      <c r="AJU31" s="6">
        <v>91</v>
      </c>
    </row>
    <row r="32" spans="1:964">
      <c r="A32" s="83">
        <v>28</v>
      </c>
      <c r="B32" s="74" t="s">
        <v>2666</v>
      </c>
      <c r="C32" s="74">
        <v>310572312</v>
      </c>
      <c r="D32" s="74"/>
      <c r="E32" s="74">
        <v>310572312</v>
      </c>
      <c r="F32" s="74">
        <v>0</v>
      </c>
      <c r="G32" s="75">
        <v>363555</v>
      </c>
      <c r="H32" s="944"/>
      <c r="I32" s="944"/>
      <c r="J32" s="944"/>
      <c r="K32" s="1308"/>
      <c r="L32" s="1308"/>
      <c r="M32" s="1308"/>
      <c r="N32" s="1308"/>
      <c r="O32" s="285"/>
      <c r="P32" s="285"/>
      <c r="Q32" s="285"/>
      <c r="R32" s="285"/>
      <c r="S32" s="285"/>
      <c r="T32" s="285"/>
      <c r="U32" s="285"/>
      <c r="V32" s="285"/>
      <c r="W32" s="285"/>
      <c r="X32" s="285"/>
      <c r="Y32" s="285"/>
      <c r="Z32" s="285"/>
      <c r="AA32" s="285"/>
      <c r="AB32" s="285"/>
      <c r="AC32" s="285"/>
      <c r="AD32" s="285"/>
      <c r="AE32" s="285"/>
      <c r="AF32" s="285"/>
      <c r="AG32" s="285"/>
      <c r="AH32" s="285"/>
      <c r="AI32" s="285"/>
      <c r="AJ32" s="285"/>
      <c r="AK32" s="285"/>
      <c r="AL32" s="285"/>
      <c r="AM32" s="285"/>
      <c r="AN32" s="285"/>
      <c r="AO32" s="285"/>
      <c r="AP32" s="285">
        <v>1.5</v>
      </c>
      <c r="AQ32" s="285"/>
      <c r="AR32" s="285">
        <v>1.5</v>
      </c>
      <c r="AS32" s="285"/>
      <c r="AT32" s="285">
        <v>1.5</v>
      </c>
      <c r="AU32" s="285"/>
      <c r="AV32" s="285">
        <v>1.5</v>
      </c>
      <c r="AW32" s="285"/>
      <c r="AX32" s="285">
        <v>1.5</v>
      </c>
      <c r="AY32" s="285"/>
      <c r="AZ32" s="285">
        <v>1.5</v>
      </c>
      <c r="BA32" s="285"/>
      <c r="BB32" s="285">
        <v>1.5</v>
      </c>
      <c r="BC32" s="285"/>
      <c r="BD32" s="285">
        <v>1.5</v>
      </c>
      <c r="BE32" s="285"/>
      <c r="BF32" s="285">
        <v>1.5</v>
      </c>
      <c r="BG32" s="285"/>
      <c r="BH32" s="285">
        <v>1.5</v>
      </c>
      <c r="BI32" s="285"/>
      <c r="BJ32" s="285">
        <v>1.5</v>
      </c>
      <c r="BK32" s="285"/>
      <c r="BL32" s="285">
        <v>1.5</v>
      </c>
      <c r="BM32" s="285"/>
      <c r="BN32" s="285">
        <v>1.5</v>
      </c>
      <c r="BO32" s="285"/>
      <c r="BP32" s="285">
        <v>1.5</v>
      </c>
      <c r="BQ32" s="285"/>
      <c r="BR32" s="285">
        <v>1.5</v>
      </c>
      <c r="BS32" s="285"/>
      <c r="BT32" s="285">
        <v>1.5</v>
      </c>
      <c r="BU32" s="285"/>
      <c r="BV32" s="285">
        <v>1.5</v>
      </c>
      <c r="BW32" s="285"/>
      <c r="BX32" s="285">
        <v>1.5</v>
      </c>
      <c r="BY32" s="285"/>
      <c r="BZ32" s="285">
        <v>0</v>
      </c>
      <c r="CA32" s="285"/>
      <c r="CB32" s="285">
        <v>0</v>
      </c>
      <c r="CC32" s="285"/>
      <c r="CD32" s="285">
        <v>0</v>
      </c>
      <c r="CE32" s="285"/>
      <c r="CF32" s="285">
        <v>0</v>
      </c>
      <c r="CG32" s="285"/>
      <c r="CH32" s="285">
        <v>0</v>
      </c>
      <c r="CI32" s="285"/>
      <c r="CJ32" s="285"/>
      <c r="CK32" s="285"/>
      <c r="CL32" s="285"/>
      <c r="CM32" s="285"/>
      <c r="CN32" s="285"/>
      <c r="CO32" s="285"/>
      <c r="CP32" s="285">
        <v>0</v>
      </c>
      <c r="CQ32" s="285"/>
      <c r="CR32" s="285">
        <v>0</v>
      </c>
      <c r="CS32" s="285"/>
      <c r="CT32" s="285">
        <v>0</v>
      </c>
      <c r="CU32" s="285"/>
      <c r="CV32" s="285">
        <v>0</v>
      </c>
      <c r="CW32" s="285"/>
      <c r="CX32" s="285">
        <v>0</v>
      </c>
      <c r="CY32" s="285"/>
      <c r="CZ32" s="285"/>
      <c r="DA32" s="285"/>
      <c r="DB32" s="285">
        <v>0</v>
      </c>
      <c r="DC32" s="285"/>
      <c r="DD32" s="285">
        <v>0</v>
      </c>
      <c r="DE32" s="285"/>
      <c r="DF32" s="285"/>
      <c r="DG32" s="285"/>
      <c r="DH32" s="285">
        <v>0</v>
      </c>
      <c r="DI32" s="285"/>
      <c r="DJ32" s="285">
        <v>0</v>
      </c>
      <c r="DK32" s="285"/>
      <c r="DL32" s="285">
        <v>0</v>
      </c>
      <c r="DM32" s="285"/>
      <c r="DN32" s="285"/>
      <c r="DO32" s="285"/>
      <c r="DP32" s="285"/>
      <c r="DQ32" s="285"/>
      <c r="DR32" s="285"/>
      <c r="DS32" s="285"/>
      <c r="DT32" s="285">
        <v>0</v>
      </c>
      <c r="DU32" s="285"/>
      <c r="DV32" s="285">
        <v>0</v>
      </c>
      <c r="DW32" s="285"/>
      <c r="DX32" s="285">
        <v>0</v>
      </c>
      <c r="DY32" s="285"/>
      <c r="DZ32" s="285">
        <v>0</v>
      </c>
      <c r="EA32" s="285"/>
      <c r="EB32" s="285"/>
      <c r="EC32" s="285"/>
      <c r="ED32" s="285"/>
      <c r="EE32" s="285"/>
      <c r="EF32" s="285">
        <v>0</v>
      </c>
      <c r="EG32" s="285"/>
      <c r="EH32" s="285">
        <v>0</v>
      </c>
      <c r="EI32" s="285"/>
      <c r="EJ32" s="285">
        <v>0</v>
      </c>
      <c r="EK32" s="285"/>
      <c r="EL32" s="285">
        <v>0</v>
      </c>
      <c r="EM32" s="285"/>
      <c r="EN32" s="285">
        <v>0</v>
      </c>
      <c r="EO32" s="285"/>
      <c r="EP32" s="285">
        <v>0</v>
      </c>
      <c r="EQ32" s="285"/>
      <c r="ER32" s="285">
        <v>33</v>
      </c>
      <c r="ES32" s="285"/>
      <c r="ET32" s="285">
        <v>33</v>
      </c>
      <c r="EU32" s="285"/>
      <c r="EV32" s="285">
        <v>33</v>
      </c>
      <c r="EW32" s="285"/>
      <c r="EX32" s="285">
        <v>0</v>
      </c>
      <c r="EY32" s="285"/>
      <c r="EZ32" s="285">
        <v>0</v>
      </c>
      <c r="FA32" s="285"/>
      <c r="FB32" s="285">
        <v>0</v>
      </c>
      <c r="FC32" s="285"/>
      <c r="FD32" s="285">
        <v>0</v>
      </c>
      <c r="FE32" s="285"/>
      <c r="FF32" s="285">
        <v>0</v>
      </c>
      <c r="FG32" s="285"/>
      <c r="FH32" s="285">
        <v>0</v>
      </c>
      <c r="FI32" s="285"/>
      <c r="FJ32" s="285">
        <v>0</v>
      </c>
      <c r="FK32" s="285">
        <f>22-25-100-88.5</f>
        <v>-191.5</v>
      </c>
      <c r="FL32" s="285">
        <v>191.5</v>
      </c>
      <c r="FM32" s="285">
        <v>26.5</v>
      </c>
      <c r="FN32" s="285">
        <v>165</v>
      </c>
      <c r="FO32" s="285">
        <f>26.5-79.5+22+22+22+22+33+22+22</f>
        <v>112</v>
      </c>
      <c r="FP32" s="285">
        <v>53</v>
      </c>
      <c r="FQ32" s="285">
        <f>9+22+22</f>
        <v>53</v>
      </c>
      <c r="FR32" s="285">
        <v>0</v>
      </c>
      <c r="FS32" s="285"/>
      <c r="FT32" s="285">
        <v>0</v>
      </c>
      <c r="FU32" s="285">
        <v>0</v>
      </c>
      <c r="FV32" s="285">
        <v>0</v>
      </c>
      <c r="FW32" s="285">
        <v>22</v>
      </c>
      <c r="FX32" s="285">
        <f>22+21-21</f>
        <v>22</v>
      </c>
      <c r="FY32" s="285">
        <v>0</v>
      </c>
      <c r="FZ32" s="285"/>
      <c r="GA32" s="285">
        <v>0</v>
      </c>
      <c r="GB32" s="285">
        <f>33-33</f>
        <v>0</v>
      </c>
      <c r="GC32" s="285">
        <v>0</v>
      </c>
      <c r="GD32" s="285">
        <f>22+22-77</f>
        <v>-33</v>
      </c>
      <c r="GE32" s="285">
        <f>22+21.4+22+22+24+21+24+22-100-78.5+33+0.1</f>
        <v>33.000000000000007</v>
      </c>
      <c r="GF32" s="285"/>
      <c r="GG32" s="285">
        <v>0</v>
      </c>
      <c r="GH32" s="285">
        <v>-27</v>
      </c>
      <c r="GI32" s="285">
        <v>27</v>
      </c>
      <c r="GJ32" s="285">
        <f>24+24+21.5+22-100.25+22</f>
        <v>13.25</v>
      </c>
      <c r="GK32" s="285">
        <v>13.8</v>
      </c>
      <c r="GL32" s="285">
        <f>-1.6+22-30-1.6</f>
        <v>-11.200000000000001</v>
      </c>
      <c r="GM32" s="285">
        <v>25</v>
      </c>
      <c r="GN32" s="285"/>
      <c r="GO32" s="285"/>
      <c r="GP32" s="285"/>
      <c r="GQ32" s="285"/>
      <c r="GR32" s="285"/>
      <c r="GS32" s="285"/>
      <c r="GT32" s="285"/>
      <c r="GU32" s="285"/>
      <c r="GV32" s="285"/>
      <c r="GW32" s="285"/>
      <c r="GX32" s="285"/>
      <c r="GY32" s="285"/>
      <c r="GZ32" s="285"/>
      <c r="HA32" s="285"/>
      <c r="HB32" s="285"/>
      <c r="HC32" s="285"/>
      <c r="HD32" s="285"/>
      <c r="HE32" s="285"/>
      <c r="HF32" s="285"/>
      <c r="HG32" s="285"/>
      <c r="HH32" s="285"/>
      <c r="HI32" s="285"/>
      <c r="HJ32" s="285"/>
      <c r="HK32" s="285"/>
      <c r="HL32" s="285"/>
      <c r="HM32" s="285"/>
      <c r="HN32" s="285"/>
      <c r="HO32" s="285"/>
      <c r="HP32" s="285"/>
      <c r="HQ32" s="285"/>
      <c r="HR32" s="285"/>
      <c r="HS32" s="285"/>
      <c r="HT32" s="285"/>
      <c r="HU32" s="285"/>
      <c r="HV32" s="285"/>
      <c r="HW32" s="285"/>
      <c r="HX32" s="285"/>
      <c r="HY32" s="285"/>
      <c r="HZ32" s="285"/>
      <c r="IA32" s="285"/>
      <c r="IB32" s="285"/>
      <c r="IC32" s="285"/>
      <c r="ID32" s="285"/>
      <c r="IE32" s="285"/>
      <c r="IF32" s="285"/>
      <c r="IG32" s="285"/>
      <c r="IH32" s="285"/>
      <c r="II32" s="285"/>
      <c r="IJ32" s="285"/>
      <c r="IK32" s="285"/>
      <c r="IL32" s="285"/>
      <c r="IM32" s="285"/>
      <c r="IN32" s="285"/>
      <c r="IO32" s="285"/>
      <c r="IP32" s="285"/>
      <c r="IQ32" s="285"/>
      <c r="IR32" s="285"/>
      <c r="IS32" s="285"/>
      <c r="IT32" s="285"/>
      <c r="IU32" s="285"/>
      <c r="IV32" s="285"/>
      <c r="IW32" s="285"/>
      <c r="IX32" s="285"/>
      <c r="IY32" s="285"/>
      <c r="IZ32" s="285"/>
      <c r="JA32" s="285"/>
      <c r="JB32" s="285"/>
      <c r="JC32" s="285"/>
      <c r="JD32" s="285"/>
      <c r="JE32" s="285"/>
      <c r="JF32" s="285"/>
      <c r="JG32" s="285"/>
      <c r="JH32" s="285"/>
      <c r="JI32" s="285"/>
      <c r="JJ32" s="285"/>
      <c r="JK32" s="285"/>
      <c r="JL32" s="285"/>
      <c r="JM32" s="285"/>
      <c r="JN32" s="285"/>
      <c r="JO32" s="285"/>
      <c r="JP32" s="285"/>
      <c r="JQ32" s="285"/>
      <c r="JR32" s="285"/>
      <c r="JS32" s="285"/>
      <c r="JT32" s="285"/>
      <c r="JU32" s="285"/>
      <c r="JV32" s="285"/>
      <c r="JW32" s="285"/>
      <c r="JX32" s="285"/>
      <c r="JY32" s="285"/>
      <c r="JZ32" s="285"/>
      <c r="KA32" s="285"/>
      <c r="KB32" s="285"/>
      <c r="KC32" s="285"/>
      <c r="KD32" s="285"/>
      <c r="KE32" s="285"/>
      <c r="KF32" s="285"/>
      <c r="KG32" s="285"/>
      <c r="KH32" s="285"/>
      <c r="KI32" s="285"/>
      <c r="KJ32" s="285"/>
      <c r="KK32" s="285"/>
      <c r="KL32" s="285"/>
      <c r="KM32" s="285"/>
      <c r="KN32" s="285"/>
      <c r="KO32" s="285"/>
      <c r="KP32" s="285"/>
      <c r="KQ32" s="285"/>
      <c r="KR32" s="298"/>
      <c r="KS32" s="285"/>
      <c r="KT32" s="285"/>
      <c r="KU32" s="268"/>
      <c r="KV32" s="288"/>
      <c r="KW32" s="288"/>
      <c r="AEM32" s="1304">
        <v>2</v>
      </c>
      <c r="AEN32" s="1304">
        <v>2</v>
      </c>
      <c r="AEO32" s="1304">
        <v>2</v>
      </c>
      <c r="AEP32" s="1304">
        <v>2</v>
      </c>
      <c r="AEQ32" s="1304">
        <v>2</v>
      </c>
      <c r="AER32" s="1304">
        <v>2</v>
      </c>
      <c r="AES32" s="1304">
        <v>2</v>
      </c>
      <c r="AET32" s="1304">
        <v>2</v>
      </c>
      <c r="AEU32" s="1304">
        <v>2</v>
      </c>
      <c r="AEV32" s="1304">
        <v>2</v>
      </c>
      <c r="AEW32" s="1304">
        <v>2</v>
      </c>
      <c r="AEX32" s="1304">
        <v>2</v>
      </c>
      <c r="AEY32" s="1304">
        <v>2</v>
      </c>
      <c r="AEZ32" s="1304">
        <v>2</v>
      </c>
      <c r="AFA32" s="1304">
        <v>2</v>
      </c>
      <c r="AFB32" s="1304">
        <v>2</v>
      </c>
      <c r="AFC32" s="1304">
        <v>2</v>
      </c>
      <c r="AFD32" s="1304">
        <v>2</v>
      </c>
      <c r="AFE32" s="1304">
        <v>2</v>
      </c>
      <c r="AFF32" s="1304">
        <v>2</v>
      </c>
      <c r="AFG32" s="1304">
        <v>2</v>
      </c>
      <c r="AFH32" s="1304">
        <v>2</v>
      </c>
      <c r="AFI32" s="1304">
        <v>2</v>
      </c>
      <c r="AFJ32" s="1304">
        <v>2</v>
      </c>
      <c r="AFK32" s="1304">
        <v>2</v>
      </c>
      <c r="AFL32" s="1304">
        <v>2</v>
      </c>
      <c r="AFM32" s="1304">
        <v>2</v>
      </c>
      <c r="AFN32" s="1304">
        <v>2</v>
      </c>
      <c r="AFO32" s="1304">
        <v>2</v>
      </c>
      <c r="AFP32" s="1304">
        <v>2</v>
      </c>
      <c r="AFQ32" s="1304">
        <v>2</v>
      </c>
      <c r="AFR32" s="1304">
        <v>2</v>
      </c>
      <c r="AFS32" s="1304">
        <v>2</v>
      </c>
      <c r="AFT32" s="1304">
        <v>2</v>
      </c>
      <c r="AFU32" s="1304">
        <v>2</v>
      </c>
      <c r="AFV32" s="1304">
        <v>2</v>
      </c>
      <c r="AFW32" s="1304">
        <v>2</v>
      </c>
      <c r="AFX32" s="1304">
        <v>2</v>
      </c>
      <c r="AFY32" s="1304">
        <v>2</v>
      </c>
      <c r="AFZ32" s="1304">
        <v>2</v>
      </c>
      <c r="AGA32" s="1304">
        <v>2</v>
      </c>
      <c r="AGB32" s="1304">
        <v>2</v>
      </c>
      <c r="AGC32" s="1304">
        <v>2</v>
      </c>
      <c r="AGD32" s="1304">
        <v>2</v>
      </c>
      <c r="AGE32" s="1304">
        <v>2</v>
      </c>
      <c r="AGF32" s="1304">
        <v>2</v>
      </c>
      <c r="AGG32" s="1304">
        <v>2</v>
      </c>
      <c r="AGH32" s="1304">
        <v>2</v>
      </c>
      <c r="AGI32" s="1304">
        <v>2</v>
      </c>
      <c r="AGJ32" s="1304">
        <v>2</v>
      </c>
      <c r="AGK32" s="1304">
        <v>2</v>
      </c>
      <c r="AGL32" s="1304">
        <v>2</v>
      </c>
      <c r="AGM32" s="1304">
        <v>2</v>
      </c>
      <c r="AGN32" s="1304">
        <v>2</v>
      </c>
      <c r="AGO32" s="1304">
        <v>2</v>
      </c>
      <c r="AGP32" s="1304">
        <v>2</v>
      </c>
      <c r="AGQ32" s="1304">
        <v>2</v>
      </c>
      <c r="AGR32" s="1304">
        <v>2</v>
      </c>
      <c r="AGS32" s="1304">
        <v>2</v>
      </c>
      <c r="AGT32" s="1304">
        <v>2</v>
      </c>
      <c r="AGU32" s="1304">
        <v>2</v>
      </c>
      <c r="AGV32" s="1304">
        <v>2</v>
      </c>
      <c r="AGW32" s="1304">
        <v>2</v>
      </c>
      <c r="AGX32" s="1304">
        <v>2</v>
      </c>
      <c r="AGY32" s="1304">
        <v>2</v>
      </c>
      <c r="AGZ32" s="1304">
        <v>2</v>
      </c>
      <c r="AHA32" s="1304">
        <v>2</v>
      </c>
      <c r="AHB32" s="1304">
        <v>2</v>
      </c>
      <c r="AHC32" s="1304">
        <v>2</v>
      </c>
      <c r="AHD32" s="1304">
        <v>2</v>
      </c>
      <c r="AHE32" s="1304">
        <v>2</v>
      </c>
      <c r="AHF32" s="1304">
        <v>2</v>
      </c>
      <c r="AHG32" s="1304">
        <v>2</v>
      </c>
      <c r="AHH32" s="1304">
        <v>2</v>
      </c>
      <c r="AHI32" s="1304">
        <v>2</v>
      </c>
      <c r="AHJ32" s="1304">
        <v>2</v>
      </c>
      <c r="AHK32" s="1304">
        <v>2</v>
      </c>
      <c r="AHL32" s="1304">
        <v>2</v>
      </c>
      <c r="AHM32" s="1304">
        <v>2</v>
      </c>
      <c r="AHN32" s="1304">
        <v>2</v>
      </c>
      <c r="AHO32" s="1304">
        <v>2</v>
      </c>
      <c r="AHP32" s="1304">
        <v>2</v>
      </c>
      <c r="AHQ32" s="1304">
        <v>2</v>
      </c>
      <c r="AHR32" s="1304">
        <v>2</v>
      </c>
      <c r="AHS32" s="1304">
        <v>2</v>
      </c>
      <c r="AHT32" s="1304">
        <v>2</v>
      </c>
      <c r="AHU32" s="1304">
        <v>2</v>
      </c>
      <c r="AHV32" s="1304">
        <v>2</v>
      </c>
      <c r="AHW32" s="1304">
        <v>2</v>
      </c>
      <c r="AHX32" s="1304">
        <v>2</v>
      </c>
      <c r="AHY32" s="1304">
        <v>2</v>
      </c>
      <c r="AHZ32" s="1304">
        <v>2</v>
      </c>
      <c r="AIA32" s="1304">
        <v>2</v>
      </c>
      <c r="AIB32" s="1304">
        <v>2</v>
      </c>
      <c r="AIC32" s="1304">
        <v>2</v>
      </c>
      <c r="AID32" s="1304">
        <v>2</v>
      </c>
      <c r="AIE32" s="1304">
        <v>2</v>
      </c>
      <c r="AIF32" s="1304">
        <v>2</v>
      </c>
      <c r="AIG32" s="1304">
        <v>2</v>
      </c>
      <c r="AIH32" s="1304">
        <v>2</v>
      </c>
      <c r="AII32" s="1304">
        <v>2</v>
      </c>
      <c r="AIJ32" s="1304">
        <v>2</v>
      </c>
      <c r="AIK32" s="1304">
        <v>2</v>
      </c>
      <c r="AIL32" s="1304">
        <v>2</v>
      </c>
      <c r="AIM32" s="1304">
        <v>2</v>
      </c>
      <c r="AIN32" s="1304">
        <v>2</v>
      </c>
      <c r="AIO32" s="1304">
        <v>2</v>
      </c>
      <c r="AIP32" s="1304">
        <v>2</v>
      </c>
      <c r="AIQ32" s="1304">
        <v>2</v>
      </c>
      <c r="AIR32" s="1304">
        <v>2</v>
      </c>
      <c r="AIS32" s="1304">
        <v>2</v>
      </c>
      <c r="AIT32" s="1304">
        <v>2</v>
      </c>
      <c r="AIU32" s="1304">
        <v>2</v>
      </c>
      <c r="AIV32" s="1304">
        <v>2</v>
      </c>
      <c r="AIW32" s="1304">
        <v>2</v>
      </c>
      <c r="AIX32" s="1304">
        <v>2</v>
      </c>
      <c r="AIY32" s="1304">
        <v>2</v>
      </c>
      <c r="AIZ32" s="1304">
        <v>2</v>
      </c>
      <c r="AJA32" s="1304">
        <v>1</v>
      </c>
      <c r="AJB32" s="1304">
        <v>1</v>
      </c>
      <c r="AJC32" s="1304">
        <v>1</v>
      </c>
      <c r="AJD32" s="1304">
        <v>1</v>
      </c>
      <c r="AJE32" s="1304">
        <v>1</v>
      </c>
      <c r="AJF32" s="1304">
        <v>1</v>
      </c>
      <c r="AJG32" s="1304">
        <v>1</v>
      </c>
      <c r="AJH32" s="1304">
        <v>1</v>
      </c>
      <c r="AJI32" s="1304">
        <v>1</v>
      </c>
      <c r="AJJ32" s="1304">
        <v>1</v>
      </c>
      <c r="AJK32" s="1304">
        <v>1</v>
      </c>
      <c r="AJL32" s="1304">
        <v>1</v>
      </c>
      <c r="AJM32" s="1304">
        <v>1</v>
      </c>
      <c r="AJN32" s="1304">
        <v>1</v>
      </c>
      <c r="AJO32" s="1304">
        <v>1</v>
      </c>
      <c r="AJP32" s="1304">
        <v>1</v>
      </c>
      <c r="AJQ32" s="1304">
        <v>1</v>
      </c>
      <c r="AJR32" s="1304">
        <v>1</v>
      </c>
      <c r="AJS32" s="2">
        <v>1</v>
      </c>
      <c r="AJT32">
        <v>1</v>
      </c>
      <c r="AJU32" s="6">
        <v>1</v>
      </c>
    </row>
    <row r="33" spans="1:957">
      <c r="A33" s="83">
        <v>29</v>
      </c>
      <c r="B33" s="74" t="s">
        <v>2920</v>
      </c>
      <c r="C33" s="74">
        <v>310616929</v>
      </c>
      <c r="D33" s="906" t="s">
        <v>6925</v>
      </c>
      <c r="E33" s="74">
        <v>310616929</v>
      </c>
      <c r="F33" s="922">
        <v>0.3</v>
      </c>
      <c r="G33" s="75">
        <v>236051</v>
      </c>
      <c r="H33" s="944"/>
      <c r="I33" s="944"/>
      <c r="J33" s="944"/>
      <c r="K33" s="1308"/>
      <c r="L33" s="1308"/>
      <c r="M33" s="1308"/>
      <c r="N33" s="1308"/>
      <c r="O33" s="285"/>
      <c r="P33" s="285"/>
      <c r="Q33" s="285"/>
      <c r="R33" s="285"/>
      <c r="S33" s="285"/>
      <c r="T33" s="285"/>
      <c r="U33" s="285"/>
      <c r="V33" s="285"/>
      <c r="W33" s="285"/>
      <c r="X33" s="285"/>
      <c r="Y33" s="285"/>
      <c r="Z33" s="285"/>
      <c r="AA33" s="285"/>
      <c r="AB33" s="285"/>
      <c r="AC33" s="285"/>
      <c r="AD33" s="285"/>
      <c r="AE33" s="285"/>
      <c r="AF33" s="285"/>
      <c r="AG33" s="285"/>
      <c r="AH33" s="285"/>
      <c r="AI33" s="285"/>
      <c r="AJ33" s="285"/>
      <c r="AK33" s="285"/>
      <c r="AL33" s="285"/>
      <c r="AM33" s="285"/>
      <c r="AN33" s="285"/>
      <c r="AO33" s="285"/>
      <c r="AP33" s="285"/>
      <c r="AQ33" s="285"/>
      <c r="AR33" s="285">
        <v>0</v>
      </c>
      <c r="AS33" s="285"/>
      <c r="AT33" s="285">
        <v>0</v>
      </c>
      <c r="AU33" s="285"/>
      <c r="AV33" s="285">
        <v>0</v>
      </c>
      <c r="AW33" s="285"/>
      <c r="AX33" s="285">
        <v>0</v>
      </c>
      <c r="AY33" s="285"/>
      <c r="AZ33" s="285">
        <v>0</v>
      </c>
      <c r="BA33" s="285"/>
      <c r="BB33" s="285">
        <v>0</v>
      </c>
      <c r="BC33" s="285"/>
      <c r="BD33" s="285">
        <v>0</v>
      </c>
      <c r="BE33" s="285"/>
      <c r="BF33" s="285">
        <v>0</v>
      </c>
      <c r="BG33" s="285"/>
      <c r="BH33" s="285">
        <v>0</v>
      </c>
      <c r="BI33" s="285"/>
      <c r="BJ33" s="285">
        <v>0</v>
      </c>
      <c r="BK33" s="285"/>
      <c r="BL33" s="285">
        <v>0</v>
      </c>
      <c r="BM33" s="285"/>
      <c r="BN33" s="285">
        <v>0</v>
      </c>
      <c r="BO33" s="285"/>
      <c r="BP33" s="285">
        <v>0</v>
      </c>
      <c r="BQ33" s="285"/>
      <c r="BR33" s="285">
        <v>0</v>
      </c>
      <c r="BS33" s="285"/>
      <c r="BT33" s="285">
        <v>0</v>
      </c>
      <c r="BU33" s="285"/>
      <c r="BV33" s="285">
        <v>0</v>
      </c>
      <c r="BW33" s="285"/>
      <c r="BX33" s="285">
        <v>0</v>
      </c>
      <c r="BY33" s="285"/>
      <c r="BZ33" s="285">
        <v>0</v>
      </c>
      <c r="CA33" s="285"/>
      <c r="CB33" s="285">
        <v>0</v>
      </c>
      <c r="CC33" s="285"/>
      <c r="CD33" s="285">
        <v>0</v>
      </c>
      <c r="CE33" s="285"/>
      <c r="CF33" s="285">
        <v>0</v>
      </c>
      <c r="CG33" s="285"/>
      <c r="CH33" s="285">
        <v>0</v>
      </c>
      <c r="CI33" s="285"/>
      <c r="CJ33" s="285">
        <v>0</v>
      </c>
      <c r="CK33" s="285"/>
      <c r="CL33" s="285"/>
      <c r="CM33" s="285"/>
      <c r="CN33" s="285"/>
      <c r="CO33" s="285"/>
      <c r="CP33" s="285">
        <v>0</v>
      </c>
      <c r="CQ33" s="285"/>
      <c r="CR33" s="285">
        <v>0</v>
      </c>
      <c r="CS33" s="285"/>
      <c r="CT33" s="285">
        <v>0</v>
      </c>
      <c r="CU33" s="285"/>
      <c r="CV33" s="285">
        <v>0</v>
      </c>
      <c r="CW33" s="285"/>
      <c r="CX33" s="285">
        <v>0</v>
      </c>
      <c r="CY33" s="285"/>
      <c r="CZ33" s="285"/>
      <c r="DA33" s="285"/>
      <c r="DB33" s="285">
        <v>0</v>
      </c>
      <c r="DC33" s="285"/>
      <c r="DD33" s="285">
        <v>0</v>
      </c>
      <c r="DE33" s="285"/>
      <c r="DF33" s="285"/>
      <c r="DG33" s="285"/>
      <c r="DH33" s="285">
        <v>0</v>
      </c>
      <c r="DI33" s="285"/>
      <c r="DJ33" s="285">
        <v>0</v>
      </c>
      <c r="DK33" s="285"/>
      <c r="DL33" s="285">
        <v>0</v>
      </c>
      <c r="DM33" s="285"/>
      <c r="DN33" s="285">
        <v>0</v>
      </c>
      <c r="DO33" s="285"/>
      <c r="DP33" s="285">
        <v>0</v>
      </c>
      <c r="DQ33" s="285"/>
      <c r="DR33" s="285">
        <v>0</v>
      </c>
      <c r="DS33" s="285"/>
      <c r="DT33" s="285">
        <v>0</v>
      </c>
      <c r="DU33" s="285"/>
      <c r="DV33" s="285">
        <v>0</v>
      </c>
      <c r="DW33" s="285"/>
      <c r="DX33" s="285">
        <v>0</v>
      </c>
      <c r="DY33" s="285"/>
      <c r="DZ33" s="285">
        <v>0</v>
      </c>
      <c r="EA33" s="285"/>
      <c r="EB33" s="285"/>
      <c r="EC33" s="285"/>
      <c r="ED33" s="285"/>
      <c r="EE33" s="285"/>
      <c r="EF33" s="285">
        <v>0</v>
      </c>
      <c r="EG33" s="285"/>
      <c r="EH33" s="285">
        <v>27</v>
      </c>
      <c r="EI33" s="285"/>
      <c r="EJ33" s="285">
        <v>0</v>
      </c>
      <c r="EK33" s="285"/>
      <c r="EL33" s="285">
        <v>0</v>
      </c>
      <c r="EM33" s="285"/>
      <c r="EN33" s="285">
        <v>0</v>
      </c>
      <c r="EO33" s="285"/>
      <c r="EP33" s="285">
        <v>0</v>
      </c>
      <c r="EQ33" s="285">
        <v>-23.9</v>
      </c>
      <c r="ER33" s="285">
        <v>24</v>
      </c>
      <c r="ES33" s="285"/>
      <c r="ET33" s="285">
        <v>0</v>
      </c>
      <c r="EU33" s="285"/>
      <c r="EV33" s="285">
        <v>0</v>
      </c>
      <c r="EW33" s="285"/>
      <c r="EX33" s="285">
        <v>0</v>
      </c>
      <c r="EY33" s="285"/>
      <c r="EZ33" s="285">
        <v>0</v>
      </c>
      <c r="FA33" s="285"/>
      <c r="FB33" s="285">
        <v>0</v>
      </c>
      <c r="FC33" s="285">
        <v>-13.7</v>
      </c>
      <c r="FD33" s="285">
        <v>13.77</v>
      </c>
      <c r="FE33" s="285"/>
      <c r="FF33" s="285">
        <v>0</v>
      </c>
      <c r="FG33" s="285">
        <v>-66</v>
      </c>
      <c r="FH33" s="285">
        <v>66</v>
      </c>
      <c r="FI33" s="285">
        <v>44</v>
      </c>
      <c r="FJ33" s="285">
        <v>22</v>
      </c>
      <c r="FK33" s="285">
        <f>-100-100</f>
        <v>-200</v>
      </c>
      <c r="FL33" s="285">
        <v>222</v>
      </c>
      <c r="FM33" s="285">
        <f>22+22+24+24+22+22+21</f>
        <v>157</v>
      </c>
      <c r="FN33" s="285">
        <v>65</v>
      </c>
      <c r="FO33" s="285">
        <f>22+21</f>
        <v>43</v>
      </c>
      <c r="FP33" s="285">
        <v>22</v>
      </c>
      <c r="FQ33" s="285">
        <f>-33+22</f>
        <v>-11</v>
      </c>
      <c r="FR33" s="285">
        <v>33</v>
      </c>
      <c r="FS33" s="285">
        <v>33</v>
      </c>
      <c r="FT33" s="285">
        <v>0</v>
      </c>
      <c r="FU33" s="285">
        <v>0</v>
      </c>
      <c r="FV33" s="285">
        <v>27</v>
      </c>
      <c r="FW33" s="285">
        <v>44</v>
      </c>
      <c r="FX33" s="285"/>
      <c r="FY33" s="285">
        <v>66</v>
      </c>
      <c r="FZ33" s="285"/>
      <c r="GA33" s="285">
        <v>0</v>
      </c>
      <c r="GB33" s="285">
        <f>22+33-30-25.3</f>
        <v>-0.30000000000000071</v>
      </c>
      <c r="GC33" s="285">
        <v>0.3</v>
      </c>
      <c r="GD33" s="285">
        <f>22+22+33+22-100-100+12-50</f>
        <v>-139</v>
      </c>
      <c r="GE33" s="285">
        <v>139.4</v>
      </c>
      <c r="GF33" s="285">
        <f>22+15-50.125+26.5+33+22+26.5+22+0.15</f>
        <v>117.02500000000001</v>
      </c>
      <c r="GG33" s="285">
        <f>+GH33+GI33</f>
        <v>22.4</v>
      </c>
      <c r="GH33" s="285">
        <v>22</v>
      </c>
      <c r="GI33" s="285">
        <v>0.4</v>
      </c>
      <c r="GJ33" s="285"/>
      <c r="GK33" s="285"/>
      <c r="GL33" s="285"/>
      <c r="GM33" s="285"/>
      <c r="GN33" s="285"/>
      <c r="GO33" s="285"/>
      <c r="GP33" s="285"/>
      <c r="GQ33" s="285"/>
      <c r="GR33" s="285"/>
      <c r="GS33" s="285"/>
      <c r="GT33" s="285"/>
      <c r="GU33" s="285"/>
      <c r="GV33" s="285"/>
      <c r="GW33" s="285"/>
      <c r="GX33" s="285"/>
      <c r="GY33" s="285"/>
      <c r="GZ33" s="285"/>
      <c r="HA33" s="285"/>
      <c r="HB33" s="285"/>
      <c r="HC33" s="285"/>
      <c r="HD33" s="285"/>
      <c r="HE33" s="285"/>
      <c r="HF33" s="285"/>
      <c r="HG33" s="285"/>
      <c r="HH33" s="285"/>
      <c r="HI33" s="285"/>
      <c r="HJ33" s="285"/>
      <c r="HK33" s="285"/>
      <c r="HL33" s="285"/>
      <c r="HM33" s="285"/>
      <c r="HN33" s="285"/>
      <c r="HO33" s="285"/>
      <c r="HP33" s="285"/>
      <c r="HQ33" s="285"/>
      <c r="HR33" s="285"/>
      <c r="HS33" s="285"/>
      <c r="HT33" s="285"/>
      <c r="HU33" s="285"/>
      <c r="HV33" s="285"/>
      <c r="HW33" s="285"/>
      <c r="HX33" s="285"/>
      <c r="HY33" s="285"/>
      <c r="HZ33" s="285"/>
      <c r="IA33" s="285"/>
      <c r="IB33" s="285"/>
      <c r="IC33" s="285"/>
      <c r="ID33" s="285"/>
      <c r="IE33" s="285"/>
      <c r="IF33" s="285"/>
      <c r="IG33" s="285"/>
      <c r="IH33" s="285"/>
      <c r="II33" s="285"/>
      <c r="IJ33" s="285"/>
      <c r="IK33" s="285"/>
      <c r="IL33" s="285"/>
      <c r="IM33" s="285"/>
      <c r="IN33" s="285"/>
      <c r="IO33" s="285"/>
      <c r="IP33" s="285"/>
      <c r="IQ33" s="285"/>
      <c r="IR33" s="285"/>
      <c r="IS33" s="285"/>
      <c r="IT33" s="285"/>
      <c r="IU33" s="285"/>
      <c r="IV33" s="285"/>
      <c r="IW33" s="285"/>
      <c r="IX33" s="285"/>
      <c r="IY33" s="285"/>
      <c r="IZ33" s="285"/>
      <c r="JA33" s="285"/>
      <c r="JB33" s="285"/>
      <c r="JC33" s="285"/>
      <c r="JD33" s="285"/>
      <c r="JE33" s="285"/>
      <c r="JF33" s="285"/>
      <c r="JG33" s="285"/>
      <c r="JH33" s="285"/>
      <c r="JI33" s="285"/>
      <c r="JJ33" s="285"/>
      <c r="JK33" s="285"/>
      <c r="JL33" s="285"/>
      <c r="JM33" s="285"/>
      <c r="JN33" s="285"/>
      <c r="JO33" s="285"/>
      <c r="JP33" s="285"/>
      <c r="JQ33" s="285"/>
      <c r="JR33" s="285"/>
      <c r="JS33" s="285"/>
      <c r="JT33" s="285"/>
      <c r="JU33" s="285"/>
      <c r="JV33" s="285"/>
      <c r="JW33" s="285"/>
      <c r="JX33" s="285"/>
      <c r="JY33" s="285"/>
      <c r="JZ33" s="285"/>
      <c r="KA33" s="285"/>
      <c r="KB33" s="285"/>
      <c r="KC33" s="285"/>
      <c r="KD33" s="285"/>
      <c r="KE33" s="285"/>
      <c r="KF33" s="285"/>
      <c r="KG33" s="285"/>
      <c r="KH33" s="285"/>
      <c r="KI33" s="285"/>
      <c r="KJ33" s="285"/>
      <c r="KK33" s="285"/>
      <c r="KL33" s="285"/>
      <c r="KM33" s="285"/>
      <c r="KN33" s="285"/>
      <c r="KO33" s="285"/>
      <c r="KP33" s="285"/>
      <c r="KQ33" s="285"/>
      <c r="KR33" s="298"/>
      <c r="KS33" s="285"/>
      <c r="KT33" s="285"/>
      <c r="KU33" s="268"/>
      <c r="KV33" s="288"/>
      <c r="KW33" s="288"/>
      <c r="AEM33" s="1304">
        <v>1</v>
      </c>
      <c r="AEN33" s="1304">
        <v>1</v>
      </c>
      <c r="AEO33" s="1304">
        <v>1</v>
      </c>
      <c r="AEP33" s="1304">
        <v>1</v>
      </c>
      <c r="AEQ33" s="1304">
        <v>1</v>
      </c>
      <c r="AER33" s="1304">
        <v>1</v>
      </c>
      <c r="AES33" s="1304">
        <v>1</v>
      </c>
      <c r="AET33" s="1304">
        <v>1</v>
      </c>
      <c r="AEU33" s="1304">
        <v>1</v>
      </c>
      <c r="AEV33" s="1304">
        <v>1</v>
      </c>
      <c r="AEW33" s="1304">
        <v>1</v>
      </c>
      <c r="AEX33" s="1304">
        <v>1</v>
      </c>
      <c r="AEY33" s="1304">
        <v>1</v>
      </c>
      <c r="AEZ33" s="1304">
        <v>1</v>
      </c>
      <c r="AFA33" s="1304">
        <v>1</v>
      </c>
      <c r="AFB33" s="1304">
        <v>1</v>
      </c>
      <c r="AFC33" s="1304">
        <v>1</v>
      </c>
      <c r="AFD33" s="1304">
        <v>1</v>
      </c>
      <c r="AFE33" s="1304">
        <v>1</v>
      </c>
      <c r="AFF33" s="1304">
        <v>1</v>
      </c>
      <c r="AFG33" s="1304">
        <v>1</v>
      </c>
      <c r="AFH33" s="1304">
        <v>1</v>
      </c>
      <c r="AFI33" s="1304">
        <v>1</v>
      </c>
      <c r="AFJ33" s="1304">
        <v>1</v>
      </c>
      <c r="AFK33" s="1304">
        <v>1</v>
      </c>
      <c r="AFL33" s="1304">
        <v>1</v>
      </c>
      <c r="AFM33" s="1304">
        <v>1</v>
      </c>
      <c r="AFN33" s="1304">
        <v>1</v>
      </c>
      <c r="AFO33" s="1304">
        <v>1</v>
      </c>
      <c r="AFP33" s="1304">
        <v>1</v>
      </c>
      <c r="AFQ33" s="1304">
        <v>1</v>
      </c>
      <c r="AFR33" s="1304">
        <v>1</v>
      </c>
      <c r="AFS33" s="1304">
        <v>1</v>
      </c>
      <c r="AFT33" s="1304">
        <v>1</v>
      </c>
      <c r="AFU33" s="1304">
        <v>1</v>
      </c>
      <c r="AFV33" s="1304">
        <v>1</v>
      </c>
      <c r="AFW33" s="1304">
        <v>1</v>
      </c>
      <c r="AFX33" s="1304">
        <v>1</v>
      </c>
      <c r="AFY33" s="1304">
        <v>1</v>
      </c>
      <c r="AFZ33" s="1304">
        <v>1</v>
      </c>
      <c r="AGA33" s="1304">
        <v>1</v>
      </c>
      <c r="AGB33" s="1304">
        <v>1</v>
      </c>
      <c r="AGC33" s="1304">
        <v>1</v>
      </c>
      <c r="AGD33" s="1304">
        <v>1</v>
      </c>
      <c r="AGE33" s="1304">
        <v>1</v>
      </c>
      <c r="AGF33" s="1304">
        <v>1</v>
      </c>
      <c r="AGG33" s="1304">
        <v>1</v>
      </c>
      <c r="AGH33" s="1304">
        <v>1</v>
      </c>
      <c r="AGI33" s="1304">
        <v>1</v>
      </c>
      <c r="AGJ33" s="1304">
        <v>1</v>
      </c>
      <c r="AGK33" s="1304">
        <v>1</v>
      </c>
      <c r="AGL33" s="1304">
        <v>1</v>
      </c>
      <c r="AGM33" s="1304">
        <v>1</v>
      </c>
      <c r="AGN33" s="1304">
        <v>1</v>
      </c>
      <c r="AGO33" s="1304">
        <v>1</v>
      </c>
      <c r="AGP33" s="1304">
        <v>1</v>
      </c>
      <c r="AGQ33" s="1304">
        <v>1</v>
      </c>
      <c r="AGR33" s="1304">
        <v>1</v>
      </c>
      <c r="AGS33" s="1304">
        <v>1</v>
      </c>
      <c r="AGT33" s="1304">
        <v>1</v>
      </c>
      <c r="AGU33" s="1304">
        <v>1</v>
      </c>
      <c r="AGV33" s="1304">
        <v>1</v>
      </c>
      <c r="AGW33" s="1304">
        <v>1</v>
      </c>
      <c r="AGX33" s="1304">
        <v>1</v>
      </c>
      <c r="AGY33" s="1304">
        <v>1</v>
      </c>
      <c r="AGZ33" s="1304">
        <v>1</v>
      </c>
      <c r="AHA33" s="1304">
        <v>1</v>
      </c>
      <c r="AHB33" s="1304">
        <v>1</v>
      </c>
      <c r="AHC33" s="1304">
        <v>1</v>
      </c>
      <c r="AHD33" s="1304">
        <v>1</v>
      </c>
      <c r="AHE33" s="1304">
        <v>1</v>
      </c>
      <c r="AHF33" s="1304">
        <v>1</v>
      </c>
      <c r="AHG33" s="1304">
        <v>1</v>
      </c>
      <c r="AHH33" s="1304">
        <v>1</v>
      </c>
      <c r="AHI33" s="1304">
        <v>1</v>
      </c>
      <c r="AHJ33" s="1304">
        <v>1</v>
      </c>
      <c r="AHK33" s="1304">
        <v>1</v>
      </c>
      <c r="AHL33" s="1304">
        <v>1</v>
      </c>
      <c r="AHM33" s="1304">
        <v>1</v>
      </c>
      <c r="AHN33" s="1304">
        <v>1</v>
      </c>
      <c r="AHO33" s="1304">
        <v>1</v>
      </c>
      <c r="AHP33" s="1304">
        <v>1</v>
      </c>
      <c r="AHQ33" s="1304">
        <v>1</v>
      </c>
      <c r="AHR33" s="1304">
        <v>1</v>
      </c>
      <c r="AHS33" s="1304">
        <v>1</v>
      </c>
      <c r="AHT33" s="1304">
        <v>1</v>
      </c>
      <c r="AHU33" s="1304">
        <v>1</v>
      </c>
      <c r="AHV33" s="1304">
        <v>1</v>
      </c>
      <c r="AHW33" s="1304">
        <v>1</v>
      </c>
      <c r="AHX33" s="1304">
        <v>1</v>
      </c>
      <c r="AHY33" s="1304">
        <v>1</v>
      </c>
      <c r="AHZ33" s="1304">
        <v>1</v>
      </c>
      <c r="AIA33" s="1304">
        <v>1</v>
      </c>
      <c r="AIB33" s="1304">
        <v>1</v>
      </c>
      <c r="AIC33" s="1304">
        <v>1</v>
      </c>
      <c r="AID33" s="1304">
        <v>1</v>
      </c>
      <c r="AIE33" s="1304">
        <v>1</v>
      </c>
      <c r="AIF33" s="1304">
        <v>1</v>
      </c>
      <c r="AIG33" s="1304">
        <v>1</v>
      </c>
      <c r="AIH33" s="1304">
        <v>1</v>
      </c>
      <c r="AII33" s="1304">
        <v>1</v>
      </c>
      <c r="AIJ33" s="1304">
        <v>1</v>
      </c>
      <c r="AIK33" s="1304">
        <v>1</v>
      </c>
      <c r="AIL33" s="1304">
        <v>1</v>
      </c>
      <c r="AIM33" s="1304">
        <v>1</v>
      </c>
      <c r="AIN33" s="1304">
        <v>1</v>
      </c>
      <c r="AIO33" s="1304">
        <v>1</v>
      </c>
      <c r="AIP33" s="1304">
        <v>1</v>
      </c>
      <c r="AIQ33" s="1304">
        <v>1</v>
      </c>
      <c r="AIR33" s="1304">
        <v>1</v>
      </c>
      <c r="AIS33" s="1304">
        <v>1</v>
      </c>
      <c r="AIT33" s="1304">
        <v>1</v>
      </c>
      <c r="AIU33" s="1304">
        <v>1</v>
      </c>
      <c r="AIV33" s="1304">
        <v>1</v>
      </c>
      <c r="AIW33" s="1304">
        <v>1</v>
      </c>
      <c r="AIX33" s="1304">
        <v>1</v>
      </c>
      <c r="AIY33" s="1304">
        <v>3</v>
      </c>
      <c r="AJU33" s="6">
        <v>85</v>
      </c>
    </row>
    <row r="34" spans="1:957">
      <c r="A34" s="9">
        <v>30</v>
      </c>
      <c r="B34" s="74" t="s">
        <v>2921</v>
      </c>
      <c r="C34" s="74">
        <v>310626773</v>
      </c>
      <c r="D34" s="74"/>
      <c r="E34" s="74">
        <v>310626773</v>
      </c>
      <c r="F34" s="74">
        <v>0</v>
      </c>
      <c r="G34" s="75">
        <v>158210</v>
      </c>
      <c r="H34" s="944"/>
      <c r="I34" s="944"/>
      <c r="J34" s="944"/>
      <c r="K34" s="1308"/>
      <c r="L34" s="1308"/>
      <c r="M34" s="1308"/>
      <c r="N34" s="1308"/>
      <c r="O34" s="285"/>
      <c r="P34" s="285"/>
      <c r="Q34" s="285"/>
      <c r="R34" s="285"/>
      <c r="S34" s="285"/>
      <c r="T34" s="285"/>
      <c r="U34" s="285"/>
      <c r="V34" s="285"/>
      <c r="W34" s="285"/>
      <c r="X34" s="285"/>
      <c r="Y34" s="285"/>
      <c r="Z34" s="285"/>
      <c r="AA34" s="285"/>
      <c r="AB34" s="285"/>
      <c r="AC34" s="285"/>
      <c r="AD34" s="285"/>
      <c r="AE34" s="285"/>
      <c r="AF34" s="285"/>
      <c r="AG34" s="285"/>
      <c r="AH34" s="285"/>
      <c r="AI34" s="285"/>
      <c r="AJ34" s="285"/>
      <c r="AK34" s="285"/>
      <c r="AL34" s="285"/>
      <c r="AM34" s="285"/>
      <c r="AN34" s="285"/>
      <c r="AO34" s="285"/>
      <c r="AP34" s="285"/>
      <c r="AQ34" s="285"/>
      <c r="AR34" s="285">
        <v>0</v>
      </c>
      <c r="AS34" s="285"/>
      <c r="AT34" s="285">
        <v>0</v>
      </c>
      <c r="AU34" s="285"/>
      <c r="AV34" s="285">
        <v>0</v>
      </c>
      <c r="AW34" s="285"/>
      <c r="AX34" s="285">
        <v>0</v>
      </c>
      <c r="AY34" s="285"/>
      <c r="AZ34" s="285">
        <v>0</v>
      </c>
      <c r="BA34" s="285"/>
      <c r="BB34" s="285">
        <v>1.4</v>
      </c>
      <c r="BC34" s="285"/>
      <c r="BD34" s="285">
        <v>1.4</v>
      </c>
      <c r="BE34" s="285"/>
      <c r="BF34" s="285">
        <v>1.4</v>
      </c>
      <c r="BG34" s="285"/>
      <c r="BH34" s="285">
        <v>1.4</v>
      </c>
      <c r="BI34" s="285"/>
      <c r="BJ34" s="285">
        <v>1.4</v>
      </c>
      <c r="BK34" s="285"/>
      <c r="BL34" s="285">
        <v>1.4</v>
      </c>
      <c r="BM34" s="285"/>
      <c r="BN34" s="285">
        <v>1.4</v>
      </c>
      <c r="BO34" s="285"/>
      <c r="BP34" s="285">
        <v>1.4</v>
      </c>
      <c r="BQ34" s="285"/>
      <c r="BR34" s="285">
        <v>1.4</v>
      </c>
      <c r="BS34" s="285"/>
      <c r="BT34" s="285">
        <v>1.4</v>
      </c>
      <c r="BU34" s="285"/>
      <c r="BV34" s="285">
        <v>1.7</v>
      </c>
      <c r="BW34" s="285"/>
      <c r="BX34" s="285">
        <v>1.7</v>
      </c>
      <c r="BY34" s="285"/>
      <c r="BZ34" s="285">
        <v>0</v>
      </c>
      <c r="CA34" s="285"/>
      <c r="CB34" s="285">
        <v>0</v>
      </c>
      <c r="CC34" s="285"/>
      <c r="CD34" s="285">
        <v>0</v>
      </c>
      <c r="CE34" s="285"/>
      <c r="CF34" s="285">
        <v>0</v>
      </c>
      <c r="CG34" s="285"/>
      <c r="CH34" s="285">
        <v>0</v>
      </c>
      <c r="CI34" s="285"/>
      <c r="CJ34" s="285">
        <v>0</v>
      </c>
      <c r="CK34" s="285"/>
      <c r="CL34" s="285"/>
      <c r="CM34" s="285"/>
      <c r="CN34" s="285"/>
      <c r="CO34" s="285"/>
      <c r="CP34" s="285">
        <v>0</v>
      </c>
      <c r="CQ34" s="285"/>
      <c r="CR34" s="285">
        <v>0</v>
      </c>
      <c r="CS34" s="285"/>
      <c r="CT34" s="285">
        <v>0</v>
      </c>
      <c r="CU34" s="285">
        <v>0</v>
      </c>
      <c r="CV34" s="285">
        <v>0</v>
      </c>
      <c r="CW34" s="285">
        <v>0</v>
      </c>
      <c r="CX34" s="285">
        <v>0</v>
      </c>
      <c r="CY34" s="285"/>
      <c r="CZ34" s="285">
        <v>0</v>
      </c>
      <c r="DA34" s="285">
        <v>0</v>
      </c>
      <c r="DB34" s="285">
        <v>20</v>
      </c>
      <c r="DC34" s="285">
        <v>-19.3</v>
      </c>
      <c r="DD34" s="285">
        <v>19.399999999999999</v>
      </c>
      <c r="DE34" s="285"/>
      <c r="DF34" s="285">
        <v>19.399999999999999</v>
      </c>
      <c r="DG34" s="285"/>
      <c r="DH34" s="285">
        <v>19.399999999999999</v>
      </c>
      <c r="DI34" s="285"/>
      <c r="DJ34" s="285">
        <v>19.399999999999999</v>
      </c>
      <c r="DK34" s="285">
        <v>-2.6</v>
      </c>
      <c r="DL34" s="285">
        <v>21.9</v>
      </c>
      <c r="DM34" s="285"/>
      <c r="DN34" s="285">
        <v>22</v>
      </c>
      <c r="DO34" s="285"/>
      <c r="DP34" s="285">
        <v>22</v>
      </c>
      <c r="DQ34" s="285"/>
      <c r="DR34" s="285">
        <v>22</v>
      </c>
      <c r="DS34" s="285"/>
      <c r="DT34" s="285">
        <v>22</v>
      </c>
      <c r="DU34" s="285"/>
      <c r="DV34" s="285">
        <v>0</v>
      </c>
      <c r="DW34" s="285"/>
      <c r="DX34" s="285">
        <v>0</v>
      </c>
      <c r="DY34" s="285"/>
      <c r="DZ34" s="285">
        <v>0</v>
      </c>
      <c r="EA34" s="285"/>
      <c r="EB34" s="285">
        <v>21</v>
      </c>
      <c r="EC34" s="285"/>
      <c r="ED34" s="285">
        <v>0</v>
      </c>
      <c r="EE34" s="285"/>
      <c r="EF34" s="285">
        <v>0</v>
      </c>
      <c r="EG34" s="285"/>
      <c r="EH34" s="285">
        <v>0</v>
      </c>
      <c r="EI34" s="285"/>
      <c r="EJ34" s="285">
        <v>0</v>
      </c>
      <c r="EK34" s="285"/>
      <c r="EL34" s="285">
        <v>0</v>
      </c>
      <c r="EM34" s="285"/>
      <c r="EN34" s="285">
        <v>27.5</v>
      </c>
      <c r="EO34" s="285"/>
      <c r="EP34" s="285">
        <v>0.3</v>
      </c>
      <c r="EQ34" s="285">
        <f>24-38</f>
        <v>-14</v>
      </c>
      <c r="ER34" s="285">
        <v>14.3</v>
      </c>
      <c r="ES34" s="285">
        <v>14</v>
      </c>
      <c r="ET34" s="285">
        <v>0.3</v>
      </c>
      <c r="EU34" s="285">
        <f>22-2.5-50</f>
        <v>-30.5</v>
      </c>
      <c r="EV34" s="285">
        <v>30.8</v>
      </c>
      <c r="EW34" s="285"/>
      <c r="EX34" s="285">
        <v>55.8</v>
      </c>
      <c r="EY34" s="285"/>
      <c r="EZ34" s="285">
        <v>6.8</v>
      </c>
      <c r="FA34" s="285"/>
      <c r="FB34" s="285">
        <v>0</v>
      </c>
      <c r="FC34" s="285">
        <v>-30</v>
      </c>
      <c r="FD34" s="285">
        <v>30</v>
      </c>
      <c r="FE34" s="285">
        <v>8</v>
      </c>
      <c r="FF34" s="285">
        <v>22</v>
      </c>
      <c r="FG34" s="285">
        <f>-85+22</f>
        <v>-63</v>
      </c>
      <c r="FH34" s="285">
        <v>85.1</v>
      </c>
      <c r="FI34" s="285">
        <f>-134+30+22+33</f>
        <v>-49</v>
      </c>
      <c r="FJ34" s="285">
        <v>134.30000000000001</v>
      </c>
      <c r="FK34" s="285">
        <f>-100-99.15+22+22-25+24+32.3+23+14+22</f>
        <v>-64.850000000000009</v>
      </c>
      <c r="FL34" s="285">
        <v>199.2</v>
      </c>
      <c r="FM34" s="285">
        <f>33+28+30+22+33+33</f>
        <v>179</v>
      </c>
      <c r="FN34" s="285">
        <v>20.2</v>
      </c>
      <c r="FO34" s="285">
        <f>24.7-73+20</f>
        <v>-28.299999999999997</v>
      </c>
      <c r="FP34" s="285">
        <v>48.5</v>
      </c>
      <c r="FQ34" s="285">
        <f>-81+22+26.5</f>
        <v>-32.5</v>
      </c>
      <c r="FR34" s="285">
        <v>81</v>
      </c>
      <c r="FS34" s="285">
        <f>33+22+26</f>
        <v>81</v>
      </c>
      <c r="FT34" s="285">
        <v>0</v>
      </c>
      <c r="FU34" s="285">
        <v>0</v>
      </c>
      <c r="FV34" s="285">
        <v>0</v>
      </c>
      <c r="FW34" s="285">
        <v>0</v>
      </c>
      <c r="FX34" s="285"/>
      <c r="FY34" s="285">
        <v>0</v>
      </c>
      <c r="FZ34" s="285"/>
      <c r="GA34" s="285"/>
      <c r="GB34" s="285"/>
      <c r="GC34" s="285"/>
      <c r="GD34" s="285"/>
      <c r="GE34" s="285"/>
      <c r="GF34" s="285"/>
      <c r="GG34" s="285"/>
      <c r="GH34" s="285"/>
      <c r="GI34" s="285"/>
      <c r="GJ34" s="285"/>
      <c r="GK34" s="285"/>
      <c r="GL34" s="285"/>
      <c r="GM34" s="285"/>
      <c r="GN34" s="285"/>
      <c r="GO34" s="285"/>
      <c r="GP34" s="285"/>
      <c r="GQ34" s="285"/>
      <c r="GR34" s="285"/>
      <c r="GS34" s="285"/>
      <c r="GT34" s="285"/>
      <c r="GU34" s="285"/>
      <c r="GV34" s="285"/>
      <c r="GW34" s="285"/>
      <c r="GX34" s="285"/>
      <c r="GY34" s="285"/>
      <c r="GZ34" s="285"/>
      <c r="HA34" s="285"/>
      <c r="HB34" s="285"/>
      <c r="HC34" s="285"/>
      <c r="HD34" s="285"/>
      <c r="HE34" s="285"/>
      <c r="HF34" s="285"/>
      <c r="HG34" s="285"/>
      <c r="HH34" s="285"/>
      <c r="HI34" s="285"/>
      <c r="HJ34" s="285"/>
      <c r="HK34" s="285"/>
      <c r="HL34" s="285"/>
      <c r="HM34" s="285"/>
      <c r="HN34" s="285"/>
      <c r="HO34" s="285"/>
      <c r="HP34" s="285"/>
      <c r="HQ34" s="285"/>
      <c r="HR34" s="285"/>
      <c r="HS34" s="285"/>
      <c r="HT34" s="285"/>
      <c r="HU34" s="285"/>
      <c r="HV34" s="285"/>
      <c r="HW34" s="285"/>
      <c r="HX34" s="285"/>
      <c r="HY34" s="285"/>
      <c r="HZ34" s="285"/>
      <c r="IA34" s="285"/>
      <c r="IB34" s="285"/>
      <c r="IC34" s="285"/>
      <c r="ID34" s="285"/>
      <c r="IE34" s="285"/>
      <c r="IF34" s="285"/>
      <c r="IG34" s="285"/>
      <c r="IH34" s="285"/>
      <c r="II34" s="285"/>
      <c r="IJ34" s="285"/>
      <c r="IK34" s="285"/>
      <c r="IL34" s="285"/>
      <c r="IM34" s="285"/>
      <c r="IN34" s="285"/>
      <c r="IO34" s="285"/>
      <c r="IP34" s="285"/>
      <c r="IQ34" s="285"/>
      <c r="IR34" s="285"/>
      <c r="IS34" s="285"/>
      <c r="IT34" s="285"/>
      <c r="IU34" s="285"/>
      <c r="IV34" s="285"/>
      <c r="IW34" s="285"/>
      <c r="IX34" s="285"/>
      <c r="IY34" s="285"/>
      <c r="IZ34" s="285"/>
      <c r="JA34" s="285"/>
      <c r="JB34" s="285"/>
      <c r="JC34" s="285"/>
      <c r="JD34" s="285"/>
      <c r="JE34" s="285"/>
      <c r="JF34" s="285"/>
      <c r="JG34" s="285"/>
      <c r="JH34" s="285"/>
      <c r="JI34" s="285"/>
      <c r="JJ34" s="285"/>
      <c r="JK34" s="285"/>
      <c r="JL34" s="285"/>
      <c r="JM34" s="285"/>
      <c r="JN34" s="285"/>
      <c r="JO34" s="285"/>
      <c r="JP34" s="285"/>
      <c r="JQ34" s="285"/>
      <c r="JR34" s="285"/>
      <c r="JS34" s="285"/>
      <c r="JT34" s="285"/>
      <c r="JU34" s="285"/>
      <c r="JV34" s="285"/>
      <c r="JW34" s="285"/>
      <c r="JX34" s="285"/>
      <c r="JY34" s="285"/>
      <c r="JZ34" s="285"/>
      <c r="KA34" s="285"/>
      <c r="KB34" s="285"/>
      <c r="KC34" s="285"/>
      <c r="KD34" s="285"/>
      <c r="KE34" s="285"/>
      <c r="KF34" s="285"/>
      <c r="KG34" s="285"/>
      <c r="KH34" s="285"/>
      <c r="KI34" s="285"/>
      <c r="KJ34" s="285"/>
      <c r="KK34" s="285"/>
      <c r="KL34" s="285"/>
      <c r="KM34" s="285"/>
      <c r="KN34" s="285"/>
      <c r="KO34" s="285"/>
      <c r="KP34" s="285"/>
      <c r="KQ34" s="285"/>
      <c r="KR34" s="298"/>
      <c r="KS34" s="285"/>
      <c r="KT34" s="285"/>
      <c r="KU34" s="268"/>
      <c r="KV34" s="288"/>
      <c r="KW34" s="288"/>
      <c r="AFP34" s="1304">
        <v>31</v>
      </c>
      <c r="AFQ34" s="1304">
        <v>31</v>
      </c>
      <c r="AFR34" s="1304">
        <f>31+31</f>
        <v>62</v>
      </c>
      <c r="AIO34" s="1304">
        <v>4</v>
      </c>
      <c r="AIP34" s="1304">
        <v>30.5</v>
      </c>
    </row>
    <row r="35" spans="1:957">
      <c r="A35" s="83">
        <v>31</v>
      </c>
      <c r="B35" s="74" t="s">
        <v>3077</v>
      </c>
      <c r="C35" s="74">
        <v>310645419</v>
      </c>
      <c r="D35" s="74"/>
      <c r="E35" s="74">
        <v>310645419</v>
      </c>
      <c r="F35" s="74">
        <v>0</v>
      </c>
      <c r="G35" s="75">
        <v>939863</v>
      </c>
      <c r="H35" s="944"/>
      <c r="I35" s="944"/>
      <c r="J35" s="944"/>
      <c r="K35" s="1308"/>
      <c r="L35" s="1308"/>
      <c r="M35" s="1308"/>
      <c r="N35" s="1308"/>
      <c r="O35" s="285"/>
      <c r="P35" s="285"/>
      <c r="Q35" s="285"/>
      <c r="R35" s="285"/>
      <c r="S35" s="285"/>
      <c r="T35" s="285"/>
      <c r="U35" s="285"/>
      <c r="V35" s="285"/>
      <c r="W35" s="285"/>
      <c r="X35" s="285"/>
      <c r="Y35" s="285"/>
      <c r="Z35" s="285"/>
      <c r="AA35" s="285"/>
      <c r="AB35" s="285"/>
      <c r="AC35" s="285"/>
      <c r="AD35" s="285"/>
      <c r="AE35" s="285"/>
      <c r="AF35" s="285">
        <v>0</v>
      </c>
      <c r="AG35" s="285"/>
      <c r="AH35" s="285">
        <v>0</v>
      </c>
      <c r="AI35" s="285"/>
      <c r="AJ35" s="285"/>
      <c r="AK35" s="285"/>
      <c r="AL35" s="285">
        <v>0</v>
      </c>
      <c r="AM35" s="285"/>
      <c r="AN35" s="285"/>
      <c r="AO35" s="285"/>
      <c r="AP35" s="285"/>
      <c r="AQ35" s="285"/>
      <c r="AR35" s="285">
        <v>0</v>
      </c>
      <c r="AS35" s="285"/>
      <c r="AT35" s="285">
        <v>0</v>
      </c>
      <c r="AU35" s="285"/>
      <c r="AV35" s="285">
        <v>0</v>
      </c>
      <c r="AW35" s="285"/>
      <c r="AX35" s="285">
        <v>0</v>
      </c>
      <c r="AY35" s="285"/>
      <c r="AZ35" s="285">
        <v>0</v>
      </c>
      <c r="BA35" s="285"/>
      <c r="BB35" s="285">
        <v>0.7</v>
      </c>
      <c r="BC35" s="285"/>
      <c r="BD35" s="285">
        <v>0.7</v>
      </c>
      <c r="BE35" s="285"/>
      <c r="BF35" s="285">
        <v>0.7</v>
      </c>
      <c r="BG35" s="285"/>
      <c r="BH35" s="285">
        <v>0.7</v>
      </c>
      <c r="BI35" s="285"/>
      <c r="BJ35" s="285">
        <v>0.7</v>
      </c>
      <c r="BK35" s="285"/>
      <c r="BL35" s="285">
        <v>0.7</v>
      </c>
      <c r="BM35" s="285"/>
      <c r="BN35" s="285">
        <v>0.7</v>
      </c>
      <c r="BO35" s="285"/>
      <c r="BP35" s="285">
        <v>0.7</v>
      </c>
      <c r="BQ35" s="285"/>
      <c r="BR35" s="285">
        <v>0.7</v>
      </c>
      <c r="BS35" s="285"/>
      <c r="BT35" s="285">
        <v>0.7</v>
      </c>
      <c r="BU35" s="285"/>
      <c r="BV35" s="285">
        <v>0.7</v>
      </c>
      <c r="BW35" s="285"/>
      <c r="BX35" s="285">
        <v>0.7</v>
      </c>
      <c r="BY35" s="285"/>
      <c r="BZ35" s="285">
        <v>0</v>
      </c>
      <c r="CA35" s="285"/>
      <c r="CB35" s="285">
        <v>0</v>
      </c>
      <c r="CC35" s="285"/>
      <c r="CD35" s="285">
        <v>0</v>
      </c>
      <c r="CE35" s="285"/>
      <c r="CF35" s="285">
        <v>0</v>
      </c>
      <c r="CG35" s="285"/>
      <c r="CH35" s="285">
        <v>0</v>
      </c>
      <c r="CI35" s="285"/>
      <c r="CJ35" s="285">
        <v>0</v>
      </c>
      <c r="CK35" s="285"/>
      <c r="CL35" s="285">
        <v>0</v>
      </c>
      <c r="CM35" s="285"/>
      <c r="CN35" s="285">
        <v>0</v>
      </c>
      <c r="CO35" s="285"/>
      <c r="CP35" s="285">
        <v>0</v>
      </c>
      <c r="CQ35" s="285"/>
      <c r="CR35" s="285">
        <v>0</v>
      </c>
      <c r="CS35" s="285"/>
      <c r="CT35" s="285">
        <v>22.1</v>
      </c>
      <c r="CU35" s="285"/>
      <c r="CV35" s="285">
        <v>22.1</v>
      </c>
      <c r="CW35" s="285">
        <v>21.7</v>
      </c>
      <c r="CX35" s="285">
        <v>0.4</v>
      </c>
      <c r="CY35" s="285"/>
      <c r="CZ35" s="285">
        <v>0.4</v>
      </c>
      <c r="DA35" s="285">
        <f>25+26+26-2.5-74</f>
        <v>0.5</v>
      </c>
      <c r="DB35" s="285">
        <v>0</v>
      </c>
      <c r="DC35" s="285"/>
      <c r="DD35" s="285">
        <v>0</v>
      </c>
      <c r="DE35" s="285"/>
      <c r="DF35" s="285"/>
      <c r="DG35" s="285"/>
      <c r="DH35" s="285">
        <v>0</v>
      </c>
      <c r="DI35" s="285"/>
      <c r="DJ35" s="285">
        <v>0</v>
      </c>
      <c r="DK35" s="285"/>
      <c r="DL35" s="285">
        <v>0.8</v>
      </c>
      <c r="DM35" s="285"/>
      <c r="DN35" s="285">
        <v>0.8</v>
      </c>
      <c r="DO35" s="285"/>
      <c r="DP35" s="285">
        <v>0.8</v>
      </c>
      <c r="DQ35" s="285"/>
      <c r="DR35" s="285">
        <v>0.8</v>
      </c>
      <c r="DS35" s="285"/>
      <c r="DT35" s="285">
        <v>0.8</v>
      </c>
      <c r="DU35" s="285"/>
      <c r="DV35" s="285">
        <v>0.8</v>
      </c>
      <c r="DW35" s="285">
        <f>33+33+22+23+22+26.8-100-62</f>
        <v>-2.1999999999999886</v>
      </c>
      <c r="DX35" s="285">
        <v>3.08</v>
      </c>
      <c r="DY35" s="285"/>
      <c r="DZ35" s="285">
        <v>0</v>
      </c>
      <c r="EA35" s="285"/>
      <c r="EB35" s="285">
        <v>0</v>
      </c>
      <c r="EC35" s="285"/>
      <c r="ED35" s="285">
        <v>0</v>
      </c>
      <c r="EE35" s="285">
        <v>-22</v>
      </c>
      <c r="EF35" s="285">
        <v>22</v>
      </c>
      <c r="EG35" s="285">
        <f>24+22+22+24+21+22-100-59+21+20-41+22</f>
        <v>-2</v>
      </c>
      <c r="EH35" s="285">
        <v>24</v>
      </c>
      <c r="EI35" s="285">
        <f>-79+24</f>
        <v>-55</v>
      </c>
      <c r="EJ35" s="285">
        <v>79</v>
      </c>
      <c r="EK35" s="285">
        <f>23+22+22+18-100-15+24+33+22</f>
        <v>49</v>
      </c>
      <c r="EL35" s="285">
        <v>30</v>
      </c>
      <c r="EM35" s="285"/>
      <c r="EN35" s="285">
        <v>98.8</v>
      </c>
      <c r="EO35" s="285">
        <f>22+33</f>
        <v>55</v>
      </c>
      <c r="EP35" s="285">
        <v>43.85</v>
      </c>
      <c r="EQ35" s="285">
        <f>22+22+1.67-100-86+21.5+22</f>
        <v>-96.829999999999984</v>
      </c>
      <c r="ER35" s="285">
        <v>140.9</v>
      </c>
      <c r="ES35" s="285">
        <f>22+33+22+21.5</f>
        <v>98.5</v>
      </c>
      <c r="ET35" s="285">
        <f>22+22-1.66</f>
        <v>42.34</v>
      </c>
      <c r="EU35" s="285"/>
      <c r="EV35" s="285">
        <v>0</v>
      </c>
      <c r="EW35" s="285"/>
      <c r="EX35" s="285">
        <v>0</v>
      </c>
      <c r="EY35" s="285"/>
      <c r="EZ35" s="285"/>
      <c r="FA35" s="285"/>
      <c r="FB35" s="285"/>
      <c r="FC35" s="285"/>
      <c r="FD35" s="285"/>
      <c r="FE35" s="285"/>
      <c r="FF35" s="285"/>
      <c r="FG35" s="285"/>
      <c r="FH35" s="285"/>
      <c r="FI35" s="285"/>
      <c r="FJ35" s="285"/>
      <c r="FK35" s="285"/>
      <c r="FL35" s="285"/>
      <c r="FM35" s="285"/>
      <c r="FN35" s="285"/>
      <c r="FO35" s="285"/>
      <c r="FP35" s="285"/>
      <c r="FQ35" s="285"/>
      <c r="FR35" s="285"/>
      <c r="FS35" s="285"/>
      <c r="FT35" s="285"/>
      <c r="FU35" s="285"/>
      <c r="FV35" s="285"/>
      <c r="FW35" s="285"/>
      <c r="FX35" s="285"/>
      <c r="FY35" s="285"/>
      <c r="FZ35" s="285"/>
      <c r="GA35" s="285"/>
      <c r="GB35" s="285"/>
      <c r="GC35" s="285"/>
      <c r="GD35" s="285"/>
      <c r="GE35" s="285"/>
      <c r="GF35" s="285"/>
      <c r="GG35" s="285"/>
      <c r="GH35" s="285"/>
      <c r="GI35" s="285"/>
      <c r="GJ35" s="285"/>
      <c r="GK35" s="285"/>
      <c r="GL35" s="285"/>
      <c r="GM35" s="285"/>
      <c r="GN35" s="285"/>
      <c r="GO35" s="285"/>
      <c r="GP35" s="285"/>
      <c r="GQ35" s="285"/>
      <c r="GR35" s="285"/>
      <c r="GS35" s="285"/>
      <c r="GT35" s="285"/>
      <c r="GU35" s="285"/>
      <c r="GV35" s="285"/>
      <c r="GW35" s="285"/>
      <c r="GX35" s="285"/>
      <c r="GY35" s="285"/>
      <c r="GZ35" s="285"/>
      <c r="HA35" s="285"/>
      <c r="HB35" s="285"/>
      <c r="HC35" s="285"/>
      <c r="HD35" s="285"/>
      <c r="HE35" s="285"/>
      <c r="HF35" s="285"/>
      <c r="HG35" s="285"/>
      <c r="HH35" s="285"/>
      <c r="HI35" s="285"/>
      <c r="HJ35" s="285"/>
      <c r="HK35" s="285"/>
      <c r="HL35" s="285"/>
      <c r="HM35" s="285"/>
      <c r="HN35" s="285"/>
      <c r="HO35" s="285"/>
      <c r="HP35" s="285"/>
      <c r="HQ35" s="285"/>
      <c r="HR35" s="285"/>
      <c r="HS35" s="285"/>
      <c r="HT35" s="285"/>
      <c r="HU35" s="285"/>
      <c r="HV35" s="285"/>
      <c r="HW35" s="285"/>
      <c r="HX35" s="285"/>
      <c r="HY35" s="285"/>
      <c r="HZ35" s="285"/>
      <c r="IA35" s="285"/>
      <c r="IB35" s="285"/>
      <c r="IC35" s="285"/>
      <c r="ID35" s="285"/>
      <c r="IE35" s="285"/>
      <c r="IF35" s="285"/>
      <c r="IG35" s="285"/>
      <c r="IH35" s="285"/>
      <c r="II35" s="285"/>
      <c r="IJ35" s="285"/>
      <c r="IK35" s="285"/>
      <c r="IL35" s="285"/>
      <c r="IM35" s="285"/>
      <c r="IN35" s="285"/>
      <c r="IO35" s="285"/>
      <c r="IP35" s="285"/>
      <c r="IQ35" s="285"/>
      <c r="IR35" s="285"/>
      <c r="IS35" s="285"/>
      <c r="IT35" s="285"/>
      <c r="IU35" s="285"/>
      <c r="IV35" s="285"/>
      <c r="IW35" s="285"/>
      <c r="IX35" s="285"/>
      <c r="IY35" s="285"/>
      <c r="IZ35" s="285"/>
      <c r="JA35" s="285"/>
      <c r="JB35" s="285"/>
      <c r="JC35" s="285"/>
      <c r="JD35" s="285"/>
      <c r="JE35" s="285"/>
      <c r="JF35" s="285"/>
      <c r="JG35" s="285"/>
      <c r="JH35" s="285"/>
      <c r="JI35" s="285"/>
      <c r="JJ35" s="285"/>
      <c r="JK35" s="285"/>
      <c r="JL35" s="285"/>
      <c r="JM35" s="285"/>
      <c r="JN35" s="285"/>
      <c r="JO35" s="285"/>
      <c r="JP35" s="285"/>
      <c r="JQ35" s="285"/>
      <c r="JR35" s="285"/>
      <c r="JS35" s="285"/>
      <c r="JT35" s="285"/>
      <c r="JU35" s="285"/>
      <c r="JV35" s="285"/>
      <c r="JW35" s="285"/>
      <c r="JX35" s="285"/>
      <c r="JY35" s="285"/>
      <c r="JZ35" s="285"/>
      <c r="KA35" s="285"/>
      <c r="KB35" s="285"/>
      <c r="KC35" s="285"/>
      <c r="KD35" s="285"/>
      <c r="KE35" s="285"/>
      <c r="KF35" s="285"/>
      <c r="KG35" s="285"/>
      <c r="KH35" s="285"/>
      <c r="KI35" s="285"/>
      <c r="KJ35" s="285"/>
      <c r="KK35" s="285"/>
      <c r="KL35" s="285"/>
      <c r="KM35" s="285"/>
      <c r="KN35" s="285"/>
      <c r="KO35" s="285"/>
      <c r="KP35" s="285"/>
      <c r="KQ35" s="285"/>
      <c r="KR35" s="298"/>
      <c r="KS35" s="285"/>
      <c r="KT35" s="285"/>
      <c r="KU35" s="268"/>
      <c r="KV35" s="288"/>
      <c r="KW35" s="288"/>
    </row>
    <row r="36" spans="1:957">
      <c r="A36" s="83">
        <v>32</v>
      </c>
      <c r="B36" s="658" t="s">
        <v>3418</v>
      </c>
      <c r="C36" s="658">
        <v>310698154</v>
      </c>
      <c r="D36" s="658"/>
      <c r="E36" s="658">
        <v>310698154</v>
      </c>
      <c r="F36" s="658">
        <v>0</v>
      </c>
      <c r="G36" s="75">
        <v>316835</v>
      </c>
      <c r="H36" s="944"/>
      <c r="I36" s="944"/>
      <c r="J36" s="944"/>
      <c r="K36" s="1308"/>
      <c r="L36" s="1308"/>
      <c r="M36" s="1308"/>
      <c r="N36" s="1308"/>
      <c r="O36" s="285"/>
      <c r="P36" s="285"/>
      <c r="Q36" s="285"/>
      <c r="R36" s="285"/>
      <c r="S36" s="285"/>
      <c r="T36" s="285"/>
      <c r="U36" s="285"/>
      <c r="V36" s="285"/>
      <c r="W36" s="285"/>
      <c r="X36" s="285"/>
      <c r="Y36" s="285"/>
      <c r="Z36" s="285"/>
      <c r="AA36" s="285"/>
      <c r="AB36" s="285"/>
      <c r="AC36" s="285"/>
      <c r="AD36" s="285"/>
      <c r="AE36" s="285"/>
      <c r="AF36" s="285">
        <v>0</v>
      </c>
      <c r="AG36" s="285"/>
      <c r="AH36" s="285">
        <v>0</v>
      </c>
      <c r="AI36" s="285"/>
      <c r="AJ36" s="285"/>
      <c r="AK36" s="285"/>
      <c r="AL36" s="285">
        <v>0</v>
      </c>
      <c r="AM36" s="285"/>
      <c r="AN36" s="285"/>
      <c r="AO36" s="285"/>
      <c r="AP36" s="285"/>
      <c r="AQ36" s="285"/>
      <c r="AR36" s="285">
        <v>0</v>
      </c>
      <c r="AS36" s="285"/>
      <c r="AT36" s="285">
        <v>0</v>
      </c>
      <c r="AU36" s="285"/>
      <c r="AV36" s="285">
        <v>0</v>
      </c>
      <c r="AW36" s="285"/>
      <c r="AX36" s="285">
        <v>0</v>
      </c>
      <c r="AY36" s="285"/>
      <c r="AZ36" s="285">
        <v>0</v>
      </c>
      <c r="BA36" s="285"/>
      <c r="BB36" s="285">
        <v>0</v>
      </c>
      <c r="BC36" s="285"/>
      <c r="BD36" s="285">
        <v>0</v>
      </c>
      <c r="BE36" s="285"/>
      <c r="BF36" s="285">
        <v>0</v>
      </c>
      <c r="BG36" s="285"/>
      <c r="BH36" s="285">
        <v>0</v>
      </c>
      <c r="BI36" s="285"/>
      <c r="BJ36" s="285">
        <v>0</v>
      </c>
      <c r="BK36" s="285"/>
      <c r="BL36" s="285">
        <v>0</v>
      </c>
      <c r="BM36" s="285"/>
      <c r="BN36" s="285">
        <v>0</v>
      </c>
      <c r="BO36" s="285"/>
      <c r="BP36" s="285">
        <v>0</v>
      </c>
      <c r="BQ36" s="285"/>
      <c r="BR36" s="285">
        <v>0</v>
      </c>
      <c r="BS36" s="285"/>
      <c r="BT36" s="285">
        <v>0</v>
      </c>
      <c r="BU36" s="285"/>
      <c r="BV36" s="285">
        <v>0</v>
      </c>
      <c r="BW36" s="285"/>
      <c r="BX36" s="285">
        <v>0</v>
      </c>
      <c r="BY36" s="285"/>
      <c r="BZ36" s="285">
        <v>0</v>
      </c>
      <c r="CA36" s="285"/>
      <c r="CB36" s="285">
        <v>57</v>
      </c>
      <c r="CC36" s="285"/>
      <c r="CD36" s="285">
        <v>57</v>
      </c>
      <c r="CE36" s="285"/>
      <c r="CF36" s="285">
        <v>57</v>
      </c>
      <c r="CG36" s="285">
        <v>33</v>
      </c>
      <c r="CH36" s="285">
        <v>24</v>
      </c>
      <c r="CI36" s="285"/>
      <c r="CJ36" s="285">
        <v>24</v>
      </c>
      <c r="CK36" s="285"/>
      <c r="CL36" s="285">
        <v>24</v>
      </c>
      <c r="CM36" s="285"/>
      <c r="CN36" s="285">
        <v>0</v>
      </c>
      <c r="CO36" s="285"/>
      <c r="CP36" s="285">
        <v>0</v>
      </c>
      <c r="CQ36" s="285"/>
      <c r="CR36" s="285">
        <v>0</v>
      </c>
      <c r="CS36" s="285"/>
      <c r="CT36" s="285">
        <v>0</v>
      </c>
      <c r="CU36" s="285"/>
      <c r="CV36" s="285">
        <v>0</v>
      </c>
      <c r="CW36" s="285"/>
      <c r="CX36" s="285">
        <v>0</v>
      </c>
      <c r="CY36" s="285">
        <v>0</v>
      </c>
      <c r="CZ36" s="285">
        <v>0</v>
      </c>
      <c r="DA36" s="285">
        <f>21.5-21.5</f>
        <v>0</v>
      </c>
      <c r="DB36" s="285">
        <v>0</v>
      </c>
      <c r="DC36" s="285">
        <v>-49.3</v>
      </c>
      <c r="DD36" s="285">
        <v>49.3</v>
      </c>
      <c r="DE36" s="285">
        <f>-100-25+21.5-50+25.4</f>
        <v>-128.1</v>
      </c>
      <c r="DF36" s="285">
        <v>177.4</v>
      </c>
      <c r="DG36" s="285">
        <f>22+21.5+26</f>
        <v>69.5</v>
      </c>
      <c r="DH36" s="285">
        <v>107.9</v>
      </c>
      <c r="DI36" s="285">
        <f>-100+22+22+22+18</f>
        <v>-16</v>
      </c>
      <c r="DJ36" s="285">
        <v>124</v>
      </c>
      <c r="DK36" s="285">
        <f>-100-100+30-70+22-1.66</f>
        <v>-219.66</v>
      </c>
      <c r="DL36" s="285">
        <v>343.8</v>
      </c>
      <c r="DM36" s="285">
        <f>300-100-100+24+23+22+33+33+24+24+24+24</f>
        <v>331</v>
      </c>
      <c r="DN36" s="285">
        <v>12.8</v>
      </c>
      <c r="DO36" s="285">
        <f>33+23+24-100</f>
        <v>-20</v>
      </c>
      <c r="DP36" s="285">
        <v>33</v>
      </c>
      <c r="DQ36" s="285"/>
      <c r="DR36" s="285">
        <v>0</v>
      </c>
      <c r="DS36" s="285"/>
      <c r="DT36" s="285">
        <v>0</v>
      </c>
      <c r="DU36" s="285"/>
      <c r="DV36" s="285"/>
      <c r="DW36" s="285"/>
      <c r="DX36" s="285">
        <v>0</v>
      </c>
      <c r="DY36" s="285"/>
      <c r="DZ36" s="285">
        <v>0</v>
      </c>
      <c r="EA36" s="285"/>
      <c r="EB36" s="285"/>
      <c r="EC36" s="285"/>
      <c r="ED36" s="285"/>
      <c r="EE36" s="285"/>
      <c r="EF36" s="285"/>
      <c r="EG36" s="285"/>
      <c r="EH36" s="285"/>
      <c r="EI36" s="285"/>
      <c r="EJ36" s="285"/>
      <c r="EK36" s="285"/>
      <c r="EL36" s="285"/>
      <c r="EM36" s="285"/>
      <c r="EN36" s="285"/>
      <c r="EO36" s="285"/>
      <c r="EP36" s="285"/>
      <c r="EQ36" s="285"/>
      <c r="ER36" s="285"/>
      <c r="ES36" s="285"/>
      <c r="ET36" s="285"/>
      <c r="EU36" s="285"/>
      <c r="EV36" s="285">
        <v>0</v>
      </c>
      <c r="EW36" s="285"/>
      <c r="EX36" s="285">
        <v>0</v>
      </c>
      <c r="EY36" s="285"/>
      <c r="EZ36" s="285">
        <v>25</v>
      </c>
      <c r="FA36" s="285"/>
      <c r="FB36" s="285">
        <v>25</v>
      </c>
      <c r="FC36" s="285"/>
      <c r="FD36" s="285">
        <v>25</v>
      </c>
      <c r="FE36" s="285"/>
      <c r="FF36" s="285">
        <v>25</v>
      </c>
      <c r="FG36" s="285"/>
      <c r="FH36" s="285">
        <v>25</v>
      </c>
      <c r="FI36" s="285"/>
      <c r="FJ36" s="285">
        <v>25</v>
      </c>
      <c r="FK36" s="285"/>
      <c r="FL36" s="285">
        <v>25</v>
      </c>
      <c r="FM36" s="285"/>
      <c r="FN36" s="285"/>
      <c r="FO36" s="285"/>
      <c r="FP36" s="285"/>
      <c r="FQ36" s="285"/>
      <c r="FR36" s="285"/>
      <c r="FS36" s="285"/>
      <c r="FT36" s="285"/>
      <c r="FU36" s="285"/>
      <c r="FV36" s="285"/>
      <c r="FW36" s="285"/>
      <c r="FX36" s="285"/>
      <c r="FY36" s="285"/>
      <c r="FZ36" s="285"/>
      <c r="GA36" s="285"/>
      <c r="GB36" s="285"/>
      <c r="GC36" s="285"/>
      <c r="GD36" s="285"/>
      <c r="GE36" s="285"/>
      <c r="GF36" s="285"/>
      <c r="GG36" s="285"/>
      <c r="GH36" s="285"/>
      <c r="GI36" s="285"/>
      <c r="GJ36" s="285"/>
      <c r="GK36" s="285"/>
      <c r="GL36" s="285"/>
      <c r="GM36" s="285"/>
      <c r="GN36" s="285"/>
      <c r="GO36" s="285"/>
      <c r="GP36" s="285"/>
      <c r="GQ36" s="285"/>
      <c r="GR36" s="285"/>
      <c r="GS36" s="285"/>
      <c r="GT36" s="285"/>
      <c r="GU36" s="285"/>
      <c r="GV36" s="285"/>
      <c r="GW36" s="285"/>
      <c r="GX36" s="285"/>
      <c r="GY36" s="285"/>
      <c r="GZ36" s="285"/>
      <c r="HA36" s="285"/>
      <c r="HB36" s="285"/>
      <c r="HC36" s="285"/>
      <c r="HD36" s="285"/>
      <c r="HE36" s="285"/>
      <c r="HF36" s="285"/>
      <c r="HG36" s="285"/>
      <c r="HH36" s="285"/>
      <c r="HI36" s="285"/>
      <c r="HJ36" s="285"/>
      <c r="HK36" s="285"/>
      <c r="HL36" s="285"/>
      <c r="HM36" s="285"/>
      <c r="HN36" s="285"/>
      <c r="HO36" s="285"/>
      <c r="HP36" s="285"/>
      <c r="HQ36" s="285"/>
      <c r="HR36" s="285"/>
      <c r="HS36" s="285"/>
      <c r="HT36" s="285"/>
      <c r="HU36" s="285"/>
      <c r="HV36" s="285"/>
      <c r="HW36" s="285"/>
      <c r="HX36" s="285"/>
      <c r="HY36" s="285"/>
      <c r="HZ36" s="285"/>
      <c r="IA36" s="285"/>
      <c r="IB36" s="285"/>
      <c r="IC36" s="285"/>
      <c r="ID36" s="285"/>
      <c r="IE36" s="285"/>
      <c r="IF36" s="285"/>
      <c r="IG36" s="285"/>
      <c r="IH36" s="285"/>
      <c r="II36" s="285"/>
      <c r="IJ36" s="285"/>
      <c r="IK36" s="285"/>
      <c r="IL36" s="285"/>
      <c r="IM36" s="285"/>
      <c r="IN36" s="285"/>
      <c r="IO36" s="285"/>
      <c r="IP36" s="285"/>
      <c r="IQ36" s="285"/>
      <c r="IR36" s="285"/>
      <c r="IS36" s="285"/>
      <c r="IT36" s="285"/>
      <c r="IU36" s="285"/>
      <c r="IV36" s="285"/>
      <c r="IW36" s="285"/>
      <c r="IX36" s="285"/>
      <c r="IY36" s="285"/>
      <c r="IZ36" s="285"/>
      <c r="JA36" s="285"/>
      <c r="JB36" s="285"/>
      <c r="JC36" s="285"/>
      <c r="JD36" s="285"/>
      <c r="JE36" s="285"/>
      <c r="JF36" s="285"/>
      <c r="JG36" s="285"/>
      <c r="JH36" s="285"/>
      <c r="JI36" s="285"/>
      <c r="JJ36" s="285"/>
      <c r="JK36" s="285"/>
      <c r="JL36" s="285"/>
      <c r="JM36" s="285"/>
      <c r="JN36" s="285"/>
      <c r="JO36" s="285"/>
      <c r="JP36" s="285"/>
      <c r="JQ36" s="285"/>
      <c r="JR36" s="285"/>
      <c r="JS36" s="285"/>
      <c r="JT36" s="285"/>
      <c r="JU36" s="285"/>
      <c r="JV36" s="285"/>
      <c r="JW36" s="285"/>
      <c r="JX36" s="285"/>
      <c r="JY36" s="285"/>
      <c r="JZ36" s="285"/>
      <c r="KA36" s="285"/>
      <c r="KB36" s="285"/>
      <c r="KC36" s="285"/>
      <c r="KD36" s="285"/>
      <c r="KE36" s="285"/>
      <c r="KF36" s="285"/>
      <c r="KG36" s="285"/>
      <c r="KH36" s="285"/>
      <c r="KI36" s="285"/>
      <c r="KJ36" s="285"/>
      <c r="KK36" s="285"/>
      <c r="KL36" s="285"/>
      <c r="KM36" s="285"/>
      <c r="KN36" s="285"/>
      <c r="KO36" s="285"/>
      <c r="KP36" s="285"/>
      <c r="KQ36" s="285"/>
      <c r="KR36" s="298"/>
      <c r="KS36" s="285"/>
      <c r="KT36" s="285"/>
      <c r="KU36" s="268"/>
      <c r="KV36" s="288"/>
      <c r="KW36" s="288"/>
    </row>
    <row r="37" spans="1:957">
      <c r="A37" s="83">
        <v>33</v>
      </c>
      <c r="B37" s="658" t="s">
        <v>3419</v>
      </c>
      <c r="C37" s="658">
        <v>310732491</v>
      </c>
      <c r="D37" s="658"/>
      <c r="E37" s="658">
        <v>310732491</v>
      </c>
      <c r="F37" s="925">
        <v>0.81</v>
      </c>
      <c r="G37" s="2513">
        <v>146226</v>
      </c>
      <c r="H37" s="944"/>
      <c r="I37" s="944"/>
      <c r="J37" s="944"/>
      <c r="K37" s="1308"/>
      <c r="L37" s="1308"/>
      <c r="M37" s="1308"/>
      <c r="N37" s="1308"/>
      <c r="O37" s="285"/>
      <c r="P37" s="285"/>
      <c r="Q37" s="285"/>
      <c r="R37" s="285"/>
      <c r="S37" s="285"/>
      <c r="T37" s="285"/>
      <c r="U37" s="285"/>
      <c r="V37" s="285"/>
      <c r="W37" s="285"/>
      <c r="X37" s="285"/>
      <c r="Y37" s="285"/>
      <c r="Z37" s="285"/>
      <c r="AA37" s="285"/>
      <c r="AB37" s="285"/>
      <c r="AC37" s="285"/>
      <c r="AD37" s="285"/>
      <c r="AE37" s="285"/>
      <c r="AF37" s="285">
        <v>0</v>
      </c>
      <c r="AG37" s="285"/>
      <c r="AH37" s="285">
        <v>0</v>
      </c>
      <c r="AI37" s="285"/>
      <c r="AJ37" s="285"/>
      <c r="AK37" s="285"/>
      <c r="AL37" s="285">
        <v>0</v>
      </c>
      <c r="AM37" s="285"/>
      <c r="AN37" s="285"/>
      <c r="AO37" s="285"/>
      <c r="AP37" s="285"/>
      <c r="AQ37" s="285"/>
      <c r="AR37" s="285">
        <v>0</v>
      </c>
      <c r="AS37" s="285"/>
      <c r="AT37" s="285">
        <v>0</v>
      </c>
      <c r="AU37" s="285"/>
      <c r="AV37" s="285">
        <v>0</v>
      </c>
      <c r="AW37" s="285"/>
      <c r="AX37" s="285">
        <v>0</v>
      </c>
      <c r="AY37" s="285"/>
      <c r="AZ37" s="285">
        <v>0</v>
      </c>
      <c r="BA37" s="285"/>
      <c r="BB37" s="285">
        <v>0</v>
      </c>
      <c r="BC37" s="285"/>
      <c r="BD37" s="285">
        <v>0</v>
      </c>
      <c r="BE37" s="285"/>
      <c r="BF37" s="285">
        <v>0</v>
      </c>
      <c r="BG37" s="285"/>
      <c r="BH37" s="285">
        <v>0</v>
      </c>
      <c r="BI37" s="285"/>
      <c r="BJ37" s="285">
        <v>0</v>
      </c>
      <c r="BK37" s="285"/>
      <c r="BL37" s="285">
        <v>0</v>
      </c>
      <c r="BM37" s="285"/>
      <c r="BN37" s="285">
        <v>0</v>
      </c>
      <c r="BO37" s="285"/>
      <c r="BP37" s="285">
        <v>0</v>
      </c>
      <c r="BQ37" s="285"/>
      <c r="BR37" s="285">
        <v>0</v>
      </c>
      <c r="BS37" s="285"/>
      <c r="BT37" s="285">
        <v>0</v>
      </c>
      <c r="BU37" s="285"/>
      <c r="BV37" s="285">
        <v>0</v>
      </c>
      <c r="BW37" s="285"/>
      <c r="BX37" s="285">
        <v>0</v>
      </c>
      <c r="BY37" s="285"/>
      <c r="BZ37" s="285">
        <v>49</v>
      </c>
      <c r="CA37" s="285"/>
      <c r="CB37" s="285">
        <v>49</v>
      </c>
      <c r="CC37" s="285"/>
      <c r="CD37" s="285">
        <v>49</v>
      </c>
      <c r="CE37" s="285"/>
      <c r="CF37" s="285">
        <v>49</v>
      </c>
      <c r="CG37" s="285"/>
      <c r="CH37" s="285">
        <v>49</v>
      </c>
      <c r="CI37" s="285"/>
      <c r="CJ37" s="285">
        <v>49</v>
      </c>
      <c r="CK37" s="285"/>
      <c r="CL37" s="285">
        <v>49</v>
      </c>
      <c r="CM37" s="285"/>
      <c r="CN37" s="285">
        <v>49</v>
      </c>
      <c r="CO37" s="285"/>
      <c r="CP37" s="285">
        <v>49</v>
      </c>
      <c r="CQ37" s="285"/>
      <c r="CR37" s="285">
        <v>49</v>
      </c>
      <c r="CS37" s="285"/>
      <c r="CT37" s="285">
        <v>49</v>
      </c>
      <c r="CU37" s="285"/>
      <c r="CV37" s="285">
        <v>49</v>
      </c>
      <c r="CW37" s="285"/>
      <c r="CX37" s="285">
        <v>49</v>
      </c>
      <c r="CY37" s="285">
        <v>22</v>
      </c>
      <c r="CZ37" s="285">
        <v>27</v>
      </c>
      <c r="DA37" s="285">
        <v>22</v>
      </c>
      <c r="DB37" s="285">
        <v>5</v>
      </c>
      <c r="DC37" s="285"/>
      <c r="DD37" s="285">
        <v>0</v>
      </c>
      <c r="DE37" s="285"/>
      <c r="DF37" s="285">
        <v>0</v>
      </c>
      <c r="DG37" s="285"/>
      <c r="DH37" s="285">
        <v>0</v>
      </c>
      <c r="DI37" s="285"/>
      <c r="DJ37" s="285">
        <v>0</v>
      </c>
      <c r="DK37" s="285">
        <v>0</v>
      </c>
      <c r="DL37" s="285">
        <v>0</v>
      </c>
      <c r="DM37" s="285"/>
      <c r="DN37" s="285">
        <v>0</v>
      </c>
      <c r="DO37" s="285">
        <v>-49.1</v>
      </c>
      <c r="DP37" s="285">
        <v>49.2</v>
      </c>
      <c r="DQ37" s="285"/>
      <c r="DR37" s="285">
        <v>49.2</v>
      </c>
      <c r="DS37" s="285"/>
      <c r="DT37" s="285">
        <v>49.2</v>
      </c>
      <c r="DU37" s="285">
        <v>0</v>
      </c>
      <c r="DV37" s="285">
        <v>49.2</v>
      </c>
      <c r="DW37" s="285">
        <f>22+24</f>
        <v>46</v>
      </c>
      <c r="DX37" s="285">
        <v>3.2</v>
      </c>
      <c r="DY37" s="285"/>
      <c r="DZ37" s="285">
        <v>0</v>
      </c>
      <c r="EA37" s="285"/>
      <c r="EB37" s="285">
        <v>0</v>
      </c>
      <c r="EC37" s="285"/>
      <c r="ED37" s="285">
        <v>0</v>
      </c>
      <c r="EE37" s="285">
        <v>-33</v>
      </c>
      <c r="EF37" s="285">
        <v>33</v>
      </c>
      <c r="EG37" s="285">
        <v>0</v>
      </c>
      <c r="EH37" s="285">
        <v>0</v>
      </c>
      <c r="EI37" s="285"/>
      <c r="EJ37" s="285">
        <v>0</v>
      </c>
      <c r="EK37" s="285">
        <v>-31</v>
      </c>
      <c r="EL37" s="285">
        <v>31</v>
      </c>
      <c r="EM37" s="285"/>
      <c r="EN37" s="285">
        <v>42</v>
      </c>
      <c r="EO37" s="285">
        <f>-80.44+20+22</f>
        <v>-38.44</v>
      </c>
      <c r="EP37" s="285">
        <v>80.44</v>
      </c>
      <c r="EQ37" s="285">
        <f>-100+21+33+22</f>
        <v>-24</v>
      </c>
      <c r="ER37" s="285">
        <v>104.44</v>
      </c>
      <c r="ES37" s="285">
        <v>22</v>
      </c>
      <c r="ET37" s="285">
        <v>82.44</v>
      </c>
      <c r="EU37" s="285">
        <f>28-1.66</f>
        <v>26.34</v>
      </c>
      <c r="EV37" s="285">
        <v>56.1</v>
      </c>
      <c r="EW37" s="285">
        <f>13.8+33</f>
        <v>46.8</v>
      </c>
      <c r="EX37" s="285">
        <v>9.3000000000000007</v>
      </c>
      <c r="EY37" s="285">
        <f>-100-100+21.3+22+33+33-100</f>
        <v>-190.7</v>
      </c>
      <c r="EZ37" s="285">
        <v>200</v>
      </c>
      <c r="FA37" s="285">
        <f>32+20+22+15+24+22+24+21+33+24-100+22+22+22-100-100+10+22+22+33+22.5+22+22+22</f>
        <v>178.5</v>
      </c>
      <c r="FB37" s="285">
        <v>22</v>
      </c>
      <c r="FC37" s="285"/>
      <c r="FD37" s="285">
        <v>0</v>
      </c>
      <c r="FE37" s="285"/>
      <c r="FF37" s="285">
        <v>0</v>
      </c>
      <c r="FG37" s="285"/>
      <c r="FH37" s="285">
        <v>0</v>
      </c>
      <c r="FI37" s="285"/>
      <c r="FJ37" s="285"/>
      <c r="FK37" s="285"/>
      <c r="FL37" s="285"/>
      <c r="FM37" s="285"/>
      <c r="FN37" s="285">
        <v>548528</v>
      </c>
      <c r="FO37" s="285"/>
      <c r="FP37" s="285"/>
      <c r="FQ37" s="285"/>
      <c r="FR37" s="285"/>
      <c r="FS37" s="285"/>
      <c r="FT37" s="285"/>
      <c r="FU37" s="285"/>
      <c r="FV37" s="285"/>
      <c r="FW37" s="285"/>
      <c r="FX37" s="285"/>
      <c r="FY37" s="285"/>
      <c r="FZ37" s="285"/>
      <c r="GA37" s="285"/>
      <c r="GB37" s="285"/>
      <c r="GC37" s="285"/>
      <c r="GD37" s="285"/>
      <c r="GE37" s="285"/>
      <c r="GF37" s="285"/>
      <c r="GG37" s="285"/>
      <c r="GH37" s="285"/>
      <c r="GI37" s="285"/>
      <c r="GJ37" s="285"/>
      <c r="GK37" s="285"/>
      <c r="GL37" s="285"/>
      <c r="GM37" s="285"/>
      <c r="GN37" s="285"/>
      <c r="GO37" s="285"/>
      <c r="GP37" s="285"/>
      <c r="GQ37" s="285"/>
      <c r="GR37" s="285"/>
      <c r="GS37" s="285"/>
      <c r="GT37" s="285"/>
      <c r="GU37" s="285"/>
      <c r="GV37" s="285"/>
      <c r="GW37" s="285"/>
      <c r="GX37" s="285"/>
      <c r="GY37" s="285"/>
      <c r="GZ37" s="285"/>
      <c r="HA37" s="285"/>
      <c r="HB37" s="285"/>
      <c r="HC37" s="285"/>
      <c r="HD37" s="285"/>
      <c r="HE37" s="285"/>
      <c r="HF37" s="285"/>
      <c r="HG37" s="285"/>
      <c r="HH37" s="285"/>
      <c r="HI37" s="285"/>
      <c r="HJ37" s="285"/>
      <c r="HK37" s="285"/>
      <c r="HL37" s="285"/>
      <c r="HM37" s="285"/>
      <c r="HN37" s="285"/>
      <c r="HO37" s="285"/>
      <c r="HP37" s="285"/>
      <c r="HQ37" s="285"/>
      <c r="HR37" s="285"/>
      <c r="HS37" s="285"/>
      <c r="HT37" s="285"/>
      <c r="HU37" s="285"/>
      <c r="HV37" s="285"/>
      <c r="HW37" s="285"/>
      <c r="HX37" s="285"/>
      <c r="HY37" s="285"/>
      <c r="HZ37" s="285"/>
      <c r="IA37" s="285"/>
      <c r="IB37" s="285"/>
      <c r="IC37" s="285"/>
      <c r="ID37" s="285"/>
      <c r="IE37" s="285"/>
      <c r="IF37" s="285"/>
      <c r="IG37" s="285"/>
      <c r="IH37" s="285"/>
      <c r="II37" s="285"/>
      <c r="IJ37" s="285"/>
      <c r="IK37" s="285"/>
      <c r="IL37" s="285"/>
      <c r="IM37" s="285"/>
      <c r="IN37" s="285"/>
      <c r="IO37" s="285"/>
      <c r="IP37" s="285"/>
      <c r="IQ37" s="285"/>
      <c r="IR37" s="285"/>
      <c r="IS37" s="285"/>
      <c r="IT37" s="285"/>
      <c r="IU37" s="285"/>
      <c r="IV37" s="285"/>
      <c r="IW37" s="285"/>
      <c r="IX37" s="285"/>
      <c r="IY37" s="285"/>
      <c r="IZ37" s="285"/>
      <c r="JA37" s="285"/>
      <c r="JB37" s="285"/>
      <c r="JC37" s="285"/>
      <c r="JD37" s="285"/>
      <c r="JE37" s="285"/>
      <c r="JF37" s="285"/>
      <c r="JG37" s="285"/>
      <c r="JH37" s="285"/>
      <c r="JI37" s="285"/>
      <c r="JJ37" s="285"/>
      <c r="JK37" s="285"/>
      <c r="JL37" s="285"/>
      <c r="JM37" s="285"/>
      <c r="JN37" s="285"/>
      <c r="JO37" s="285"/>
      <c r="JP37" s="285"/>
      <c r="JQ37" s="285"/>
      <c r="JR37" s="285"/>
      <c r="JS37" s="285"/>
      <c r="JT37" s="285"/>
      <c r="JU37" s="285"/>
      <c r="JV37" s="285"/>
      <c r="JW37" s="285"/>
      <c r="JX37" s="285"/>
      <c r="JY37" s="285"/>
      <c r="JZ37" s="285"/>
      <c r="KA37" s="285"/>
      <c r="KB37" s="285"/>
      <c r="KC37" s="285"/>
      <c r="KD37" s="285"/>
      <c r="KE37" s="285"/>
      <c r="KF37" s="285"/>
      <c r="KG37" s="285"/>
      <c r="KH37" s="285"/>
      <c r="KI37" s="285"/>
      <c r="KJ37" s="285"/>
      <c r="KK37" s="285"/>
      <c r="KL37" s="285"/>
      <c r="KM37" s="285"/>
      <c r="KN37" s="285"/>
      <c r="KO37" s="285"/>
      <c r="KP37" s="285"/>
      <c r="KQ37" s="285"/>
      <c r="KR37" s="298"/>
      <c r="KS37" s="285"/>
      <c r="KT37" s="285"/>
      <c r="KU37" s="268"/>
      <c r="KV37" s="288"/>
      <c r="KW37" s="288"/>
    </row>
    <row r="38" spans="1:957">
      <c r="A38" s="83">
        <v>34</v>
      </c>
      <c r="B38" s="658" t="s">
        <v>3420</v>
      </c>
      <c r="C38" s="658">
        <v>310737073</v>
      </c>
      <c r="D38" s="658"/>
      <c r="E38" s="658">
        <v>310737073</v>
      </c>
      <c r="F38" s="658">
        <v>0</v>
      </c>
      <c r="G38" s="75">
        <v>670391</v>
      </c>
      <c r="H38" s="944"/>
      <c r="I38" s="944"/>
      <c r="J38" s="944"/>
      <c r="K38" s="1308"/>
      <c r="L38" s="1308"/>
      <c r="M38" s="1308"/>
      <c r="N38" s="1308"/>
      <c r="O38" s="285"/>
      <c r="P38" s="285"/>
      <c r="Q38" s="285"/>
      <c r="R38" s="285"/>
      <c r="S38" s="285"/>
      <c r="T38" s="285"/>
      <c r="U38" s="285"/>
      <c r="V38" s="285"/>
      <c r="W38" s="285"/>
      <c r="X38" s="285"/>
      <c r="Y38" s="285"/>
      <c r="Z38" s="285"/>
      <c r="AA38" s="285"/>
      <c r="AB38" s="285"/>
      <c r="AC38" s="285"/>
      <c r="AD38" s="285"/>
      <c r="AE38" s="285"/>
      <c r="AF38" s="285">
        <v>0</v>
      </c>
      <c r="AG38" s="285"/>
      <c r="AH38" s="285">
        <v>0</v>
      </c>
      <c r="AI38" s="285"/>
      <c r="AJ38" s="285"/>
      <c r="AK38" s="285"/>
      <c r="AL38" s="285">
        <v>0</v>
      </c>
      <c r="AM38" s="285"/>
      <c r="AN38" s="285"/>
      <c r="AO38" s="285"/>
      <c r="AP38" s="285"/>
      <c r="AQ38" s="285"/>
      <c r="AR38" s="285">
        <v>0</v>
      </c>
      <c r="AS38" s="285"/>
      <c r="AT38" s="285">
        <v>0</v>
      </c>
      <c r="AU38" s="285"/>
      <c r="AV38" s="285">
        <v>0</v>
      </c>
      <c r="AW38" s="285"/>
      <c r="AX38" s="285">
        <v>0</v>
      </c>
      <c r="AY38" s="285"/>
      <c r="AZ38" s="285">
        <v>0</v>
      </c>
      <c r="BA38" s="285"/>
      <c r="BB38" s="285">
        <v>0</v>
      </c>
      <c r="BC38" s="285"/>
      <c r="BD38" s="285">
        <v>0</v>
      </c>
      <c r="BE38" s="285"/>
      <c r="BF38" s="285">
        <v>0</v>
      </c>
      <c r="BG38" s="285"/>
      <c r="BH38" s="285">
        <v>0</v>
      </c>
      <c r="BI38" s="285"/>
      <c r="BJ38" s="285">
        <v>0</v>
      </c>
      <c r="BK38" s="285"/>
      <c r="BL38" s="285">
        <v>0</v>
      </c>
      <c r="BM38" s="285"/>
      <c r="BN38" s="285">
        <v>0</v>
      </c>
      <c r="BO38" s="285"/>
      <c r="BP38" s="285">
        <v>0</v>
      </c>
      <c r="BQ38" s="285"/>
      <c r="BR38" s="285">
        <v>0</v>
      </c>
      <c r="BS38" s="285"/>
      <c r="BT38" s="285">
        <v>0</v>
      </c>
      <c r="BU38" s="285"/>
      <c r="BV38" s="285">
        <v>0</v>
      </c>
      <c r="BW38" s="285"/>
      <c r="BX38" s="285">
        <v>0</v>
      </c>
      <c r="BY38" s="285"/>
      <c r="BZ38" s="285">
        <v>0</v>
      </c>
      <c r="CA38" s="285"/>
      <c r="CB38" s="285">
        <v>0</v>
      </c>
      <c r="CC38" s="285"/>
      <c r="CD38" s="285">
        <v>0</v>
      </c>
      <c r="CE38" s="285"/>
      <c r="CF38" s="285">
        <v>0</v>
      </c>
      <c r="CG38" s="285"/>
      <c r="CH38" s="285">
        <v>0</v>
      </c>
      <c r="CI38" s="285"/>
      <c r="CJ38" s="285">
        <v>0</v>
      </c>
      <c r="CK38" s="285">
        <v>0</v>
      </c>
      <c r="CL38" s="285">
        <v>0</v>
      </c>
      <c r="CM38" s="285"/>
      <c r="CN38" s="285">
        <v>0</v>
      </c>
      <c r="CO38" s="285">
        <v>-93.4</v>
      </c>
      <c r="CP38" s="285">
        <v>93.4</v>
      </c>
      <c r="CQ38" s="285"/>
      <c r="CR38" s="285">
        <v>93.4</v>
      </c>
      <c r="CS38" s="285"/>
      <c r="CT38" s="285">
        <v>93.4</v>
      </c>
      <c r="CU38" s="285"/>
      <c r="CV38" s="285">
        <v>93.4</v>
      </c>
      <c r="CW38" s="285">
        <v>22</v>
      </c>
      <c r="CX38" s="285">
        <v>71.400000000000006</v>
      </c>
      <c r="CY38" s="285"/>
      <c r="CZ38" s="285">
        <v>71.400000000000006</v>
      </c>
      <c r="DA38" s="285">
        <f>22+22+33+22+22-60</f>
        <v>61</v>
      </c>
      <c r="DB38" s="285">
        <v>10.4</v>
      </c>
      <c r="DC38" s="285"/>
      <c r="DD38" s="285">
        <v>10.5</v>
      </c>
      <c r="DE38" s="285"/>
      <c r="DF38" s="285">
        <v>10.5</v>
      </c>
      <c r="DG38" s="285"/>
      <c r="DH38" s="285">
        <v>10.5</v>
      </c>
      <c r="DI38" s="285"/>
      <c r="DJ38" s="285">
        <v>10.5</v>
      </c>
      <c r="DK38" s="285">
        <v>-3.5</v>
      </c>
      <c r="DL38" s="285">
        <v>13.8</v>
      </c>
      <c r="DM38" s="285"/>
      <c r="DN38" s="285">
        <v>13.9</v>
      </c>
      <c r="DO38" s="285"/>
      <c r="DP38" s="285">
        <v>13.9</v>
      </c>
      <c r="DQ38" s="285"/>
      <c r="DR38" s="285">
        <v>13.9</v>
      </c>
      <c r="DS38" s="285"/>
      <c r="DT38" s="285">
        <v>13.9</v>
      </c>
      <c r="DU38" s="285">
        <f>-100-90-25</f>
        <v>-215</v>
      </c>
      <c r="DV38" s="285">
        <v>228.9</v>
      </c>
      <c r="DW38" s="285">
        <f>33+22+22+22+22+21+23+22+23+16</f>
        <v>226</v>
      </c>
      <c r="DX38" s="285">
        <v>2.9</v>
      </c>
      <c r="DY38" s="285">
        <v>0</v>
      </c>
      <c r="DZ38" s="285">
        <v>0</v>
      </c>
      <c r="EA38" s="285"/>
      <c r="EB38" s="285">
        <v>0</v>
      </c>
      <c r="EC38" s="285"/>
      <c r="ED38" s="285">
        <v>0</v>
      </c>
      <c r="EE38" s="285">
        <v>-22</v>
      </c>
      <c r="EF38" s="285">
        <v>22</v>
      </c>
      <c r="EG38" s="285">
        <f>-22+22+22-44+22</f>
        <v>0</v>
      </c>
      <c r="EH38" s="285">
        <v>22</v>
      </c>
      <c r="EI38" s="285">
        <f>-48.5+22</f>
        <v>-26.5</v>
      </c>
      <c r="EJ38" s="285">
        <v>48.5</v>
      </c>
      <c r="EK38" s="285">
        <f>24+8.7-20-120.3+24+24</f>
        <v>-59.599999999999994</v>
      </c>
      <c r="EL38" s="285">
        <v>108</v>
      </c>
      <c r="EM38" s="285">
        <f>-22+20+22+22+22+22</f>
        <v>86</v>
      </c>
      <c r="EN38" s="285">
        <v>22</v>
      </c>
      <c r="EO38" s="285">
        <f>-76+22</f>
        <v>-54</v>
      </c>
      <c r="EP38" s="285">
        <v>76.17</v>
      </c>
      <c r="EQ38" s="285">
        <f>1.67+25.5+22+22</f>
        <v>71.17</v>
      </c>
      <c r="ER38" s="285">
        <v>5</v>
      </c>
      <c r="ES38" s="285">
        <f>-100-1.9-27</f>
        <v>-128.9</v>
      </c>
      <c r="ET38" s="285">
        <v>133.9</v>
      </c>
      <c r="EU38" s="285">
        <f>22+22+33+33-1.66</f>
        <v>108.34</v>
      </c>
      <c r="EV38" s="285">
        <v>25.8</v>
      </c>
      <c r="EW38" s="285">
        <f>32.8+33-100</f>
        <v>-34.200000000000003</v>
      </c>
      <c r="EX38" s="285">
        <f>33+27</f>
        <v>60</v>
      </c>
      <c r="EY38" s="285"/>
      <c r="EZ38" s="285">
        <v>0</v>
      </c>
      <c r="FA38" s="285"/>
      <c r="FB38" s="285"/>
      <c r="FC38" s="285"/>
      <c r="FD38" s="285"/>
      <c r="FE38" s="285"/>
      <c r="FF38" s="285"/>
      <c r="FG38" s="285"/>
      <c r="FH38" s="285"/>
      <c r="FI38" s="285"/>
      <c r="FJ38" s="285"/>
      <c r="FK38" s="285"/>
      <c r="FL38" s="285"/>
      <c r="FM38" s="285"/>
      <c r="FN38" s="285"/>
      <c r="FO38" s="285"/>
      <c r="FP38" s="285"/>
      <c r="FQ38" s="285"/>
      <c r="FR38" s="285"/>
      <c r="FS38" s="285"/>
      <c r="FT38" s="285"/>
      <c r="FU38" s="285"/>
      <c r="FV38" s="285"/>
      <c r="FW38" s="285"/>
      <c r="FX38" s="285"/>
      <c r="FY38" s="285"/>
      <c r="FZ38" s="285"/>
      <c r="GA38" s="285"/>
      <c r="GB38" s="285"/>
      <c r="GC38" s="285"/>
      <c r="GD38" s="285"/>
      <c r="GE38" s="285"/>
      <c r="GF38" s="285"/>
      <c r="GG38" s="285"/>
      <c r="GH38" s="285"/>
      <c r="GI38" s="285"/>
      <c r="GJ38" s="285"/>
      <c r="GK38" s="285"/>
      <c r="GL38" s="285"/>
      <c r="GM38" s="285"/>
      <c r="GN38" s="285"/>
      <c r="GO38" s="285"/>
      <c r="GP38" s="285"/>
      <c r="GQ38" s="285"/>
      <c r="GR38" s="285"/>
      <c r="GS38" s="285"/>
      <c r="GT38" s="285"/>
      <c r="GU38" s="285"/>
      <c r="GV38" s="285"/>
      <c r="GW38" s="285"/>
      <c r="GX38" s="285"/>
      <c r="GY38" s="285"/>
      <c r="GZ38" s="285"/>
      <c r="HA38" s="285"/>
      <c r="HB38" s="285"/>
      <c r="HC38" s="285"/>
      <c r="HD38" s="285"/>
      <c r="HE38" s="285"/>
      <c r="HF38" s="285"/>
      <c r="HG38" s="285"/>
      <c r="HH38" s="285"/>
      <c r="HI38" s="285"/>
      <c r="HJ38" s="285"/>
      <c r="HK38" s="285"/>
      <c r="HL38" s="285"/>
      <c r="HM38" s="285"/>
      <c r="HN38" s="285"/>
      <c r="HO38" s="285"/>
      <c r="HP38" s="285"/>
      <c r="HQ38" s="285"/>
      <c r="HR38" s="285"/>
      <c r="HS38" s="285"/>
      <c r="HT38" s="285"/>
      <c r="HU38" s="285"/>
      <c r="HV38" s="285"/>
      <c r="HW38" s="285"/>
      <c r="HX38" s="285"/>
      <c r="HY38" s="285"/>
      <c r="HZ38" s="285"/>
      <c r="IA38" s="285"/>
      <c r="IB38" s="285"/>
      <c r="IC38" s="285"/>
      <c r="ID38" s="285"/>
      <c r="IE38" s="285"/>
      <c r="IF38" s="285"/>
      <c r="IG38" s="285"/>
      <c r="IH38" s="285"/>
      <c r="II38" s="285"/>
      <c r="IJ38" s="285"/>
      <c r="IK38" s="285"/>
      <c r="IL38" s="285"/>
      <c r="IM38" s="285"/>
      <c r="IN38" s="285"/>
      <c r="IO38" s="285"/>
      <c r="IP38" s="285"/>
      <c r="IQ38" s="285"/>
      <c r="IR38" s="285"/>
      <c r="IS38" s="285"/>
      <c r="IT38" s="285"/>
      <c r="IU38" s="285"/>
      <c r="IV38" s="285"/>
      <c r="IW38" s="285"/>
      <c r="IX38" s="285"/>
      <c r="IY38" s="285"/>
      <c r="IZ38" s="285"/>
      <c r="JA38" s="285"/>
      <c r="JB38" s="285"/>
      <c r="JC38" s="285"/>
      <c r="JD38" s="285"/>
      <c r="JE38" s="285"/>
      <c r="JF38" s="285"/>
      <c r="JG38" s="285"/>
      <c r="JH38" s="285"/>
      <c r="JI38" s="285"/>
      <c r="JJ38" s="285"/>
      <c r="JK38" s="285"/>
      <c r="JL38" s="285"/>
      <c r="JM38" s="285"/>
      <c r="JN38" s="285"/>
      <c r="JO38" s="285"/>
      <c r="JP38" s="285"/>
      <c r="JQ38" s="285"/>
      <c r="JR38" s="285"/>
      <c r="JS38" s="285"/>
      <c r="JT38" s="285"/>
      <c r="JU38" s="285"/>
      <c r="JV38" s="285"/>
      <c r="JW38" s="285"/>
      <c r="JX38" s="285"/>
      <c r="JY38" s="285"/>
      <c r="JZ38" s="285"/>
      <c r="KA38" s="285"/>
      <c r="KB38" s="285"/>
      <c r="KC38" s="285"/>
      <c r="KD38" s="285"/>
      <c r="KE38" s="285"/>
      <c r="KF38" s="285"/>
      <c r="KG38" s="285"/>
      <c r="KH38" s="285"/>
      <c r="KI38" s="285"/>
      <c r="KJ38" s="285"/>
      <c r="KK38" s="285"/>
      <c r="KL38" s="285"/>
      <c r="KM38" s="285"/>
      <c r="KN38" s="285"/>
      <c r="KO38" s="285"/>
      <c r="KP38" s="285"/>
      <c r="KQ38" s="285"/>
      <c r="KR38" s="298"/>
      <c r="KS38" s="285"/>
      <c r="KT38" s="285"/>
      <c r="KU38" s="268"/>
      <c r="KV38" s="288"/>
      <c r="KW38" s="288"/>
      <c r="AER38" s="1304">
        <v>22.3</v>
      </c>
      <c r="AES38" s="1304">
        <v>3400</v>
      </c>
      <c r="AFM38" s="1304">
        <f>3123+49</f>
        <v>3172</v>
      </c>
    </row>
    <row r="39" spans="1:957">
      <c r="A39" s="83">
        <v>35</v>
      </c>
      <c r="B39" s="658" t="s">
        <v>3421</v>
      </c>
      <c r="C39" s="658">
        <v>310738468</v>
      </c>
      <c r="D39" s="658"/>
      <c r="E39" s="658">
        <v>310738468</v>
      </c>
      <c r="F39" s="658">
        <v>0</v>
      </c>
      <c r="G39" s="75">
        <v>691802</v>
      </c>
      <c r="H39" s="944"/>
      <c r="I39" s="944"/>
      <c r="J39" s="944"/>
      <c r="K39" s="1308"/>
      <c r="L39" s="1308"/>
      <c r="M39" s="1308"/>
      <c r="N39" s="1308"/>
      <c r="O39" s="285"/>
      <c r="P39" s="285"/>
      <c r="Q39" s="285"/>
      <c r="R39" s="285"/>
      <c r="S39" s="285"/>
      <c r="T39" s="285"/>
      <c r="U39" s="285"/>
      <c r="V39" s="285"/>
      <c r="W39" s="285"/>
      <c r="X39" s="285"/>
      <c r="Y39" s="285"/>
      <c r="Z39" s="285"/>
      <c r="AA39" s="285"/>
      <c r="AB39" s="285"/>
      <c r="AC39" s="285"/>
      <c r="AD39" s="285"/>
      <c r="AE39" s="285"/>
      <c r="AF39" s="285">
        <v>0</v>
      </c>
      <c r="AG39" s="285"/>
      <c r="AH39" s="285">
        <v>0</v>
      </c>
      <c r="AI39" s="285"/>
      <c r="AJ39" s="285"/>
      <c r="AK39" s="285"/>
      <c r="AL39" s="285">
        <v>0</v>
      </c>
      <c r="AM39" s="285"/>
      <c r="AN39" s="285"/>
      <c r="AO39" s="285"/>
      <c r="AP39" s="285"/>
      <c r="AQ39" s="285"/>
      <c r="AR39" s="285">
        <v>0</v>
      </c>
      <c r="AS39" s="285"/>
      <c r="AT39" s="285">
        <v>0</v>
      </c>
      <c r="AU39" s="285"/>
      <c r="AV39" s="285">
        <v>0</v>
      </c>
      <c r="AW39" s="285"/>
      <c r="AX39" s="285">
        <v>0</v>
      </c>
      <c r="AY39" s="285"/>
      <c r="AZ39" s="285">
        <v>0</v>
      </c>
      <c r="BA39" s="285"/>
      <c r="BB39" s="285">
        <v>0</v>
      </c>
      <c r="BC39" s="285"/>
      <c r="BD39" s="285">
        <v>0</v>
      </c>
      <c r="BE39" s="285"/>
      <c r="BF39" s="285">
        <v>0</v>
      </c>
      <c r="BG39" s="285"/>
      <c r="BH39" s="285">
        <v>0</v>
      </c>
      <c r="BI39" s="285"/>
      <c r="BJ39" s="285">
        <v>0</v>
      </c>
      <c r="BK39" s="285"/>
      <c r="BL39" s="285">
        <v>0</v>
      </c>
      <c r="BM39" s="285"/>
      <c r="BN39" s="285">
        <v>0</v>
      </c>
      <c r="BO39" s="285">
        <v>0</v>
      </c>
      <c r="BP39" s="285">
        <v>0</v>
      </c>
      <c r="BQ39" s="285"/>
      <c r="BR39" s="285">
        <v>0</v>
      </c>
      <c r="BS39" s="285"/>
      <c r="BT39" s="285">
        <v>0</v>
      </c>
      <c r="BU39" s="285"/>
      <c r="BV39" s="285">
        <v>0</v>
      </c>
      <c r="BW39" s="285"/>
      <c r="BX39" s="285">
        <v>0</v>
      </c>
      <c r="BY39" s="285"/>
      <c r="BZ39" s="285">
        <v>0</v>
      </c>
      <c r="CA39" s="285"/>
      <c r="CB39" s="285">
        <v>0</v>
      </c>
      <c r="CC39" s="285"/>
      <c r="CD39" s="285">
        <v>0</v>
      </c>
      <c r="CE39" s="285"/>
      <c r="CF39" s="285">
        <v>0</v>
      </c>
      <c r="CG39" s="285"/>
      <c r="CH39" s="285">
        <v>0</v>
      </c>
      <c r="CI39" s="285"/>
      <c r="CJ39" s="285">
        <v>0</v>
      </c>
      <c r="CK39" s="285">
        <f>6-54.6</f>
        <v>-48.6</v>
      </c>
      <c r="CL39" s="285">
        <v>48.6</v>
      </c>
      <c r="CM39" s="285"/>
      <c r="CN39" s="285">
        <v>48.6</v>
      </c>
      <c r="CO39" s="285"/>
      <c r="CP39" s="285">
        <v>48.6</v>
      </c>
      <c r="CQ39" s="285"/>
      <c r="CR39" s="285">
        <v>48.6</v>
      </c>
      <c r="CS39" s="285"/>
      <c r="CT39" s="285">
        <v>48.6</v>
      </c>
      <c r="CU39" s="285"/>
      <c r="CV39" s="285">
        <v>48.6</v>
      </c>
      <c r="CW39" s="285">
        <v>22</v>
      </c>
      <c r="CX39" s="285">
        <v>26.6</v>
      </c>
      <c r="CY39" s="285">
        <f>-100+22</f>
        <v>-78</v>
      </c>
      <c r="CZ39" s="285">
        <v>104.6</v>
      </c>
      <c r="DA39" s="285">
        <f>-84+16+21+23+22+22</f>
        <v>20</v>
      </c>
      <c r="DB39" s="285">
        <v>84.6</v>
      </c>
      <c r="DC39" s="285">
        <v>32.799999999999997</v>
      </c>
      <c r="DD39" s="285">
        <v>51.8</v>
      </c>
      <c r="DE39" s="285"/>
      <c r="DF39" s="285">
        <v>51.8</v>
      </c>
      <c r="DG39" s="285"/>
      <c r="DH39" s="285">
        <v>53.5</v>
      </c>
      <c r="DI39" s="285"/>
      <c r="DJ39" s="285">
        <v>53.5</v>
      </c>
      <c r="DK39" s="285">
        <f>33-1.66</f>
        <v>31.34</v>
      </c>
      <c r="DL39" s="285">
        <v>22.2</v>
      </c>
      <c r="DM39" s="285"/>
      <c r="DN39" s="285">
        <v>22.2</v>
      </c>
      <c r="DO39" s="285"/>
      <c r="DP39" s="285">
        <v>22.2</v>
      </c>
      <c r="DQ39" s="285"/>
      <c r="DR39" s="285">
        <v>22.2</v>
      </c>
      <c r="DS39" s="285">
        <v>0</v>
      </c>
      <c r="DT39" s="285">
        <v>22.2</v>
      </c>
      <c r="DU39" s="285">
        <v>22</v>
      </c>
      <c r="DV39" s="285">
        <v>0.2</v>
      </c>
      <c r="DW39" s="285"/>
      <c r="DX39" s="285">
        <v>0.2</v>
      </c>
      <c r="DY39" s="285">
        <f>-30+18-43</f>
        <v>-55</v>
      </c>
      <c r="DZ39" s="285">
        <v>55.2</v>
      </c>
      <c r="EA39" s="285">
        <f>22+33</f>
        <v>55</v>
      </c>
      <c r="EB39" s="285">
        <v>0.2</v>
      </c>
      <c r="EC39" s="285">
        <f>20+22+31+24+33+21-100-86</f>
        <v>-35</v>
      </c>
      <c r="ED39" s="285">
        <v>35.200000000000003</v>
      </c>
      <c r="EE39" s="285">
        <f>15+24+24+13.5-100+33</f>
        <v>9.5</v>
      </c>
      <c r="EF39" s="285">
        <v>25.7</v>
      </c>
      <c r="EG39" s="285">
        <f>21+33+22-98+33+33+19.75-85+25</f>
        <v>3.75</v>
      </c>
      <c r="EH39" s="285">
        <v>22</v>
      </c>
      <c r="EI39" s="285">
        <f>-53+22</f>
        <v>-31</v>
      </c>
      <c r="EJ39" s="285">
        <v>53</v>
      </c>
      <c r="EK39" s="285">
        <f>33-100.25+23-43+20+33</f>
        <v>-34.25</v>
      </c>
      <c r="EL39" s="285">
        <v>87</v>
      </c>
      <c r="EM39" s="285"/>
      <c r="EN39" s="285">
        <v>66</v>
      </c>
      <c r="EO39" s="285"/>
      <c r="EP39" s="285">
        <v>0</v>
      </c>
      <c r="EQ39" s="285"/>
      <c r="ER39" s="285">
        <v>27</v>
      </c>
      <c r="ES39" s="285"/>
      <c r="ET39" s="285"/>
      <c r="EU39" s="285"/>
      <c r="EV39" s="285"/>
      <c r="EW39" s="285"/>
      <c r="EX39" s="285"/>
      <c r="EY39" s="285"/>
      <c r="EZ39" s="285"/>
      <c r="FA39" s="285"/>
      <c r="FB39" s="285"/>
      <c r="FC39" s="285"/>
      <c r="FD39" s="285"/>
      <c r="FE39" s="285"/>
      <c r="FF39" s="285"/>
      <c r="FG39" s="285"/>
      <c r="FH39" s="285"/>
      <c r="FI39" s="285"/>
      <c r="FJ39" s="285"/>
      <c r="FK39" s="285"/>
      <c r="FL39" s="285"/>
      <c r="FM39" s="285"/>
      <c r="FN39" s="285">
        <v>385719</v>
      </c>
      <c r="FO39" s="285"/>
      <c r="FP39" s="285"/>
      <c r="FQ39" s="285"/>
      <c r="FR39" s="285"/>
      <c r="FS39" s="285"/>
      <c r="FT39" s="285"/>
      <c r="FU39" s="285"/>
      <c r="FV39" s="285"/>
      <c r="FW39" s="285"/>
      <c r="FX39" s="285"/>
      <c r="FY39" s="285"/>
      <c r="FZ39" s="285"/>
      <c r="GA39" s="285"/>
      <c r="GB39" s="285"/>
      <c r="GC39" s="285"/>
      <c r="GD39" s="285"/>
      <c r="GE39" s="285"/>
      <c r="GF39" s="285"/>
      <c r="GG39" s="285"/>
      <c r="GH39" s="285"/>
      <c r="GI39" s="285"/>
      <c r="GJ39" s="285"/>
      <c r="GK39" s="285"/>
      <c r="GL39" s="285"/>
      <c r="GM39" s="285"/>
      <c r="GN39" s="285"/>
      <c r="GO39" s="285"/>
      <c r="GP39" s="285"/>
      <c r="GQ39" s="285"/>
      <c r="GR39" s="285"/>
      <c r="GS39" s="285"/>
      <c r="GT39" s="285"/>
      <c r="GU39" s="285"/>
      <c r="GV39" s="285"/>
      <c r="GW39" s="285"/>
      <c r="GX39" s="285"/>
      <c r="GY39" s="285"/>
      <c r="GZ39" s="285"/>
      <c r="HA39" s="285"/>
      <c r="HB39" s="285"/>
      <c r="HC39" s="285"/>
      <c r="HD39" s="285"/>
      <c r="HE39" s="285"/>
      <c r="HF39" s="285"/>
      <c r="HG39" s="285"/>
      <c r="HH39" s="285"/>
      <c r="HI39" s="285"/>
      <c r="HJ39" s="285"/>
      <c r="HK39" s="285"/>
      <c r="HL39" s="285"/>
      <c r="HM39" s="285"/>
      <c r="HN39" s="285"/>
      <c r="HO39" s="285"/>
      <c r="HP39" s="285"/>
      <c r="HQ39" s="285"/>
      <c r="HR39" s="285"/>
      <c r="HS39" s="285"/>
      <c r="HT39" s="285"/>
      <c r="HU39" s="285"/>
      <c r="HV39" s="285"/>
      <c r="HW39" s="285"/>
      <c r="HX39" s="285"/>
      <c r="HY39" s="285"/>
      <c r="HZ39" s="285"/>
      <c r="IA39" s="285"/>
      <c r="IB39" s="285"/>
      <c r="IC39" s="285"/>
      <c r="ID39" s="285"/>
      <c r="IE39" s="285"/>
      <c r="IF39" s="285"/>
      <c r="IG39" s="285"/>
      <c r="IH39" s="285"/>
      <c r="II39" s="285"/>
      <c r="IJ39" s="285"/>
      <c r="IK39" s="285"/>
      <c r="IL39" s="285"/>
      <c r="IM39" s="285"/>
      <c r="IN39" s="285"/>
      <c r="IO39" s="285"/>
      <c r="IP39" s="285"/>
      <c r="IQ39" s="285"/>
      <c r="IR39" s="285"/>
      <c r="IS39" s="285"/>
      <c r="IT39" s="285"/>
      <c r="IU39" s="285"/>
      <c r="IV39" s="285"/>
      <c r="IW39" s="285"/>
      <c r="IX39" s="285"/>
      <c r="IY39" s="285"/>
      <c r="IZ39" s="285"/>
      <c r="JA39" s="285"/>
      <c r="JB39" s="285"/>
      <c r="JC39" s="285"/>
      <c r="JD39" s="285"/>
      <c r="JE39" s="285"/>
      <c r="JF39" s="285"/>
      <c r="JG39" s="285"/>
      <c r="JH39" s="285"/>
      <c r="JI39" s="285"/>
      <c r="JJ39" s="285"/>
      <c r="JK39" s="285"/>
      <c r="JL39" s="285"/>
      <c r="JM39" s="285"/>
      <c r="JN39" s="285"/>
      <c r="JO39" s="285"/>
      <c r="JP39" s="285"/>
      <c r="JQ39" s="285"/>
      <c r="JR39" s="285"/>
      <c r="JS39" s="285"/>
      <c r="JT39" s="285"/>
      <c r="JU39" s="285"/>
      <c r="JV39" s="285"/>
      <c r="JW39" s="285"/>
      <c r="JX39" s="285"/>
      <c r="JY39" s="285"/>
      <c r="JZ39" s="285"/>
      <c r="KA39" s="285"/>
      <c r="KB39" s="285"/>
      <c r="KC39" s="285"/>
      <c r="KD39" s="285"/>
      <c r="KE39" s="285"/>
      <c r="KF39" s="285"/>
      <c r="KG39" s="285"/>
      <c r="KH39" s="285"/>
      <c r="KI39" s="285"/>
      <c r="KJ39" s="285"/>
      <c r="KK39" s="285"/>
      <c r="KL39" s="285"/>
      <c r="KM39" s="285"/>
      <c r="KN39" s="285"/>
      <c r="KO39" s="285"/>
      <c r="KP39" s="285"/>
      <c r="KQ39" s="285"/>
      <c r="KR39" s="298"/>
      <c r="KS39" s="285"/>
      <c r="KT39" s="285"/>
      <c r="KU39" s="268"/>
      <c r="KV39" s="288"/>
      <c r="KW39" s="288"/>
      <c r="AES39" s="1304">
        <v>700</v>
      </c>
      <c r="AFM39" s="1304">
        <f>963+18</f>
        <v>981</v>
      </c>
    </row>
    <row r="40" spans="1:957">
      <c r="A40" s="83">
        <v>36</v>
      </c>
      <c r="B40" s="658" t="s">
        <v>3422</v>
      </c>
      <c r="C40" s="658">
        <v>310742622</v>
      </c>
      <c r="D40" s="906" t="s">
        <v>6925</v>
      </c>
      <c r="E40" s="658">
        <v>310742622</v>
      </c>
      <c r="F40" s="658">
        <v>0</v>
      </c>
      <c r="G40" s="75">
        <v>548528</v>
      </c>
      <c r="H40" s="944"/>
      <c r="I40" s="944"/>
      <c r="J40" s="944"/>
      <c r="K40" s="1308"/>
      <c r="L40" s="1308"/>
      <c r="M40" s="1308"/>
      <c r="N40" s="1308"/>
      <c r="O40" s="285"/>
      <c r="P40" s="285"/>
      <c r="Q40" s="285"/>
      <c r="R40" s="285"/>
      <c r="S40" s="285"/>
      <c r="T40" s="285"/>
      <c r="U40" s="285"/>
      <c r="V40" s="285"/>
      <c r="W40" s="285"/>
      <c r="X40" s="285"/>
      <c r="Y40" s="285"/>
      <c r="Z40" s="285"/>
      <c r="AA40" s="285"/>
      <c r="AB40" s="285"/>
      <c r="AC40" s="285"/>
      <c r="AD40" s="285"/>
      <c r="AE40" s="285"/>
      <c r="AF40" s="285">
        <v>0</v>
      </c>
      <c r="AG40" s="285"/>
      <c r="AH40" s="285">
        <v>0</v>
      </c>
      <c r="AI40" s="285"/>
      <c r="AJ40" s="285"/>
      <c r="AK40" s="285"/>
      <c r="AL40" s="285">
        <v>0</v>
      </c>
      <c r="AM40" s="285"/>
      <c r="AN40" s="285"/>
      <c r="AO40" s="285"/>
      <c r="AP40" s="285">
        <v>0</v>
      </c>
      <c r="AQ40" s="285"/>
      <c r="AR40" s="285">
        <v>0</v>
      </c>
      <c r="AS40" s="285"/>
      <c r="AT40" s="285">
        <v>0</v>
      </c>
      <c r="AU40" s="285"/>
      <c r="AV40" s="285">
        <v>0</v>
      </c>
      <c r="AW40" s="285"/>
      <c r="AX40" s="285">
        <v>0</v>
      </c>
      <c r="AY40" s="285"/>
      <c r="AZ40" s="285">
        <v>0</v>
      </c>
      <c r="BA40" s="285"/>
      <c r="BB40" s="285">
        <v>8.24</v>
      </c>
      <c r="BC40" s="285"/>
      <c r="BD40" s="285">
        <v>8.24</v>
      </c>
      <c r="BE40" s="285">
        <v>4.7469999999999999</v>
      </c>
      <c r="BF40" s="285">
        <v>3.5</v>
      </c>
      <c r="BG40" s="285"/>
      <c r="BH40" s="285">
        <v>3.5</v>
      </c>
      <c r="BI40" s="285"/>
      <c r="BJ40" s="285">
        <v>3.5</v>
      </c>
      <c r="BK40" s="285">
        <v>-100</v>
      </c>
      <c r="BL40" s="285">
        <f>128.5-25</f>
        <v>103.5</v>
      </c>
      <c r="BM40" s="285"/>
      <c r="BN40" s="285">
        <v>128.5</v>
      </c>
      <c r="BO40" s="285"/>
      <c r="BP40" s="285">
        <v>0</v>
      </c>
      <c r="BQ40" s="285"/>
      <c r="BR40" s="285">
        <v>0.1</v>
      </c>
      <c r="BS40" s="285"/>
      <c r="BT40" s="285">
        <v>0.1</v>
      </c>
      <c r="BU40" s="285"/>
      <c r="BV40" s="285">
        <v>0.2</v>
      </c>
      <c r="BW40" s="285"/>
      <c r="BX40" s="285">
        <v>0.2</v>
      </c>
      <c r="BY40" s="285"/>
      <c r="BZ40" s="285">
        <v>0.2</v>
      </c>
      <c r="CA40" s="285"/>
      <c r="CB40" s="285">
        <v>0.2</v>
      </c>
      <c r="CC40" s="285"/>
      <c r="CD40" s="285">
        <v>0.2</v>
      </c>
      <c r="CE40" s="285">
        <v>-25</v>
      </c>
      <c r="CF40" s="285">
        <v>25.2</v>
      </c>
      <c r="CG40" s="285">
        <v>18</v>
      </c>
      <c r="CH40" s="285">
        <v>7.2</v>
      </c>
      <c r="CI40" s="285">
        <v>-50</v>
      </c>
      <c r="CJ40" s="285">
        <v>57.2</v>
      </c>
      <c r="CK40" s="285">
        <v>19</v>
      </c>
      <c r="CL40" s="285">
        <v>38.200000000000003</v>
      </c>
      <c r="CM40" s="285"/>
      <c r="CN40" s="285">
        <v>38.200000000000003</v>
      </c>
      <c r="CO40" s="285"/>
      <c r="CP40" s="285">
        <v>38.200000000000003</v>
      </c>
      <c r="CQ40" s="285"/>
      <c r="CR40" s="285">
        <v>138.19999999999999</v>
      </c>
      <c r="CS40" s="285"/>
      <c r="CT40" s="285">
        <v>138.19999999999999</v>
      </c>
      <c r="CU40" s="285">
        <f>33+25.4+24.5</f>
        <v>82.9</v>
      </c>
      <c r="CV40" s="285">
        <v>55.3</v>
      </c>
      <c r="CW40" s="285"/>
      <c r="CX40" s="285">
        <v>55.3</v>
      </c>
      <c r="CY40" s="285">
        <v>-100</v>
      </c>
      <c r="CZ40" s="285">
        <v>155.30000000000001</v>
      </c>
      <c r="DA40" s="285">
        <f>33+22+24+33</f>
        <v>112</v>
      </c>
      <c r="DB40" s="285">
        <v>43.3</v>
      </c>
      <c r="DC40" s="285">
        <v>24</v>
      </c>
      <c r="DD40" s="285">
        <v>19.3</v>
      </c>
      <c r="DE40" s="285"/>
      <c r="DF40" s="285">
        <v>19.3</v>
      </c>
      <c r="DG40" s="285"/>
      <c r="DH40" s="285">
        <v>19.3</v>
      </c>
      <c r="DI40" s="285">
        <f>-100-25</f>
        <v>-125</v>
      </c>
      <c r="DJ40" s="285">
        <v>144.30000000000001</v>
      </c>
      <c r="DK40" s="285">
        <f>33+25-1.66</f>
        <v>56.34</v>
      </c>
      <c r="DL40" s="285">
        <v>88.1</v>
      </c>
      <c r="DM40" s="285">
        <f>33+33</f>
        <v>66</v>
      </c>
      <c r="DN40" s="285">
        <v>22.1</v>
      </c>
      <c r="DO40" s="285">
        <f>14.8+23-25-25</f>
        <v>-12.200000000000003</v>
      </c>
      <c r="DP40" s="285">
        <v>34.299999999999997</v>
      </c>
      <c r="DQ40" s="285">
        <v>-100</v>
      </c>
      <c r="DR40" s="285">
        <v>134.30000000000001</v>
      </c>
      <c r="DS40" s="285">
        <v>0</v>
      </c>
      <c r="DT40" s="285">
        <v>134.30000000000001</v>
      </c>
      <c r="DU40" s="285">
        <f>5.5+22+22+22+22+33+5.5</f>
        <v>132</v>
      </c>
      <c r="DV40" s="285">
        <v>2.2999999999999998</v>
      </c>
      <c r="DW40" s="285">
        <f>24+22+23+33-100</f>
        <v>2</v>
      </c>
      <c r="DX40" s="285">
        <v>0.3</v>
      </c>
      <c r="DY40" s="285">
        <f>24+24+23-88</f>
        <v>-17</v>
      </c>
      <c r="DZ40" s="285">
        <v>17.3</v>
      </c>
      <c r="EA40" s="285">
        <f>27+21.5+23-100.2</f>
        <v>-28.700000000000003</v>
      </c>
      <c r="EB40" s="285">
        <f>24+22</f>
        <v>46</v>
      </c>
      <c r="EC40" s="285"/>
      <c r="ED40" s="285"/>
      <c r="EE40" s="285"/>
      <c r="EF40" s="285"/>
      <c r="EG40" s="285"/>
      <c r="EH40" s="285"/>
      <c r="EI40" s="285"/>
      <c r="EJ40" s="285"/>
      <c r="EK40" s="285"/>
      <c r="EL40" s="285"/>
      <c r="EM40" s="285"/>
      <c r="EN40" s="285"/>
      <c r="EO40" s="285"/>
      <c r="EP40" s="285"/>
      <c r="EQ40" s="285"/>
      <c r="ER40" s="285"/>
      <c r="ES40" s="285"/>
      <c r="ET40" s="285"/>
      <c r="EU40" s="285"/>
      <c r="EV40" s="285"/>
      <c r="EW40" s="285"/>
      <c r="EX40" s="285"/>
      <c r="EY40" s="285"/>
      <c r="EZ40" s="285"/>
      <c r="FA40" s="285"/>
      <c r="FB40" s="285"/>
      <c r="FC40" s="285"/>
      <c r="FD40" s="285"/>
      <c r="FE40" s="285"/>
      <c r="FF40" s="285"/>
      <c r="FG40" s="285"/>
      <c r="FH40" s="285"/>
      <c r="FI40" s="285"/>
      <c r="FJ40" s="285"/>
      <c r="FK40" s="285"/>
      <c r="FL40" s="285"/>
      <c r="FM40" s="285"/>
      <c r="FN40" s="285">
        <v>421577</v>
      </c>
      <c r="FO40" s="285"/>
      <c r="FP40" s="285"/>
      <c r="FQ40" s="285"/>
      <c r="FR40" s="285"/>
      <c r="FS40" s="285"/>
      <c r="FT40" s="285"/>
      <c r="FU40" s="285"/>
      <c r="FV40" s="285"/>
      <c r="FW40" s="285"/>
      <c r="FX40" s="285"/>
      <c r="FY40" s="285"/>
      <c r="FZ40" s="285"/>
      <c r="GA40" s="285"/>
      <c r="GB40" s="285"/>
      <c r="GC40" s="285"/>
      <c r="GD40" s="285"/>
      <c r="GE40" s="285"/>
      <c r="GF40" s="285"/>
      <c r="GG40" s="285"/>
      <c r="GH40" s="285"/>
      <c r="GI40" s="285"/>
      <c r="GJ40" s="285"/>
      <c r="GK40" s="285"/>
      <c r="GL40" s="285"/>
      <c r="GM40" s="285"/>
      <c r="GN40" s="285"/>
      <c r="GO40" s="285"/>
      <c r="GP40" s="285"/>
      <c r="GQ40" s="285"/>
      <c r="GR40" s="285"/>
      <c r="GS40" s="285"/>
      <c r="GT40" s="285"/>
      <c r="GU40" s="285"/>
      <c r="GV40" s="285"/>
      <c r="GW40" s="285"/>
      <c r="GX40" s="285"/>
      <c r="GY40" s="285"/>
      <c r="GZ40" s="285"/>
      <c r="HA40" s="285"/>
      <c r="HB40" s="285"/>
      <c r="HC40" s="285"/>
      <c r="HD40" s="285"/>
      <c r="HE40" s="285"/>
      <c r="HF40" s="285"/>
      <c r="HG40" s="285"/>
      <c r="HH40" s="285"/>
      <c r="HI40" s="285"/>
      <c r="HJ40" s="285"/>
      <c r="HK40" s="285"/>
      <c r="HL40" s="285"/>
      <c r="HM40" s="285"/>
      <c r="HN40" s="285"/>
      <c r="HO40" s="285"/>
      <c r="HP40" s="285"/>
      <c r="HQ40" s="285"/>
      <c r="HR40" s="285"/>
      <c r="HS40" s="285"/>
      <c r="HT40" s="285"/>
      <c r="HU40" s="285"/>
      <c r="HV40" s="285"/>
      <c r="HW40" s="285"/>
      <c r="HX40" s="285"/>
      <c r="HY40" s="285"/>
      <c r="HZ40" s="285"/>
      <c r="IA40" s="285"/>
      <c r="IB40" s="285"/>
      <c r="IC40" s="285"/>
      <c r="ID40" s="285"/>
      <c r="IE40" s="285"/>
      <c r="IF40" s="285"/>
      <c r="IG40" s="285"/>
      <c r="IH40" s="285"/>
      <c r="II40" s="285"/>
      <c r="IJ40" s="285"/>
      <c r="IK40" s="285"/>
      <c r="IL40" s="285"/>
      <c r="IM40" s="285"/>
      <c r="IN40" s="285"/>
      <c r="IO40" s="285"/>
      <c r="IP40" s="285"/>
      <c r="IQ40" s="285"/>
      <c r="IR40" s="285"/>
      <c r="IS40" s="285"/>
      <c r="IT40" s="285"/>
      <c r="IU40" s="285"/>
      <c r="IV40" s="285"/>
      <c r="IW40" s="285"/>
      <c r="IX40" s="285"/>
      <c r="IY40" s="285"/>
      <c r="IZ40" s="285"/>
      <c r="JA40" s="285"/>
      <c r="JB40" s="285"/>
      <c r="JC40" s="285"/>
      <c r="JD40" s="285"/>
      <c r="JE40" s="285"/>
      <c r="JF40" s="285"/>
      <c r="JG40" s="285"/>
      <c r="JH40" s="285"/>
      <c r="JI40" s="285"/>
      <c r="JJ40" s="285"/>
      <c r="JK40" s="285"/>
      <c r="JL40" s="285"/>
      <c r="JM40" s="285"/>
      <c r="JN40" s="285"/>
      <c r="JO40" s="285"/>
      <c r="JP40" s="285"/>
      <c r="JQ40" s="285"/>
      <c r="JR40" s="285"/>
      <c r="JS40" s="285"/>
      <c r="JT40" s="285"/>
      <c r="JU40" s="285"/>
      <c r="JV40" s="285"/>
      <c r="JW40" s="285"/>
      <c r="JX40" s="285"/>
      <c r="JY40" s="285"/>
      <c r="JZ40" s="285"/>
      <c r="KA40" s="285"/>
      <c r="KB40" s="285"/>
      <c r="KC40" s="285"/>
      <c r="KD40" s="285"/>
      <c r="KE40" s="285"/>
      <c r="KF40" s="285"/>
      <c r="KG40" s="285"/>
      <c r="KH40" s="285"/>
      <c r="KI40" s="285"/>
      <c r="KJ40" s="285"/>
      <c r="KK40" s="285"/>
      <c r="KL40" s="285"/>
      <c r="KM40" s="285"/>
      <c r="KN40" s="285"/>
      <c r="KO40" s="285"/>
      <c r="KP40" s="285"/>
      <c r="KQ40" s="285"/>
      <c r="KR40" s="298"/>
      <c r="KS40" s="285"/>
      <c r="KT40" s="285"/>
      <c r="KU40" s="268"/>
      <c r="KV40" s="288"/>
      <c r="KW40" s="288"/>
      <c r="AES40" s="1304">
        <v>80</v>
      </c>
      <c r="AFM40" s="1304">
        <f>284+5.7</f>
        <v>289.7</v>
      </c>
    </row>
    <row r="41" spans="1:957">
      <c r="A41" s="83">
        <v>37</v>
      </c>
      <c r="B41" s="742" t="s">
        <v>3423</v>
      </c>
      <c r="C41" s="1239">
        <v>310749644</v>
      </c>
      <c r="D41" s="906" t="s">
        <v>6925</v>
      </c>
      <c r="E41" s="733">
        <v>310749644</v>
      </c>
      <c r="F41" s="940">
        <v>0.99</v>
      </c>
      <c r="G41" s="75">
        <v>421577</v>
      </c>
      <c r="H41" s="944"/>
      <c r="I41" s="944"/>
      <c r="J41" s="944"/>
      <c r="K41" s="1308"/>
      <c r="L41" s="1308"/>
      <c r="M41" s="1308"/>
      <c r="N41" s="1308"/>
      <c r="O41" s="285"/>
      <c r="P41" s="285"/>
      <c r="Q41" s="285"/>
      <c r="R41" s="285"/>
      <c r="S41" s="285"/>
      <c r="T41" s="285"/>
      <c r="U41" s="285"/>
      <c r="V41" s="285"/>
      <c r="W41" s="285"/>
      <c r="X41" s="285"/>
      <c r="Y41" s="285"/>
      <c r="Z41" s="285"/>
      <c r="AA41" s="285"/>
      <c r="AB41" s="285"/>
      <c r="AC41" s="285"/>
      <c r="AD41" s="285"/>
      <c r="AE41" s="285"/>
      <c r="AF41" s="285">
        <v>0</v>
      </c>
      <c r="AG41" s="285"/>
      <c r="AH41" s="285">
        <v>0</v>
      </c>
      <c r="AI41" s="285"/>
      <c r="AJ41" s="285"/>
      <c r="AK41" s="285"/>
      <c r="AL41" s="285">
        <v>0</v>
      </c>
      <c r="AM41" s="285"/>
      <c r="AN41" s="285">
        <v>0</v>
      </c>
      <c r="AO41" s="285"/>
      <c r="AP41" s="285">
        <v>0</v>
      </c>
      <c r="AQ41" s="285"/>
      <c r="AR41" s="285">
        <v>0</v>
      </c>
      <c r="AS41" s="285"/>
      <c r="AT41" s="285">
        <v>2.5</v>
      </c>
      <c r="AU41" s="285"/>
      <c r="AV41" s="285">
        <v>2.5</v>
      </c>
      <c r="AW41" s="285"/>
      <c r="AX41" s="285">
        <v>2.5</v>
      </c>
      <c r="AY41" s="285"/>
      <c r="AZ41" s="285">
        <v>2.5</v>
      </c>
      <c r="BA41" s="285"/>
      <c r="BB41" s="285">
        <v>4.7</v>
      </c>
      <c r="BC41" s="285"/>
      <c r="BD41" s="285">
        <v>4.7</v>
      </c>
      <c r="BE41" s="285"/>
      <c r="BF41" s="285">
        <v>4.7</v>
      </c>
      <c r="BG41" s="285"/>
      <c r="BH41" s="285">
        <v>4.7</v>
      </c>
      <c r="BI41" s="285"/>
      <c r="BJ41" s="285">
        <v>4.7</v>
      </c>
      <c r="BK41" s="285"/>
      <c r="BL41" s="285">
        <v>4.7</v>
      </c>
      <c r="BM41" s="285"/>
      <c r="BN41" s="285">
        <v>4.7</v>
      </c>
      <c r="BO41" s="285"/>
      <c r="BP41" s="285">
        <v>4.7</v>
      </c>
      <c r="BQ41" s="285"/>
      <c r="BR41" s="285">
        <v>4.7</v>
      </c>
      <c r="BS41" s="285"/>
      <c r="BT41" s="285">
        <v>4.7</v>
      </c>
      <c r="BU41" s="285"/>
      <c r="BV41" s="285">
        <v>4.8</v>
      </c>
      <c r="BW41" s="285"/>
      <c r="BX41" s="285">
        <v>4.8</v>
      </c>
      <c r="BY41" s="285"/>
      <c r="BZ41" s="285">
        <v>4.8</v>
      </c>
      <c r="CA41" s="285"/>
      <c r="CB41" s="285">
        <v>4.8</v>
      </c>
      <c r="CC41" s="285"/>
      <c r="CD41" s="285">
        <v>4.8</v>
      </c>
      <c r="CE41" s="285"/>
      <c r="CF41" s="285">
        <v>4.8</v>
      </c>
      <c r="CG41" s="285"/>
      <c r="CH41" s="285">
        <v>4.8</v>
      </c>
      <c r="CI41" s="285">
        <v>-50</v>
      </c>
      <c r="CJ41" s="285">
        <v>54.8</v>
      </c>
      <c r="CK41" s="285">
        <v>7.6</v>
      </c>
      <c r="CL41" s="285">
        <v>47.2</v>
      </c>
      <c r="CM41" s="285"/>
      <c r="CN41" s="285">
        <v>47.2</v>
      </c>
      <c r="CO41" s="285"/>
      <c r="CP41" s="285">
        <v>47.2</v>
      </c>
      <c r="CQ41" s="285"/>
      <c r="CR41" s="285">
        <v>147.19999999999999</v>
      </c>
      <c r="CS41" s="285"/>
      <c r="CT41" s="285">
        <v>147.19999999999999</v>
      </c>
      <c r="CU41" s="285"/>
      <c r="CV41" s="285">
        <v>147.19999999999999</v>
      </c>
      <c r="CW41" s="285">
        <v>23</v>
      </c>
      <c r="CX41" s="285">
        <v>124.2</v>
      </c>
      <c r="CY41" s="285">
        <v>22</v>
      </c>
      <c r="CZ41" s="285">
        <v>102.2</v>
      </c>
      <c r="DA41" s="285">
        <f>22+22+20+22+15</f>
        <v>101</v>
      </c>
      <c r="DB41" s="285">
        <v>1.2</v>
      </c>
      <c r="DC41" s="285"/>
      <c r="DD41" s="285">
        <v>1.2</v>
      </c>
      <c r="DE41" s="285"/>
      <c r="DF41" s="285">
        <v>1.2</v>
      </c>
      <c r="DG41" s="285"/>
      <c r="DH41" s="285">
        <v>1.2</v>
      </c>
      <c r="DI41" s="285"/>
      <c r="DJ41" s="285">
        <v>1.2</v>
      </c>
      <c r="DK41" s="285">
        <f>-100-1.66</f>
        <v>-101.66</v>
      </c>
      <c r="DL41" s="285">
        <v>102.9</v>
      </c>
      <c r="DM41" s="285">
        <f>24+24+22+33</f>
        <v>103</v>
      </c>
      <c r="DN41" s="285">
        <v>0</v>
      </c>
      <c r="DO41" s="285">
        <f>23-100-82</f>
        <v>-159</v>
      </c>
      <c r="DP41" s="285">
        <v>159</v>
      </c>
      <c r="DQ41" s="285">
        <f>-100+20-90+24+24+25</f>
        <v>-97</v>
      </c>
      <c r="DR41" s="285">
        <v>256</v>
      </c>
      <c r="DS41" s="285">
        <f>22+22-100-100</f>
        <v>-156</v>
      </c>
      <c r="DT41" s="285">
        <v>412.05</v>
      </c>
      <c r="DU41" s="285">
        <f>23+23+23+23+22+22+22+23+23+23+23+23+23+23+24+23+24+21+22+10+23+23-100.25</f>
        <v>388.75</v>
      </c>
      <c r="DV41" s="285">
        <v>23.3</v>
      </c>
      <c r="DW41" s="285">
        <v>23</v>
      </c>
      <c r="DX41" s="285">
        <v>0</v>
      </c>
      <c r="DY41" s="285"/>
      <c r="DZ41" s="285"/>
      <c r="EA41" s="285"/>
      <c r="EB41" s="285"/>
      <c r="EC41" s="285"/>
      <c r="ED41" s="285"/>
      <c r="EE41" s="285"/>
      <c r="EF41" s="285"/>
      <c r="EG41" s="285"/>
      <c r="EH41" s="285"/>
      <c r="EI41" s="285"/>
      <c r="EJ41" s="285"/>
      <c r="EK41" s="285"/>
      <c r="EL41" s="285"/>
      <c r="EM41" s="285"/>
      <c r="EN41" s="285"/>
      <c r="EO41" s="285"/>
      <c r="EP41" s="285"/>
      <c r="EQ41" s="285"/>
      <c r="ER41" s="285"/>
      <c r="ES41" s="285"/>
      <c r="ET41" s="285"/>
      <c r="EU41" s="285"/>
      <c r="EV41" s="285"/>
      <c r="EW41" s="285"/>
      <c r="EX41" s="285"/>
      <c r="EY41" s="285"/>
      <c r="EZ41" s="285"/>
      <c r="FA41" s="285"/>
      <c r="FB41" s="285"/>
      <c r="FC41" s="285"/>
      <c r="FD41" s="285"/>
      <c r="FE41" s="285"/>
      <c r="FF41" s="285"/>
      <c r="FG41" s="285"/>
      <c r="FH41" s="285"/>
      <c r="FI41" s="285"/>
      <c r="FJ41" s="285"/>
      <c r="FK41" s="285"/>
      <c r="FL41" s="285"/>
      <c r="FM41" s="285"/>
      <c r="FN41" s="285"/>
      <c r="FO41" s="285"/>
      <c r="FP41" s="285"/>
      <c r="FQ41" s="285"/>
      <c r="FR41" s="285"/>
      <c r="FS41" s="285"/>
      <c r="FT41" s="285"/>
      <c r="FU41" s="285"/>
      <c r="FV41" s="285"/>
      <c r="FW41" s="285"/>
      <c r="FX41" s="285"/>
      <c r="FY41" s="285"/>
      <c r="FZ41" s="285"/>
      <c r="GA41" s="285"/>
      <c r="GB41" s="285"/>
      <c r="GC41" s="285"/>
      <c r="GD41" s="285"/>
      <c r="GE41" s="285"/>
      <c r="GF41" s="285"/>
      <c r="GG41" s="285"/>
      <c r="GH41" s="285"/>
      <c r="GI41" s="285"/>
      <c r="GJ41" s="285"/>
      <c r="GK41" s="285"/>
      <c r="GL41" s="285"/>
      <c r="GM41" s="285"/>
      <c r="GN41" s="285"/>
      <c r="GO41" s="285"/>
      <c r="GP41" s="285"/>
      <c r="GQ41" s="285"/>
      <c r="GR41" s="285"/>
      <c r="GS41" s="285"/>
      <c r="GT41" s="285"/>
      <c r="GU41" s="285"/>
      <c r="GV41" s="285"/>
      <c r="GW41" s="285"/>
      <c r="GX41" s="285"/>
      <c r="GY41" s="285"/>
      <c r="GZ41" s="285"/>
      <c r="HA41" s="285"/>
      <c r="HB41" s="285"/>
      <c r="HC41" s="285"/>
      <c r="HD41" s="285"/>
      <c r="HE41" s="285"/>
      <c r="HF41" s="285"/>
      <c r="HG41" s="285"/>
      <c r="HH41" s="285"/>
      <c r="HI41" s="285"/>
      <c r="HJ41" s="285"/>
      <c r="HK41" s="285"/>
      <c r="HL41" s="285"/>
      <c r="HM41" s="285"/>
      <c r="HN41" s="285"/>
      <c r="HO41" s="285"/>
      <c r="HP41" s="285"/>
      <c r="HQ41" s="285"/>
      <c r="HR41" s="285"/>
      <c r="HS41" s="285"/>
      <c r="HT41" s="285"/>
      <c r="HU41" s="285"/>
      <c r="HV41" s="285"/>
      <c r="HW41" s="285"/>
      <c r="HX41" s="285"/>
      <c r="HY41" s="285"/>
      <c r="HZ41" s="285"/>
      <c r="IA41" s="285"/>
      <c r="IB41" s="285"/>
      <c r="IC41" s="285"/>
      <c r="ID41" s="285"/>
      <c r="IE41" s="285"/>
      <c r="IF41" s="285"/>
      <c r="IG41" s="285"/>
      <c r="IH41" s="285"/>
      <c r="II41" s="285"/>
      <c r="IJ41" s="285"/>
      <c r="IK41" s="285"/>
      <c r="IL41" s="285"/>
      <c r="IM41" s="285"/>
      <c r="IN41" s="285"/>
      <c r="IO41" s="285"/>
      <c r="IP41" s="285"/>
      <c r="IQ41" s="285"/>
      <c r="IR41" s="285"/>
      <c r="IS41" s="285"/>
      <c r="IT41" s="285"/>
      <c r="IU41" s="285"/>
      <c r="IV41" s="285"/>
      <c r="IW41" s="285"/>
      <c r="IX41" s="285"/>
      <c r="IY41" s="285"/>
      <c r="IZ41" s="285"/>
      <c r="JA41" s="285"/>
      <c r="JB41" s="285"/>
      <c r="JC41" s="285"/>
      <c r="JD41" s="285"/>
      <c r="JE41" s="285"/>
      <c r="JF41" s="285"/>
      <c r="JG41" s="285"/>
      <c r="JH41" s="285"/>
      <c r="JI41" s="285"/>
      <c r="JJ41" s="285"/>
      <c r="JK41" s="285"/>
      <c r="JL41" s="285"/>
      <c r="JM41" s="285"/>
      <c r="JN41" s="285"/>
      <c r="JO41" s="285"/>
      <c r="JP41" s="285"/>
      <c r="JQ41" s="285"/>
      <c r="JR41" s="285"/>
      <c r="JS41" s="285"/>
      <c r="JT41" s="285"/>
      <c r="JU41" s="285"/>
      <c r="JV41" s="285"/>
      <c r="JW41" s="285"/>
      <c r="JX41" s="285"/>
      <c r="JY41" s="285"/>
      <c r="JZ41" s="285"/>
      <c r="KA41" s="285"/>
      <c r="KB41" s="285"/>
      <c r="KC41" s="285"/>
      <c r="KD41" s="285"/>
      <c r="KE41" s="285"/>
      <c r="KF41" s="285"/>
      <c r="KG41" s="285"/>
      <c r="KH41" s="285"/>
      <c r="KI41" s="285"/>
      <c r="KJ41" s="285"/>
      <c r="KK41" s="285"/>
      <c r="KL41" s="285"/>
      <c r="KM41" s="285"/>
      <c r="KN41" s="285"/>
      <c r="KO41" s="285"/>
      <c r="KP41" s="285"/>
      <c r="KQ41" s="285"/>
      <c r="KR41" s="298"/>
      <c r="KS41" s="285"/>
      <c r="KT41" s="285"/>
      <c r="KU41" s="268"/>
      <c r="KV41" s="288"/>
      <c r="KW41" s="288"/>
      <c r="AES41" s="1304">
        <v>1593</v>
      </c>
      <c r="AFM41" s="1304">
        <v>65</v>
      </c>
    </row>
    <row r="42" spans="1:957">
      <c r="A42" s="83">
        <v>38</v>
      </c>
      <c r="B42" s="733" t="s">
        <v>3424</v>
      </c>
      <c r="C42" s="733">
        <v>310750881</v>
      </c>
      <c r="D42" s="733"/>
      <c r="E42" s="733">
        <v>310750881</v>
      </c>
      <c r="F42" s="944">
        <v>0</v>
      </c>
      <c r="G42" s="75">
        <v>385719</v>
      </c>
      <c r="H42" s="944"/>
      <c r="I42" s="944"/>
      <c r="J42" s="944"/>
      <c r="K42" s="1308"/>
      <c r="L42" s="1308"/>
      <c r="M42" s="1308"/>
      <c r="N42" s="1308"/>
      <c r="O42" s="285"/>
      <c r="P42" s="285"/>
      <c r="Q42" s="285"/>
      <c r="R42" s="285"/>
      <c r="S42" s="285"/>
      <c r="T42" s="285"/>
      <c r="U42" s="285"/>
      <c r="V42" s="285"/>
      <c r="W42" s="285"/>
      <c r="X42" s="285"/>
      <c r="Y42" s="285"/>
      <c r="Z42" s="285"/>
      <c r="AA42" s="285"/>
      <c r="AB42" s="285"/>
      <c r="AC42" s="285"/>
      <c r="AD42" s="285"/>
      <c r="AE42" s="285"/>
      <c r="AF42" s="285">
        <v>0</v>
      </c>
      <c r="AG42" s="285"/>
      <c r="AH42" s="285">
        <v>0</v>
      </c>
      <c r="AI42" s="285"/>
      <c r="AJ42" s="285"/>
      <c r="AK42" s="285"/>
      <c r="AL42" s="285">
        <v>99</v>
      </c>
      <c r="AM42" s="285">
        <f>33+33+33</f>
        <v>99</v>
      </c>
      <c r="AN42" s="285">
        <v>0</v>
      </c>
      <c r="AO42" s="285">
        <v>-11</v>
      </c>
      <c r="AP42" s="285">
        <v>11</v>
      </c>
      <c r="AQ42" s="285"/>
      <c r="AR42" s="285">
        <v>0</v>
      </c>
      <c r="AS42" s="285">
        <f>25+24+30-79.1</f>
        <v>-9.9999999999994316E-2</v>
      </c>
      <c r="AT42" s="285">
        <v>0.1</v>
      </c>
      <c r="AU42" s="285"/>
      <c r="AV42" s="285">
        <v>0.1</v>
      </c>
      <c r="AW42" s="285"/>
      <c r="AX42" s="285">
        <v>0.1</v>
      </c>
      <c r="AY42" s="285"/>
      <c r="AZ42" s="285">
        <v>4.7</v>
      </c>
      <c r="BA42" s="285"/>
      <c r="BB42" s="285">
        <v>4.7</v>
      </c>
      <c r="BC42" s="285"/>
      <c r="BD42" s="285">
        <v>4.7</v>
      </c>
      <c r="BE42" s="285"/>
      <c r="BF42" s="285">
        <v>4.7</v>
      </c>
      <c r="BG42" s="285"/>
      <c r="BH42" s="285">
        <v>4.7</v>
      </c>
      <c r="BI42" s="285"/>
      <c r="BJ42" s="285">
        <v>4.7</v>
      </c>
      <c r="BK42" s="285"/>
      <c r="BL42" s="285">
        <v>4.7</v>
      </c>
      <c r="BM42" s="285">
        <v>-100</v>
      </c>
      <c r="BN42" s="285">
        <v>104.7</v>
      </c>
      <c r="BO42" s="285">
        <v>-100</v>
      </c>
      <c r="BP42" s="285">
        <v>204.75</v>
      </c>
      <c r="BQ42" s="285">
        <v>201.15</v>
      </c>
      <c r="BR42" s="285">
        <v>3.6</v>
      </c>
      <c r="BS42" s="285"/>
      <c r="BT42" s="285">
        <v>3.6</v>
      </c>
      <c r="BU42" s="285"/>
      <c r="BV42" s="285">
        <v>3.7</v>
      </c>
      <c r="BW42" s="285"/>
      <c r="BX42" s="285">
        <v>3.7</v>
      </c>
      <c r="BY42" s="285"/>
      <c r="BZ42" s="285">
        <v>3.7</v>
      </c>
      <c r="CA42" s="285"/>
      <c r="CB42" s="285">
        <v>3.7</v>
      </c>
      <c r="CC42" s="285"/>
      <c r="CD42" s="285">
        <v>3.7</v>
      </c>
      <c r="CE42" s="285"/>
      <c r="CF42" s="285">
        <v>3.7</v>
      </c>
      <c r="CG42" s="285"/>
      <c r="CH42" s="285">
        <v>3.7</v>
      </c>
      <c r="CI42" s="285">
        <v>-34</v>
      </c>
      <c r="CJ42" s="285">
        <v>37.700000000000003</v>
      </c>
      <c r="CK42" s="285"/>
      <c r="CL42" s="285">
        <v>37.700000000000003</v>
      </c>
      <c r="CM42" s="285"/>
      <c r="CN42" s="285">
        <v>37.700000000000003</v>
      </c>
      <c r="CO42" s="285"/>
      <c r="CP42" s="285">
        <v>37.700000000000003</v>
      </c>
      <c r="CQ42" s="285"/>
      <c r="CR42" s="285">
        <v>137.69999999999999</v>
      </c>
      <c r="CS42" s="285">
        <v>49.5</v>
      </c>
      <c r="CT42" s="285">
        <v>88.2</v>
      </c>
      <c r="CU42" s="285">
        <v>44</v>
      </c>
      <c r="CV42" s="285">
        <v>44.2</v>
      </c>
      <c r="CW42" s="285">
        <v>44.4</v>
      </c>
      <c r="CX42" s="285">
        <v>0</v>
      </c>
      <c r="CY42" s="285"/>
      <c r="CZ42" s="285"/>
      <c r="DA42" s="285">
        <v>0</v>
      </c>
      <c r="DB42" s="285">
        <v>0</v>
      </c>
      <c r="DC42" s="285"/>
      <c r="DD42" s="285">
        <v>0</v>
      </c>
      <c r="DE42" s="285"/>
      <c r="DF42" s="285">
        <v>0</v>
      </c>
      <c r="DG42" s="285"/>
      <c r="DH42" s="285">
        <v>0</v>
      </c>
      <c r="DI42" s="285"/>
      <c r="DJ42" s="285">
        <v>0</v>
      </c>
      <c r="DK42" s="285">
        <v>0</v>
      </c>
      <c r="DL42" s="285">
        <v>0</v>
      </c>
      <c r="DM42" s="285"/>
      <c r="DN42" s="285">
        <v>0</v>
      </c>
      <c r="DO42" s="285"/>
      <c r="DP42" s="285"/>
      <c r="DQ42" s="285"/>
      <c r="DR42" s="285">
        <v>0</v>
      </c>
      <c r="DS42" s="285"/>
      <c r="DT42" s="285">
        <v>0</v>
      </c>
      <c r="DU42" s="285"/>
      <c r="DV42" s="285">
        <v>0</v>
      </c>
      <c r="DW42" s="285"/>
      <c r="DX42" s="285">
        <v>0</v>
      </c>
      <c r="DY42" s="285"/>
      <c r="DZ42" s="285"/>
      <c r="EA42" s="285"/>
      <c r="EB42" s="285"/>
      <c r="EC42" s="285"/>
      <c r="ED42" s="285"/>
      <c r="EE42" s="285"/>
      <c r="EF42" s="285">
        <v>0</v>
      </c>
      <c r="EG42" s="285">
        <f>49-73-25</f>
        <v>-49</v>
      </c>
      <c r="EH42" s="285">
        <v>49</v>
      </c>
      <c r="EI42" s="285"/>
      <c r="EJ42" s="285">
        <v>49</v>
      </c>
      <c r="EK42" s="285"/>
      <c r="EL42" s="285"/>
      <c r="EM42" s="285"/>
      <c r="EN42" s="285"/>
      <c r="EO42" s="285"/>
      <c r="EP42" s="285"/>
      <c r="EQ42" s="285"/>
      <c r="ER42" s="285"/>
      <c r="ES42" s="285"/>
      <c r="ET42" s="285"/>
      <c r="EU42" s="285"/>
      <c r="EV42" s="285"/>
      <c r="EW42" s="285"/>
      <c r="EX42" s="285"/>
      <c r="EY42" s="285"/>
      <c r="EZ42" s="285"/>
      <c r="FA42" s="285"/>
      <c r="FB42" s="285"/>
      <c r="FC42" s="285"/>
      <c r="FD42" s="285"/>
      <c r="FE42" s="285"/>
      <c r="FF42" s="285"/>
      <c r="FG42" s="285"/>
      <c r="FH42" s="285"/>
      <c r="FI42" s="285"/>
      <c r="FJ42" s="285"/>
      <c r="FK42" s="285"/>
      <c r="FL42" s="285"/>
      <c r="FM42" s="285"/>
      <c r="FN42" s="285"/>
      <c r="FO42" s="285"/>
      <c r="FP42" s="285"/>
      <c r="FQ42" s="285"/>
      <c r="FR42" s="285"/>
      <c r="FS42" s="285"/>
      <c r="FT42" s="285"/>
      <c r="FU42" s="285"/>
      <c r="FV42" s="285"/>
      <c r="FW42" s="285"/>
      <c r="FX42" s="285"/>
      <c r="FY42" s="285"/>
      <c r="FZ42" s="285"/>
      <c r="GA42" s="285"/>
      <c r="GB42" s="285"/>
      <c r="GC42" s="285"/>
      <c r="GD42" s="285"/>
      <c r="GE42" s="285"/>
      <c r="GF42" s="285"/>
      <c r="GG42" s="285"/>
      <c r="GH42" s="285"/>
      <c r="GI42" s="285"/>
      <c r="GJ42" s="285"/>
      <c r="GK42" s="285"/>
      <c r="GL42" s="285"/>
      <c r="GM42" s="285"/>
      <c r="GN42" s="285"/>
      <c r="GO42" s="285"/>
      <c r="GP42" s="285"/>
      <c r="GQ42" s="285"/>
      <c r="GR42" s="285"/>
      <c r="GS42" s="285"/>
      <c r="GT42" s="285"/>
      <c r="GU42" s="285"/>
      <c r="GV42" s="285"/>
      <c r="GW42" s="285"/>
      <c r="GX42" s="285"/>
      <c r="GY42" s="285"/>
      <c r="GZ42" s="285"/>
      <c r="HA42" s="285"/>
      <c r="HB42" s="285"/>
      <c r="HC42" s="285"/>
      <c r="HD42" s="285"/>
      <c r="HE42" s="285"/>
      <c r="HF42" s="285"/>
      <c r="HG42" s="285"/>
      <c r="HH42" s="285"/>
      <c r="HI42" s="285"/>
      <c r="HJ42" s="285"/>
      <c r="HK42" s="285"/>
      <c r="HL42" s="285"/>
      <c r="HM42" s="285"/>
      <c r="HN42" s="285"/>
      <c r="HO42" s="285"/>
      <c r="HP42" s="285"/>
      <c r="HQ42" s="285"/>
      <c r="HR42" s="285"/>
      <c r="HS42" s="285"/>
      <c r="HT42" s="285"/>
      <c r="HU42" s="285"/>
      <c r="HV42" s="285"/>
      <c r="HW42" s="285"/>
      <c r="HX42" s="285"/>
      <c r="HY42" s="285"/>
      <c r="HZ42" s="285"/>
      <c r="IA42" s="285"/>
      <c r="IB42" s="285"/>
      <c r="IC42" s="285"/>
      <c r="ID42" s="285"/>
      <c r="IE42" s="285"/>
      <c r="IF42" s="285"/>
      <c r="IG42" s="285"/>
      <c r="IH42" s="285"/>
      <c r="II42" s="285"/>
      <c r="IJ42" s="285"/>
      <c r="IK42" s="285"/>
      <c r="IL42" s="285"/>
      <c r="IM42" s="285"/>
      <c r="IN42" s="285"/>
      <c r="IO42" s="285"/>
      <c r="IP42" s="285"/>
      <c r="IQ42" s="285"/>
      <c r="IR42" s="285"/>
      <c r="IS42" s="285"/>
      <c r="IT42" s="285"/>
      <c r="IU42" s="285"/>
      <c r="IV42" s="285"/>
      <c r="IW42" s="285"/>
      <c r="IX42" s="285"/>
      <c r="IY42" s="285"/>
      <c r="IZ42" s="285"/>
      <c r="JA42" s="285"/>
      <c r="JB42" s="285"/>
      <c r="JC42" s="285"/>
      <c r="JD42" s="285"/>
      <c r="JE42" s="285"/>
      <c r="JF42" s="285"/>
      <c r="JG42" s="285"/>
      <c r="JH42" s="285"/>
      <c r="JI42" s="285"/>
      <c r="JJ42" s="285"/>
      <c r="JK42" s="285"/>
      <c r="JL42" s="285"/>
      <c r="JM42" s="285"/>
      <c r="JN42" s="285"/>
      <c r="JO42" s="285"/>
      <c r="JP42" s="285"/>
      <c r="JQ42" s="285"/>
      <c r="JR42" s="285"/>
      <c r="JS42" s="285"/>
      <c r="JT42" s="285"/>
      <c r="JU42" s="285"/>
      <c r="JV42" s="285"/>
      <c r="JW42" s="285"/>
      <c r="JX42" s="285"/>
      <c r="JY42" s="285"/>
      <c r="JZ42" s="285"/>
      <c r="KA42" s="285"/>
      <c r="KB42" s="285"/>
      <c r="KC42" s="285"/>
      <c r="KD42" s="285"/>
      <c r="KE42" s="285"/>
      <c r="KF42" s="285"/>
      <c r="KG42" s="285"/>
      <c r="KH42" s="285"/>
      <c r="KI42" s="285"/>
      <c r="KJ42" s="285"/>
      <c r="KK42" s="285"/>
      <c r="KL42" s="285"/>
      <c r="KM42" s="285"/>
      <c r="KN42" s="285"/>
      <c r="KO42" s="285"/>
      <c r="KP42" s="285"/>
      <c r="KQ42" s="285"/>
      <c r="KR42" s="298"/>
      <c r="KS42" s="285"/>
      <c r="KT42" s="285"/>
      <c r="KU42" s="268"/>
      <c r="KV42" s="288"/>
      <c r="KW42" s="288"/>
      <c r="AES42" s="1304">
        <v>550</v>
      </c>
      <c r="AGF42" s="1304">
        <v>1050</v>
      </c>
    </row>
    <row r="43" spans="1:957">
      <c r="A43" s="9">
        <v>39</v>
      </c>
      <c r="B43" s="733" t="s">
        <v>3697</v>
      </c>
      <c r="C43" s="658">
        <v>310778474</v>
      </c>
      <c r="D43" s="658"/>
      <c r="E43" s="658">
        <v>310778474</v>
      </c>
      <c r="F43" s="945">
        <v>0</v>
      </c>
      <c r="G43" s="75">
        <v>760633</v>
      </c>
      <c r="H43" s="944"/>
      <c r="I43" s="944"/>
      <c r="J43" s="944"/>
      <c r="K43" s="1308"/>
      <c r="L43" s="1308"/>
      <c r="M43" s="1308"/>
      <c r="N43" s="1308"/>
      <c r="O43" s="285"/>
      <c r="P43" s="285"/>
      <c r="Q43" s="285"/>
      <c r="R43" s="285"/>
      <c r="S43" s="285"/>
      <c r="T43" s="285"/>
      <c r="U43" s="285"/>
      <c r="V43" s="285"/>
      <c r="W43" s="285"/>
      <c r="X43" s="285"/>
      <c r="Y43" s="285"/>
      <c r="Z43" s="285"/>
      <c r="AA43" s="285"/>
      <c r="AB43" s="285"/>
      <c r="AC43" s="285"/>
      <c r="AD43" s="285">
        <v>0</v>
      </c>
      <c r="AE43" s="285"/>
      <c r="AF43" s="285">
        <v>0</v>
      </c>
      <c r="AG43" s="285"/>
      <c r="AH43" s="285">
        <v>0</v>
      </c>
      <c r="AI43" s="285"/>
      <c r="AJ43" s="285"/>
      <c r="AK43" s="285"/>
      <c r="AL43" s="285">
        <v>0</v>
      </c>
      <c r="AM43" s="285"/>
      <c r="AN43" s="285">
        <v>0</v>
      </c>
      <c r="AO43" s="285"/>
      <c r="AP43" s="285">
        <v>0</v>
      </c>
      <c r="AQ43" s="285"/>
      <c r="AR43" s="285">
        <v>0</v>
      </c>
      <c r="AS43" s="285"/>
      <c r="AT43" s="285">
        <v>0</v>
      </c>
      <c r="AU43" s="285"/>
      <c r="AV43" s="285">
        <v>0</v>
      </c>
      <c r="AW43" s="285"/>
      <c r="AX43" s="285">
        <v>0</v>
      </c>
      <c r="AY43" s="285"/>
      <c r="AZ43" s="285">
        <v>0</v>
      </c>
      <c r="BA43" s="285"/>
      <c r="BB43" s="285">
        <v>0</v>
      </c>
      <c r="BC43" s="285"/>
      <c r="BD43" s="285">
        <v>0</v>
      </c>
      <c r="BE43" s="285"/>
      <c r="BF43" s="285">
        <v>0</v>
      </c>
      <c r="BG43" s="285"/>
      <c r="BH43" s="285">
        <v>0</v>
      </c>
      <c r="BI43" s="285"/>
      <c r="BJ43" s="285">
        <v>0</v>
      </c>
      <c r="BK43" s="285"/>
      <c r="BL43" s="285">
        <v>0</v>
      </c>
      <c r="BM43" s="285"/>
      <c r="BN43" s="285">
        <v>0</v>
      </c>
      <c r="BO43" s="285"/>
      <c r="BP43" s="285">
        <v>0</v>
      </c>
      <c r="BQ43" s="285"/>
      <c r="BR43" s="285">
        <v>0.5</v>
      </c>
      <c r="BS43" s="285"/>
      <c r="BT43" s="285">
        <v>0.5</v>
      </c>
      <c r="BU43" s="285">
        <v>-67</v>
      </c>
      <c r="BV43" s="285">
        <v>67.5</v>
      </c>
      <c r="BW43" s="285">
        <v>21.5</v>
      </c>
      <c r="BX43" s="285">
        <v>46</v>
      </c>
      <c r="BY43" s="285"/>
      <c r="BZ43" s="285">
        <v>22</v>
      </c>
      <c r="CA43" s="285"/>
      <c r="CB43" s="285">
        <v>22</v>
      </c>
      <c r="CC43" s="285"/>
      <c r="CD43" s="285">
        <v>22</v>
      </c>
      <c r="CE43" s="285"/>
      <c r="CF43" s="285">
        <v>0</v>
      </c>
      <c r="CG43" s="285"/>
      <c r="CH43" s="285">
        <v>0</v>
      </c>
      <c r="CI43" s="285"/>
      <c r="CJ43" s="285">
        <v>0</v>
      </c>
      <c r="CK43" s="285">
        <f>22-94.3</f>
        <v>-72.3</v>
      </c>
      <c r="CL43" s="285">
        <v>72.5</v>
      </c>
      <c r="CM43" s="285"/>
      <c r="CN43" s="285">
        <v>72.5</v>
      </c>
      <c r="CO43" s="285">
        <v>22</v>
      </c>
      <c r="CP43" s="285">
        <v>50.5</v>
      </c>
      <c r="CQ43" s="285"/>
      <c r="CR43" s="285">
        <v>50.5</v>
      </c>
      <c r="CS43" s="285">
        <v>-100</v>
      </c>
      <c r="CT43" s="813">
        <v>150.5</v>
      </c>
      <c r="CU43" s="285">
        <f>33</f>
        <v>33</v>
      </c>
      <c r="CV43" s="285">
        <v>117.5</v>
      </c>
      <c r="CW43" s="285">
        <v>20</v>
      </c>
      <c r="CX43" s="285">
        <v>97.5</v>
      </c>
      <c r="CY43" s="285">
        <f>22+22+22</f>
        <v>66</v>
      </c>
      <c r="CZ43" s="285">
        <v>31.5</v>
      </c>
      <c r="DA43" s="285">
        <v>31.5</v>
      </c>
      <c r="DB43" s="285">
        <v>31.5</v>
      </c>
      <c r="DC43" s="285">
        <f>21.5-100-50</f>
        <v>-128.5</v>
      </c>
      <c r="DD43" s="285">
        <v>160</v>
      </c>
      <c r="DE43" s="285">
        <f>-100+22+17+22+22+20+22</f>
        <v>25</v>
      </c>
      <c r="DF43" s="285">
        <v>134.9</v>
      </c>
      <c r="DG43" s="285">
        <f>-100-25+21+24+22+22+22-24</f>
        <v>-38</v>
      </c>
      <c r="DH43" s="285">
        <v>172.9</v>
      </c>
      <c r="DI43" s="285">
        <f>-100+24+24+33+32.9+24+22</f>
        <v>59.9</v>
      </c>
      <c r="DJ43" s="285">
        <v>113</v>
      </c>
      <c r="DK43" s="285">
        <f>23+24+22+24-100-1.66</f>
        <v>-8.66</v>
      </c>
      <c r="DL43" s="285">
        <v>121.7</v>
      </c>
      <c r="DM43" s="285"/>
      <c r="DN43" s="285">
        <v>0</v>
      </c>
      <c r="DO43" s="285"/>
      <c r="DP43" s="285"/>
      <c r="DQ43" s="285"/>
      <c r="DR43" s="285"/>
      <c r="DS43" s="285"/>
      <c r="DT43" s="285"/>
      <c r="DU43" s="285"/>
      <c r="DV43" s="285"/>
      <c r="DW43" s="285"/>
      <c r="DX43" s="285"/>
      <c r="DY43" s="285"/>
      <c r="DZ43" s="285"/>
      <c r="EA43" s="285"/>
      <c r="EB43" s="285"/>
      <c r="EC43" s="285"/>
      <c r="ED43" s="285"/>
      <c r="EE43" s="285"/>
      <c r="EF43" s="285"/>
      <c r="EG43" s="285"/>
      <c r="EH43" s="285"/>
      <c r="EI43" s="285"/>
      <c r="EJ43" s="285"/>
      <c r="EK43" s="285"/>
      <c r="EL43" s="285"/>
      <c r="EM43" s="285"/>
      <c r="EN43" s="285"/>
      <c r="EO43" s="285"/>
      <c r="EP43" s="285"/>
      <c r="EQ43" s="285"/>
      <c r="ER43" s="285"/>
      <c r="ES43" s="285"/>
      <c r="ET43" s="285"/>
      <c r="EU43" s="285"/>
      <c r="EV43" s="285"/>
      <c r="EW43" s="285"/>
      <c r="EX43" s="285"/>
      <c r="EY43" s="285"/>
      <c r="EZ43" s="285"/>
      <c r="FA43" s="285"/>
      <c r="FB43" s="285"/>
      <c r="FC43" s="285"/>
      <c r="FD43" s="285"/>
      <c r="FE43" s="285"/>
      <c r="FF43" s="285"/>
      <c r="FG43" s="285"/>
      <c r="FH43" s="285"/>
      <c r="FI43" s="285"/>
      <c r="FJ43" s="285"/>
      <c r="FK43" s="285"/>
      <c r="FL43" s="285"/>
      <c r="FM43" s="285"/>
      <c r="FN43" s="285"/>
      <c r="FO43" s="285"/>
      <c r="FP43" s="285"/>
      <c r="FQ43" s="285"/>
      <c r="FR43" s="285"/>
      <c r="FS43" s="285"/>
      <c r="FT43" s="285"/>
      <c r="FU43" s="285"/>
      <c r="FV43" s="285"/>
      <c r="FW43" s="285"/>
      <c r="FX43" s="285"/>
      <c r="FY43" s="285"/>
      <c r="FZ43" s="285"/>
      <c r="GA43" s="285"/>
      <c r="GB43" s="285"/>
      <c r="GC43" s="285"/>
      <c r="GD43" s="285"/>
      <c r="GE43" s="285"/>
      <c r="GF43" s="285"/>
      <c r="GG43" s="285"/>
      <c r="GH43" s="285"/>
      <c r="GI43" s="285"/>
      <c r="GJ43" s="285"/>
      <c r="GK43" s="285"/>
      <c r="GL43" s="285"/>
      <c r="GM43" s="285"/>
      <c r="GN43" s="285"/>
      <c r="GO43" s="285"/>
      <c r="GP43" s="285"/>
      <c r="GQ43" s="285"/>
      <c r="GR43" s="285"/>
      <c r="GS43" s="285"/>
      <c r="GT43" s="285"/>
      <c r="GU43" s="285"/>
      <c r="GV43" s="285"/>
      <c r="GW43" s="285"/>
      <c r="GX43" s="285"/>
      <c r="GY43" s="285"/>
      <c r="GZ43" s="285"/>
      <c r="HA43" s="285"/>
      <c r="HB43" s="285"/>
      <c r="HC43" s="285"/>
      <c r="HD43" s="285"/>
      <c r="HE43" s="285"/>
      <c r="HF43" s="285"/>
      <c r="HG43" s="285"/>
      <c r="HH43" s="285"/>
      <c r="HI43" s="285"/>
      <c r="HJ43" s="285"/>
      <c r="HK43" s="285"/>
      <c r="HL43" s="285"/>
      <c r="HM43" s="285"/>
      <c r="HN43" s="285"/>
      <c r="HO43" s="285"/>
      <c r="HP43" s="285"/>
      <c r="HQ43" s="285"/>
      <c r="HR43" s="285"/>
      <c r="HS43" s="285"/>
      <c r="HT43" s="285"/>
      <c r="HU43" s="285"/>
      <c r="HV43" s="285"/>
      <c r="HW43" s="285"/>
      <c r="HX43" s="285"/>
      <c r="HY43" s="285"/>
      <c r="HZ43" s="285"/>
      <c r="IA43" s="285"/>
      <c r="IB43" s="285"/>
      <c r="IC43" s="285"/>
      <c r="ID43" s="285"/>
      <c r="IE43" s="285"/>
      <c r="IF43" s="285"/>
      <c r="IG43" s="285"/>
      <c r="IH43" s="285"/>
      <c r="II43" s="285"/>
      <c r="IJ43" s="285"/>
      <c r="IK43" s="285"/>
      <c r="IL43" s="285"/>
      <c r="IM43" s="285"/>
      <c r="IN43" s="285"/>
      <c r="IO43" s="285"/>
      <c r="IP43" s="285"/>
      <c r="IQ43" s="285"/>
      <c r="IR43" s="285"/>
      <c r="IS43" s="285"/>
      <c r="IT43" s="285"/>
      <c r="IU43" s="285"/>
      <c r="IV43" s="285"/>
      <c r="IW43" s="285"/>
      <c r="IX43" s="285"/>
      <c r="IY43" s="285"/>
      <c r="IZ43" s="285"/>
      <c r="JA43" s="285"/>
      <c r="JB43" s="285"/>
      <c r="JC43" s="285"/>
      <c r="JD43" s="285"/>
      <c r="JE43" s="285"/>
      <c r="JF43" s="285"/>
      <c r="JG43" s="285"/>
      <c r="JH43" s="285"/>
      <c r="JI43" s="285"/>
      <c r="JJ43" s="285"/>
      <c r="JK43" s="285"/>
      <c r="JL43" s="285"/>
      <c r="JM43" s="285"/>
      <c r="JN43" s="285"/>
      <c r="JO43" s="285"/>
      <c r="JP43" s="285"/>
      <c r="JQ43" s="285"/>
      <c r="JR43" s="285"/>
      <c r="JS43" s="285"/>
      <c r="JT43" s="285"/>
      <c r="JU43" s="285"/>
      <c r="JV43" s="285"/>
      <c r="JW43" s="285"/>
      <c r="JX43" s="285"/>
      <c r="JY43" s="285"/>
      <c r="JZ43" s="285"/>
      <c r="KA43" s="285"/>
      <c r="KB43" s="285"/>
      <c r="KC43" s="285"/>
      <c r="KD43" s="285"/>
      <c r="KE43" s="285"/>
      <c r="KF43" s="285"/>
      <c r="KG43" s="285"/>
      <c r="KH43" s="285"/>
      <c r="KI43" s="285"/>
      <c r="KJ43" s="285"/>
      <c r="KK43" s="285"/>
      <c r="KL43" s="285"/>
      <c r="KM43" s="285"/>
      <c r="KN43" s="285"/>
      <c r="KO43" s="285"/>
      <c r="KP43" s="285"/>
      <c r="KQ43" s="285"/>
      <c r="KR43" s="298"/>
      <c r="KS43" s="285"/>
      <c r="KT43" s="285"/>
      <c r="KU43" s="268"/>
      <c r="KV43" s="288"/>
      <c r="KW43" s="288"/>
      <c r="AES43" s="1304">
        <v>54</v>
      </c>
      <c r="AGF43" s="1304">
        <v>15</v>
      </c>
    </row>
    <row r="44" spans="1:957">
      <c r="A44" s="9">
        <v>40</v>
      </c>
      <c r="B44" s="733" t="s">
        <v>3696</v>
      </c>
      <c r="C44" s="658">
        <v>310778498</v>
      </c>
      <c r="D44" s="906" t="s">
        <v>6925</v>
      </c>
      <c r="E44" s="658">
        <v>310778498</v>
      </c>
      <c r="F44" s="944">
        <v>0</v>
      </c>
      <c r="G44" s="75">
        <v>875569</v>
      </c>
      <c r="H44" s="944"/>
      <c r="I44" s="944"/>
      <c r="J44" s="944"/>
      <c r="K44" s="1308"/>
      <c r="L44" s="1308"/>
      <c r="M44" s="1308"/>
      <c r="N44" s="1308"/>
      <c r="O44" s="285"/>
      <c r="P44" s="285"/>
      <c r="Q44" s="285"/>
      <c r="R44" s="285"/>
      <c r="S44" s="285"/>
      <c r="T44" s="285"/>
      <c r="U44" s="285"/>
      <c r="V44" s="285"/>
      <c r="W44" s="285"/>
      <c r="X44" s="285"/>
      <c r="Y44" s="285"/>
      <c r="Z44" s="285"/>
      <c r="AA44" s="285"/>
      <c r="AB44" s="285"/>
      <c r="AC44" s="285"/>
      <c r="AD44" s="285">
        <v>0</v>
      </c>
      <c r="AE44" s="285"/>
      <c r="AF44" s="285">
        <v>0</v>
      </c>
      <c r="AG44" s="285"/>
      <c r="AH44" s="285">
        <v>0</v>
      </c>
      <c r="AI44" s="285"/>
      <c r="AJ44" s="285"/>
      <c r="AK44" s="285"/>
      <c r="AL44" s="285">
        <v>30</v>
      </c>
      <c r="AM44" s="285"/>
      <c r="AN44" s="285">
        <v>30</v>
      </c>
      <c r="AO44" s="285"/>
      <c r="AP44" s="285">
        <v>0</v>
      </c>
      <c r="AQ44" s="285"/>
      <c r="AR44" s="285">
        <v>0</v>
      </c>
      <c r="AS44" s="285"/>
      <c r="AT44" s="285">
        <v>0</v>
      </c>
      <c r="AU44" s="285"/>
      <c r="AV44" s="285">
        <v>0</v>
      </c>
      <c r="AW44" s="285"/>
      <c r="AX44" s="285">
        <v>0</v>
      </c>
      <c r="AY44" s="285"/>
      <c r="AZ44" s="285">
        <v>0</v>
      </c>
      <c r="BA44" s="285"/>
      <c r="BB44" s="285">
        <v>0</v>
      </c>
      <c r="BC44" s="285"/>
      <c r="BD44" s="285">
        <v>0</v>
      </c>
      <c r="BE44" s="285"/>
      <c r="BF44" s="285">
        <v>0</v>
      </c>
      <c r="BG44" s="285"/>
      <c r="BH44" s="285">
        <v>0</v>
      </c>
      <c r="BI44" s="285"/>
      <c r="BJ44" s="285">
        <v>0</v>
      </c>
      <c r="BK44" s="285"/>
      <c r="BL44" s="285">
        <v>0</v>
      </c>
      <c r="BM44" s="285"/>
      <c r="BN44" s="285">
        <v>0</v>
      </c>
      <c r="BO44" s="285"/>
      <c r="BP44" s="285">
        <v>0</v>
      </c>
      <c r="BQ44" s="285"/>
      <c r="BR44" s="285">
        <v>0.1</v>
      </c>
      <c r="BS44" s="285"/>
      <c r="BT44" s="285">
        <v>0.1</v>
      </c>
      <c r="BU44" s="285"/>
      <c r="BV44" s="285">
        <v>0.2</v>
      </c>
      <c r="BW44" s="285">
        <v>-47</v>
      </c>
      <c r="BX44" s="285">
        <v>47.2</v>
      </c>
      <c r="BY44" s="285"/>
      <c r="BZ44" s="285">
        <v>47.2</v>
      </c>
      <c r="CA44" s="285"/>
      <c r="CB44" s="285">
        <v>47.2</v>
      </c>
      <c r="CC44" s="285"/>
      <c r="CD44" s="285">
        <v>47.2</v>
      </c>
      <c r="CE44" s="285">
        <v>24</v>
      </c>
      <c r="CF44" s="285">
        <v>23</v>
      </c>
      <c r="CG44" s="285"/>
      <c r="CH44" s="285">
        <v>23</v>
      </c>
      <c r="CI44" s="285"/>
      <c r="CJ44" s="285">
        <v>23</v>
      </c>
      <c r="CK44" s="285">
        <f>-100-57.15+23</f>
        <v>-134.15</v>
      </c>
      <c r="CL44" s="285">
        <v>157.19999999999999</v>
      </c>
      <c r="CM44" s="285"/>
      <c r="CN44" s="285">
        <v>157.19999999999999</v>
      </c>
      <c r="CO44" s="285">
        <v>24</v>
      </c>
      <c r="CP44" s="285">
        <v>133.19999999999999</v>
      </c>
      <c r="CQ44" s="285"/>
      <c r="CR44" s="285">
        <v>133.19999999999999</v>
      </c>
      <c r="CS44" s="285">
        <v>-100</v>
      </c>
      <c r="CT44" s="285">
        <v>233.2</v>
      </c>
      <c r="CU44" s="285">
        <f>22+23+33</f>
        <v>78</v>
      </c>
      <c r="CV44" s="285">
        <v>155.19999999999999</v>
      </c>
      <c r="CW44" s="285">
        <f>-100+23+32</f>
        <v>-45</v>
      </c>
      <c r="CX44" s="285">
        <v>200.2</v>
      </c>
      <c r="CY44" s="285">
        <f>24+24+33+18.1</f>
        <v>99.1</v>
      </c>
      <c r="CZ44" s="285">
        <v>101.1</v>
      </c>
      <c r="DA44" s="285">
        <f>15+33+24</f>
        <v>72</v>
      </c>
      <c r="DB44" s="285">
        <v>29.1</v>
      </c>
      <c r="DC44" s="285">
        <f>22-140.35</f>
        <v>-118.35</v>
      </c>
      <c r="DD44" s="285">
        <v>147.5</v>
      </c>
      <c r="DE44" s="285">
        <f>-100-85+22+22+24+33+24+22</f>
        <v>-38</v>
      </c>
      <c r="DF44" s="285">
        <v>185.5</v>
      </c>
      <c r="DG44" s="285">
        <f>-100+24+24+22</f>
        <v>-30</v>
      </c>
      <c r="DH44" s="285">
        <v>215.5</v>
      </c>
      <c r="DI44" s="285">
        <f>23+17+24+23+23-100.25+24+23+24+22+24+24.5-1.66</f>
        <v>149.59</v>
      </c>
      <c r="DJ44" s="285">
        <f>33+33</f>
        <v>66</v>
      </c>
      <c r="DK44" s="285"/>
      <c r="DL44" s="285">
        <v>0</v>
      </c>
      <c r="DM44" s="285"/>
      <c r="DN44" s="285"/>
      <c r="DO44" s="285"/>
      <c r="DP44" s="285"/>
      <c r="DQ44" s="285"/>
      <c r="DR44" s="285"/>
      <c r="DS44" s="285"/>
      <c r="DT44" s="285"/>
      <c r="DU44" s="285"/>
      <c r="DV44" s="285"/>
      <c r="DW44" s="285"/>
      <c r="DX44" s="285"/>
      <c r="DY44" s="285"/>
      <c r="DZ44" s="285"/>
      <c r="EA44" s="285"/>
      <c r="EB44" s="285"/>
      <c r="EC44" s="285"/>
      <c r="ED44" s="285"/>
      <c r="EE44" s="285"/>
      <c r="EF44" s="285"/>
      <c r="EG44" s="285"/>
      <c r="EH44" s="285"/>
      <c r="EI44" s="285"/>
      <c r="EJ44" s="285"/>
      <c r="EK44" s="285"/>
      <c r="EL44" s="285"/>
      <c r="EM44" s="285"/>
      <c r="EN44" s="285"/>
      <c r="EO44" s="285"/>
      <c r="EP44" s="285"/>
      <c r="EQ44" s="285"/>
      <c r="ER44" s="285"/>
      <c r="ES44" s="285"/>
      <c r="ET44" s="285"/>
      <c r="EU44" s="285"/>
      <c r="EV44" s="285"/>
      <c r="EW44" s="285"/>
      <c r="EX44" s="285"/>
      <c r="EY44" s="285"/>
      <c r="EZ44" s="285"/>
      <c r="FA44" s="285"/>
      <c r="FB44" s="285"/>
      <c r="FC44" s="285"/>
      <c r="FD44" s="285"/>
      <c r="FE44" s="285"/>
      <c r="FF44" s="285"/>
      <c r="FG44" s="285"/>
      <c r="FH44" s="285"/>
      <c r="FI44" s="285"/>
      <c r="FJ44" s="285"/>
      <c r="FK44" s="285"/>
      <c r="FL44" s="285"/>
      <c r="FM44" s="285"/>
      <c r="FN44" s="285"/>
      <c r="FO44" s="285"/>
      <c r="FP44" s="285"/>
      <c r="FQ44" s="285"/>
      <c r="FR44" s="285"/>
      <c r="FS44" s="285"/>
      <c r="FT44" s="285"/>
      <c r="FU44" s="285"/>
      <c r="FV44" s="285"/>
      <c r="FW44" s="285"/>
      <c r="FX44" s="285"/>
      <c r="FY44" s="285"/>
      <c r="FZ44" s="285"/>
      <c r="GA44" s="285"/>
      <c r="GB44" s="285"/>
      <c r="GC44" s="285"/>
      <c r="GD44" s="285"/>
      <c r="GE44" s="285"/>
      <c r="GF44" s="285"/>
      <c r="GG44" s="285"/>
      <c r="GH44" s="285"/>
      <c r="GI44" s="285"/>
      <c r="GJ44" s="285"/>
      <c r="GK44" s="285"/>
      <c r="GL44" s="285"/>
      <c r="GM44" s="285"/>
      <c r="GN44" s="285"/>
      <c r="GO44" s="285"/>
      <c r="GP44" s="285"/>
      <c r="GQ44" s="285"/>
      <c r="GR44" s="285"/>
      <c r="GS44" s="285"/>
      <c r="GT44" s="285"/>
      <c r="GU44" s="285"/>
      <c r="GV44" s="285"/>
      <c r="GW44" s="285"/>
      <c r="GX44" s="285"/>
      <c r="GY44" s="285"/>
      <c r="GZ44" s="285"/>
      <c r="HA44" s="285"/>
      <c r="HB44" s="285"/>
      <c r="HC44" s="285"/>
      <c r="HD44" s="285"/>
      <c r="HE44" s="285"/>
      <c r="HF44" s="285"/>
      <c r="HG44" s="285"/>
      <c r="HH44" s="285"/>
      <c r="HI44" s="285"/>
      <c r="HJ44" s="285"/>
      <c r="HK44" s="285"/>
      <c r="HL44" s="285"/>
      <c r="HM44" s="285"/>
      <c r="HN44" s="285"/>
      <c r="HO44" s="285"/>
      <c r="HP44" s="285"/>
      <c r="HQ44" s="285"/>
      <c r="HR44" s="285"/>
      <c r="HS44" s="285"/>
      <c r="HT44" s="285"/>
      <c r="HU44" s="285"/>
      <c r="HV44" s="285"/>
      <c r="HW44" s="285"/>
      <c r="HX44" s="285"/>
      <c r="HY44" s="285"/>
      <c r="HZ44" s="285"/>
      <c r="IA44" s="285"/>
      <c r="IB44" s="285"/>
      <c r="IC44" s="285"/>
      <c r="ID44" s="285"/>
      <c r="IE44" s="285"/>
      <c r="IF44" s="285"/>
      <c r="IG44" s="285"/>
      <c r="IH44" s="285"/>
      <c r="II44" s="285"/>
      <c r="IJ44" s="285"/>
      <c r="IK44" s="285"/>
      <c r="IL44" s="285"/>
      <c r="IM44" s="285"/>
      <c r="IN44" s="285"/>
      <c r="IO44" s="285"/>
      <c r="IP44" s="285"/>
      <c r="IQ44" s="285"/>
      <c r="IR44" s="285"/>
      <c r="IS44" s="285"/>
      <c r="IT44" s="285"/>
      <c r="IU44" s="285"/>
      <c r="IV44" s="285"/>
      <c r="IW44" s="285"/>
      <c r="IX44" s="285"/>
      <c r="IY44" s="285"/>
      <c r="IZ44" s="285"/>
      <c r="JA44" s="285"/>
      <c r="JB44" s="285"/>
      <c r="JC44" s="285"/>
      <c r="JD44" s="285"/>
      <c r="JE44" s="285"/>
      <c r="JF44" s="285"/>
      <c r="JG44" s="285"/>
      <c r="JH44" s="285"/>
      <c r="JI44" s="285"/>
      <c r="JJ44" s="285"/>
      <c r="JK44" s="285"/>
      <c r="JL44" s="285"/>
      <c r="JM44" s="285"/>
      <c r="JN44" s="285"/>
      <c r="JO44" s="285"/>
      <c r="JP44" s="285"/>
      <c r="JQ44" s="285"/>
      <c r="JR44" s="285"/>
      <c r="JS44" s="285"/>
      <c r="JT44" s="285"/>
      <c r="JU44" s="285"/>
      <c r="JV44" s="285"/>
      <c r="JW44" s="285"/>
      <c r="JX44" s="285"/>
      <c r="JY44" s="285"/>
      <c r="JZ44" s="285"/>
      <c r="KA44" s="285"/>
      <c r="KB44" s="285"/>
      <c r="KC44" s="285"/>
      <c r="KD44" s="285"/>
      <c r="KE44" s="285"/>
      <c r="KF44" s="285"/>
      <c r="KG44" s="285"/>
      <c r="KH44" s="285"/>
      <c r="KI44" s="285"/>
      <c r="KJ44" s="285"/>
      <c r="KK44" s="285"/>
      <c r="KL44" s="285"/>
      <c r="KM44" s="285"/>
      <c r="KN44" s="285"/>
      <c r="KO44" s="285"/>
      <c r="KP44" s="285"/>
      <c r="KQ44" s="285"/>
      <c r="KR44" s="298"/>
      <c r="KS44" s="285"/>
      <c r="KT44" s="285"/>
      <c r="KU44" s="268"/>
      <c r="KV44" s="288"/>
      <c r="KW44" s="288"/>
      <c r="AES44" s="1304">
        <v>15</v>
      </c>
      <c r="AGF44" s="1304">
        <v>7.6</v>
      </c>
    </row>
    <row r="45" spans="1:957">
      <c r="A45" s="9">
        <v>41</v>
      </c>
      <c r="B45" s="768" t="s">
        <v>3695</v>
      </c>
      <c r="C45" s="658">
        <v>310790152</v>
      </c>
      <c r="D45" s="906" t="s">
        <v>6925</v>
      </c>
      <c r="E45" s="658">
        <v>310790152</v>
      </c>
      <c r="F45" s="940">
        <v>0.64500000000000002</v>
      </c>
      <c r="G45" s="75">
        <v>326385</v>
      </c>
      <c r="H45" s="944"/>
      <c r="I45" s="944"/>
      <c r="J45" s="944"/>
      <c r="K45" s="1308"/>
      <c r="L45" s="1308"/>
      <c r="M45" s="1308"/>
      <c r="N45" s="1308"/>
      <c r="O45" s="285"/>
      <c r="P45" s="285"/>
      <c r="Q45" s="285"/>
      <c r="R45" s="285"/>
      <c r="S45" s="285"/>
      <c r="T45" s="285"/>
      <c r="U45" s="285"/>
      <c r="V45" s="285"/>
      <c r="W45" s="285"/>
      <c r="X45" s="285"/>
      <c r="Y45" s="285"/>
      <c r="Z45" s="285"/>
      <c r="AA45" s="285"/>
      <c r="AB45" s="285"/>
      <c r="AC45" s="285"/>
      <c r="AD45" s="285">
        <v>0</v>
      </c>
      <c r="AE45" s="285"/>
      <c r="AF45" s="285">
        <v>0</v>
      </c>
      <c r="AG45" s="285"/>
      <c r="AH45" s="285">
        <v>0</v>
      </c>
      <c r="AI45" s="285"/>
      <c r="AJ45" s="285"/>
      <c r="AK45" s="285"/>
      <c r="AL45" s="285">
        <v>0</v>
      </c>
      <c r="AM45" s="285"/>
      <c r="AN45" s="285">
        <v>0</v>
      </c>
      <c r="AO45" s="285"/>
      <c r="AP45" s="285">
        <v>0</v>
      </c>
      <c r="AQ45" s="285"/>
      <c r="AR45" s="285">
        <v>0</v>
      </c>
      <c r="AS45" s="285"/>
      <c r="AT45" s="285">
        <v>0</v>
      </c>
      <c r="AU45" s="285"/>
      <c r="AV45" s="285">
        <v>0</v>
      </c>
      <c r="AW45" s="285"/>
      <c r="AX45" s="285">
        <v>0</v>
      </c>
      <c r="AY45" s="285"/>
      <c r="AZ45" s="285">
        <v>0</v>
      </c>
      <c r="BA45" s="285"/>
      <c r="BB45" s="285">
        <v>1.4</v>
      </c>
      <c r="BC45" s="285"/>
      <c r="BD45" s="285">
        <v>1.4</v>
      </c>
      <c r="BE45" s="285"/>
      <c r="BF45" s="285">
        <v>0</v>
      </c>
      <c r="BG45" s="285">
        <v>-25.6</v>
      </c>
      <c r="BH45" s="285">
        <v>25.6</v>
      </c>
      <c r="BI45" s="285"/>
      <c r="BJ45" s="285">
        <v>25.6</v>
      </c>
      <c r="BK45" s="285"/>
      <c r="BL45" s="285">
        <v>25.6</v>
      </c>
      <c r="BM45" s="285"/>
      <c r="BN45" s="285">
        <v>25.6</v>
      </c>
      <c r="BO45" s="285"/>
      <c r="BP45" s="285">
        <v>25.6</v>
      </c>
      <c r="BQ45" s="285"/>
      <c r="BR45" s="285">
        <v>25.6</v>
      </c>
      <c r="BS45" s="285">
        <v>25</v>
      </c>
      <c r="BT45" s="285">
        <v>0.6</v>
      </c>
      <c r="BU45" s="285"/>
      <c r="BV45" s="285">
        <v>0.7</v>
      </c>
      <c r="BW45" s="285">
        <v>-32</v>
      </c>
      <c r="BX45" s="285">
        <v>32.700000000000003</v>
      </c>
      <c r="BY45" s="285"/>
      <c r="BZ45" s="285">
        <v>32.700000000000003</v>
      </c>
      <c r="CA45" s="285">
        <f>33+22+22-100</f>
        <v>-23</v>
      </c>
      <c r="CB45" s="285">
        <v>55.7</v>
      </c>
      <c r="CC45" s="285"/>
      <c r="CD45" s="285">
        <v>55.7</v>
      </c>
      <c r="CE45" s="285">
        <f>33+22</f>
        <v>55</v>
      </c>
      <c r="CF45" s="285">
        <v>0.76</v>
      </c>
      <c r="CG45" s="285">
        <v>-96.24</v>
      </c>
      <c r="CH45" s="285">
        <v>97</v>
      </c>
      <c r="CI45" s="285">
        <f>22+22</f>
        <v>44</v>
      </c>
      <c r="CJ45" s="285">
        <v>53</v>
      </c>
      <c r="CK45" s="285">
        <f>-100+22</f>
        <v>-78</v>
      </c>
      <c r="CL45" s="285">
        <v>131</v>
      </c>
      <c r="CM45" s="285"/>
      <c r="CN45" s="285">
        <v>131</v>
      </c>
      <c r="CO45" s="285"/>
      <c r="CP45" s="285">
        <v>131</v>
      </c>
      <c r="CQ45" s="285">
        <f>22+22+22</f>
        <v>66</v>
      </c>
      <c r="CR45" s="285">
        <v>65</v>
      </c>
      <c r="CS45" s="285">
        <v>-100</v>
      </c>
      <c r="CT45" s="285">
        <v>165</v>
      </c>
      <c r="CU45" s="285">
        <f>22+33</f>
        <v>55</v>
      </c>
      <c r="CV45" s="285">
        <v>110</v>
      </c>
      <c r="CW45" s="285">
        <v>0</v>
      </c>
      <c r="CX45" s="285">
        <v>110</v>
      </c>
      <c r="CY45" s="285">
        <f>-25+33+22+24</f>
        <v>54</v>
      </c>
      <c r="CZ45" s="285">
        <v>56</v>
      </c>
      <c r="DA45" s="285">
        <f>-83+22.5+33</f>
        <v>-27.5</v>
      </c>
      <c r="DB45" s="285">
        <v>83.5</v>
      </c>
      <c r="DC45" s="285">
        <f>33+22+33+24+22-100</f>
        <v>34</v>
      </c>
      <c r="DD45" s="285">
        <v>49.5</v>
      </c>
      <c r="DE45" s="285">
        <f>22+24+33-100.25+24+22+22+33-120.3+22</f>
        <v>-18.549999999999997</v>
      </c>
      <c r="DF45" s="285">
        <v>68</v>
      </c>
      <c r="DG45" s="285">
        <f>22+22+24</f>
        <v>68</v>
      </c>
      <c r="DH45" s="285">
        <v>0</v>
      </c>
      <c r="DI45" s="285"/>
      <c r="DJ45" s="285"/>
      <c r="DK45" s="285"/>
      <c r="DL45" s="285"/>
      <c r="DM45" s="285"/>
      <c r="DN45" s="285"/>
      <c r="DO45" s="285"/>
      <c r="DP45" s="285"/>
      <c r="DQ45" s="285"/>
      <c r="DR45" s="285"/>
      <c r="DS45" s="285"/>
      <c r="DT45" s="285"/>
      <c r="DU45" s="285"/>
      <c r="DV45" s="285"/>
      <c r="DW45" s="285"/>
      <c r="DX45" s="285"/>
      <c r="DY45" s="285"/>
      <c r="DZ45" s="285"/>
      <c r="EA45" s="285"/>
      <c r="EB45" s="285"/>
      <c r="EC45" s="285"/>
      <c r="ED45" s="285"/>
      <c r="EE45" s="285"/>
      <c r="EF45" s="285"/>
      <c r="EG45" s="285"/>
      <c r="EH45" s="285"/>
      <c r="EI45" s="285"/>
      <c r="EJ45" s="285"/>
      <c r="EK45" s="285"/>
      <c r="EL45" s="285"/>
      <c r="EM45" s="285"/>
      <c r="EN45" s="285"/>
      <c r="EO45" s="285"/>
      <c r="EP45" s="285"/>
      <c r="EQ45" s="285"/>
      <c r="ER45" s="285"/>
      <c r="ES45" s="285"/>
      <c r="ET45" s="285"/>
      <c r="EU45" s="285"/>
      <c r="EV45" s="285"/>
      <c r="EW45" s="285"/>
      <c r="EX45" s="285"/>
      <c r="EY45" s="285"/>
      <c r="EZ45" s="285"/>
      <c r="FA45" s="285"/>
      <c r="FB45" s="285"/>
      <c r="FC45" s="285"/>
      <c r="FD45" s="285"/>
      <c r="FE45" s="285"/>
      <c r="FF45" s="285"/>
      <c r="FG45" s="285"/>
      <c r="FH45" s="285"/>
      <c r="FI45" s="285"/>
      <c r="FJ45" s="285"/>
      <c r="FK45" s="285"/>
      <c r="FL45" s="285"/>
      <c r="FM45" s="285"/>
      <c r="FN45" s="285"/>
      <c r="FO45" s="285"/>
      <c r="FP45" s="285"/>
      <c r="FQ45" s="285"/>
      <c r="FR45" s="285"/>
      <c r="FS45" s="285"/>
      <c r="FT45" s="285"/>
      <c r="FU45" s="285"/>
      <c r="FV45" s="285"/>
      <c r="FW45" s="285"/>
      <c r="FX45" s="285"/>
      <c r="FY45" s="285"/>
      <c r="FZ45" s="285"/>
      <c r="GA45" s="285"/>
      <c r="GB45" s="285"/>
      <c r="GC45" s="285"/>
      <c r="GD45" s="285"/>
      <c r="GE45" s="285"/>
      <c r="GF45" s="285"/>
      <c r="GG45" s="285"/>
      <c r="GH45" s="285"/>
      <c r="GI45" s="285"/>
      <c r="GJ45" s="285"/>
      <c r="GK45" s="285"/>
      <c r="GL45" s="285"/>
      <c r="GM45" s="285"/>
      <c r="GN45" s="285"/>
      <c r="GO45" s="285"/>
      <c r="GP45" s="285"/>
      <c r="GQ45" s="285"/>
      <c r="GR45" s="285"/>
      <c r="GS45" s="285"/>
      <c r="GT45" s="285"/>
      <c r="GU45" s="285"/>
      <c r="GV45" s="285"/>
      <c r="GW45" s="285"/>
      <c r="GX45" s="285"/>
      <c r="GY45" s="285"/>
      <c r="GZ45" s="285"/>
      <c r="HA45" s="285"/>
      <c r="HB45" s="285"/>
      <c r="HC45" s="285"/>
      <c r="HD45" s="285"/>
      <c r="HE45" s="285"/>
      <c r="HF45" s="285"/>
      <c r="HG45" s="285"/>
      <c r="HH45" s="285"/>
      <c r="HI45" s="285"/>
      <c r="HJ45" s="285"/>
      <c r="HK45" s="285"/>
      <c r="HL45" s="285"/>
      <c r="HM45" s="285"/>
      <c r="HN45" s="285"/>
      <c r="HO45" s="285"/>
      <c r="HP45" s="285"/>
      <c r="HQ45" s="285"/>
      <c r="HR45" s="285"/>
      <c r="HS45" s="285"/>
      <c r="HT45" s="285"/>
      <c r="HU45" s="285"/>
      <c r="HV45" s="285"/>
      <c r="HW45" s="285"/>
      <c r="HX45" s="285"/>
      <c r="HY45" s="285"/>
      <c r="HZ45" s="285"/>
      <c r="IA45" s="285"/>
      <c r="IB45" s="285"/>
      <c r="IC45" s="285"/>
      <c r="ID45" s="285"/>
      <c r="IE45" s="285"/>
      <c r="IF45" s="285"/>
      <c r="IG45" s="285"/>
      <c r="IH45" s="285"/>
      <c r="II45" s="285"/>
      <c r="IJ45" s="285"/>
      <c r="IK45" s="285"/>
      <c r="IL45" s="285"/>
      <c r="IM45" s="285"/>
      <c r="IN45" s="285"/>
      <c r="IO45" s="285"/>
      <c r="IP45" s="285"/>
      <c r="IQ45" s="285"/>
      <c r="IR45" s="285"/>
      <c r="IS45" s="285"/>
      <c r="IT45" s="285"/>
      <c r="IU45" s="285"/>
      <c r="IV45" s="285"/>
      <c r="IW45" s="285"/>
      <c r="IX45" s="285"/>
      <c r="IY45" s="285"/>
      <c r="IZ45" s="285"/>
      <c r="JA45" s="285"/>
      <c r="JB45" s="285"/>
      <c r="JC45" s="285"/>
      <c r="JD45" s="285"/>
      <c r="JE45" s="285"/>
      <c r="JF45" s="285"/>
      <c r="JG45" s="285"/>
      <c r="JH45" s="285"/>
      <c r="JI45" s="285"/>
      <c r="JJ45" s="285"/>
      <c r="JK45" s="285"/>
      <c r="JL45" s="285"/>
      <c r="JM45" s="285"/>
      <c r="JN45" s="285"/>
      <c r="JO45" s="285"/>
      <c r="JP45" s="285"/>
      <c r="JQ45" s="285"/>
      <c r="JR45" s="285"/>
      <c r="JS45" s="285"/>
      <c r="JT45" s="285"/>
      <c r="JU45" s="285"/>
      <c r="JV45" s="285"/>
      <c r="JW45" s="285"/>
      <c r="JX45" s="285"/>
      <c r="JY45" s="285"/>
      <c r="JZ45" s="285"/>
      <c r="KA45" s="285"/>
      <c r="KB45" s="285"/>
      <c r="KC45" s="285"/>
      <c r="KD45" s="285"/>
      <c r="KE45" s="285"/>
      <c r="KF45" s="285"/>
      <c r="KG45" s="285"/>
      <c r="KH45" s="285"/>
      <c r="KI45" s="285"/>
      <c r="KJ45" s="285"/>
      <c r="KK45" s="285"/>
      <c r="KL45" s="285"/>
      <c r="KM45" s="285"/>
      <c r="KN45" s="285"/>
      <c r="KO45" s="285"/>
      <c r="KP45" s="285"/>
      <c r="KQ45" s="285"/>
      <c r="KR45" s="298"/>
      <c r="KS45" s="285"/>
      <c r="KT45" s="285"/>
      <c r="KU45" s="268"/>
      <c r="KV45" s="288"/>
      <c r="KW45" s="288"/>
      <c r="AES45" s="1304">
        <v>3</v>
      </c>
      <c r="AGF45" s="1304">
        <v>6</v>
      </c>
    </row>
    <row r="46" spans="1:957">
      <c r="A46" s="9">
        <v>42</v>
      </c>
      <c r="B46" s="783" t="s">
        <v>3698</v>
      </c>
      <c r="C46" s="658">
        <v>310808561</v>
      </c>
      <c r="D46" s="906" t="s">
        <v>6925</v>
      </c>
      <c r="E46" s="658">
        <v>310808561</v>
      </c>
      <c r="F46" s="74">
        <v>0</v>
      </c>
      <c r="G46" s="75">
        <v>618722</v>
      </c>
      <c r="H46" s="944"/>
      <c r="I46" s="944"/>
      <c r="J46" s="944"/>
      <c r="K46" s="1308"/>
      <c r="L46" s="1308"/>
      <c r="M46" s="1308"/>
      <c r="N46" s="1308"/>
      <c r="O46" s="285"/>
      <c r="P46" s="285"/>
      <c r="Q46" s="285"/>
      <c r="R46" s="285"/>
      <c r="S46" s="285"/>
      <c r="T46" s="285"/>
      <c r="U46" s="285"/>
      <c r="V46" s="285"/>
      <c r="W46" s="285"/>
      <c r="X46" s="285"/>
      <c r="Y46" s="285"/>
      <c r="Z46" s="285"/>
      <c r="AA46" s="285"/>
      <c r="AB46" s="285"/>
      <c r="AC46" s="285"/>
      <c r="AD46" s="285">
        <v>0</v>
      </c>
      <c r="AE46" s="285"/>
      <c r="AF46" s="285">
        <v>0</v>
      </c>
      <c r="AG46" s="285"/>
      <c r="AH46" s="285">
        <v>0</v>
      </c>
      <c r="AI46" s="285"/>
      <c r="AJ46" s="285"/>
      <c r="AK46" s="285"/>
      <c r="AL46" s="285">
        <v>0</v>
      </c>
      <c r="AM46" s="285"/>
      <c r="AN46" s="285">
        <v>0</v>
      </c>
      <c r="AO46" s="285"/>
      <c r="AP46" s="285">
        <v>0</v>
      </c>
      <c r="AQ46" s="285"/>
      <c r="AR46" s="285">
        <v>0</v>
      </c>
      <c r="AS46" s="285"/>
      <c r="AT46" s="285">
        <v>0</v>
      </c>
      <c r="AU46" s="285"/>
      <c r="AV46" s="285">
        <v>0</v>
      </c>
      <c r="AW46" s="285"/>
      <c r="AX46" s="285">
        <v>0</v>
      </c>
      <c r="AY46" s="285"/>
      <c r="AZ46" s="285">
        <v>0</v>
      </c>
      <c r="BA46" s="285"/>
      <c r="BB46" s="285">
        <v>0</v>
      </c>
      <c r="BC46" s="285"/>
      <c r="BD46" s="285">
        <v>0</v>
      </c>
      <c r="BE46" s="285">
        <f>-24.97+2.965</f>
        <v>-22.004999999999999</v>
      </c>
      <c r="BF46" s="285">
        <v>22</v>
      </c>
      <c r="BG46" s="285">
        <v>22</v>
      </c>
      <c r="BH46" s="285">
        <v>0</v>
      </c>
      <c r="BI46" s="285">
        <v>-70.67</v>
      </c>
      <c r="BJ46" s="285">
        <v>71.5</v>
      </c>
      <c r="BK46" s="285"/>
      <c r="BL46" s="285">
        <v>71.5</v>
      </c>
      <c r="BM46" s="285"/>
      <c r="BN46" s="285">
        <v>71.5</v>
      </c>
      <c r="BO46" s="285"/>
      <c r="BP46" s="285">
        <v>71.5</v>
      </c>
      <c r="BQ46" s="285"/>
      <c r="BR46" s="285">
        <v>71.5</v>
      </c>
      <c r="BS46" s="285">
        <v>30</v>
      </c>
      <c r="BT46" s="285">
        <v>41.5</v>
      </c>
      <c r="BU46" s="285"/>
      <c r="BV46" s="285">
        <v>41.6</v>
      </c>
      <c r="BW46" s="285">
        <v>21.44</v>
      </c>
      <c r="BX46" s="285">
        <v>20.100000000000001</v>
      </c>
      <c r="BY46" s="285"/>
      <c r="BZ46" s="285">
        <v>20.100000000000001</v>
      </c>
      <c r="CA46" s="285">
        <f>-100+22</f>
        <v>-78</v>
      </c>
      <c r="CB46" s="285">
        <v>98.1</v>
      </c>
      <c r="CC46" s="285"/>
      <c r="CD46" s="285">
        <v>98.1</v>
      </c>
      <c r="CE46" s="285">
        <f>10+22+22+22+22</f>
        <v>98</v>
      </c>
      <c r="CF46" s="285">
        <v>0</v>
      </c>
      <c r="CG46" s="285">
        <v>0</v>
      </c>
      <c r="CH46" s="285">
        <v>0</v>
      </c>
      <c r="CI46" s="285">
        <v>-72</v>
      </c>
      <c r="CJ46" s="285">
        <v>72.099999999999994</v>
      </c>
      <c r="CK46" s="285">
        <v>21</v>
      </c>
      <c r="CL46" s="285">
        <v>51.1</v>
      </c>
      <c r="CM46" s="285">
        <v>-100</v>
      </c>
      <c r="CN46" s="285">
        <v>151.1</v>
      </c>
      <c r="CO46" s="285">
        <v>-100</v>
      </c>
      <c r="CP46" s="285">
        <v>251</v>
      </c>
      <c r="CQ46" s="285">
        <f>22+26+32+24</f>
        <v>104</v>
      </c>
      <c r="CR46" s="285">
        <v>147</v>
      </c>
      <c r="CS46" s="285">
        <f>21+22+24-100+33+33</f>
        <v>33</v>
      </c>
      <c r="CT46" s="285">
        <v>114.1</v>
      </c>
      <c r="CU46" s="285">
        <v>-100</v>
      </c>
      <c r="CV46" s="285">
        <v>214.1</v>
      </c>
      <c r="CW46" s="285">
        <f>24-100+22</f>
        <v>-54</v>
      </c>
      <c r="CX46" s="285">
        <v>267.10000000000002</v>
      </c>
      <c r="CY46" s="285">
        <f>15+16.7+23+23+33+24+32.7+22+23+24-100.3-90+25+24+27+24+22+22</f>
        <v>190.09999999999997</v>
      </c>
      <c r="CZ46" s="285">
        <v>77</v>
      </c>
      <c r="DA46" s="285">
        <v>22</v>
      </c>
      <c r="DB46" s="285">
        <v>55</v>
      </c>
      <c r="DC46" s="285">
        <f>33+22</f>
        <v>55</v>
      </c>
      <c r="DD46" s="285">
        <v>0</v>
      </c>
      <c r="DE46" s="285">
        <v>0</v>
      </c>
      <c r="DF46" s="285"/>
      <c r="DG46" s="285"/>
      <c r="DH46" s="285"/>
      <c r="DI46" s="285"/>
      <c r="DJ46" s="285"/>
      <c r="DK46" s="285"/>
      <c r="DL46" s="285"/>
      <c r="DM46" s="285"/>
      <c r="DN46" s="285"/>
      <c r="DO46" s="285"/>
      <c r="DP46" s="285"/>
      <c r="DQ46" s="285"/>
      <c r="DR46" s="285"/>
      <c r="DS46" s="285"/>
      <c r="DT46" s="285"/>
      <c r="DU46" s="285"/>
      <c r="DV46" s="285"/>
      <c r="DW46" s="285"/>
      <c r="DX46" s="285"/>
      <c r="DY46" s="285"/>
      <c r="DZ46" s="285"/>
      <c r="EA46" s="285"/>
      <c r="EB46" s="285"/>
      <c r="EC46" s="285"/>
      <c r="ED46" s="285"/>
      <c r="EE46" s="285"/>
      <c r="EF46" s="285"/>
      <c r="EG46" s="285"/>
      <c r="EH46" s="285"/>
      <c r="EI46" s="285"/>
      <c r="EJ46" s="285"/>
      <c r="EK46" s="285"/>
      <c r="EL46" s="285"/>
      <c r="EM46" s="285"/>
      <c r="EN46" s="285"/>
      <c r="EO46" s="285"/>
      <c r="EP46" s="285"/>
      <c r="EQ46" s="285"/>
      <c r="ER46" s="285"/>
      <c r="ES46" s="285"/>
      <c r="ET46" s="285"/>
      <c r="EU46" s="285"/>
      <c r="EV46" s="285"/>
      <c r="EW46" s="285"/>
      <c r="EX46" s="285"/>
      <c r="EY46" s="285"/>
      <c r="EZ46" s="285"/>
      <c r="FA46" s="285"/>
      <c r="FB46" s="285"/>
      <c r="FC46" s="285"/>
      <c r="FD46" s="285"/>
      <c r="FE46" s="285"/>
      <c r="FF46" s="285"/>
      <c r="FG46" s="285"/>
      <c r="FH46" s="285"/>
      <c r="FI46" s="285"/>
      <c r="FJ46" s="285"/>
      <c r="FK46" s="285"/>
      <c r="FL46" s="285"/>
      <c r="FM46" s="285"/>
      <c r="FN46" s="285"/>
      <c r="FO46" s="285"/>
      <c r="FP46" s="285"/>
      <c r="FQ46" s="285"/>
      <c r="FR46" s="285"/>
      <c r="FS46" s="285"/>
      <c r="FT46" s="285"/>
      <c r="FU46" s="285"/>
      <c r="FV46" s="285"/>
      <c r="FW46" s="285"/>
      <c r="FX46" s="285"/>
      <c r="FY46" s="285"/>
      <c r="FZ46" s="285"/>
      <c r="GA46" s="285"/>
      <c r="GB46" s="285"/>
      <c r="GC46" s="285"/>
      <c r="GD46" s="285"/>
      <c r="GE46" s="285"/>
      <c r="GF46" s="285"/>
      <c r="GG46" s="285"/>
      <c r="GH46" s="285"/>
      <c r="GI46" s="285"/>
      <c r="GJ46" s="285"/>
      <c r="GK46" s="285"/>
      <c r="GL46" s="285"/>
      <c r="GM46" s="285"/>
      <c r="GN46" s="285"/>
      <c r="GO46" s="285"/>
      <c r="GP46" s="285"/>
      <c r="GQ46" s="285"/>
      <c r="GR46" s="285"/>
      <c r="GS46" s="285"/>
      <c r="GT46" s="285"/>
      <c r="GU46" s="285"/>
      <c r="GV46" s="285"/>
      <c r="GW46" s="285"/>
      <c r="GX46" s="285"/>
      <c r="GY46" s="285"/>
      <c r="GZ46" s="285"/>
      <c r="HA46" s="285"/>
      <c r="HB46" s="285"/>
      <c r="HC46" s="285"/>
      <c r="HD46" s="285"/>
      <c r="HE46" s="285"/>
      <c r="HF46" s="285"/>
      <c r="HG46" s="285"/>
      <c r="HH46" s="285"/>
      <c r="HI46" s="285"/>
      <c r="HJ46" s="285"/>
      <c r="HK46" s="285"/>
      <c r="HL46" s="285"/>
      <c r="HM46" s="285"/>
      <c r="HN46" s="285"/>
      <c r="HO46" s="285"/>
      <c r="HP46" s="285"/>
      <c r="HQ46" s="285"/>
      <c r="HR46" s="285"/>
      <c r="HS46" s="285"/>
      <c r="HT46" s="285"/>
      <c r="HU46" s="285"/>
      <c r="HV46" s="285"/>
      <c r="HW46" s="285"/>
      <c r="HX46" s="285"/>
      <c r="HY46" s="285"/>
      <c r="HZ46" s="285"/>
      <c r="IA46" s="285"/>
      <c r="IB46" s="285"/>
      <c r="IC46" s="285"/>
      <c r="ID46" s="285"/>
      <c r="IE46" s="285"/>
      <c r="IF46" s="285"/>
      <c r="IG46" s="285"/>
      <c r="IH46" s="285"/>
      <c r="II46" s="285"/>
      <c r="IJ46" s="285"/>
      <c r="IK46" s="285"/>
      <c r="IL46" s="285"/>
      <c r="IM46" s="285"/>
      <c r="IN46" s="285"/>
      <c r="IO46" s="285"/>
      <c r="IP46" s="285"/>
      <c r="IQ46" s="285"/>
      <c r="IR46" s="285"/>
      <c r="IS46" s="285"/>
      <c r="IT46" s="285"/>
      <c r="IU46" s="285"/>
      <c r="IV46" s="285"/>
      <c r="IW46" s="285"/>
      <c r="IX46" s="285"/>
      <c r="IY46" s="285"/>
      <c r="IZ46" s="285"/>
      <c r="JA46" s="285"/>
      <c r="JB46" s="285"/>
      <c r="JC46" s="285"/>
      <c r="JD46" s="285"/>
      <c r="JE46" s="285"/>
      <c r="JF46" s="285"/>
      <c r="JG46" s="285"/>
      <c r="JH46" s="285"/>
      <c r="JI46" s="285"/>
      <c r="JJ46" s="285"/>
      <c r="JK46" s="285"/>
      <c r="JL46" s="285"/>
      <c r="JM46" s="285"/>
      <c r="JN46" s="285"/>
      <c r="JO46" s="285"/>
      <c r="JP46" s="285"/>
      <c r="JQ46" s="285"/>
      <c r="JR46" s="285"/>
      <c r="JS46" s="285"/>
      <c r="JT46" s="285"/>
      <c r="JU46" s="285"/>
      <c r="JV46" s="285"/>
      <c r="JW46" s="285"/>
      <c r="JX46" s="285"/>
      <c r="JY46" s="285"/>
      <c r="JZ46" s="285"/>
      <c r="KA46" s="285"/>
      <c r="KB46" s="285"/>
      <c r="KC46" s="285"/>
      <c r="KD46" s="285"/>
      <c r="KE46" s="285"/>
      <c r="KF46" s="285"/>
      <c r="KG46" s="285"/>
      <c r="KH46" s="285"/>
      <c r="KI46" s="285"/>
      <c r="KJ46" s="285"/>
      <c r="KK46" s="285"/>
      <c r="KL46" s="285"/>
      <c r="KM46" s="285"/>
      <c r="KN46" s="285"/>
      <c r="KO46" s="285"/>
      <c r="KP46" s="285"/>
      <c r="KQ46" s="285"/>
      <c r="KR46" s="298"/>
      <c r="KS46" s="285"/>
      <c r="KT46" s="285"/>
      <c r="KU46" s="268"/>
      <c r="KV46" s="288"/>
      <c r="KW46" s="288"/>
      <c r="AES46" s="1304">
        <v>1593</v>
      </c>
      <c r="AGF46" s="1304">
        <v>6</v>
      </c>
    </row>
    <row r="47" spans="1:957">
      <c r="A47" s="9">
        <v>43</v>
      </c>
      <c r="B47" s="825" t="s">
        <v>3699</v>
      </c>
      <c r="C47" s="658">
        <v>310813819</v>
      </c>
      <c r="D47" s="906" t="s">
        <v>6925</v>
      </c>
      <c r="E47" s="658">
        <v>310813819</v>
      </c>
      <c r="F47" s="74">
        <v>0</v>
      </c>
      <c r="G47" s="75">
        <v>612156</v>
      </c>
      <c r="H47" s="944"/>
      <c r="I47" s="944"/>
      <c r="J47" s="944"/>
      <c r="K47" s="1308"/>
      <c r="L47" s="1308"/>
      <c r="M47" s="1308"/>
      <c r="N47" s="1308"/>
      <c r="O47" s="285"/>
      <c r="P47" s="285"/>
      <c r="Q47" s="285"/>
      <c r="R47" s="285"/>
      <c r="S47" s="285"/>
      <c r="T47" s="285"/>
      <c r="U47" s="285"/>
      <c r="V47" s="285"/>
      <c r="W47" s="285"/>
      <c r="X47" s="285"/>
      <c r="Y47" s="285"/>
      <c r="Z47" s="285"/>
      <c r="AA47" s="285"/>
      <c r="AB47" s="285"/>
      <c r="AC47" s="285"/>
      <c r="AD47" s="285">
        <v>0</v>
      </c>
      <c r="AE47" s="285"/>
      <c r="AF47" s="285">
        <v>0</v>
      </c>
      <c r="AG47" s="285"/>
      <c r="AH47" s="285">
        <v>0</v>
      </c>
      <c r="AI47" s="285"/>
      <c r="AJ47" s="285"/>
      <c r="AK47" s="285"/>
      <c r="AL47" s="285">
        <v>0</v>
      </c>
      <c r="AM47" s="285"/>
      <c r="AN47" s="285">
        <v>0</v>
      </c>
      <c r="AO47" s="285"/>
      <c r="AP47" s="285">
        <v>0</v>
      </c>
      <c r="AQ47" s="285"/>
      <c r="AR47" s="285">
        <v>0</v>
      </c>
      <c r="AS47" s="285"/>
      <c r="AT47" s="285">
        <v>0</v>
      </c>
      <c r="AU47" s="285"/>
      <c r="AV47" s="285">
        <v>0</v>
      </c>
      <c r="AW47" s="285"/>
      <c r="AX47" s="285">
        <v>0</v>
      </c>
      <c r="AY47" s="285"/>
      <c r="AZ47" s="285">
        <v>0</v>
      </c>
      <c r="BA47" s="285"/>
      <c r="BB47" s="285">
        <v>0</v>
      </c>
      <c r="BC47" s="285"/>
      <c r="BD47" s="285">
        <v>0</v>
      </c>
      <c r="BE47" s="285">
        <v>-22.3</v>
      </c>
      <c r="BF47" s="285">
        <v>22.3</v>
      </c>
      <c r="BG47" s="285"/>
      <c r="BH47" s="285">
        <v>22.3</v>
      </c>
      <c r="BI47" s="285"/>
      <c r="BJ47" s="285">
        <v>22.3</v>
      </c>
      <c r="BK47" s="285"/>
      <c r="BL47" s="285">
        <v>22.3</v>
      </c>
      <c r="BM47" s="285"/>
      <c r="BN47" s="285">
        <v>22.3</v>
      </c>
      <c r="BO47" s="285"/>
      <c r="BP47" s="285">
        <v>0</v>
      </c>
      <c r="BQ47" s="285"/>
      <c r="BR47" s="285">
        <v>0.2</v>
      </c>
      <c r="BS47" s="285"/>
      <c r="BT47" s="285">
        <v>0.2</v>
      </c>
      <c r="BU47" s="285"/>
      <c r="BV47" s="285">
        <v>0.3</v>
      </c>
      <c r="BW47" s="285">
        <v>-79</v>
      </c>
      <c r="BX47" s="285">
        <v>79.3</v>
      </c>
      <c r="BY47" s="285">
        <v>-100</v>
      </c>
      <c r="BZ47" s="285">
        <v>179.3</v>
      </c>
      <c r="CA47" s="285">
        <f>33+33+21+22+26+22</f>
        <v>157</v>
      </c>
      <c r="CB47" s="285">
        <v>22.3</v>
      </c>
      <c r="CC47" s="285"/>
      <c r="CD47" s="285">
        <v>22.3</v>
      </c>
      <c r="CE47" s="285"/>
      <c r="CF47" s="285">
        <v>22.3</v>
      </c>
      <c r="CG47" s="285">
        <v>22</v>
      </c>
      <c r="CH47" s="285">
        <v>0.3</v>
      </c>
      <c r="CI47" s="285">
        <v>-97</v>
      </c>
      <c r="CJ47" s="285">
        <v>97.3</v>
      </c>
      <c r="CK47" s="285">
        <f>33+22+23.9</f>
        <v>78.900000000000006</v>
      </c>
      <c r="CL47" s="285">
        <v>18.3</v>
      </c>
      <c r="CM47" s="285">
        <v>-100</v>
      </c>
      <c r="CN47" s="285">
        <v>118.3</v>
      </c>
      <c r="CO47" s="285">
        <v>-100</v>
      </c>
      <c r="CP47" s="285">
        <v>218.3</v>
      </c>
      <c r="CQ47" s="285">
        <f>27+32+24+24+22+22+24</f>
        <v>175</v>
      </c>
      <c r="CR47" s="285">
        <v>43.3</v>
      </c>
      <c r="CS47" s="285">
        <f>-100-160-0.4+32</f>
        <v>-228.39999999999998</v>
      </c>
      <c r="CT47" s="285">
        <f>296.7-25</f>
        <v>271.7</v>
      </c>
      <c r="CU47" s="285">
        <f>-100+24+22+32+32+24</f>
        <v>34</v>
      </c>
      <c r="CV47" s="285">
        <v>262.7</v>
      </c>
      <c r="CW47" s="285">
        <f>24+30+24+33+24+22-100.3+24+33+24+20</f>
        <v>157.69999999999999</v>
      </c>
      <c r="CX47" s="285">
        <v>105</v>
      </c>
      <c r="CY47" s="285">
        <f>24+33+33+15</f>
        <v>105</v>
      </c>
      <c r="CZ47" s="285">
        <v>0</v>
      </c>
      <c r="DA47" s="285"/>
      <c r="DB47" s="285"/>
      <c r="DC47" s="285"/>
      <c r="DD47" s="285"/>
      <c r="DE47" s="285"/>
      <c r="DF47" s="285"/>
      <c r="DG47" s="285"/>
      <c r="DH47" s="285"/>
      <c r="DI47" s="285"/>
      <c r="DJ47" s="285"/>
      <c r="DK47" s="285"/>
      <c r="DL47" s="285"/>
      <c r="DM47" s="285"/>
      <c r="DN47" s="285"/>
      <c r="DO47" s="285"/>
      <c r="DP47" s="285"/>
      <c r="DQ47" s="285"/>
      <c r="DR47" s="285"/>
      <c r="DS47" s="285"/>
      <c r="DT47" s="285"/>
      <c r="DU47" s="285"/>
      <c r="DV47" s="285"/>
      <c r="DW47" s="285"/>
      <c r="DX47" s="285"/>
      <c r="DY47" s="285"/>
      <c r="DZ47" s="285"/>
      <c r="EA47" s="285"/>
      <c r="EB47" s="285"/>
      <c r="EC47" s="285"/>
      <c r="ED47" s="285"/>
      <c r="EE47" s="285"/>
      <c r="EF47" s="285"/>
      <c r="EG47" s="285"/>
      <c r="EH47" s="285"/>
      <c r="EI47" s="285"/>
      <c r="EJ47" s="285"/>
      <c r="EK47" s="285"/>
      <c r="EL47" s="285"/>
      <c r="EM47" s="285"/>
      <c r="EN47" s="285"/>
      <c r="EO47" s="285"/>
      <c r="EP47" s="285"/>
      <c r="EQ47" s="285"/>
      <c r="ER47" s="285"/>
      <c r="ES47" s="285"/>
      <c r="ET47" s="285"/>
      <c r="EU47" s="285"/>
      <c r="EV47" s="285"/>
      <c r="EW47" s="285"/>
      <c r="EX47" s="285"/>
      <c r="EY47" s="285"/>
      <c r="EZ47" s="285"/>
      <c r="FA47" s="285"/>
      <c r="FB47" s="285"/>
      <c r="FC47" s="285"/>
      <c r="FD47" s="285"/>
      <c r="FE47" s="285"/>
      <c r="FF47" s="285"/>
      <c r="FG47" s="285"/>
      <c r="FH47" s="285"/>
      <c r="FI47" s="285"/>
      <c r="FJ47" s="285"/>
      <c r="FK47" s="285"/>
      <c r="FL47" s="285"/>
      <c r="FM47" s="285"/>
      <c r="FN47" s="285"/>
      <c r="FO47" s="285"/>
      <c r="FP47" s="285"/>
      <c r="FQ47" s="285"/>
      <c r="FR47" s="285"/>
      <c r="FS47" s="285"/>
      <c r="FT47" s="285"/>
      <c r="FU47" s="285"/>
      <c r="FV47" s="285"/>
      <c r="FW47" s="285"/>
      <c r="FX47" s="285"/>
      <c r="FY47" s="285"/>
      <c r="FZ47" s="285"/>
      <c r="GA47" s="285"/>
      <c r="GB47" s="285"/>
      <c r="GC47" s="285"/>
      <c r="GD47" s="285"/>
      <c r="GE47" s="285"/>
      <c r="GF47" s="285"/>
      <c r="GG47" s="285"/>
      <c r="GH47" s="285"/>
      <c r="GI47" s="285"/>
      <c r="GJ47" s="285"/>
      <c r="GK47" s="285"/>
      <c r="GL47" s="285"/>
      <c r="GM47" s="285"/>
      <c r="GN47" s="285"/>
      <c r="GO47" s="285"/>
      <c r="GP47" s="285"/>
      <c r="GQ47" s="285"/>
      <c r="GR47" s="285"/>
      <c r="GS47" s="285"/>
      <c r="GT47" s="285"/>
      <c r="GU47" s="285"/>
      <c r="GV47" s="285"/>
      <c r="GW47" s="285"/>
      <c r="GX47" s="285"/>
      <c r="GY47" s="285"/>
      <c r="GZ47" s="285"/>
      <c r="HA47" s="285"/>
      <c r="HB47" s="285"/>
      <c r="HC47" s="285"/>
      <c r="HD47" s="285"/>
      <c r="HE47" s="285"/>
      <c r="HF47" s="285"/>
      <c r="HG47" s="285"/>
      <c r="HH47" s="285"/>
      <c r="HI47" s="285"/>
      <c r="HJ47" s="285"/>
      <c r="HK47" s="285"/>
      <c r="HL47" s="285"/>
      <c r="HM47" s="285"/>
      <c r="HN47" s="285"/>
      <c r="HO47" s="285"/>
      <c r="HP47" s="285"/>
      <c r="HQ47" s="285"/>
      <c r="HR47" s="285"/>
      <c r="HS47" s="285"/>
      <c r="HT47" s="285"/>
      <c r="HU47" s="285"/>
      <c r="HV47" s="285"/>
      <c r="HW47" s="285"/>
      <c r="HX47" s="285"/>
      <c r="HY47" s="285"/>
      <c r="HZ47" s="285"/>
      <c r="IA47" s="285"/>
      <c r="IB47" s="285"/>
      <c r="IC47" s="285"/>
      <c r="ID47" s="285"/>
      <c r="IE47" s="285"/>
      <c r="IF47" s="285"/>
      <c r="IG47" s="285"/>
      <c r="IH47" s="285"/>
      <c r="II47" s="285"/>
      <c r="IJ47" s="285"/>
      <c r="IK47" s="285"/>
      <c r="IL47" s="285"/>
      <c r="IM47" s="285"/>
      <c r="IN47" s="285"/>
      <c r="IO47" s="285"/>
      <c r="IP47" s="285"/>
      <c r="IQ47" s="285"/>
      <c r="IR47" s="285"/>
      <c r="IS47" s="285"/>
      <c r="IT47" s="285"/>
      <c r="IU47" s="285"/>
      <c r="IV47" s="285"/>
      <c r="IW47" s="285"/>
      <c r="IX47" s="285"/>
      <c r="IY47" s="285"/>
      <c r="IZ47" s="285"/>
      <c r="JA47" s="285"/>
      <c r="JB47" s="285"/>
      <c r="JC47" s="285"/>
      <c r="JD47" s="285"/>
      <c r="JE47" s="285"/>
      <c r="JF47" s="285"/>
      <c r="JG47" s="285"/>
      <c r="JH47" s="285"/>
      <c r="JI47" s="285"/>
      <c r="JJ47" s="285"/>
      <c r="JK47" s="285"/>
      <c r="JL47" s="285"/>
      <c r="JM47" s="285"/>
      <c r="JN47" s="285"/>
      <c r="JO47" s="285"/>
      <c r="JP47" s="285"/>
      <c r="JQ47" s="285"/>
      <c r="JR47" s="285"/>
      <c r="JS47" s="285"/>
      <c r="JT47" s="285"/>
      <c r="JU47" s="285"/>
      <c r="JV47" s="285"/>
      <c r="JW47" s="285"/>
      <c r="JX47" s="285"/>
      <c r="JY47" s="285"/>
      <c r="JZ47" s="285"/>
      <c r="KA47" s="285"/>
      <c r="KB47" s="285"/>
      <c r="KC47" s="285"/>
      <c r="KD47" s="285"/>
      <c r="KE47" s="285"/>
      <c r="KF47" s="285"/>
      <c r="KG47" s="285"/>
      <c r="KH47" s="285"/>
      <c r="KI47" s="285"/>
      <c r="KJ47" s="285"/>
      <c r="KK47" s="285"/>
      <c r="KL47" s="285"/>
      <c r="KM47" s="285"/>
      <c r="KN47" s="285"/>
      <c r="KO47" s="285"/>
      <c r="KP47" s="285"/>
      <c r="KQ47" s="285"/>
      <c r="KR47" s="298"/>
      <c r="KS47" s="285"/>
      <c r="KT47" s="285"/>
      <c r="KU47" s="268"/>
      <c r="KV47" s="288"/>
      <c r="KW47" s="288"/>
      <c r="OP47">
        <v>0.9</v>
      </c>
      <c r="OQ47">
        <v>0.9</v>
      </c>
      <c r="OR47">
        <v>0.9</v>
      </c>
      <c r="AES47" s="1304">
        <v>550</v>
      </c>
      <c r="AGF47" s="1304">
        <v>20</v>
      </c>
    </row>
    <row r="48" spans="1:957">
      <c r="A48" s="9">
        <v>44</v>
      </c>
      <c r="B48" s="733" t="s">
        <v>3694</v>
      </c>
      <c r="C48" s="658">
        <v>310819604</v>
      </c>
      <c r="D48" s="658"/>
      <c r="E48" s="658">
        <v>310819604</v>
      </c>
      <c r="F48" s="940">
        <v>0.75</v>
      </c>
      <c r="G48" s="75">
        <v>602798</v>
      </c>
      <c r="H48" s="944"/>
      <c r="I48" s="944"/>
      <c r="J48" s="944"/>
      <c r="K48" s="1308"/>
      <c r="L48" s="1308"/>
      <c r="M48" s="1308"/>
      <c r="N48" s="1308"/>
      <c r="O48" s="285"/>
      <c r="P48" s="285"/>
      <c r="Q48" s="285"/>
      <c r="R48" s="285"/>
      <c r="S48" s="285"/>
      <c r="T48" s="285"/>
      <c r="U48" s="285"/>
      <c r="V48" s="285"/>
      <c r="W48" s="285"/>
      <c r="X48" s="285"/>
      <c r="Y48" s="285"/>
      <c r="Z48" s="285"/>
      <c r="AA48" s="285"/>
      <c r="AB48" s="285"/>
      <c r="AC48" s="285"/>
      <c r="AD48" s="285">
        <v>0</v>
      </c>
      <c r="AE48" s="285"/>
      <c r="AF48" s="285">
        <v>0</v>
      </c>
      <c r="AG48" s="285"/>
      <c r="AH48" s="285">
        <v>0</v>
      </c>
      <c r="AI48" s="285"/>
      <c r="AJ48" s="285"/>
      <c r="AK48" s="285"/>
      <c r="AL48" s="285">
        <v>0</v>
      </c>
      <c r="AM48" s="285"/>
      <c r="AN48" s="285">
        <v>0</v>
      </c>
      <c r="AO48" s="285"/>
      <c r="AP48" s="285">
        <v>0</v>
      </c>
      <c r="AQ48" s="285"/>
      <c r="AR48" s="285">
        <v>0</v>
      </c>
      <c r="AS48" s="285"/>
      <c r="AT48" s="285">
        <v>0</v>
      </c>
      <c r="AU48" s="285"/>
      <c r="AV48" s="285">
        <v>0</v>
      </c>
      <c r="AW48" s="285"/>
      <c r="AX48" s="285">
        <v>0</v>
      </c>
      <c r="AY48" s="285"/>
      <c r="AZ48" s="285">
        <v>16.5</v>
      </c>
      <c r="BA48" s="285">
        <v>16.5</v>
      </c>
      <c r="BB48" s="285">
        <v>0</v>
      </c>
      <c r="BC48" s="285"/>
      <c r="BD48" s="285">
        <v>0</v>
      </c>
      <c r="BE48" s="285">
        <v>0</v>
      </c>
      <c r="BF48" s="285">
        <v>0</v>
      </c>
      <c r="BG48" s="285">
        <f>28-50</f>
        <v>-22</v>
      </c>
      <c r="BH48" s="285">
        <v>22</v>
      </c>
      <c r="BI48" s="285"/>
      <c r="BJ48" s="285">
        <v>22</v>
      </c>
      <c r="BK48" s="285">
        <v>-100</v>
      </c>
      <c r="BL48" s="285">
        <v>122</v>
      </c>
      <c r="BM48" s="285">
        <f>32+22+24+22+22</f>
        <v>122</v>
      </c>
      <c r="BN48" s="285">
        <v>0</v>
      </c>
      <c r="BO48" s="285"/>
      <c r="BP48" s="285">
        <v>0.8</v>
      </c>
      <c r="BQ48" s="285">
        <v>-74.900000000000006</v>
      </c>
      <c r="BR48" s="285">
        <v>75.8</v>
      </c>
      <c r="BS48" s="285">
        <f>24+22</f>
        <v>46</v>
      </c>
      <c r="BT48" s="285">
        <v>29.8</v>
      </c>
      <c r="BU48" s="285">
        <v>29</v>
      </c>
      <c r="BV48" s="285">
        <v>0.8</v>
      </c>
      <c r="BW48" s="285"/>
      <c r="BX48" s="285">
        <v>0.8</v>
      </c>
      <c r="BY48" s="285">
        <f>-100.2-97</f>
        <v>-197.2</v>
      </c>
      <c r="BZ48" s="285">
        <v>198.1</v>
      </c>
      <c r="CA48" s="285">
        <f>-100+33+22+33+22+22+33+22</f>
        <v>87</v>
      </c>
      <c r="CB48" s="285">
        <v>111.1</v>
      </c>
      <c r="CC48" s="285"/>
      <c r="CD48" s="285">
        <v>111.1</v>
      </c>
      <c r="CE48" s="285">
        <f>32+26</f>
        <v>58</v>
      </c>
      <c r="CF48" s="285">
        <v>53.1</v>
      </c>
      <c r="CG48" s="285">
        <v>25</v>
      </c>
      <c r="CH48" s="285">
        <v>28.1</v>
      </c>
      <c r="CI48" s="285">
        <f>-89+28</f>
        <v>-61</v>
      </c>
      <c r="CJ48" s="285">
        <v>89.1</v>
      </c>
      <c r="CK48" s="285">
        <v>20</v>
      </c>
      <c r="CL48" s="285">
        <v>69.099999999999994</v>
      </c>
      <c r="CM48" s="285"/>
      <c r="CN48" s="285">
        <v>69.099999999999994</v>
      </c>
      <c r="CO48" s="285"/>
      <c r="CP48" s="285">
        <v>69</v>
      </c>
      <c r="CQ48" s="285">
        <f>-73.7+23+33+24-100</f>
        <v>-93.7</v>
      </c>
      <c r="CR48" s="285">
        <v>162.69999999999999</v>
      </c>
      <c r="CS48" s="285">
        <f>24+20+24+24+24</f>
        <v>116</v>
      </c>
      <c r="CT48" s="285">
        <v>46.7</v>
      </c>
      <c r="CU48" s="285">
        <f>23+22+24+22-100</f>
        <v>-9</v>
      </c>
      <c r="CV48" s="285">
        <v>56</v>
      </c>
      <c r="CW48" s="285">
        <f>32+24</f>
        <v>56</v>
      </c>
      <c r="CX48" s="285"/>
      <c r="CY48" s="285"/>
      <c r="CZ48" s="285"/>
      <c r="DA48" s="285"/>
      <c r="DB48" s="285"/>
      <c r="DC48" s="285"/>
      <c r="DD48" s="285"/>
      <c r="DE48" s="285"/>
      <c r="DF48" s="285"/>
      <c r="DG48" s="285"/>
      <c r="DH48" s="285"/>
      <c r="DI48" s="285"/>
      <c r="DJ48" s="285"/>
      <c r="DK48" s="285"/>
      <c r="DL48" s="285"/>
      <c r="DM48" s="285"/>
      <c r="DN48" s="285"/>
      <c r="DO48" s="285"/>
      <c r="DP48" s="285"/>
      <c r="DQ48" s="285"/>
      <c r="DR48" s="285"/>
      <c r="DS48" s="285">
        <v>602798</v>
      </c>
      <c r="DT48" s="285"/>
      <c r="DU48" s="285"/>
      <c r="DV48" s="285"/>
      <c r="DW48" s="285"/>
      <c r="DX48" s="285"/>
      <c r="DY48" s="285"/>
      <c r="DZ48" s="285"/>
      <c r="EA48" s="285"/>
      <c r="EB48" s="285"/>
      <c r="EC48" s="285"/>
      <c r="ED48" s="285"/>
      <c r="EE48" s="285"/>
      <c r="EF48" s="285"/>
      <c r="EG48" s="285"/>
      <c r="EH48" s="285"/>
      <c r="EI48" s="285"/>
      <c r="EJ48" s="285"/>
      <c r="EK48" s="285"/>
      <c r="EL48" s="285"/>
      <c r="EM48" s="285"/>
      <c r="EN48" s="285"/>
      <c r="EO48" s="285"/>
      <c r="EP48" s="285"/>
      <c r="EQ48" s="285"/>
      <c r="ER48" s="285"/>
      <c r="ES48" s="285"/>
      <c r="ET48" s="285"/>
      <c r="EU48" s="285"/>
      <c r="EV48" s="285"/>
      <c r="EW48" s="285"/>
      <c r="EX48" s="285"/>
      <c r="EY48" s="285"/>
      <c r="EZ48" s="285"/>
      <c r="FA48" s="285"/>
      <c r="FB48" s="285"/>
      <c r="FC48" s="285"/>
      <c r="FD48" s="285"/>
      <c r="FE48" s="285"/>
      <c r="FF48" s="285"/>
      <c r="FG48" s="285"/>
      <c r="FH48" s="285"/>
      <c r="FI48" s="285"/>
      <c r="FJ48" s="285"/>
      <c r="FK48" s="285"/>
      <c r="FL48" s="285"/>
      <c r="FM48" s="285"/>
      <c r="FN48" s="285"/>
      <c r="FO48" s="285"/>
      <c r="FP48" s="285"/>
      <c r="FQ48" s="285"/>
      <c r="FR48" s="285"/>
      <c r="FS48" s="285"/>
      <c r="FT48" s="285"/>
      <c r="FU48" s="285"/>
      <c r="FV48" s="285"/>
      <c r="FW48" s="285"/>
      <c r="FX48" s="285"/>
      <c r="FY48" s="285"/>
      <c r="FZ48" s="285"/>
      <c r="GA48" s="285"/>
      <c r="GB48" s="285"/>
      <c r="GC48" s="285"/>
      <c r="GD48" s="285"/>
      <c r="GE48" s="285"/>
      <c r="GF48" s="285"/>
      <c r="GG48" s="285"/>
      <c r="GH48" s="285"/>
      <c r="GI48" s="285"/>
      <c r="GJ48" s="285"/>
      <c r="GK48" s="285"/>
      <c r="GL48" s="285"/>
      <c r="GM48" s="285"/>
      <c r="GN48" s="285"/>
      <c r="GO48" s="285"/>
      <c r="GP48" s="285"/>
      <c r="GQ48" s="285"/>
      <c r="GR48" s="285"/>
      <c r="GS48" s="285"/>
      <c r="GT48" s="285"/>
      <c r="GU48" s="285"/>
      <c r="GV48" s="285"/>
      <c r="GW48" s="285"/>
      <c r="GX48" s="285"/>
      <c r="GY48" s="285"/>
      <c r="GZ48" s="285"/>
      <c r="HA48" s="285"/>
      <c r="HB48" s="285"/>
      <c r="HC48" s="285"/>
      <c r="HD48" s="285"/>
      <c r="HE48" s="285"/>
      <c r="HF48" s="285"/>
      <c r="HG48" s="285"/>
      <c r="HH48" s="285"/>
      <c r="HI48" s="285"/>
      <c r="HJ48" s="285"/>
      <c r="HK48" s="285"/>
      <c r="HL48" s="285"/>
      <c r="HM48" s="285"/>
      <c r="HN48" s="285"/>
      <c r="HO48" s="285"/>
      <c r="HP48" s="285"/>
      <c r="HQ48" s="285"/>
      <c r="HR48" s="285"/>
      <c r="HS48" s="285"/>
      <c r="HT48" s="285"/>
      <c r="HU48" s="285"/>
      <c r="HV48" s="285"/>
      <c r="HW48" s="285"/>
      <c r="HX48" s="285"/>
      <c r="HY48" s="285"/>
      <c r="HZ48" s="285"/>
      <c r="IA48" s="285"/>
      <c r="IB48" s="285"/>
      <c r="IC48" s="285"/>
      <c r="ID48" s="285"/>
      <c r="IE48" s="285"/>
      <c r="IF48" s="285"/>
      <c r="IG48" s="285"/>
      <c r="IH48" s="285"/>
      <c r="II48" s="285"/>
      <c r="IJ48" s="285"/>
      <c r="IK48" s="285"/>
      <c r="IL48" s="285"/>
      <c r="IM48" s="285"/>
      <c r="IN48" s="285"/>
      <c r="IO48" s="285"/>
      <c r="IP48" s="285"/>
      <c r="IQ48" s="285"/>
      <c r="IR48" s="285"/>
      <c r="IS48" s="285"/>
      <c r="IT48" s="285"/>
      <c r="IU48" s="285"/>
      <c r="IV48" s="285"/>
      <c r="IW48" s="285"/>
      <c r="IX48" s="285"/>
      <c r="IY48" s="285"/>
      <c r="IZ48" s="285"/>
      <c r="JA48" s="285"/>
      <c r="JB48" s="285"/>
      <c r="JC48" s="285"/>
      <c r="JD48" s="285"/>
      <c r="JE48" s="285"/>
      <c r="JF48" s="285"/>
      <c r="JG48" s="285"/>
      <c r="JH48" s="285"/>
      <c r="JI48" s="285"/>
      <c r="JJ48" s="285"/>
      <c r="JK48" s="285"/>
      <c r="JL48" s="285"/>
      <c r="JM48" s="285"/>
      <c r="JN48" s="285"/>
      <c r="JO48" s="285"/>
      <c r="JP48" s="285"/>
      <c r="JQ48" s="285"/>
      <c r="JR48" s="285"/>
      <c r="JS48" s="285"/>
      <c r="JT48" s="285"/>
      <c r="JU48" s="285"/>
      <c r="JV48" s="285"/>
      <c r="JW48" s="285"/>
      <c r="JX48" s="285"/>
      <c r="JY48" s="285"/>
      <c r="JZ48" s="285"/>
      <c r="KA48" s="285"/>
      <c r="KB48" s="285"/>
      <c r="KC48" s="285"/>
      <c r="KD48" s="285"/>
      <c r="KE48" s="285"/>
      <c r="KF48" s="285"/>
      <c r="KG48" s="285"/>
      <c r="KH48" s="285"/>
      <c r="KI48" s="285"/>
      <c r="KJ48" s="285"/>
      <c r="KK48" s="285"/>
      <c r="KL48" s="285"/>
      <c r="KM48" s="285"/>
      <c r="KN48" s="285"/>
      <c r="KO48" s="285"/>
      <c r="KP48" s="285"/>
      <c r="KQ48" s="285"/>
      <c r="KR48" s="298"/>
      <c r="KS48" s="285"/>
      <c r="KT48" s="285"/>
      <c r="KU48" s="268"/>
      <c r="KV48" s="288"/>
      <c r="KW48" s="288"/>
      <c r="AES48" s="1304">
        <v>54</v>
      </c>
      <c r="AGF48" s="1304">
        <v>5.5</v>
      </c>
    </row>
    <row r="49" spans="1:864">
      <c r="A49" s="9">
        <v>45</v>
      </c>
      <c r="B49" s="74" t="s">
        <v>4152</v>
      </c>
      <c r="C49" s="74">
        <v>310842728</v>
      </c>
      <c r="D49" s="906" t="s">
        <v>6925</v>
      </c>
      <c r="E49" s="74">
        <v>310842728</v>
      </c>
      <c r="F49" s="940">
        <v>0.99</v>
      </c>
      <c r="G49" s="2514">
        <v>385732</v>
      </c>
      <c r="H49" s="944"/>
      <c r="I49" s="944"/>
      <c r="J49" s="944"/>
      <c r="K49" s="1308"/>
      <c r="L49" s="1308"/>
      <c r="M49" s="1308"/>
      <c r="N49" s="1308"/>
      <c r="O49" s="298"/>
      <c r="P49" s="298"/>
      <c r="Q49" s="298"/>
      <c r="R49" s="268"/>
      <c r="S49" s="1308"/>
      <c r="T49" s="1308"/>
      <c r="U49" s="1308"/>
      <c r="V49" s="268"/>
      <c r="W49" s="298"/>
      <c r="X49" s="298">
        <v>22</v>
      </c>
      <c r="Y49" s="925"/>
      <c r="Z49" s="925"/>
      <c r="AA49" s="925"/>
      <c r="AB49" s="925"/>
      <c r="AC49" s="925"/>
      <c r="AD49" s="925">
        <v>0</v>
      </c>
      <c r="AE49" s="925"/>
      <c r="AF49" s="925">
        <v>0</v>
      </c>
      <c r="AG49" s="925"/>
      <c r="AH49" s="925">
        <v>0</v>
      </c>
      <c r="AI49" s="925"/>
      <c r="AJ49" s="925"/>
      <c r="AK49" s="925"/>
      <c r="AL49" s="925">
        <v>0</v>
      </c>
      <c r="AM49" s="925"/>
      <c r="AN49" s="925">
        <v>0</v>
      </c>
      <c r="AO49" s="925"/>
      <c r="AP49" s="285">
        <v>0</v>
      </c>
      <c r="AQ49" s="285"/>
      <c r="AR49" s="285">
        <v>0</v>
      </c>
      <c r="AS49" s="285"/>
      <c r="AT49" s="285">
        <v>0</v>
      </c>
      <c r="AU49" s="285"/>
      <c r="AV49" s="285">
        <v>0</v>
      </c>
      <c r="AW49" s="285"/>
      <c r="AX49" s="285">
        <v>0</v>
      </c>
      <c r="AY49" s="285"/>
      <c r="AZ49" s="285">
        <v>20</v>
      </c>
      <c r="BA49" s="285">
        <v>20</v>
      </c>
      <c r="BB49" s="285">
        <v>0</v>
      </c>
      <c r="BC49" s="285"/>
      <c r="BD49" s="285">
        <v>0</v>
      </c>
      <c r="BE49" s="285">
        <v>0</v>
      </c>
      <c r="BF49" s="285">
        <v>0</v>
      </c>
      <c r="BG49" s="285">
        <f>-24.5+24</f>
        <v>-0.5</v>
      </c>
      <c r="BH49" s="285">
        <v>0.5</v>
      </c>
      <c r="BI49" s="285">
        <v>-78</v>
      </c>
      <c r="BJ49" s="285">
        <v>78.5</v>
      </c>
      <c r="BK49" s="285"/>
      <c r="BL49" s="285">
        <v>78.5</v>
      </c>
      <c r="BM49" s="285">
        <f>24+22+22</f>
        <v>68</v>
      </c>
      <c r="BN49" s="285">
        <v>10.5</v>
      </c>
      <c r="BO49" s="285">
        <v>-100</v>
      </c>
      <c r="BP49" s="285">
        <v>110.5</v>
      </c>
      <c r="BQ49" s="285">
        <v>22</v>
      </c>
      <c r="BR49" s="285">
        <v>88.6</v>
      </c>
      <c r="BS49" s="285">
        <v>-100</v>
      </c>
      <c r="BT49" s="285">
        <v>188.6</v>
      </c>
      <c r="BU49" s="285">
        <v>30</v>
      </c>
      <c r="BV49" s="285">
        <v>158.6</v>
      </c>
      <c r="BW49" s="285"/>
      <c r="BX49" s="285">
        <v>158.6</v>
      </c>
      <c r="BY49" s="285">
        <f>32+24+33</f>
        <v>89</v>
      </c>
      <c r="BZ49" s="285">
        <v>69.599999999999994</v>
      </c>
      <c r="CA49" s="285">
        <f>-100+30-51.1-25</f>
        <v>-146.1</v>
      </c>
      <c r="CB49" s="285">
        <v>215.7</v>
      </c>
      <c r="CC49" s="285">
        <f>33+33+24+25+33</f>
        <v>148</v>
      </c>
      <c r="CD49" s="285">
        <v>67.7</v>
      </c>
      <c r="CE49" s="285">
        <f>-100+33+33</f>
        <v>-34</v>
      </c>
      <c r="CF49" s="285">
        <v>101.7</v>
      </c>
      <c r="CG49" s="285">
        <f>22+22.2+24+33</f>
        <v>101.2</v>
      </c>
      <c r="CH49" s="285">
        <v>0.5</v>
      </c>
      <c r="CI49" s="285">
        <v>-67</v>
      </c>
      <c r="CJ49" s="285">
        <f>34.5+33</f>
        <v>67.5</v>
      </c>
      <c r="CK49" s="285">
        <f>23-25+23+33</f>
        <v>54</v>
      </c>
      <c r="CL49" s="285">
        <v>13.5</v>
      </c>
      <c r="CM49" s="285">
        <v>-100.3</v>
      </c>
      <c r="CN49" s="285">
        <v>113.8</v>
      </c>
      <c r="CO49" s="285">
        <f>24+33</f>
        <v>57</v>
      </c>
      <c r="CP49" s="285">
        <v>56.8</v>
      </c>
      <c r="CQ49" s="285">
        <v>24</v>
      </c>
      <c r="CR49" s="285">
        <v>32.799999999999997</v>
      </c>
      <c r="CS49" s="285">
        <v>32.799999999999997</v>
      </c>
      <c r="CT49" s="285"/>
      <c r="CU49" s="285"/>
      <c r="CV49" s="285"/>
      <c r="CW49" s="285"/>
      <c r="CX49" s="285"/>
      <c r="CY49" s="285"/>
      <c r="CZ49" s="285"/>
      <c r="DA49" s="285"/>
      <c r="DB49" s="285"/>
      <c r="DC49" s="285"/>
      <c r="DD49" s="285"/>
      <c r="DE49" s="285"/>
      <c r="DF49" s="285"/>
      <c r="DG49" s="285"/>
      <c r="DH49" s="285"/>
      <c r="DI49" s="285"/>
      <c r="DJ49" s="285"/>
      <c r="DK49" s="285"/>
      <c r="DL49" s="285"/>
      <c r="DM49" s="285"/>
      <c r="DN49" s="285"/>
      <c r="DO49" s="285"/>
      <c r="DP49" s="285"/>
      <c r="DQ49" s="285"/>
      <c r="DR49" s="285"/>
      <c r="DS49" s="285">
        <v>612156</v>
      </c>
      <c r="DT49" s="285"/>
      <c r="DU49" s="285"/>
      <c r="DV49" s="285"/>
      <c r="DW49" s="285"/>
      <c r="DX49" s="285"/>
      <c r="DY49" s="285"/>
      <c r="DZ49" s="285"/>
      <c r="EA49" s="285"/>
      <c r="EB49" s="285"/>
      <c r="EC49" s="285"/>
      <c r="ED49" s="285"/>
      <c r="EE49" s="285"/>
      <c r="EF49" s="285"/>
      <c r="EG49" s="285"/>
      <c r="EH49" s="285"/>
      <c r="EI49" s="285"/>
      <c r="EJ49" s="285"/>
      <c r="EK49" s="285"/>
      <c r="EL49" s="285"/>
      <c r="EM49" s="285"/>
      <c r="EN49" s="285"/>
      <c r="EO49" s="285"/>
      <c r="EP49" s="285"/>
      <c r="EQ49" s="285"/>
      <c r="ER49" s="285"/>
      <c r="ES49" s="285"/>
      <c r="ET49" s="285"/>
      <c r="EU49" s="285"/>
      <c r="EV49" s="285"/>
      <c r="EW49" s="285"/>
      <c r="EX49" s="285"/>
      <c r="EY49" s="285"/>
      <c r="EZ49" s="285"/>
      <c r="FA49" s="285"/>
      <c r="FB49" s="285"/>
      <c r="FC49" s="285"/>
      <c r="FD49" s="285"/>
      <c r="FE49" s="285"/>
      <c r="FF49" s="285"/>
      <c r="FG49" s="285"/>
      <c r="FH49" s="285"/>
      <c r="FI49" s="285"/>
      <c r="FJ49" s="285"/>
      <c r="FK49" s="285"/>
      <c r="FL49" s="285"/>
      <c r="FM49" s="285"/>
      <c r="FN49" s="285"/>
      <c r="FO49" s="285"/>
      <c r="FP49" s="285"/>
      <c r="FQ49" s="285"/>
      <c r="FR49" s="285"/>
      <c r="FS49" s="285"/>
      <c r="FT49" s="285"/>
      <c r="FU49" s="285"/>
      <c r="FV49" s="285"/>
      <c r="FW49" s="285"/>
      <c r="FX49" s="285"/>
      <c r="FY49" s="285"/>
      <c r="FZ49" s="285"/>
      <c r="GA49" s="285"/>
      <c r="GB49" s="285"/>
      <c r="GC49" s="285"/>
      <c r="GD49" s="285"/>
      <c r="GE49" s="285"/>
      <c r="GF49" s="285"/>
      <c r="GG49" s="285"/>
      <c r="GH49" s="285"/>
      <c r="GI49" s="285"/>
      <c r="GJ49" s="285"/>
      <c r="GK49" s="285"/>
      <c r="GL49" s="285"/>
      <c r="GM49" s="285"/>
      <c r="GN49" s="285"/>
      <c r="GO49" s="285"/>
      <c r="GP49" s="285"/>
      <c r="GQ49" s="285"/>
      <c r="GR49" s="285"/>
      <c r="GS49" s="285"/>
      <c r="GT49" s="285"/>
      <c r="GU49" s="285"/>
      <c r="GV49" s="285"/>
      <c r="GW49" s="285"/>
      <c r="GX49" s="285"/>
      <c r="GY49" s="285"/>
      <c r="GZ49" s="285"/>
      <c r="HA49" s="285"/>
      <c r="HB49" s="285"/>
      <c r="HC49" s="285"/>
      <c r="HD49" s="285"/>
      <c r="HE49" s="285"/>
      <c r="HF49" s="285"/>
      <c r="HG49" s="285"/>
      <c r="HH49" s="285"/>
      <c r="HI49" s="285"/>
      <c r="HJ49" s="285"/>
      <c r="HK49" s="285"/>
      <c r="HL49" s="285"/>
      <c r="HM49" s="285"/>
      <c r="HN49" s="285"/>
      <c r="HO49" s="285"/>
      <c r="HP49" s="285"/>
      <c r="HQ49" s="285"/>
      <c r="HR49" s="285"/>
      <c r="HS49" s="285"/>
      <c r="HT49" s="285"/>
      <c r="HU49" s="285"/>
      <c r="HV49" s="285"/>
      <c r="HW49" s="285"/>
      <c r="HX49" s="285"/>
      <c r="HY49" s="285"/>
      <c r="HZ49" s="285"/>
      <c r="IA49" s="285"/>
      <c r="IB49" s="285"/>
      <c r="IC49" s="285"/>
      <c r="ID49" s="285"/>
      <c r="IE49" s="285"/>
      <c r="IF49" s="285"/>
      <c r="IG49" s="285"/>
      <c r="IH49" s="285"/>
      <c r="II49" s="285"/>
      <c r="IJ49" s="285"/>
      <c r="IK49" s="285"/>
      <c r="IL49" s="285"/>
      <c r="IM49" s="285"/>
      <c r="IN49" s="285"/>
      <c r="IO49" s="285"/>
      <c r="IP49" s="285"/>
      <c r="IQ49" s="285"/>
      <c r="IR49" s="285"/>
      <c r="IS49" s="285"/>
      <c r="IT49" s="285"/>
      <c r="IU49" s="285"/>
      <c r="IV49" s="285"/>
      <c r="IW49" s="285"/>
      <c r="IX49" s="285"/>
      <c r="IY49" s="285"/>
      <c r="IZ49" s="285"/>
      <c r="JA49" s="285"/>
      <c r="JB49" s="285"/>
      <c r="JC49" s="285"/>
      <c r="JD49" s="285"/>
      <c r="JE49" s="285"/>
      <c r="JF49" s="285"/>
      <c r="JG49" s="285"/>
      <c r="JH49" s="285"/>
      <c r="JI49" s="285"/>
      <c r="JJ49" s="285"/>
      <c r="JK49" s="285"/>
      <c r="JL49" s="285"/>
      <c r="JM49" s="285"/>
      <c r="JN49" s="285"/>
      <c r="JO49" s="285"/>
      <c r="JP49" s="285"/>
      <c r="JQ49" s="285"/>
      <c r="JR49" s="285"/>
      <c r="JS49" s="285"/>
      <c r="JT49" s="285"/>
      <c r="JU49" s="285"/>
      <c r="JV49" s="285"/>
      <c r="JW49" s="285"/>
      <c r="JX49" s="285"/>
      <c r="JY49" s="285"/>
      <c r="JZ49" s="285"/>
      <c r="KA49" s="285"/>
      <c r="KB49" s="285"/>
      <c r="KC49" s="285"/>
      <c r="KD49" s="285"/>
      <c r="KE49" s="285"/>
      <c r="KF49" s="285"/>
      <c r="KG49" s="285"/>
      <c r="KH49" s="285"/>
      <c r="KI49" s="285"/>
      <c r="KJ49" s="285"/>
      <c r="KK49" s="285"/>
      <c r="KL49" s="285"/>
      <c r="KM49" s="285"/>
      <c r="KN49" s="285"/>
      <c r="KO49" s="285"/>
      <c r="KP49" s="285"/>
      <c r="KQ49" s="285"/>
      <c r="KR49" s="298"/>
      <c r="KS49" s="285"/>
      <c r="KT49" s="285"/>
      <c r="KU49" s="268"/>
      <c r="KV49" s="288"/>
      <c r="KW49" s="288"/>
      <c r="AES49" s="1304">
        <v>1600</v>
      </c>
      <c r="AGF49" s="1304">
        <v>5</v>
      </c>
    </row>
    <row r="50" spans="1:864">
      <c r="A50" s="9">
        <v>46</v>
      </c>
      <c r="B50" s="74" t="s">
        <v>4228</v>
      </c>
      <c r="C50" s="74">
        <v>310878208</v>
      </c>
      <c r="D50" s="906" t="s">
        <v>6925</v>
      </c>
      <c r="E50" s="74">
        <v>310878208</v>
      </c>
      <c r="F50" s="922">
        <v>0</v>
      </c>
      <c r="G50" s="2514">
        <v>847772</v>
      </c>
      <c r="H50" s="944"/>
      <c r="I50" s="944"/>
      <c r="J50" s="944"/>
      <c r="K50" s="1308"/>
      <c r="L50" s="1308"/>
      <c r="M50" s="1308"/>
      <c r="N50" s="1308"/>
      <c r="O50" s="298"/>
      <c r="P50" s="298"/>
      <c r="Q50" s="298"/>
      <c r="R50" s="268"/>
      <c r="S50" s="1308"/>
      <c r="T50" s="1308"/>
      <c r="U50" s="1308"/>
      <c r="V50" s="268"/>
      <c r="W50" s="298"/>
      <c r="X50" s="298"/>
      <c r="Y50" s="268"/>
      <c r="Z50" s="268"/>
      <c r="AA50" s="1308"/>
      <c r="AB50" s="268"/>
      <c r="AC50" s="268"/>
      <c r="AD50" s="268">
        <v>0</v>
      </c>
      <c r="AE50" s="268"/>
      <c r="AF50" s="268">
        <v>0</v>
      </c>
      <c r="AG50" s="268"/>
      <c r="AH50" s="268">
        <v>0</v>
      </c>
      <c r="AI50" s="268"/>
      <c r="AJ50" s="268">
        <v>0</v>
      </c>
      <c r="AK50" s="268"/>
      <c r="AL50" s="268">
        <v>0</v>
      </c>
      <c r="AM50" s="268"/>
      <c r="AN50" s="268">
        <v>0</v>
      </c>
      <c r="AO50" s="268">
        <v>-25</v>
      </c>
      <c r="AP50" s="285">
        <v>25</v>
      </c>
      <c r="AQ50" s="285">
        <v>25</v>
      </c>
      <c r="AR50" s="285">
        <v>0</v>
      </c>
      <c r="AS50" s="285"/>
      <c r="AT50" s="285">
        <v>0</v>
      </c>
      <c r="AU50" s="285"/>
      <c r="AV50" s="285">
        <v>0</v>
      </c>
      <c r="AW50" s="285"/>
      <c r="AX50" s="285">
        <v>0</v>
      </c>
      <c r="AY50" s="285"/>
      <c r="AZ50" s="285">
        <v>42.1</v>
      </c>
      <c r="BA50" s="285">
        <f>20+22</f>
        <v>42</v>
      </c>
      <c r="BB50" s="285">
        <v>0.1</v>
      </c>
      <c r="BC50" s="285">
        <v>-89</v>
      </c>
      <c r="BD50" s="285">
        <v>89.1</v>
      </c>
      <c r="BE50" s="285">
        <f>-94+33+24+32</f>
        <v>-5</v>
      </c>
      <c r="BF50" s="285">
        <v>94.1</v>
      </c>
      <c r="BG50" s="285">
        <v>-100</v>
      </c>
      <c r="BH50" s="285">
        <v>194.1</v>
      </c>
      <c r="BI50" s="285"/>
      <c r="BJ50" s="285">
        <v>194.1</v>
      </c>
      <c r="BK50" s="285">
        <v>0</v>
      </c>
      <c r="BL50" s="285">
        <v>194.1</v>
      </c>
      <c r="BM50" s="285">
        <f>-100+22+22</f>
        <v>-56</v>
      </c>
      <c r="BN50" s="285">
        <v>250.1</v>
      </c>
      <c r="BO50" s="285">
        <v>22</v>
      </c>
      <c r="BP50" s="285">
        <v>228.1</v>
      </c>
      <c r="BQ50" s="285"/>
      <c r="BR50" s="285">
        <v>228.1</v>
      </c>
      <c r="BS50" s="285">
        <f>24+22+22+32.5+28.5+28.5+22+24</f>
        <v>203.5</v>
      </c>
      <c r="BT50" s="285">
        <v>24.6</v>
      </c>
      <c r="BU50" s="285">
        <v>-100</v>
      </c>
      <c r="BV50" s="285">
        <v>124.6</v>
      </c>
      <c r="BW50" s="285">
        <f>-100.25-100+33+22+22+16+22</f>
        <v>-85.25</v>
      </c>
      <c r="BX50" s="285">
        <v>209.8</v>
      </c>
      <c r="BY50" s="285">
        <f>-30+33+24+21+26+22+24</f>
        <v>120</v>
      </c>
      <c r="BZ50" s="285">
        <v>89.9</v>
      </c>
      <c r="CA50" s="285">
        <f>26.9+30</f>
        <v>56.9</v>
      </c>
      <c r="CB50" s="285">
        <v>33</v>
      </c>
      <c r="CC50" s="285">
        <v>33</v>
      </c>
      <c r="CD50" s="285">
        <v>0</v>
      </c>
      <c r="CE50" s="285">
        <v>-143</v>
      </c>
      <c r="CF50" s="285">
        <v>143</v>
      </c>
      <c r="CG50" s="285">
        <f>24+24+29+33+33</f>
        <v>143</v>
      </c>
      <c r="CH50" s="285">
        <v>0</v>
      </c>
      <c r="CI50" s="285"/>
      <c r="CJ50" s="285">
        <v>0</v>
      </c>
      <c r="CK50" s="285"/>
      <c r="CL50" s="285"/>
      <c r="CM50" s="285"/>
      <c r="CN50" s="285"/>
      <c r="CO50" s="285"/>
      <c r="CP50" s="285"/>
      <c r="CQ50" s="285"/>
      <c r="CR50" s="285"/>
      <c r="CS50" s="285"/>
      <c r="CT50" s="285"/>
      <c r="CU50" s="285"/>
      <c r="CV50" s="285"/>
      <c r="CW50" s="285"/>
      <c r="CX50" s="285"/>
      <c r="CY50" s="285"/>
      <c r="CZ50" s="285"/>
      <c r="DA50" s="285"/>
      <c r="DB50" s="285"/>
      <c r="DC50" s="285"/>
      <c r="DD50" s="285"/>
      <c r="DE50" s="285"/>
      <c r="DF50" s="285"/>
      <c r="DG50" s="285"/>
      <c r="DH50" s="285"/>
      <c r="DI50" s="285"/>
      <c r="DJ50" s="285"/>
      <c r="DK50" s="285"/>
      <c r="DL50" s="285"/>
      <c r="DM50" s="285"/>
      <c r="DN50" s="285"/>
      <c r="DO50" s="285"/>
      <c r="DP50" s="285"/>
      <c r="DQ50" s="285"/>
      <c r="DR50" s="285"/>
      <c r="DS50" s="285"/>
      <c r="DT50" s="285"/>
      <c r="DU50" s="285"/>
      <c r="DV50" s="285"/>
      <c r="DW50" s="285"/>
      <c r="DX50" s="285"/>
      <c r="DY50" s="285"/>
      <c r="DZ50" s="285"/>
      <c r="EA50" s="285"/>
      <c r="EB50" s="285"/>
      <c r="EC50" s="285"/>
      <c r="ED50" s="285"/>
      <c r="EE50" s="285"/>
      <c r="EF50" s="285"/>
      <c r="EG50" s="285"/>
      <c r="EH50" s="285"/>
      <c r="EI50" s="285"/>
      <c r="EJ50" s="285"/>
      <c r="EK50" s="285"/>
      <c r="EL50" s="285"/>
      <c r="EM50" s="285"/>
      <c r="EN50" s="285"/>
      <c r="EO50" s="285"/>
      <c r="EP50" s="285"/>
      <c r="EQ50" s="285"/>
      <c r="ER50" s="285"/>
      <c r="ES50" s="285"/>
      <c r="ET50" s="285"/>
      <c r="EU50" s="285"/>
      <c r="EV50" s="285"/>
      <c r="EW50" s="285"/>
      <c r="EX50" s="285"/>
      <c r="EY50" s="285"/>
      <c r="EZ50" s="285"/>
      <c r="FA50" s="285"/>
      <c r="FB50" s="285"/>
      <c r="FC50" s="285"/>
      <c r="FD50" s="285"/>
      <c r="FE50" s="285"/>
      <c r="FF50" s="285"/>
      <c r="FG50" s="285"/>
      <c r="FH50" s="285"/>
      <c r="FI50" s="285"/>
      <c r="FJ50" s="285"/>
      <c r="FK50" s="285"/>
      <c r="FL50" s="285"/>
      <c r="FM50" s="285"/>
      <c r="FN50" s="285"/>
      <c r="FO50" s="285"/>
      <c r="FP50" s="285"/>
      <c r="FQ50" s="285"/>
      <c r="FR50" s="285"/>
      <c r="FS50" s="285"/>
      <c r="FT50" s="285"/>
      <c r="FU50" s="285"/>
      <c r="FV50" s="285"/>
      <c r="FW50" s="285"/>
      <c r="FX50" s="285"/>
      <c r="FY50" s="285"/>
      <c r="FZ50" s="285"/>
      <c r="GA50" s="285"/>
      <c r="GB50" s="285"/>
      <c r="GC50" s="285"/>
      <c r="GD50" s="285"/>
      <c r="GE50" s="285"/>
      <c r="GF50" s="285"/>
      <c r="GG50" s="285"/>
      <c r="GH50" s="285"/>
      <c r="GI50" s="285"/>
      <c r="GJ50" s="285"/>
      <c r="GK50" s="285"/>
      <c r="GL50" s="285"/>
      <c r="GM50" s="285"/>
      <c r="GN50" s="285"/>
      <c r="GO50" s="285"/>
      <c r="GP50" s="285"/>
      <c r="GQ50" s="285"/>
      <c r="GR50" s="285"/>
      <c r="GS50" s="285"/>
      <c r="GT50" s="285"/>
      <c r="GU50" s="285"/>
      <c r="GV50" s="285"/>
      <c r="GW50" s="285"/>
      <c r="GX50" s="285"/>
      <c r="GY50" s="285"/>
      <c r="GZ50" s="285"/>
      <c r="HA50" s="285"/>
      <c r="HB50" s="285"/>
      <c r="HC50" s="285"/>
      <c r="HD50" s="285"/>
      <c r="HE50" s="285"/>
      <c r="HF50" s="285"/>
      <c r="HG50" s="285"/>
      <c r="HH50" s="285"/>
      <c r="HI50" s="285"/>
      <c r="HJ50" s="285"/>
      <c r="HK50" s="285"/>
      <c r="HL50" s="285"/>
      <c r="HM50" s="285"/>
      <c r="HN50" s="285"/>
      <c r="HO50" s="285"/>
      <c r="HP50" s="285"/>
      <c r="HQ50" s="285"/>
      <c r="HR50" s="285"/>
      <c r="HS50" s="285"/>
      <c r="HT50" s="285"/>
      <c r="HU50" s="285"/>
      <c r="HV50" s="285"/>
      <c r="HW50" s="285"/>
      <c r="HX50" s="285"/>
      <c r="HY50" s="285"/>
      <c r="HZ50" s="285"/>
      <c r="IA50" s="285"/>
      <c r="IB50" s="285"/>
      <c r="IC50" s="285"/>
      <c r="ID50" s="285"/>
      <c r="IE50" s="285"/>
      <c r="IF50" s="285"/>
      <c r="IG50" s="285"/>
      <c r="IH50" s="285"/>
      <c r="II50" s="285"/>
      <c r="IJ50" s="285"/>
      <c r="IK50" s="285"/>
      <c r="IL50" s="285"/>
      <c r="IM50" s="285"/>
      <c r="IN50" s="285"/>
      <c r="IO50" s="285"/>
      <c r="IP50" s="285"/>
      <c r="IQ50" s="285"/>
      <c r="IR50" s="285"/>
      <c r="IS50" s="285"/>
      <c r="IT50" s="285"/>
      <c r="IU50" s="285"/>
      <c r="IV50" s="285"/>
      <c r="IW50" s="285"/>
      <c r="IX50" s="285"/>
      <c r="IY50" s="285"/>
      <c r="IZ50" s="285"/>
      <c r="JA50" s="285"/>
      <c r="JB50" s="285"/>
      <c r="JC50" s="285"/>
      <c r="JD50" s="285"/>
      <c r="JE50" s="285"/>
      <c r="JF50" s="285"/>
      <c r="JG50" s="285"/>
      <c r="JH50" s="285"/>
      <c r="JI50" s="285"/>
      <c r="JJ50" s="285"/>
      <c r="JK50" s="285"/>
      <c r="JL50" s="285"/>
      <c r="JM50" s="285"/>
      <c r="JN50" s="285"/>
      <c r="JO50" s="285"/>
      <c r="JP50" s="285"/>
      <c r="JQ50" s="285"/>
      <c r="JR50" s="285"/>
      <c r="JS50" s="285"/>
      <c r="JT50" s="285"/>
      <c r="JU50" s="285"/>
      <c r="JV50" s="285"/>
      <c r="JW50" s="285"/>
      <c r="JX50" s="285"/>
      <c r="JY50" s="285"/>
      <c r="JZ50" s="285"/>
      <c r="KA50" s="285"/>
      <c r="KB50" s="285"/>
      <c r="KC50" s="285"/>
      <c r="KD50" s="285"/>
      <c r="KE50" s="285"/>
      <c r="KF50" s="285"/>
      <c r="KG50" s="285"/>
      <c r="KH50" s="285"/>
      <c r="KI50" s="285"/>
      <c r="KJ50" s="285"/>
      <c r="KK50" s="285"/>
      <c r="KL50" s="285"/>
      <c r="KM50" s="285"/>
      <c r="KN50" s="285"/>
      <c r="KO50" s="285"/>
      <c r="KP50" s="285"/>
      <c r="KQ50" s="285"/>
      <c r="KR50" s="298"/>
      <c r="KS50" s="285"/>
      <c r="KT50" s="285"/>
      <c r="KU50" s="268"/>
      <c r="KV50" s="288"/>
      <c r="KW50" s="288"/>
      <c r="AES50" s="1304">
        <v>550</v>
      </c>
      <c r="AGF50" s="1304">
        <v>4</v>
      </c>
    </row>
    <row r="51" spans="1:864">
      <c r="A51" s="9">
        <v>47</v>
      </c>
      <c r="B51" s="74" t="s">
        <v>4268</v>
      </c>
      <c r="C51" s="74">
        <v>310888384</v>
      </c>
      <c r="D51" s="906" t="s">
        <v>6925</v>
      </c>
      <c r="E51" s="74">
        <v>310888384</v>
      </c>
      <c r="F51" s="74">
        <v>0</v>
      </c>
      <c r="G51" s="2514">
        <v>416844</v>
      </c>
      <c r="H51" s="944"/>
      <c r="I51" s="944"/>
      <c r="J51" s="944"/>
      <c r="K51" s="1308"/>
      <c r="L51" s="1308"/>
      <c r="M51" s="1308"/>
      <c r="N51" s="1308"/>
      <c r="O51" s="298"/>
      <c r="P51" s="298"/>
      <c r="Q51" s="298"/>
      <c r="R51" s="268"/>
      <c r="S51" s="1308"/>
      <c r="T51" s="1308"/>
      <c r="U51" s="1308"/>
      <c r="V51" s="268"/>
      <c r="W51" s="298"/>
      <c r="X51" s="298"/>
      <c r="Y51" s="298">
        <v>0</v>
      </c>
      <c r="Z51" s="298"/>
      <c r="AA51" s="298"/>
      <c r="AB51" s="298"/>
      <c r="AC51" s="298"/>
      <c r="AD51" s="298">
        <v>0</v>
      </c>
      <c r="AE51" s="298"/>
      <c r="AF51" s="298">
        <v>0</v>
      </c>
      <c r="AG51" s="298"/>
      <c r="AH51" s="298">
        <v>0</v>
      </c>
      <c r="AI51" s="298"/>
      <c r="AJ51" s="298">
        <v>0</v>
      </c>
      <c r="AK51" s="298"/>
      <c r="AL51" s="298">
        <v>0</v>
      </c>
      <c r="AM51" s="298"/>
      <c r="AN51" s="298">
        <v>0</v>
      </c>
      <c r="AO51" s="298"/>
      <c r="AP51" s="285">
        <v>0</v>
      </c>
      <c r="AQ51" s="285"/>
      <c r="AR51" s="285">
        <v>0</v>
      </c>
      <c r="AS51" s="285"/>
      <c r="AT51" s="285">
        <v>0</v>
      </c>
      <c r="AU51" s="285"/>
      <c r="AV51" s="285">
        <v>0</v>
      </c>
      <c r="AW51" s="285"/>
      <c r="AX51" s="285">
        <v>20.7</v>
      </c>
      <c r="AY51" s="285"/>
      <c r="AZ51" s="285">
        <v>20.7</v>
      </c>
      <c r="BA51" s="285">
        <v>20</v>
      </c>
      <c r="BB51" s="285">
        <v>0.7</v>
      </c>
      <c r="BC51" s="285">
        <v>0.7</v>
      </c>
      <c r="BD51" s="285">
        <v>0.7</v>
      </c>
      <c r="BE51" s="285"/>
      <c r="BF51" s="285">
        <v>0.7</v>
      </c>
      <c r="BG51" s="285"/>
      <c r="BH51" s="285">
        <v>0.7</v>
      </c>
      <c r="BI51" s="285">
        <v>-98</v>
      </c>
      <c r="BJ51" s="285">
        <v>98.7</v>
      </c>
      <c r="BK51" s="285">
        <f>-100+23</f>
        <v>-77</v>
      </c>
      <c r="BL51" s="285">
        <v>175.7</v>
      </c>
      <c r="BM51" s="285">
        <v>-100</v>
      </c>
      <c r="BN51" s="285">
        <v>275.7</v>
      </c>
      <c r="BO51" s="285">
        <f>-100+14+15</f>
        <v>-71</v>
      </c>
      <c r="BP51" s="285">
        <v>346.7</v>
      </c>
      <c r="BQ51" s="285">
        <f>-100-90</f>
        <v>-190</v>
      </c>
      <c r="BR51" s="285">
        <v>536.6</v>
      </c>
      <c r="BS51" s="285">
        <f>-100+32+29.5+22+22+33+14+22+22+10+17+21+22+33+24</f>
        <v>223.5</v>
      </c>
      <c r="BT51" s="285">
        <v>313.10000000000002</v>
      </c>
      <c r="BU51" s="285">
        <f>-100+30+32.4+30+18.5</f>
        <v>10.899999999999999</v>
      </c>
      <c r="BV51" s="285">
        <v>302.2</v>
      </c>
      <c r="BW51" s="285">
        <f>16.5+33+23+33+32+30+17+32+22+32</f>
        <v>270.5</v>
      </c>
      <c r="BX51" s="285">
        <v>31.75</v>
      </c>
      <c r="BY51" s="285"/>
      <c r="BZ51" s="285">
        <v>31.75</v>
      </c>
      <c r="CA51" s="285">
        <f>33+33+33+33-100.25</f>
        <v>31.75</v>
      </c>
      <c r="CB51" s="285">
        <v>0</v>
      </c>
      <c r="CC51" s="285"/>
      <c r="CD51" s="285">
        <v>0</v>
      </c>
      <c r="CE51" s="285"/>
      <c r="CF51" s="285"/>
      <c r="CG51" s="285"/>
      <c r="CH51" s="285"/>
      <c r="CI51" s="285"/>
      <c r="CJ51" s="285"/>
      <c r="CK51" s="285"/>
      <c r="CL51" s="285"/>
      <c r="CM51" s="285"/>
      <c r="CN51" s="285"/>
      <c r="CO51" s="285">
        <v>416844</v>
      </c>
      <c r="CP51" s="285"/>
      <c r="CQ51" s="285"/>
      <c r="CR51" s="285"/>
      <c r="CS51" s="285"/>
      <c r="CT51" s="285"/>
      <c r="CU51" s="285"/>
      <c r="CV51" s="285"/>
      <c r="CW51" s="285"/>
      <c r="CX51" s="285"/>
      <c r="CY51" s="285"/>
      <c r="CZ51" s="285"/>
      <c r="DA51" s="285"/>
      <c r="DB51" s="285"/>
      <c r="DC51" s="285"/>
      <c r="DD51" s="285"/>
      <c r="DE51" s="285"/>
      <c r="DF51" s="285"/>
      <c r="DG51" s="285"/>
      <c r="DH51" s="285"/>
      <c r="DI51" s="285"/>
      <c r="DJ51" s="285"/>
      <c r="DK51" s="285"/>
      <c r="DL51" s="285"/>
      <c r="DM51" s="285"/>
      <c r="DN51" s="285"/>
      <c r="DO51" s="285"/>
      <c r="DP51" s="285"/>
      <c r="DQ51" s="285"/>
      <c r="DR51" s="285"/>
      <c r="DS51" s="285"/>
      <c r="DT51" s="285"/>
      <c r="DU51" s="285"/>
      <c r="DV51" s="285"/>
      <c r="DW51" s="285"/>
      <c r="DX51" s="285"/>
      <c r="DY51" s="285"/>
      <c r="DZ51" s="285"/>
      <c r="EA51" s="285"/>
      <c r="EB51" s="285"/>
      <c r="EC51" s="285"/>
      <c r="ED51" s="285"/>
      <c r="EE51" s="285"/>
      <c r="EF51" s="285"/>
      <c r="EG51" s="285"/>
      <c r="EH51" s="285"/>
      <c r="EI51" s="285"/>
      <c r="EJ51" s="285"/>
      <c r="EK51" s="285"/>
      <c r="EL51" s="285"/>
      <c r="EM51" s="285"/>
      <c r="EN51" s="285"/>
      <c r="EO51" s="285"/>
      <c r="EP51" s="285"/>
      <c r="EQ51" s="285"/>
      <c r="ER51" s="285"/>
      <c r="ES51" s="285"/>
      <c r="ET51" s="285"/>
      <c r="EU51" s="285"/>
      <c r="EV51" s="285"/>
      <c r="EW51" s="285"/>
      <c r="EX51" s="285"/>
      <c r="EY51" s="285"/>
      <c r="EZ51" s="285"/>
      <c r="FA51" s="285"/>
      <c r="FB51" s="285"/>
      <c r="FC51" s="285"/>
      <c r="FD51" s="285"/>
      <c r="FE51" s="285"/>
      <c r="FF51" s="285"/>
      <c r="FG51" s="285"/>
      <c r="FH51" s="285"/>
      <c r="FI51" s="285"/>
      <c r="FJ51" s="285"/>
      <c r="FK51" s="285"/>
      <c r="FL51" s="285"/>
      <c r="FM51" s="285"/>
      <c r="FN51" s="285"/>
      <c r="FO51" s="285"/>
      <c r="FP51" s="285"/>
      <c r="FQ51" s="285"/>
      <c r="FR51" s="285"/>
      <c r="FS51" s="285"/>
      <c r="FT51" s="285"/>
      <c r="FU51" s="285"/>
      <c r="FV51" s="285"/>
      <c r="FW51" s="285"/>
      <c r="FX51" s="285"/>
      <c r="FY51" s="285"/>
      <c r="FZ51" s="285"/>
      <c r="GA51" s="285"/>
      <c r="GB51" s="285"/>
      <c r="GC51" s="285"/>
      <c r="GD51" s="285"/>
      <c r="GE51" s="285"/>
      <c r="GF51" s="285"/>
      <c r="GG51" s="285"/>
      <c r="GH51" s="285"/>
      <c r="GI51" s="285"/>
      <c r="GJ51" s="285"/>
      <c r="GK51" s="285"/>
      <c r="GL51" s="285"/>
      <c r="GM51" s="285"/>
      <c r="GN51" s="285"/>
      <c r="GO51" s="285"/>
      <c r="GP51" s="285"/>
      <c r="GQ51" s="285"/>
      <c r="GR51" s="285"/>
      <c r="GS51" s="285"/>
      <c r="GT51" s="285"/>
      <c r="GU51" s="285"/>
      <c r="GV51" s="285"/>
      <c r="GW51" s="285"/>
      <c r="GX51" s="285"/>
      <c r="GY51" s="285"/>
      <c r="GZ51" s="285"/>
      <c r="HA51" s="285"/>
      <c r="HB51" s="285"/>
      <c r="HC51" s="285"/>
      <c r="HD51" s="285"/>
      <c r="HE51" s="285"/>
      <c r="HF51" s="285"/>
      <c r="HG51" s="285"/>
      <c r="HH51" s="285"/>
      <c r="HI51" s="285"/>
      <c r="HJ51" s="285"/>
      <c r="HK51" s="285"/>
      <c r="HL51" s="285"/>
      <c r="HM51" s="285"/>
      <c r="HN51" s="285"/>
      <c r="HO51" s="285"/>
      <c r="HP51" s="285"/>
      <c r="HQ51" s="285"/>
      <c r="HR51" s="285"/>
      <c r="HS51" s="285"/>
      <c r="HT51" s="285"/>
      <c r="HU51" s="285"/>
      <c r="HV51" s="285"/>
      <c r="HW51" s="285"/>
      <c r="HX51" s="285"/>
      <c r="HY51" s="285"/>
      <c r="HZ51" s="285"/>
      <c r="IA51" s="285"/>
      <c r="IB51" s="285"/>
      <c r="IC51" s="285"/>
      <c r="ID51" s="285"/>
      <c r="IE51" s="285"/>
      <c r="IF51" s="285"/>
      <c r="IG51" s="285"/>
      <c r="IH51" s="285"/>
      <c r="II51" s="285"/>
      <c r="IJ51" s="285"/>
      <c r="IK51" s="285"/>
      <c r="IL51" s="285"/>
      <c r="IM51" s="285"/>
      <c r="IN51" s="285"/>
      <c r="IO51" s="285"/>
      <c r="IP51" s="285"/>
      <c r="IQ51" s="285"/>
      <c r="IR51" s="285"/>
      <c r="IS51" s="285"/>
      <c r="IT51" s="285"/>
      <c r="IU51" s="285"/>
      <c r="IV51" s="285"/>
      <c r="IW51" s="285"/>
      <c r="IX51" s="285"/>
      <c r="IY51" s="285"/>
      <c r="IZ51" s="285"/>
      <c r="JA51" s="285"/>
      <c r="JB51" s="285"/>
      <c r="JC51" s="285"/>
      <c r="JD51" s="285"/>
      <c r="JE51" s="285"/>
      <c r="JF51" s="285"/>
      <c r="JG51" s="285"/>
      <c r="JH51" s="285"/>
      <c r="JI51" s="285"/>
      <c r="JJ51" s="285"/>
      <c r="JK51" s="285"/>
      <c r="JL51" s="285"/>
      <c r="JM51" s="285"/>
      <c r="JN51" s="285"/>
      <c r="JO51" s="285"/>
      <c r="JP51" s="285"/>
      <c r="JQ51" s="285"/>
      <c r="JR51" s="285"/>
      <c r="JS51" s="285"/>
      <c r="JT51" s="285"/>
      <c r="JU51" s="285"/>
      <c r="JV51" s="285"/>
      <c r="JW51" s="285"/>
      <c r="JX51" s="285"/>
      <c r="JY51" s="285"/>
      <c r="JZ51" s="285"/>
      <c r="KA51" s="285"/>
      <c r="KB51" s="285"/>
      <c r="KC51" s="285"/>
      <c r="KD51" s="285"/>
      <c r="KE51" s="285"/>
      <c r="KF51" s="285"/>
      <c r="KG51" s="285"/>
      <c r="KH51" s="285"/>
      <c r="KI51" s="285"/>
      <c r="KJ51" s="285"/>
      <c r="KK51" s="285"/>
      <c r="KL51" s="285"/>
      <c r="KM51" s="285"/>
      <c r="KN51" s="285"/>
      <c r="KO51" s="285"/>
      <c r="KP51" s="285"/>
      <c r="KQ51" s="285"/>
      <c r="KR51" s="298"/>
      <c r="KS51" s="285"/>
      <c r="KT51" s="285"/>
      <c r="KU51" s="268"/>
      <c r="KV51" s="288"/>
      <c r="KW51" s="288"/>
      <c r="AES51" s="1304">
        <v>54</v>
      </c>
      <c r="AGF51" s="1304">
        <v>3.77</v>
      </c>
    </row>
    <row r="52" spans="1:864">
      <c r="A52" s="9">
        <v>48</v>
      </c>
      <c r="B52" s="74" t="s">
        <v>4304</v>
      </c>
      <c r="C52" s="74">
        <v>310910452</v>
      </c>
      <c r="D52" s="906" t="s">
        <v>6925</v>
      </c>
      <c r="E52" s="74">
        <v>310910452</v>
      </c>
      <c r="F52" s="74">
        <v>0</v>
      </c>
      <c r="G52" s="76">
        <v>416215</v>
      </c>
      <c r="H52" s="944"/>
      <c r="I52" s="944"/>
      <c r="J52" s="944"/>
      <c r="K52" s="1308"/>
      <c r="L52" s="1308"/>
      <c r="M52" s="1308"/>
      <c r="N52" s="1308"/>
      <c r="O52" s="659"/>
      <c r="P52" s="659"/>
      <c r="Q52" s="659"/>
      <c r="R52" s="268"/>
      <c r="S52" s="1308"/>
      <c r="T52" s="1308"/>
      <c r="U52" s="1308"/>
      <c r="V52" s="268"/>
      <c r="W52" s="659"/>
      <c r="X52" s="659"/>
      <c r="Y52" s="268">
        <v>0</v>
      </c>
      <c r="Z52" s="268"/>
      <c r="AA52" s="1308"/>
      <c r="AB52" s="268"/>
      <c r="AC52" s="268"/>
      <c r="AD52" s="268">
        <v>0</v>
      </c>
      <c r="AE52" s="268"/>
      <c r="AF52" s="268">
        <v>0</v>
      </c>
      <c r="AG52" s="268"/>
      <c r="AH52" s="268">
        <v>0</v>
      </c>
      <c r="AI52" s="268"/>
      <c r="AJ52" s="268">
        <v>0</v>
      </c>
      <c r="AK52" s="268"/>
      <c r="AL52" s="268">
        <v>0</v>
      </c>
      <c r="AM52" s="268"/>
      <c r="AN52" s="268">
        <v>0</v>
      </c>
      <c r="AO52" s="268">
        <v>-44.2</v>
      </c>
      <c r="AP52" s="285">
        <v>44.2</v>
      </c>
      <c r="AQ52" s="285">
        <f>22+22</f>
        <v>44</v>
      </c>
      <c r="AR52" s="285">
        <v>0.2</v>
      </c>
      <c r="AS52" s="285"/>
      <c r="AT52" s="285">
        <v>0.2</v>
      </c>
      <c r="AU52" s="285"/>
      <c r="AV52" s="285">
        <v>0.2</v>
      </c>
      <c r="AW52" s="285"/>
      <c r="AX52" s="285">
        <v>193</v>
      </c>
      <c r="AY52" s="285">
        <f>-100-90+24+22+22</f>
        <v>-122</v>
      </c>
      <c r="AZ52" s="285">
        <v>315</v>
      </c>
      <c r="BA52" s="285">
        <f>20+26.5+22+25+21.5+33+24+25.5+22+22+19.9+24+22+22+22-100+5</f>
        <v>256.39999999999998</v>
      </c>
      <c r="BB52" s="285">
        <v>58.6</v>
      </c>
      <c r="BC52" s="285">
        <f>-100-70.2+17+33</f>
        <v>-120.19999999999999</v>
      </c>
      <c r="BD52" s="285">
        <v>178.75</v>
      </c>
      <c r="BE52" s="285">
        <f>200-100.25</f>
        <v>99.75</v>
      </c>
      <c r="BF52" s="285">
        <v>79</v>
      </c>
      <c r="BG52" s="285">
        <f>25+24+30</f>
        <v>79</v>
      </c>
      <c r="BH52" s="285"/>
      <c r="BI52" s="285"/>
      <c r="BJ52" s="285">
        <v>0</v>
      </c>
      <c r="BK52" s="285"/>
      <c r="BL52" s="285"/>
      <c r="BM52" s="285"/>
      <c r="BN52" s="285"/>
      <c r="BO52" s="285"/>
      <c r="BP52" s="285"/>
      <c r="BQ52" s="285"/>
      <c r="BR52" s="285"/>
      <c r="BS52" s="285"/>
      <c r="BT52" s="285"/>
      <c r="BU52" s="285"/>
      <c r="BV52" s="285"/>
      <c r="BW52" s="285"/>
      <c r="BX52" s="285"/>
      <c r="BY52" s="285"/>
      <c r="BZ52" s="285"/>
      <c r="CA52" s="285"/>
      <c r="CB52" s="285"/>
      <c r="CC52" s="285"/>
      <c r="CD52" s="285"/>
      <c r="CE52" s="285"/>
      <c r="CF52" s="285"/>
      <c r="CG52" s="285"/>
      <c r="CH52" s="285"/>
      <c r="CI52" s="285"/>
      <c r="CJ52" s="285"/>
      <c r="CK52" s="285"/>
      <c r="CL52" s="285"/>
      <c r="CM52" s="285"/>
      <c r="CN52" s="285"/>
      <c r="CO52" s="285"/>
      <c r="CP52" s="285"/>
      <c r="CQ52" s="285"/>
      <c r="CR52" s="285"/>
      <c r="CS52" s="285"/>
      <c r="CT52" s="285"/>
      <c r="CU52" s="285"/>
      <c r="CV52" s="285"/>
      <c r="CW52" s="285"/>
      <c r="CX52" s="285"/>
      <c r="CY52" s="285"/>
      <c r="CZ52" s="285"/>
      <c r="DA52" s="285"/>
      <c r="DB52" s="285"/>
      <c r="DC52" s="285"/>
      <c r="DD52" s="285"/>
      <c r="DE52" s="285"/>
      <c r="DF52" s="285"/>
      <c r="DG52" s="285"/>
      <c r="DH52" s="285"/>
      <c r="DI52" s="285"/>
      <c r="DJ52" s="285"/>
      <c r="DK52" s="285"/>
      <c r="DL52" s="285"/>
      <c r="DM52" s="285"/>
      <c r="DN52" s="285"/>
      <c r="DO52" s="285"/>
      <c r="DP52" s="285"/>
      <c r="DQ52" s="285"/>
      <c r="DR52" s="285"/>
      <c r="DS52" s="285"/>
      <c r="DT52" s="285"/>
      <c r="DU52" s="285"/>
      <c r="DV52" s="285"/>
      <c r="DW52" s="285"/>
      <c r="DX52" s="285"/>
      <c r="DY52" s="285"/>
      <c r="DZ52" s="285"/>
      <c r="EA52" s="285"/>
      <c r="EB52" s="285"/>
      <c r="EC52" s="285"/>
      <c r="ED52" s="285"/>
      <c r="EE52" s="285"/>
      <c r="EF52" s="285"/>
      <c r="EG52" s="285"/>
      <c r="EH52" s="285"/>
      <c r="EI52" s="285"/>
      <c r="EJ52" s="285"/>
      <c r="EK52" s="285"/>
      <c r="EL52" s="285"/>
      <c r="EM52" s="285"/>
      <c r="EN52" s="285"/>
      <c r="EO52" s="285"/>
      <c r="EP52" s="285"/>
      <c r="EQ52" s="285"/>
      <c r="ER52" s="285"/>
      <c r="ES52" s="285"/>
      <c r="ET52" s="285"/>
      <c r="EU52" s="285"/>
      <c r="EV52" s="285"/>
      <c r="EW52" s="285"/>
      <c r="EX52" s="285"/>
      <c r="EY52" s="285"/>
      <c r="EZ52" s="285"/>
      <c r="FA52" s="285"/>
      <c r="FB52" s="285"/>
      <c r="FC52" s="285"/>
      <c r="FD52" s="285"/>
      <c r="FE52" s="285"/>
      <c r="FF52" s="285"/>
      <c r="FG52" s="285"/>
      <c r="FH52" s="285"/>
      <c r="FI52" s="285"/>
      <c r="FJ52" s="285"/>
      <c r="FK52" s="285"/>
      <c r="FL52" s="285"/>
      <c r="FM52" s="285"/>
      <c r="FN52" s="285"/>
      <c r="FO52" s="285"/>
      <c r="FP52" s="285"/>
      <c r="FQ52" s="285"/>
      <c r="FR52" s="285"/>
      <c r="FS52" s="285"/>
      <c r="FT52" s="285"/>
      <c r="FU52" s="285"/>
      <c r="FV52" s="285"/>
      <c r="FW52" s="285"/>
      <c r="FX52" s="285"/>
      <c r="FY52" s="285"/>
      <c r="FZ52" s="285"/>
      <c r="GA52" s="285"/>
      <c r="GB52" s="285"/>
      <c r="GC52" s="285"/>
      <c r="GD52" s="285"/>
      <c r="GE52" s="285"/>
      <c r="GF52" s="285"/>
      <c r="GG52" s="285"/>
      <c r="GH52" s="285"/>
      <c r="GI52" s="285"/>
      <c r="GJ52" s="285"/>
      <c r="GK52" s="285"/>
      <c r="GL52" s="285"/>
      <c r="GM52" s="285"/>
      <c r="GN52" s="285"/>
      <c r="GO52" s="285"/>
      <c r="GP52" s="285"/>
      <c r="GQ52" s="285"/>
      <c r="GR52" s="285"/>
      <c r="GS52" s="285"/>
      <c r="GT52" s="285"/>
      <c r="GU52" s="285"/>
      <c r="GV52" s="285"/>
      <c r="GW52" s="285"/>
      <c r="GX52" s="285"/>
      <c r="GY52" s="285"/>
      <c r="GZ52" s="285"/>
      <c r="HA52" s="285"/>
      <c r="HB52" s="285"/>
      <c r="HC52" s="285"/>
      <c r="HD52" s="285"/>
      <c r="HE52" s="285"/>
      <c r="HF52" s="285"/>
      <c r="HG52" s="285"/>
      <c r="HH52" s="285"/>
      <c r="HI52" s="285"/>
      <c r="HJ52" s="285"/>
      <c r="HK52" s="285"/>
      <c r="HL52" s="285"/>
      <c r="HM52" s="285"/>
      <c r="HN52" s="285"/>
      <c r="HO52" s="285"/>
      <c r="HP52" s="285"/>
      <c r="HQ52" s="285"/>
      <c r="HR52" s="285"/>
      <c r="HS52" s="285"/>
      <c r="HT52" s="285"/>
      <c r="HU52" s="285"/>
      <c r="HV52" s="285"/>
      <c r="HW52" s="285"/>
      <c r="HX52" s="285"/>
      <c r="HY52" s="285"/>
      <c r="HZ52" s="285"/>
      <c r="IA52" s="285"/>
      <c r="IB52" s="285"/>
      <c r="IC52" s="285"/>
      <c r="ID52" s="285"/>
      <c r="IE52" s="285"/>
      <c r="IF52" s="285"/>
      <c r="IG52" s="285"/>
      <c r="IH52" s="285"/>
      <c r="II52" s="285"/>
      <c r="IJ52" s="285"/>
      <c r="IK52" s="285"/>
      <c r="IL52" s="285"/>
      <c r="IM52" s="285"/>
      <c r="IN52" s="285"/>
      <c r="IO52" s="285"/>
      <c r="IP52" s="285"/>
      <c r="IQ52" s="285"/>
      <c r="IR52" s="285"/>
      <c r="IS52" s="285"/>
      <c r="IT52" s="285"/>
      <c r="IU52" s="285"/>
      <c r="IV52" s="285"/>
      <c r="IW52" s="285"/>
      <c r="IX52" s="285"/>
      <c r="IY52" s="285"/>
      <c r="IZ52" s="285"/>
      <c r="JA52" s="285"/>
      <c r="JB52" s="285"/>
      <c r="JC52" s="285"/>
      <c r="JD52" s="285"/>
      <c r="JE52" s="285"/>
      <c r="JF52" s="285"/>
      <c r="JG52" s="285"/>
      <c r="JH52" s="285"/>
      <c r="JI52" s="285"/>
      <c r="JJ52" s="285"/>
      <c r="JK52" s="285"/>
      <c r="JL52" s="285"/>
      <c r="JM52" s="285"/>
      <c r="JN52" s="285"/>
      <c r="JO52" s="285"/>
      <c r="JP52" s="285"/>
      <c r="JQ52" s="285"/>
      <c r="JR52" s="285"/>
      <c r="JS52" s="285"/>
      <c r="JT52" s="285"/>
      <c r="JU52" s="285"/>
      <c r="JV52" s="285"/>
      <c r="JW52" s="285"/>
      <c r="JX52" s="285"/>
      <c r="JY52" s="285"/>
      <c r="JZ52" s="285"/>
      <c r="KA52" s="285"/>
      <c r="KB52" s="285"/>
      <c r="KC52" s="285"/>
      <c r="KD52" s="285"/>
      <c r="KE52" s="285"/>
      <c r="KF52" s="285"/>
      <c r="KG52" s="285"/>
      <c r="KH52" s="285"/>
      <c r="KI52" s="285"/>
      <c r="KJ52" s="285"/>
      <c r="KK52" s="285"/>
      <c r="KL52" s="285"/>
      <c r="KM52" s="285"/>
      <c r="KN52" s="285"/>
      <c r="KO52" s="285"/>
      <c r="KP52" s="285"/>
      <c r="KQ52" s="285"/>
      <c r="KR52" s="298"/>
      <c r="KS52" s="285"/>
      <c r="KT52" s="285"/>
      <c r="KU52" s="268"/>
      <c r="KV52" s="288"/>
      <c r="KW52" s="288"/>
      <c r="AES52" s="1304">
        <v>30</v>
      </c>
      <c r="AGF52" s="1304">
        <v>5</v>
      </c>
    </row>
    <row r="53" spans="1:864">
      <c r="A53" s="9">
        <v>49</v>
      </c>
      <c r="B53" s="881" t="s">
        <v>4305</v>
      </c>
      <c r="C53" s="74">
        <v>310911411</v>
      </c>
      <c r="D53" s="906" t="s">
        <v>6925</v>
      </c>
      <c r="E53" s="74">
        <v>310911411</v>
      </c>
      <c r="F53" s="74">
        <v>0</v>
      </c>
      <c r="G53" s="76">
        <v>547087</v>
      </c>
      <c r="H53" s="944"/>
      <c r="I53" s="944"/>
      <c r="J53" s="944"/>
      <c r="K53" s="1308"/>
      <c r="L53" s="1308"/>
      <c r="M53" s="1308"/>
      <c r="N53" s="1308"/>
      <c r="O53" s="659"/>
      <c r="P53" s="659"/>
      <c r="Q53" s="659"/>
      <c r="R53" s="268"/>
      <c r="S53" s="1308"/>
      <c r="T53" s="1308"/>
      <c r="U53" s="1308"/>
      <c r="V53" s="268"/>
      <c r="W53" s="659"/>
      <c r="X53" s="659"/>
      <c r="Y53" s="285">
        <v>0</v>
      </c>
      <c r="Z53" s="285"/>
      <c r="AA53" s="285"/>
      <c r="AB53" s="285"/>
      <c r="AC53" s="285"/>
      <c r="AD53" s="285">
        <v>0</v>
      </c>
      <c r="AE53" s="285"/>
      <c r="AF53" s="285">
        <v>22</v>
      </c>
      <c r="AG53" s="285">
        <v>22</v>
      </c>
      <c r="AH53" s="285">
        <v>0</v>
      </c>
      <c r="AI53" s="285"/>
      <c r="AJ53" s="285">
        <v>0</v>
      </c>
      <c r="AK53" s="285"/>
      <c r="AL53" s="285">
        <v>0</v>
      </c>
      <c r="AM53" s="285">
        <v>0</v>
      </c>
      <c r="AN53" s="285">
        <v>0</v>
      </c>
      <c r="AO53" s="285"/>
      <c r="AP53" s="285">
        <v>0</v>
      </c>
      <c r="AQ53" s="285">
        <v>0</v>
      </c>
      <c r="AR53" s="285">
        <v>0</v>
      </c>
      <c r="AS53" s="285">
        <f>22+23+22+32-100-44-25</f>
        <v>-70</v>
      </c>
      <c r="AT53" s="285">
        <v>70.5</v>
      </c>
      <c r="AU53" s="285">
        <f>25+23.5+22</f>
        <v>70.5</v>
      </c>
      <c r="AV53" s="285">
        <v>0</v>
      </c>
      <c r="AW53" s="285"/>
      <c r="AX53" s="285">
        <v>0.2</v>
      </c>
      <c r="AY53" s="285"/>
      <c r="AZ53" s="285">
        <v>0.2</v>
      </c>
      <c r="BA53" s="285">
        <f>20+23+22+22-87</f>
        <v>0</v>
      </c>
      <c r="BB53" s="285">
        <v>0.2</v>
      </c>
      <c r="BC53" s="285">
        <f>25-80</f>
        <v>-55</v>
      </c>
      <c r="BD53" s="285">
        <v>55.2</v>
      </c>
      <c r="BE53" s="285">
        <v>-100</v>
      </c>
      <c r="BF53" s="285">
        <v>155.19999999999999</v>
      </c>
      <c r="BG53" s="285">
        <f>-100-60+33+32</f>
        <v>-95</v>
      </c>
      <c r="BH53" s="285">
        <v>250.2</v>
      </c>
      <c r="BI53" s="285">
        <f>-100+33+24+22+22+33+21.5</f>
        <v>55.5</v>
      </c>
      <c r="BJ53" s="285">
        <v>194.7</v>
      </c>
      <c r="BK53" s="285">
        <f>-100+22+33</f>
        <v>-45</v>
      </c>
      <c r="BL53" s="285">
        <v>239.8</v>
      </c>
      <c r="BM53" s="285">
        <f>-100.2+23.5+30+22+24+24+22+23.5+24</f>
        <v>92.8</v>
      </c>
      <c r="BN53" s="285">
        <v>147</v>
      </c>
      <c r="BO53" s="285">
        <f>33+24+24+22</f>
        <v>103</v>
      </c>
      <c r="BP53" s="285">
        <v>44</v>
      </c>
      <c r="BQ53" s="285">
        <v>22</v>
      </c>
      <c r="BR53" s="285">
        <v>22</v>
      </c>
      <c r="BS53" s="285"/>
      <c r="BT53" s="285">
        <v>22</v>
      </c>
      <c r="BU53" s="285"/>
      <c r="BV53" s="285">
        <v>22</v>
      </c>
      <c r="BW53" s="285"/>
      <c r="BX53" s="285">
        <v>0</v>
      </c>
      <c r="BY53" s="285"/>
      <c r="BZ53" s="285"/>
      <c r="CA53" s="285"/>
      <c r="CB53" s="285"/>
      <c r="CC53" s="285"/>
      <c r="CD53" s="285"/>
      <c r="CE53" s="285"/>
      <c r="CF53" s="285"/>
      <c r="CG53" s="285"/>
      <c r="CH53" s="285"/>
      <c r="CI53" s="285"/>
      <c r="CJ53" s="285"/>
      <c r="CK53" s="285"/>
      <c r="CL53" s="285"/>
      <c r="CM53" s="285"/>
      <c r="CN53" s="285"/>
      <c r="CO53" s="285"/>
      <c r="CP53" s="285"/>
      <c r="CQ53" s="285"/>
      <c r="CR53" s="285"/>
      <c r="CS53" s="285"/>
      <c r="CT53" s="285"/>
      <c r="CU53" s="285"/>
      <c r="CV53" s="285"/>
      <c r="CW53" s="285"/>
      <c r="CX53" s="285"/>
      <c r="CY53" s="285"/>
      <c r="CZ53" s="285"/>
      <c r="DA53" s="285"/>
      <c r="DB53" s="285"/>
      <c r="DC53" s="285"/>
      <c r="DD53" s="285"/>
      <c r="DE53" s="285"/>
      <c r="DF53" s="285"/>
      <c r="DG53" s="285"/>
      <c r="DH53" s="285"/>
      <c r="DI53" s="285"/>
      <c r="DJ53" s="285"/>
      <c r="DK53" s="285"/>
      <c r="DL53" s="285"/>
      <c r="DM53" s="285"/>
      <c r="DN53" s="285"/>
      <c r="DO53" s="285"/>
      <c r="DP53" s="285"/>
      <c r="DQ53" s="285"/>
      <c r="DR53" s="285"/>
      <c r="DS53" s="285"/>
      <c r="DT53" s="285"/>
      <c r="DU53" s="285"/>
      <c r="DV53" s="285"/>
      <c r="DW53" s="285"/>
      <c r="DX53" s="285"/>
      <c r="DY53" s="285"/>
      <c r="DZ53" s="285"/>
      <c r="EA53" s="285"/>
      <c r="EB53" s="285"/>
      <c r="EC53" s="285"/>
      <c r="ED53" s="285"/>
      <c r="EE53" s="285"/>
      <c r="EF53" s="285"/>
      <c r="EG53" s="285"/>
      <c r="EH53" s="285"/>
      <c r="EI53" s="285"/>
      <c r="EJ53" s="285"/>
      <c r="EK53" s="285"/>
      <c r="EL53" s="285"/>
      <c r="EM53" s="285"/>
      <c r="EN53" s="285"/>
      <c r="EO53" s="285"/>
      <c r="EP53" s="285"/>
      <c r="EQ53" s="285"/>
      <c r="ER53" s="285"/>
      <c r="ES53" s="285"/>
      <c r="ET53" s="285"/>
      <c r="EU53" s="285"/>
      <c r="EV53" s="285"/>
      <c r="EW53" s="285"/>
      <c r="EX53" s="285"/>
      <c r="EY53" s="285"/>
      <c r="EZ53" s="285"/>
      <c r="FA53" s="285"/>
      <c r="FB53" s="285"/>
      <c r="FC53" s="285"/>
      <c r="FD53" s="285"/>
      <c r="FE53" s="285"/>
      <c r="FF53" s="285"/>
      <c r="FG53" s="285"/>
      <c r="FH53" s="285"/>
      <c r="FI53" s="285"/>
      <c r="FJ53" s="285"/>
      <c r="FK53" s="285"/>
      <c r="FL53" s="285"/>
      <c r="FM53" s="285"/>
      <c r="FN53" s="285"/>
      <c r="FO53" s="285"/>
      <c r="FP53" s="285"/>
      <c r="FQ53" s="285"/>
      <c r="FR53" s="285"/>
      <c r="FS53" s="285"/>
      <c r="FT53" s="285"/>
      <c r="FU53" s="285"/>
      <c r="FV53" s="285"/>
      <c r="FW53" s="285"/>
      <c r="FX53" s="285"/>
      <c r="FY53" s="285"/>
      <c r="FZ53" s="285"/>
      <c r="GA53" s="285"/>
      <c r="GB53" s="285"/>
      <c r="GC53" s="285"/>
      <c r="GD53" s="285"/>
      <c r="GE53" s="285"/>
      <c r="GF53" s="285"/>
      <c r="GG53" s="285"/>
      <c r="GH53" s="285"/>
      <c r="GI53" s="285"/>
      <c r="GJ53" s="285"/>
      <c r="GK53" s="285"/>
      <c r="GL53" s="285"/>
      <c r="GM53" s="285"/>
      <c r="GN53" s="285"/>
      <c r="GO53" s="285"/>
      <c r="GP53" s="285"/>
      <c r="GQ53" s="285"/>
      <c r="GR53" s="285"/>
      <c r="GS53" s="285"/>
      <c r="GT53" s="285"/>
      <c r="GU53" s="285"/>
      <c r="GV53" s="285"/>
      <c r="GW53" s="285"/>
      <c r="GX53" s="285"/>
      <c r="GY53" s="285"/>
      <c r="GZ53" s="285"/>
      <c r="HA53" s="285"/>
      <c r="HB53" s="285"/>
      <c r="HC53" s="285"/>
      <c r="HD53" s="285"/>
      <c r="HE53" s="285"/>
      <c r="HF53" s="285"/>
      <c r="HG53" s="285"/>
      <c r="HH53" s="285"/>
      <c r="HI53" s="285"/>
      <c r="HJ53" s="285"/>
      <c r="HK53" s="285"/>
      <c r="HL53" s="285"/>
      <c r="HM53" s="285"/>
      <c r="HN53" s="285"/>
      <c r="HO53" s="285"/>
      <c r="HP53" s="285"/>
      <c r="HQ53" s="285"/>
      <c r="HR53" s="285"/>
      <c r="HS53" s="285"/>
      <c r="HT53" s="285"/>
      <c r="HU53" s="285"/>
      <c r="HV53" s="285"/>
      <c r="HW53" s="285"/>
      <c r="HX53" s="285"/>
      <c r="HY53" s="285"/>
      <c r="HZ53" s="285"/>
      <c r="IA53" s="285"/>
      <c r="IB53" s="285"/>
      <c r="IC53" s="285"/>
      <c r="ID53" s="285"/>
      <c r="IE53" s="285"/>
      <c r="IF53" s="285"/>
      <c r="IG53" s="285"/>
      <c r="IH53" s="285"/>
      <c r="II53" s="285"/>
      <c r="IJ53" s="285"/>
      <c r="IK53" s="285"/>
      <c r="IL53" s="285"/>
      <c r="IM53" s="285"/>
      <c r="IN53" s="285"/>
      <c r="IO53" s="285"/>
      <c r="IP53" s="285"/>
      <c r="IQ53" s="285"/>
      <c r="IR53" s="285"/>
      <c r="IS53" s="285"/>
      <c r="IT53" s="285"/>
      <c r="IU53" s="285"/>
      <c r="IV53" s="285"/>
      <c r="IW53" s="285"/>
      <c r="IX53" s="285"/>
      <c r="IY53" s="285"/>
      <c r="IZ53" s="285"/>
      <c r="JA53" s="285"/>
      <c r="JB53" s="285"/>
      <c r="JC53" s="285"/>
      <c r="JD53" s="285"/>
      <c r="JE53" s="285"/>
      <c r="JF53" s="285"/>
      <c r="JG53" s="285"/>
      <c r="JH53" s="285"/>
      <c r="JI53" s="285"/>
      <c r="JJ53" s="285"/>
      <c r="JK53" s="285"/>
      <c r="JL53" s="285"/>
      <c r="JM53" s="285"/>
      <c r="JN53" s="285"/>
      <c r="JO53" s="285"/>
      <c r="JP53" s="285"/>
      <c r="JQ53" s="285"/>
      <c r="JR53" s="285"/>
      <c r="JS53" s="285"/>
      <c r="JT53" s="285"/>
      <c r="JU53" s="285"/>
      <c r="JV53" s="285"/>
      <c r="JW53" s="285"/>
      <c r="JX53" s="285"/>
      <c r="JY53" s="285"/>
      <c r="JZ53" s="285"/>
      <c r="KA53" s="285"/>
      <c r="KB53" s="285"/>
      <c r="KC53" s="285"/>
      <c r="KD53" s="285"/>
      <c r="KE53" s="285"/>
      <c r="KF53" s="285"/>
      <c r="KG53" s="285"/>
      <c r="KH53" s="285"/>
      <c r="KI53" s="285"/>
      <c r="KJ53" s="285"/>
      <c r="KK53" s="285"/>
      <c r="KL53" s="285"/>
      <c r="KM53" s="285"/>
      <c r="KN53" s="285"/>
      <c r="KO53" s="285"/>
      <c r="KP53" s="285"/>
      <c r="KQ53" s="285"/>
      <c r="KR53" s="298"/>
      <c r="KS53" s="285"/>
      <c r="KT53" s="285"/>
      <c r="KU53" s="268"/>
      <c r="KV53" s="288"/>
      <c r="KW53" s="288"/>
      <c r="AER53" s="1304">
        <v>39.92</v>
      </c>
      <c r="AGF53" s="1304">
        <v>7.6</v>
      </c>
    </row>
    <row r="54" spans="1:864" ht="16.2" customHeight="1">
      <c r="A54" s="9">
        <v>50</v>
      </c>
      <c r="B54" s="904" t="s">
        <v>4442</v>
      </c>
      <c r="C54" s="906">
        <v>310949197</v>
      </c>
      <c r="D54" s="906" t="s">
        <v>6925</v>
      </c>
      <c r="E54" s="906">
        <v>310949197</v>
      </c>
      <c r="F54" s="922">
        <v>0</v>
      </c>
      <c r="G54" s="75">
        <v>923852</v>
      </c>
      <c r="H54" s="944"/>
      <c r="I54" s="944"/>
      <c r="J54" s="944"/>
      <c r="K54" s="1308"/>
      <c r="L54" s="1308"/>
      <c r="M54" s="1308"/>
      <c r="N54" s="1308"/>
      <c r="O54" s="285"/>
      <c r="P54" s="285"/>
      <c r="Q54" s="285"/>
      <c r="R54" s="285"/>
      <c r="S54" s="285"/>
      <c r="T54" s="285"/>
      <c r="U54" s="285"/>
      <c r="V54" s="285"/>
      <c r="W54" s="285"/>
      <c r="X54" s="285">
        <v>24</v>
      </c>
      <c r="Y54" s="285">
        <v>0</v>
      </c>
      <c r="Z54" s="285"/>
      <c r="AA54" s="285"/>
      <c r="AB54" s="285"/>
      <c r="AC54" s="285"/>
      <c r="AD54" s="285">
        <v>0</v>
      </c>
      <c r="AE54" s="285"/>
      <c r="AF54" s="285">
        <v>0</v>
      </c>
      <c r="AG54" s="285">
        <f>24-35.7</f>
        <v>-11.700000000000003</v>
      </c>
      <c r="AH54" s="285">
        <v>11.7</v>
      </c>
      <c r="AI54" s="285">
        <v>11.7</v>
      </c>
      <c r="AJ54" s="285">
        <v>0</v>
      </c>
      <c r="AK54" s="285">
        <v>-35</v>
      </c>
      <c r="AL54" s="285">
        <v>35</v>
      </c>
      <c r="AM54" s="285">
        <v>-20</v>
      </c>
      <c r="AN54" s="285">
        <v>55</v>
      </c>
      <c r="AO54" s="285">
        <f>24+30.5+25+22+25-168.3+33+22</f>
        <v>13.199999999999989</v>
      </c>
      <c r="AP54" s="285">
        <v>41.8</v>
      </c>
      <c r="AQ54" s="285">
        <f>24+24+32+13-100.25+24+22+25+25+32+32-190+24</f>
        <v>-13.25</v>
      </c>
      <c r="AR54" s="285">
        <v>55</v>
      </c>
      <c r="AS54" s="285">
        <f>33+22</f>
        <v>55</v>
      </c>
      <c r="AT54" s="285">
        <v>0</v>
      </c>
      <c r="AU54" s="285">
        <v>0</v>
      </c>
      <c r="AV54" s="285"/>
      <c r="AW54" s="285"/>
      <c r="AX54" s="285"/>
      <c r="AY54" s="285"/>
      <c r="AZ54" s="285"/>
      <c r="BA54" s="285"/>
      <c r="BB54" s="285"/>
      <c r="BC54" s="285"/>
      <c r="BD54" s="285"/>
      <c r="BE54" s="285"/>
      <c r="BF54" s="285"/>
      <c r="BG54" s="285"/>
      <c r="BH54" s="285"/>
      <c r="BI54" s="285"/>
      <c r="BJ54" s="285"/>
      <c r="BK54" s="285"/>
      <c r="BL54" s="285"/>
      <c r="BM54" s="285"/>
      <c r="BN54" s="285"/>
      <c r="BO54" s="285"/>
      <c r="BP54" s="285"/>
      <c r="BQ54" s="285"/>
      <c r="BR54" s="285"/>
      <c r="BS54" s="285"/>
      <c r="BT54" s="285"/>
      <c r="BU54" s="285"/>
      <c r="BV54" s="285"/>
      <c r="BW54" s="285"/>
      <c r="BX54" s="285"/>
      <c r="BY54" s="285"/>
      <c r="BZ54" s="285"/>
      <c r="CA54" s="285"/>
      <c r="CB54" s="285"/>
      <c r="CC54" s="285"/>
      <c r="CD54" s="285"/>
      <c r="CE54" s="285"/>
      <c r="CF54" s="285"/>
      <c r="CG54" s="285"/>
      <c r="CH54" s="285"/>
      <c r="CI54" s="285"/>
      <c r="CJ54" s="285"/>
      <c r="CK54" s="285"/>
      <c r="CL54" s="285"/>
      <c r="CM54" s="285"/>
      <c r="CN54" s="285"/>
      <c r="CO54" s="285"/>
      <c r="CP54" s="285"/>
      <c r="CQ54" s="285"/>
      <c r="CR54" s="285"/>
      <c r="CS54" s="285"/>
      <c r="CT54" s="285"/>
      <c r="CU54" s="285"/>
      <c r="CV54" s="285"/>
      <c r="CW54" s="285"/>
      <c r="CX54" s="285"/>
      <c r="CY54" s="285"/>
      <c r="CZ54" s="285"/>
      <c r="DA54" s="285"/>
      <c r="DB54" s="285"/>
      <c r="DC54" s="285"/>
      <c r="DD54" s="285"/>
      <c r="DE54" s="285"/>
      <c r="DF54" s="285"/>
      <c r="DG54" s="285"/>
      <c r="DH54" s="285"/>
      <c r="DI54" s="285"/>
      <c r="DJ54" s="285"/>
      <c r="DK54" s="285"/>
      <c r="DL54" s="285"/>
      <c r="DM54" s="285"/>
      <c r="DN54" s="285"/>
      <c r="DO54" s="285"/>
      <c r="DP54" s="285"/>
      <c r="DQ54" s="285"/>
      <c r="DR54" s="285"/>
      <c r="DS54" s="285"/>
      <c r="DT54" s="285"/>
      <c r="DU54" s="285"/>
      <c r="DV54" s="285"/>
      <c r="DW54" s="285"/>
      <c r="DX54" s="285"/>
      <c r="DY54" s="285"/>
      <c r="DZ54" s="285"/>
      <c r="EA54" s="285"/>
      <c r="EB54" s="285"/>
      <c r="EC54" s="285"/>
      <c r="ED54" s="285"/>
      <c r="EE54" s="285"/>
      <c r="EF54" s="285"/>
      <c r="EG54" s="285"/>
      <c r="EH54" s="285"/>
      <c r="EI54" s="285"/>
      <c r="EJ54" s="285"/>
      <c r="EK54" s="285"/>
      <c r="EL54" s="285"/>
      <c r="EM54" s="285"/>
      <c r="EN54" s="285"/>
      <c r="EO54" s="285"/>
      <c r="EP54" s="285"/>
      <c r="EQ54" s="285"/>
      <c r="ER54" s="285"/>
      <c r="ES54" s="285"/>
      <c r="ET54" s="285"/>
      <c r="EU54" s="285"/>
      <c r="EV54" s="285"/>
      <c r="EW54" s="285"/>
      <c r="EX54" s="285"/>
      <c r="EY54" s="285"/>
      <c r="EZ54" s="285"/>
      <c r="FA54" s="285"/>
      <c r="FB54" s="285"/>
      <c r="FC54" s="285"/>
      <c r="FD54" s="285"/>
      <c r="FE54" s="285"/>
      <c r="FF54" s="285"/>
      <c r="FG54" s="285"/>
      <c r="FH54" s="285"/>
      <c r="FI54" s="285"/>
      <c r="FJ54" s="285"/>
      <c r="FK54" s="285"/>
      <c r="FL54" s="285"/>
      <c r="FM54" s="285"/>
      <c r="FN54" s="285"/>
      <c r="FO54" s="285"/>
      <c r="FP54" s="285"/>
      <c r="FQ54" s="285"/>
      <c r="FR54" s="285"/>
      <c r="FS54" s="285"/>
      <c r="FT54" s="285"/>
      <c r="FU54" s="285"/>
      <c r="FV54" s="285"/>
      <c r="FW54" s="285"/>
      <c r="FX54" s="285"/>
      <c r="FY54" s="285"/>
      <c r="FZ54" s="285"/>
      <c r="GA54" s="285"/>
      <c r="GB54" s="285"/>
      <c r="GC54" s="285"/>
      <c r="GD54" s="285"/>
      <c r="GE54" s="285"/>
      <c r="GF54" s="285"/>
      <c r="GG54" s="285"/>
      <c r="GH54" s="285"/>
      <c r="GI54" s="285"/>
      <c r="GJ54" s="285"/>
      <c r="GK54" s="285"/>
      <c r="GL54" s="285"/>
      <c r="GM54" s="285"/>
      <c r="GN54" s="285"/>
      <c r="GO54" s="285"/>
      <c r="GP54" s="285"/>
      <c r="GQ54" s="285"/>
      <c r="GR54" s="285"/>
      <c r="GS54" s="285"/>
      <c r="GT54" s="285"/>
      <c r="GU54" s="285"/>
      <c r="GV54" s="285"/>
      <c r="GW54" s="285"/>
      <c r="GX54" s="285"/>
      <c r="GY54" s="285"/>
      <c r="GZ54" s="285"/>
      <c r="HA54" s="285"/>
      <c r="HB54" s="285"/>
      <c r="HC54" s="285"/>
      <c r="HD54" s="285"/>
      <c r="HE54" s="285"/>
      <c r="HF54" s="285"/>
      <c r="HG54" s="285"/>
      <c r="HH54" s="285"/>
      <c r="HI54" s="285"/>
      <c r="HJ54" s="285"/>
      <c r="HK54" s="285"/>
      <c r="HL54" s="285"/>
      <c r="HM54" s="285"/>
      <c r="HN54" s="285"/>
      <c r="HO54" s="285"/>
      <c r="HP54" s="285"/>
      <c r="HQ54" s="285"/>
      <c r="HR54" s="285"/>
      <c r="HS54" s="285"/>
      <c r="HT54" s="285"/>
      <c r="HU54" s="285"/>
      <c r="HV54" s="285"/>
      <c r="HW54" s="285"/>
      <c r="HX54" s="285"/>
      <c r="HY54" s="285"/>
      <c r="HZ54" s="285"/>
      <c r="IA54" s="285"/>
      <c r="IB54" s="285"/>
      <c r="IC54" s="285"/>
      <c r="ID54" s="285"/>
      <c r="IE54" s="285"/>
      <c r="IF54" s="285"/>
      <c r="IG54" s="285"/>
      <c r="IH54" s="285"/>
      <c r="II54" s="285"/>
      <c r="IJ54" s="285"/>
      <c r="IK54" s="285"/>
      <c r="IL54" s="285"/>
      <c r="IM54" s="285"/>
      <c r="IN54" s="285"/>
      <c r="IO54" s="285"/>
      <c r="IP54" s="285"/>
      <c r="IQ54" s="285"/>
      <c r="IR54" s="285"/>
      <c r="IS54" s="285"/>
      <c r="IT54" s="285"/>
      <c r="IU54" s="285"/>
      <c r="IV54" s="285"/>
      <c r="IW54" s="285"/>
      <c r="IX54" s="285"/>
      <c r="IY54" s="285"/>
      <c r="IZ54" s="285"/>
      <c r="JA54" s="285"/>
      <c r="JB54" s="285"/>
      <c r="JC54" s="285"/>
      <c r="JD54" s="285"/>
      <c r="JE54" s="285"/>
      <c r="JF54" s="285"/>
      <c r="JG54" s="285"/>
      <c r="JH54" s="285"/>
      <c r="JI54" s="285"/>
      <c r="JJ54" s="285"/>
      <c r="JK54" s="285"/>
      <c r="JL54" s="285"/>
      <c r="JM54" s="285"/>
      <c r="JN54" s="285"/>
      <c r="JO54" s="285"/>
      <c r="JP54" s="285"/>
      <c r="JQ54" s="285"/>
      <c r="JR54" s="285"/>
      <c r="JS54" s="285"/>
      <c r="JT54" s="285"/>
      <c r="JU54" s="285"/>
      <c r="JV54" s="285"/>
      <c r="JW54" s="285"/>
      <c r="JX54" s="285"/>
      <c r="JY54" s="285"/>
      <c r="JZ54" s="285"/>
      <c r="KA54" s="285"/>
      <c r="KB54" s="285"/>
      <c r="KC54" s="285"/>
      <c r="KD54" s="285"/>
      <c r="KE54" s="285"/>
      <c r="KF54" s="285"/>
      <c r="KG54" s="285"/>
      <c r="KH54" s="285"/>
      <c r="KI54" s="285"/>
      <c r="KJ54" s="285"/>
      <c r="KK54" s="285"/>
      <c r="KL54" s="285"/>
      <c r="KM54" s="285"/>
      <c r="KN54" s="285"/>
      <c r="KO54" s="285"/>
      <c r="KP54" s="285"/>
      <c r="KQ54" s="285"/>
      <c r="KR54" s="298"/>
      <c r="KS54" s="285"/>
      <c r="KT54" s="285"/>
      <c r="KU54" s="268"/>
      <c r="KV54" s="288"/>
      <c r="KW54" s="288"/>
      <c r="AER54" s="1304">
        <v>39.92</v>
      </c>
      <c r="AGF54" s="1304">
        <v>-141</v>
      </c>
    </row>
    <row r="55" spans="1:864" ht="16.2" customHeight="1">
      <c r="A55" s="9">
        <v>51</v>
      </c>
      <c r="B55" s="921" t="s">
        <v>4486</v>
      </c>
      <c r="C55" s="906">
        <v>310920116</v>
      </c>
      <c r="D55" s="906" t="s">
        <v>6925</v>
      </c>
      <c r="E55" s="906">
        <v>991894040</v>
      </c>
      <c r="F55" s="74">
        <v>0</v>
      </c>
      <c r="G55" s="75">
        <v>649737</v>
      </c>
      <c r="H55" s="944"/>
      <c r="I55" s="944"/>
      <c r="J55" s="944"/>
      <c r="K55" s="1308"/>
      <c r="L55" s="1308"/>
      <c r="M55" s="1308"/>
      <c r="N55" s="1308"/>
      <c r="O55" s="285"/>
      <c r="P55" s="285"/>
      <c r="Q55" s="285"/>
      <c r="R55" s="285"/>
      <c r="S55" s="285"/>
      <c r="T55" s="285"/>
      <c r="U55" s="285"/>
      <c r="V55" s="285"/>
      <c r="W55" s="285"/>
      <c r="X55" s="285">
        <f>5.8-2+22+33-61.1+21-21</f>
        <v>-2.3000000000000043</v>
      </c>
      <c r="Y55" s="285">
        <v>2.2999999999999998</v>
      </c>
      <c r="Z55" s="285">
        <f>33+32+33+27.5+33+33-90-100</f>
        <v>1.5</v>
      </c>
      <c r="AA55" s="285"/>
      <c r="AB55" s="285">
        <v>0.8</v>
      </c>
      <c r="AC55" s="285">
        <f>23+22-90-14</f>
        <v>-59</v>
      </c>
      <c r="AD55" s="285">
        <v>59.8</v>
      </c>
      <c r="AE55" s="285">
        <f>33+32.975+33+23+24+23+25+30.1+25.7-100-90</f>
        <v>59.774999999999977</v>
      </c>
      <c r="AF55" s="285">
        <v>0</v>
      </c>
      <c r="AG55" s="285">
        <f>31-78</f>
        <v>-47</v>
      </c>
      <c r="AH55" s="285">
        <v>47</v>
      </c>
      <c r="AI55" s="285">
        <f>32+33+21+23.7+33+33+33+24+33-80.2-190</f>
        <v>-4.5</v>
      </c>
      <c r="AJ55" s="285">
        <f>18.5+33</f>
        <v>51.5</v>
      </c>
      <c r="AK55" s="285"/>
      <c r="AL55" s="285">
        <v>0</v>
      </c>
      <c r="AM55" s="285"/>
      <c r="AN55" s="285"/>
      <c r="AO55" s="285"/>
      <c r="AP55" s="285"/>
      <c r="AQ55" s="285"/>
      <c r="AR55" s="285"/>
      <c r="AS55" s="285"/>
      <c r="AT55" s="285"/>
      <c r="AU55" s="285"/>
      <c r="AV55" s="285"/>
      <c r="AW55" s="285"/>
      <c r="AX55" s="285"/>
      <c r="AY55" s="285"/>
      <c r="AZ55" s="285"/>
      <c r="BA55" s="285"/>
      <c r="BB55" s="285"/>
      <c r="BC55" s="285"/>
      <c r="BD55" s="285"/>
      <c r="BE55" s="285"/>
      <c r="BF55" s="285"/>
      <c r="BG55" s="285"/>
      <c r="BH55" s="285"/>
      <c r="BI55" s="285"/>
      <c r="BJ55" s="285"/>
      <c r="BK55" s="285"/>
      <c r="BL55" s="285"/>
      <c r="BM55" s="285"/>
      <c r="BN55" s="285"/>
      <c r="BO55" s="285"/>
      <c r="BP55" s="285"/>
      <c r="BQ55" s="285"/>
      <c r="BR55" s="285"/>
      <c r="BS55" s="285"/>
      <c r="BT55" s="285"/>
      <c r="BU55" s="285"/>
      <c r="BV55" s="285"/>
      <c r="BW55" s="285"/>
      <c r="BX55" s="285"/>
      <c r="BY55" s="285"/>
      <c r="BZ55" s="285"/>
      <c r="CA55" s="285"/>
      <c r="CB55" s="285"/>
      <c r="CC55" s="285"/>
      <c r="CD55" s="285"/>
      <c r="CE55" s="285"/>
      <c r="CF55" s="285"/>
      <c r="CG55" s="285"/>
      <c r="CH55" s="285"/>
      <c r="CI55" s="285"/>
      <c r="CJ55" s="285"/>
      <c r="CK55" s="285"/>
      <c r="CL55" s="285"/>
      <c r="CM55" s="285"/>
      <c r="CN55" s="285"/>
      <c r="CO55" s="285"/>
      <c r="CP55" s="285"/>
      <c r="CQ55" s="285"/>
      <c r="CR55" s="285"/>
      <c r="CS55" s="285"/>
      <c r="CT55" s="285"/>
      <c r="CU55" s="285"/>
      <c r="CV55" s="285"/>
      <c r="CW55" s="285"/>
      <c r="CX55" s="285"/>
      <c r="CY55" s="285"/>
      <c r="CZ55" s="285"/>
      <c r="DA55" s="285"/>
      <c r="DB55" s="285"/>
      <c r="DC55" s="285"/>
      <c r="DD55" s="285"/>
      <c r="DE55" s="285"/>
      <c r="DF55" s="285"/>
      <c r="DG55" s="285"/>
      <c r="DH55" s="285"/>
      <c r="DI55" s="285"/>
      <c r="DJ55" s="285"/>
      <c r="DK55" s="285"/>
      <c r="DL55" s="285"/>
      <c r="DM55" s="285"/>
      <c r="DN55" s="285"/>
      <c r="DO55" s="285"/>
      <c r="DP55" s="285"/>
      <c r="DQ55" s="285"/>
      <c r="DR55" s="285"/>
      <c r="DS55" s="285"/>
      <c r="DT55" s="285"/>
      <c r="DU55" s="285"/>
      <c r="DV55" s="285"/>
      <c r="DW55" s="285"/>
      <c r="DX55" s="285"/>
      <c r="DY55" s="285"/>
      <c r="DZ55" s="285"/>
      <c r="EA55" s="285"/>
      <c r="EB55" s="285"/>
      <c r="EC55" s="285"/>
      <c r="ED55" s="285"/>
      <c r="EE55" s="285"/>
      <c r="EF55" s="285"/>
      <c r="EG55" s="285"/>
      <c r="EH55" s="285"/>
      <c r="EI55" s="285"/>
      <c r="EJ55" s="285"/>
      <c r="EK55" s="285"/>
      <c r="EL55" s="285"/>
      <c r="EM55" s="285"/>
      <c r="EN55" s="285"/>
      <c r="EO55" s="285"/>
      <c r="EP55" s="285"/>
      <c r="EQ55" s="285"/>
      <c r="ER55" s="285"/>
      <c r="ES55" s="285"/>
      <c r="ET55" s="285"/>
      <c r="EU55" s="285"/>
      <c r="EV55" s="285"/>
      <c r="EW55" s="285"/>
      <c r="EX55" s="285"/>
      <c r="EY55" s="285"/>
      <c r="EZ55" s="285"/>
      <c r="FA55" s="285"/>
      <c r="FB55" s="285"/>
      <c r="FC55" s="285"/>
      <c r="FD55" s="285"/>
      <c r="FE55" s="285"/>
      <c r="FF55" s="285"/>
      <c r="FG55" s="285"/>
      <c r="FH55" s="285"/>
      <c r="FI55" s="285"/>
      <c r="FJ55" s="285"/>
      <c r="FK55" s="285"/>
      <c r="FL55" s="285"/>
      <c r="FM55" s="285"/>
      <c r="FN55" s="285"/>
      <c r="FO55" s="285"/>
      <c r="FP55" s="285"/>
      <c r="FQ55" s="285"/>
      <c r="FR55" s="285"/>
      <c r="FS55" s="285"/>
      <c r="FT55" s="285"/>
      <c r="FU55" s="285"/>
      <c r="FV55" s="285"/>
      <c r="FW55" s="285"/>
      <c r="FX55" s="285"/>
      <c r="FY55" s="285"/>
      <c r="FZ55" s="285"/>
      <c r="GA55" s="285"/>
      <c r="GB55" s="285"/>
      <c r="GC55" s="285"/>
      <c r="GD55" s="285"/>
      <c r="GE55" s="285"/>
      <c r="GF55" s="285"/>
      <c r="GG55" s="285"/>
      <c r="GH55" s="285"/>
      <c r="GI55" s="285"/>
      <c r="GJ55" s="285"/>
      <c r="GK55" s="285"/>
      <c r="GL55" s="285"/>
      <c r="GM55" s="285"/>
      <c r="GN55" s="285"/>
      <c r="GO55" s="285"/>
      <c r="GP55" s="285"/>
      <c r="GQ55" s="285"/>
      <c r="GR55" s="285"/>
      <c r="GS55" s="285"/>
      <c r="GT55" s="285"/>
      <c r="GU55" s="285"/>
      <c r="GV55" s="285"/>
      <c r="GW55" s="285"/>
      <c r="GX55" s="285"/>
      <c r="GY55" s="285"/>
      <c r="GZ55" s="285"/>
      <c r="HA55" s="285"/>
      <c r="HB55" s="285"/>
      <c r="HC55" s="285"/>
      <c r="HD55" s="285"/>
      <c r="HE55" s="285"/>
      <c r="HF55" s="285"/>
      <c r="HG55" s="285"/>
      <c r="HH55" s="285"/>
      <c r="HI55" s="285"/>
      <c r="HJ55" s="285"/>
      <c r="HK55" s="285"/>
      <c r="HL55" s="285"/>
      <c r="HM55" s="285"/>
      <c r="HN55" s="285"/>
      <c r="HO55" s="285"/>
      <c r="HP55" s="285"/>
      <c r="HQ55" s="285"/>
      <c r="HR55" s="285"/>
      <c r="HS55" s="285"/>
      <c r="HT55" s="285"/>
      <c r="HU55" s="285"/>
      <c r="HV55" s="285"/>
      <c r="HW55" s="285"/>
      <c r="HX55" s="285"/>
      <c r="HY55" s="285"/>
      <c r="HZ55" s="285"/>
      <c r="IA55" s="285"/>
      <c r="IB55" s="285"/>
      <c r="IC55" s="285"/>
      <c r="ID55" s="285"/>
      <c r="IE55" s="285"/>
      <c r="IF55" s="285"/>
      <c r="IG55" s="285"/>
      <c r="IH55" s="285"/>
      <c r="II55" s="285"/>
      <c r="IJ55" s="285"/>
      <c r="IK55" s="285"/>
      <c r="IL55" s="285"/>
      <c r="IM55" s="285"/>
      <c r="IN55" s="285"/>
      <c r="IO55" s="285"/>
      <c r="IP55" s="285"/>
      <c r="IQ55" s="285"/>
      <c r="IR55" s="285"/>
      <c r="IS55" s="285"/>
      <c r="IT55" s="285"/>
      <c r="IU55" s="285"/>
      <c r="IV55" s="285"/>
      <c r="IW55" s="285"/>
      <c r="IX55" s="285"/>
      <c r="IY55" s="285"/>
      <c r="IZ55" s="285"/>
      <c r="JA55" s="285"/>
      <c r="JB55" s="285"/>
      <c r="JC55" s="285"/>
      <c r="JD55" s="285"/>
      <c r="JE55" s="285"/>
      <c r="JF55" s="285"/>
      <c r="JG55" s="285"/>
      <c r="JH55" s="285"/>
      <c r="JI55" s="285"/>
      <c r="JJ55" s="285"/>
      <c r="JK55" s="285"/>
      <c r="JL55" s="285"/>
      <c r="JM55" s="285"/>
      <c r="JN55" s="285"/>
      <c r="JO55" s="285"/>
      <c r="JP55" s="285"/>
      <c r="JQ55" s="285"/>
      <c r="JR55" s="285"/>
      <c r="JS55" s="285"/>
      <c r="JT55" s="285"/>
      <c r="JU55" s="285"/>
      <c r="JV55" s="285"/>
      <c r="JW55" s="285"/>
      <c r="JX55" s="285"/>
      <c r="JY55" s="285"/>
      <c r="JZ55" s="285"/>
      <c r="KA55" s="285"/>
      <c r="KB55" s="285"/>
      <c r="KC55" s="285"/>
      <c r="KD55" s="285"/>
      <c r="KE55" s="285"/>
      <c r="KF55" s="285"/>
      <c r="KG55" s="285"/>
      <c r="KH55" s="285"/>
      <c r="KI55" s="285"/>
      <c r="KJ55" s="285"/>
      <c r="KK55" s="285"/>
      <c r="KL55" s="285"/>
      <c r="KM55" s="285"/>
      <c r="KN55" s="285"/>
      <c r="KO55" s="285"/>
      <c r="KP55" s="285"/>
      <c r="KQ55" s="285"/>
      <c r="KR55" s="298"/>
      <c r="KS55" s="285"/>
      <c r="KT55" s="285"/>
      <c r="KU55" s="268"/>
      <c r="KV55" s="288"/>
      <c r="KW55" s="288"/>
      <c r="AES55" s="1304">
        <v>1590</v>
      </c>
      <c r="AGF55" s="1304">
        <v>1</v>
      </c>
    </row>
    <row r="56" spans="1:864" ht="16.2" customHeight="1">
      <c r="A56" s="9"/>
      <c r="B56" s="921">
        <v>0</v>
      </c>
      <c r="C56" s="906"/>
      <c r="D56" s="906"/>
      <c r="E56" s="906"/>
      <c r="F56" s="74"/>
      <c r="G56" s="75"/>
      <c r="H56" s="944"/>
      <c r="I56" s="944"/>
      <c r="J56" s="944"/>
      <c r="K56" s="1308"/>
      <c r="L56" s="1308"/>
      <c r="M56" s="1308"/>
      <c r="N56" s="1308"/>
      <c r="O56" s="285"/>
      <c r="P56" s="285"/>
      <c r="Q56" s="285"/>
      <c r="R56" s="285"/>
      <c r="S56" s="285"/>
      <c r="T56" s="285"/>
      <c r="U56" s="285"/>
      <c r="V56" s="285"/>
      <c r="W56" s="285"/>
      <c r="X56" s="285"/>
      <c r="Y56" s="285"/>
      <c r="Z56" s="285"/>
      <c r="AA56" s="285"/>
      <c r="AB56" s="285"/>
      <c r="AC56" s="285"/>
      <c r="AD56" s="285"/>
      <c r="AE56" s="285"/>
      <c r="AF56" s="285"/>
      <c r="AG56" s="285"/>
      <c r="AH56" s="285"/>
      <c r="AI56" s="285"/>
      <c r="AJ56" s="285"/>
      <c r="AK56" s="285"/>
      <c r="AL56" s="285"/>
      <c r="AM56" s="285"/>
      <c r="AN56" s="285"/>
      <c r="AO56" s="285"/>
      <c r="AP56" s="285"/>
      <c r="AQ56" s="285"/>
      <c r="AR56" s="285"/>
      <c r="AS56" s="285"/>
      <c r="AT56" s="285"/>
      <c r="AU56" s="285"/>
      <c r="AV56" s="285"/>
      <c r="AW56" s="285"/>
      <c r="AX56" s="285"/>
      <c r="AY56" s="285"/>
      <c r="AZ56" s="285"/>
      <c r="BA56" s="285"/>
      <c r="BB56" s="285"/>
      <c r="BC56" s="285"/>
      <c r="BD56" s="285"/>
      <c r="BE56" s="285"/>
      <c r="BF56" s="285"/>
      <c r="BG56" s="285"/>
      <c r="BH56" s="285"/>
      <c r="BI56" s="285"/>
      <c r="BJ56" s="285"/>
      <c r="BK56" s="285"/>
      <c r="BL56" s="285"/>
      <c r="BM56" s="285"/>
      <c r="BN56" s="285"/>
      <c r="BO56" s="285"/>
      <c r="BP56" s="285"/>
      <c r="BQ56" s="285"/>
      <c r="BR56" s="285"/>
      <c r="BS56" s="285"/>
      <c r="BT56" s="285"/>
      <c r="BU56" s="285"/>
      <c r="BV56" s="285"/>
      <c r="BW56" s="285"/>
      <c r="BX56" s="285"/>
      <c r="BY56" s="285"/>
      <c r="BZ56" s="285"/>
      <c r="CA56" s="285"/>
      <c r="CB56" s="285"/>
      <c r="CC56" s="285"/>
      <c r="CD56" s="285"/>
      <c r="CE56" s="285"/>
      <c r="CF56" s="285"/>
      <c r="CG56" s="285"/>
      <c r="CH56" s="285"/>
      <c r="CI56" s="285"/>
      <c r="CJ56" s="285"/>
      <c r="CK56" s="285"/>
      <c r="CL56" s="285"/>
      <c r="CM56" s="285"/>
      <c r="CN56" s="285"/>
      <c r="CO56" s="285"/>
      <c r="CP56" s="285"/>
      <c r="CQ56" s="285"/>
      <c r="CR56" s="285"/>
      <c r="CS56" s="285"/>
      <c r="CT56" s="285"/>
      <c r="CU56" s="285"/>
      <c r="CV56" s="285"/>
      <c r="CW56" s="285"/>
      <c r="CX56" s="285"/>
      <c r="CY56" s="285"/>
      <c r="CZ56" s="285"/>
      <c r="DA56" s="285"/>
      <c r="DB56" s="285"/>
      <c r="DC56" s="285"/>
      <c r="DD56" s="285"/>
      <c r="DE56" s="285"/>
      <c r="DF56" s="285"/>
      <c r="DG56" s="285"/>
      <c r="DH56" s="285"/>
      <c r="DI56" s="285"/>
      <c r="DJ56" s="285"/>
      <c r="DK56" s="285"/>
      <c r="DL56" s="285"/>
      <c r="DM56" s="285"/>
      <c r="DN56" s="285"/>
      <c r="DO56" s="285"/>
      <c r="DP56" s="285"/>
      <c r="DQ56" s="285"/>
      <c r="DR56" s="285"/>
      <c r="DS56" s="285"/>
      <c r="DT56" s="285"/>
      <c r="DU56" s="285"/>
      <c r="DV56" s="285"/>
      <c r="DW56" s="285"/>
      <c r="DX56" s="285"/>
      <c r="DY56" s="285"/>
      <c r="DZ56" s="285"/>
      <c r="EA56" s="285"/>
      <c r="EB56" s="285"/>
      <c r="EC56" s="285"/>
      <c r="ED56" s="285"/>
      <c r="EE56" s="285"/>
      <c r="EF56" s="285"/>
      <c r="EG56" s="285"/>
      <c r="EH56" s="285"/>
      <c r="EI56" s="285"/>
      <c r="EJ56" s="285"/>
      <c r="EK56" s="285"/>
      <c r="EL56" s="285"/>
      <c r="EM56" s="285"/>
      <c r="EN56" s="285"/>
      <c r="EO56" s="285"/>
      <c r="EP56" s="285"/>
      <c r="EQ56" s="285"/>
      <c r="ER56" s="285"/>
      <c r="ES56" s="285"/>
      <c r="ET56" s="285"/>
      <c r="EU56" s="285"/>
      <c r="EV56" s="285"/>
      <c r="EW56" s="285"/>
      <c r="EX56" s="285"/>
      <c r="EY56" s="285"/>
      <c r="EZ56" s="285"/>
      <c r="FA56" s="285"/>
      <c r="FB56" s="285"/>
      <c r="FC56" s="285"/>
      <c r="FD56" s="285"/>
      <c r="FE56" s="285"/>
      <c r="FF56" s="285"/>
      <c r="FG56" s="285"/>
      <c r="FH56" s="285"/>
      <c r="FI56" s="285"/>
      <c r="FJ56" s="285"/>
      <c r="FK56" s="285"/>
      <c r="FL56" s="285"/>
      <c r="FM56" s="285"/>
      <c r="FN56" s="285"/>
      <c r="FO56" s="285"/>
      <c r="FP56" s="285"/>
      <c r="FQ56" s="285"/>
      <c r="FR56" s="285"/>
      <c r="FS56" s="285"/>
      <c r="FT56" s="285"/>
      <c r="FU56" s="285"/>
      <c r="FV56" s="285"/>
      <c r="FW56" s="285"/>
      <c r="FX56" s="285"/>
      <c r="FY56" s="285"/>
      <c r="FZ56" s="285"/>
      <c r="GA56" s="285"/>
      <c r="GB56" s="285"/>
      <c r="GC56" s="285"/>
      <c r="GD56" s="285"/>
      <c r="GE56" s="285"/>
      <c r="GF56" s="285"/>
      <c r="GG56" s="285"/>
      <c r="GH56" s="285"/>
      <c r="GI56" s="285"/>
      <c r="GJ56" s="285"/>
      <c r="GK56" s="285"/>
      <c r="GL56" s="285"/>
      <c r="GM56" s="285"/>
      <c r="GN56" s="285"/>
      <c r="GO56" s="285"/>
      <c r="GP56" s="285"/>
      <c r="GQ56" s="285"/>
      <c r="GR56" s="285"/>
      <c r="GS56" s="285"/>
      <c r="GT56" s="285"/>
      <c r="GU56" s="285"/>
      <c r="GV56" s="285"/>
      <c r="GW56" s="285"/>
      <c r="GX56" s="285"/>
      <c r="GY56" s="285"/>
      <c r="GZ56" s="285"/>
      <c r="HA56" s="285"/>
      <c r="HB56" s="285"/>
      <c r="HC56" s="285"/>
      <c r="HD56" s="285"/>
      <c r="HE56" s="285"/>
      <c r="HF56" s="285"/>
      <c r="HG56" s="285"/>
      <c r="HH56" s="285"/>
      <c r="HI56" s="285"/>
      <c r="HJ56" s="285"/>
      <c r="HK56" s="285"/>
      <c r="HL56" s="285"/>
      <c r="HM56" s="285"/>
      <c r="HN56" s="285"/>
      <c r="HO56" s="285"/>
      <c r="HP56" s="285"/>
      <c r="HQ56" s="285"/>
      <c r="HR56" s="285"/>
      <c r="HS56" s="285"/>
      <c r="HT56" s="285"/>
      <c r="HU56" s="285"/>
      <c r="HV56" s="285"/>
      <c r="HW56" s="285"/>
      <c r="HX56" s="285"/>
      <c r="HY56" s="285"/>
      <c r="HZ56" s="285"/>
      <c r="IA56" s="285"/>
      <c r="IB56" s="285"/>
      <c r="IC56" s="285"/>
      <c r="ID56" s="285"/>
      <c r="IE56" s="285"/>
      <c r="IF56" s="285"/>
      <c r="IG56" s="285"/>
      <c r="IH56" s="285"/>
      <c r="II56" s="285"/>
      <c r="IJ56" s="285"/>
      <c r="IK56" s="285"/>
      <c r="IL56" s="285"/>
      <c r="IM56" s="285"/>
      <c r="IN56" s="285"/>
      <c r="IO56" s="285"/>
      <c r="IP56" s="285"/>
      <c r="IQ56" s="285"/>
      <c r="IR56" s="285"/>
      <c r="IS56" s="285"/>
      <c r="IT56" s="285"/>
      <c r="IU56" s="285"/>
      <c r="IV56" s="285"/>
      <c r="IW56" s="285"/>
      <c r="IX56" s="285"/>
      <c r="IY56" s="285"/>
      <c r="IZ56" s="285"/>
      <c r="JA56" s="285"/>
      <c r="JB56" s="285"/>
      <c r="JC56" s="285"/>
      <c r="JD56" s="285"/>
      <c r="JE56" s="285"/>
      <c r="JF56" s="285"/>
      <c r="JG56" s="285"/>
      <c r="JH56" s="285"/>
      <c r="JI56" s="285"/>
      <c r="JJ56" s="285"/>
      <c r="JK56" s="285"/>
      <c r="JL56" s="285"/>
      <c r="JM56" s="285"/>
      <c r="JN56" s="285"/>
      <c r="JO56" s="285"/>
      <c r="JP56" s="285"/>
      <c r="JQ56" s="285"/>
      <c r="JR56" s="285"/>
      <c r="JS56" s="285"/>
      <c r="JT56" s="285"/>
      <c r="JU56" s="285"/>
      <c r="JV56" s="285"/>
      <c r="JW56" s="285"/>
      <c r="JX56" s="285"/>
      <c r="JY56" s="285"/>
      <c r="JZ56" s="285"/>
      <c r="KA56" s="285"/>
      <c r="KB56" s="285"/>
      <c r="KC56" s="285"/>
      <c r="KD56" s="285"/>
      <c r="KE56" s="285"/>
      <c r="KF56" s="285"/>
      <c r="KG56" s="285"/>
      <c r="KH56" s="285"/>
      <c r="KI56" s="285"/>
      <c r="KJ56" s="285"/>
      <c r="KK56" s="285"/>
      <c r="KL56" s="285"/>
      <c r="KM56" s="285"/>
      <c r="KN56" s="285"/>
      <c r="KO56" s="285"/>
      <c r="KP56" s="285"/>
      <c r="KQ56" s="285"/>
      <c r="KR56" s="298"/>
      <c r="KS56" s="285"/>
      <c r="KT56" s="285"/>
      <c r="KU56" s="268"/>
      <c r="KV56" s="288"/>
      <c r="KW56" s="288"/>
      <c r="AES56" s="1304">
        <v>550</v>
      </c>
      <c r="AGF56" s="1304">
        <v>3</v>
      </c>
    </row>
    <row r="57" spans="1:864" ht="16.2" customHeight="1">
      <c r="A57" s="9">
        <v>1.2023999999999999</v>
      </c>
      <c r="B57" s="1540" t="s">
        <v>4544</v>
      </c>
      <c r="C57" s="906">
        <v>311031501</v>
      </c>
      <c r="D57" s="906" t="s">
        <v>6925</v>
      </c>
      <c r="E57" s="1421">
        <v>311031501</v>
      </c>
      <c r="F57" s="74">
        <v>0</v>
      </c>
      <c r="G57" s="75">
        <v>574048</v>
      </c>
      <c r="H57" s="944" t="s">
        <v>6806</v>
      </c>
      <c r="I57" s="944"/>
      <c r="J57" s="944"/>
      <c r="K57" s="1308"/>
      <c r="L57" s="1308"/>
      <c r="M57" s="1308"/>
      <c r="N57" s="1308"/>
      <c r="O57" s="285">
        <v>0</v>
      </c>
      <c r="P57" s="285"/>
      <c r="Q57" s="285"/>
      <c r="R57" s="285">
        <v>0</v>
      </c>
      <c r="S57" s="285"/>
      <c r="T57" s="285"/>
      <c r="U57" s="285"/>
      <c r="V57" s="285"/>
      <c r="W57" s="285"/>
      <c r="X57" s="285"/>
      <c r="Y57" s="285"/>
      <c r="Z57" s="285"/>
      <c r="AA57" s="285"/>
      <c r="AB57" s="285"/>
      <c r="AC57" s="285"/>
      <c r="AD57" s="285"/>
      <c r="AE57" s="285"/>
      <c r="AF57" s="285"/>
      <c r="AG57" s="285"/>
      <c r="AH57" s="285"/>
      <c r="AI57" s="285"/>
      <c r="AJ57" s="285"/>
      <c r="AK57" s="285"/>
      <c r="AL57" s="285"/>
      <c r="AM57" s="285"/>
      <c r="AN57" s="285"/>
      <c r="AO57" s="285"/>
      <c r="AP57" s="285"/>
      <c r="AQ57" s="285"/>
      <c r="AR57" s="285"/>
      <c r="AS57" s="285"/>
      <c r="AT57" s="285"/>
      <c r="AU57" s="285"/>
      <c r="AV57" s="285"/>
      <c r="AW57" s="285"/>
      <c r="AX57" s="285"/>
      <c r="AY57" s="285"/>
      <c r="AZ57" s="285"/>
      <c r="BA57" s="285"/>
      <c r="BB57" s="285"/>
      <c r="BC57" s="285"/>
      <c r="BD57" s="285"/>
      <c r="BE57" s="285"/>
      <c r="BF57" s="285"/>
      <c r="BG57" s="285"/>
      <c r="BH57" s="285"/>
      <c r="BI57" s="285"/>
      <c r="BJ57" s="285"/>
      <c r="BK57" s="285"/>
      <c r="BL57" s="285"/>
      <c r="BM57" s="285"/>
      <c r="BN57" s="285"/>
      <c r="BO57" s="285"/>
      <c r="BP57" s="285"/>
      <c r="BQ57" s="285"/>
      <c r="BR57" s="285"/>
      <c r="BS57" s="285"/>
      <c r="BT57" s="285"/>
      <c r="BU57" s="285"/>
      <c r="BV57" s="285"/>
      <c r="BW57" s="285"/>
      <c r="BX57" s="285"/>
      <c r="BY57" s="285"/>
      <c r="BZ57" s="285"/>
      <c r="CA57" s="285"/>
      <c r="CB57" s="285"/>
      <c r="CC57" s="285"/>
      <c r="CD57" s="285"/>
      <c r="CE57" s="285"/>
      <c r="CF57" s="285"/>
      <c r="CG57" s="285"/>
      <c r="CH57" s="285"/>
      <c r="CI57" s="285"/>
      <c r="CJ57" s="285"/>
      <c r="CK57" s="285"/>
      <c r="CL57" s="285"/>
      <c r="CM57" s="285"/>
      <c r="CN57" s="285"/>
      <c r="CO57" s="285"/>
      <c r="CP57" s="285"/>
      <c r="CQ57" s="285"/>
      <c r="CR57" s="285"/>
      <c r="CS57" s="285"/>
      <c r="CT57" s="285"/>
      <c r="CU57" s="285"/>
      <c r="CV57" s="285"/>
      <c r="CW57" s="285"/>
      <c r="CX57" s="285"/>
      <c r="CY57" s="285"/>
      <c r="CZ57" s="285"/>
      <c r="DA57" s="285"/>
      <c r="DB57" s="285"/>
      <c r="DC57" s="285"/>
      <c r="DD57" s="285"/>
      <c r="DE57" s="285"/>
      <c r="DF57" s="285"/>
      <c r="DG57" s="285"/>
      <c r="DH57" s="285"/>
      <c r="DI57" s="285"/>
      <c r="DJ57" s="285"/>
      <c r="DK57" s="285"/>
      <c r="DL57" s="285"/>
      <c r="DM57" s="285"/>
      <c r="DN57" s="285"/>
      <c r="DO57" s="285"/>
      <c r="DP57" s="285"/>
      <c r="DQ57" s="285"/>
      <c r="DR57" s="285"/>
      <c r="DS57" s="285"/>
      <c r="DT57" s="285"/>
      <c r="DU57" s="285"/>
      <c r="DV57" s="285"/>
      <c r="DW57" s="285"/>
      <c r="DX57" s="285"/>
      <c r="DY57" s="285"/>
      <c r="DZ57" s="285"/>
      <c r="EA57" s="285"/>
      <c r="EB57" s="285"/>
      <c r="EC57" s="285"/>
      <c r="ED57" s="285"/>
      <c r="EE57" s="285"/>
      <c r="EF57" s="285"/>
      <c r="EG57" s="285"/>
      <c r="EH57" s="285"/>
      <c r="EI57" s="285"/>
      <c r="EJ57" s="285"/>
      <c r="EK57" s="285"/>
      <c r="EL57" s="285"/>
      <c r="EM57" s="285"/>
      <c r="EN57" s="285"/>
      <c r="EO57" s="285"/>
      <c r="EP57" s="285"/>
      <c r="EQ57" s="285"/>
      <c r="ER57" s="285"/>
      <c r="ES57" s="285"/>
      <c r="ET57" s="285"/>
      <c r="EU57" s="285"/>
      <c r="EV57" s="285"/>
      <c r="EW57" s="285"/>
      <c r="EX57" s="285"/>
      <c r="EY57" s="285"/>
      <c r="EZ57" s="285"/>
      <c r="FA57" s="285"/>
      <c r="FB57" s="285"/>
      <c r="FC57" s="285"/>
      <c r="FD57" s="285"/>
      <c r="FE57" s="285"/>
      <c r="FF57" s="285"/>
      <c r="FG57" s="285"/>
      <c r="FH57" s="285"/>
      <c r="FI57" s="285"/>
      <c r="FJ57" s="285"/>
      <c r="FK57" s="285"/>
      <c r="FL57" s="285"/>
      <c r="FM57" s="285"/>
      <c r="FN57" s="285"/>
      <c r="FO57" s="285"/>
      <c r="FP57" s="285"/>
      <c r="FQ57" s="285"/>
      <c r="FR57" s="285"/>
      <c r="FS57" s="285"/>
      <c r="FT57" s="285"/>
      <c r="FU57" s="285"/>
      <c r="FV57" s="285"/>
      <c r="FW57" s="285"/>
      <c r="FX57" s="285"/>
      <c r="FY57" s="285"/>
      <c r="FZ57" s="285"/>
      <c r="GA57" s="285"/>
      <c r="GB57" s="285"/>
      <c r="GC57" s="285"/>
      <c r="GD57" s="285"/>
      <c r="GE57" s="285"/>
      <c r="GF57" s="285"/>
      <c r="GG57" s="285"/>
      <c r="GH57" s="285"/>
      <c r="GI57" s="285"/>
      <c r="GJ57" s="285"/>
      <c r="GK57" s="285"/>
      <c r="GL57" s="285"/>
      <c r="GM57" s="285"/>
      <c r="GN57" s="285"/>
      <c r="GO57" s="285"/>
      <c r="GP57" s="285"/>
      <c r="GQ57" s="285"/>
      <c r="GR57" s="285"/>
      <c r="GS57" s="285"/>
      <c r="GT57" s="285"/>
      <c r="GU57" s="285"/>
      <c r="GV57" s="285"/>
      <c r="GW57" s="285"/>
      <c r="GX57" s="285"/>
      <c r="GY57" s="285"/>
      <c r="GZ57" s="285"/>
      <c r="HA57" s="285"/>
      <c r="HB57" s="285"/>
      <c r="HC57" s="285"/>
      <c r="HD57" s="285"/>
      <c r="HE57" s="285"/>
      <c r="HF57" s="285"/>
      <c r="HG57" s="285"/>
      <c r="HH57" s="285"/>
      <c r="HI57" s="285"/>
      <c r="HJ57" s="285"/>
      <c r="HK57" s="285"/>
      <c r="HL57" s="285"/>
      <c r="HM57" s="285"/>
      <c r="HN57" s="285"/>
      <c r="HO57" s="285"/>
      <c r="HP57" s="285"/>
      <c r="HQ57" s="285"/>
      <c r="HR57" s="285"/>
      <c r="HS57" s="285"/>
      <c r="HT57" s="285"/>
      <c r="HU57" s="285"/>
      <c r="HV57" s="285"/>
      <c r="HW57" s="285"/>
      <c r="HX57" s="285"/>
      <c r="HY57" s="285"/>
      <c r="HZ57" s="285"/>
      <c r="IA57" s="285"/>
      <c r="IB57" s="285"/>
      <c r="IC57" s="285"/>
      <c r="ID57" s="285"/>
      <c r="IE57" s="285"/>
      <c r="IF57" s="285"/>
      <c r="IG57" s="285"/>
      <c r="IH57" s="285"/>
      <c r="II57" s="285"/>
      <c r="IJ57" s="285"/>
      <c r="IK57" s="285"/>
      <c r="IL57" s="285"/>
      <c r="IM57" s="285"/>
      <c r="IN57" s="285"/>
      <c r="IO57" s="285"/>
      <c r="IP57" s="285"/>
      <c r="IQ57" s="285"/>
      <c r="IR57" s="285"/>
      <c r="IS57" s="285"/>
      <c r="IT57" s="285"/>
      <c r="IU57" s="285"/>
      <c r="IV57" s="285"/>
      <c r="IW57" s="285"/>
      <c r="IX57" s="285"/>
      <c r="IY57" s="285"/>
      <c r="IZ57" s="285"/>
      <c r="JA57" s="285"/>
      <c r="JB57" s="285"/>
      <c r="JC57" s="285"/>
      <c r="JD57" s="285"/>
      <c r="JE57" s="285"/>
      <c r="JF57" s="285"/>
      <c r="JG57" s="285"/>
      <c r="JH57" s="285"/>
      <c r="JI57" s="285"/>
      <c r="JJ57" s="285"/>
      <c r="JK57" s="285"/>
      <c r="JL57" s="285"/>
      <c r="JM57" s="285"/>
      <c r="JN57" s="285"/>
      <c r="JO57" s="285"/>
      <c r="JP57" s="285"/>
      <c r="JQ57" s="285"/>
      <c r="JR57" s="285"/>
      <c r="JS57" s="285"/>
      <c r="JT57" s="285"/>
      <c r="JU57" s="285"/>
      <c r="JV57" s="285"/>
      <c r="JW57" s="285"/>
      <c r="JX57" s="285"/>
      <c r="JY57" s="285"/>
      <c r="JZ57" s="285"/>
      <c r="KA57" s="285"/>
      <c r="KB57" s="285"/>
      <c r="KC57" s="285"/>
      <c r="KD57" s="285"/>
      <c r="KE57" s="285"/>
      <c r="KF57" s="285"/>
      <c r="KG57" s="285"/>
      <c r="KH57" s="285"/>
      <c r="KI57" s="285"/>
      <c r="KJ57" s="285"/>
      <c r="KK57" s="285"/>
      <c r="KL57" s="285"/>
      <c r="KM57" s="285"/>
      <c r="KN57" s="285"/>
      <c r="KO57" s="285"/>
      <c r="KP57" s="285"/>
      <c r="KQ57" s="285"/>
      <c r="KR57" s="298"/>
      <c r="KS57" s="285"/>
      <c r="KT57" s="285"/>
      <c r="KU57" s="268"/>
      <c r="KV57" s="288"/>
      <c r="KW57" s="288"/>
      <c r="AES57" s="1304">
        <v>52</v>
      </c>
      <c r="AGF57" s="1304">
        <v>4</v>
      </c>
    </row>
    <row r="58" spans="1:864" ht="16.2" customHeight="1">
      <c r="A58" s="9" t="s">
        <v>4592</v>
      </c>
      <c r="B58" s="1010" t="s">
        <v>4595</v>
      </c>
      <c r="C58" s="906">
        <v>311101026</v>
      </c>
      <c r="D58" s="906" t="s">
        <v>6925</v>
      </c>
      <c r="E58" s="1219">
        <v>311101026</v>
      </c>
      <c r="F58" s="74">
        <v>0</v>
      </c>
      <c r="G58" s="75">
        <v>213170</v>
      </c>
      <c r="H58" s="944" t="s">
        <v>6806</v>
      </c>
      <c r="I58" s="944"/>
      <c r="J58" s="944"/>
      <c r="K58" s="1308"/>
      <c r="L58" s="1308"/>
      <c r="M58" s="1308"/>
      <c r="N58" s="1308"/>
      <c r="O58" s="285">
        <v>25.6</v>
      </c>
      <c r="P58" s="285"/>
      <c r="Q58" s="285"/>
      <c r="R58" s="285">
        <v>25.6</v>
      </c>
      <c r="S58" s="285"/>
      <c r="T58" s="285"/>
      <c r="U58" s="285"/>
      <c r="V58" s="285"/>
      <c r="W58" s="285"/>
      <c r="X58" s="285"/>
      <c r="Y58" s="285"/>
      <c r="Z58" s="285"/>
      <c r="AA58" s="285"/>
      <c r="AB58" s="285"/>
      <c r="AC58" s="285"/>
      <c r="AD58" s="285"/>
      <c r="AE58" s="285"/>
      <c r="AF58" s="285"/>
      <c r="AG58" s="285"/>
      <c r="AH58" s="285"/>
      <c r="AI58" s="285"/>
      <c r="AJ58" s="285"/>
      <c r="AK58" s="285"/>
      <c r="AL58" s="285"/>
      <c r="AM58" s="285"/>
      <c r="AN58" s="285"/>
      <c r="AO58" s="285"/>
      <c r="AP58" s="285"/>
      <c r="AQ58" s="285"/>
      <c r="AR58" s="285"/>
      <c r="AS58" s="285"/>
      <c r="AT58" s="285"/>
      <c r="AU58" s="285"/>
      <c r="AV58" s="285"/>
      <c r="AW58" s="285"/>
      <c r="AX58" s="285"/>
      <c r="AY58" s="285"/>
      <c r="AZ58" s="285"/>
      <c r="BA58" s="285"/>
      <c r="BB58" s="285"/>
      <c r="BC58" s="285"/>
      <c r="BD58" s="285"/>
      <c r="BE58" s="285"/>
      <c r="BF58" s="285"/>
      <c r="BG58" s="285"/>
      <c r="BH58" s="285"/>
      <c r="BI58" s="285"/>
      <c r="BJ58" s="285"/>
      <c r="BK58" s="285"/>
      <c r="BL58" s="285"/>
      <c r="BM58" s="285"/>
      <c r="BN58" s="285"/>
      <c r="BO58" s="285"/>
      <c r="BP58" s="285"/>
      <c r="BQ58" s="285"/>
      <c r="BR58" s="285"/>
      <c r="BS58" s="285"/>
      <c r="BT58" s="285"/>
      <c r="BU58" s="285"/>
      <c r="BV58" s="285"/>
      <c r="BW58" s="285"/>
      <c r="BX58" s="285"/>
      <c r="BY58" s="285"/>
      <c r="BZ58" s="285"/>
      <c r="CA58" s="285"/>
      <c r="CB58" s="285"/>
      <c r="CC58" s="285"/>
      <c r="CD58" s="285"/>
      <c r="CE58" s="285"/>
      <c r="CF58" s="285"/>
      <c r="CG58" s="285"/>
      <c r="CH58" s="285"/>
      <c r="CI58" s="285"/>
      <c r="CJ58" s="285"/>
      <c r="CK58" s="285"/>
      <c r="CL58" s="285"/>
      <c r="CM58" s="285"/>
      <c r="CN58" s="285"/>
      <c r="CO58" s="285"/>
      <c r="CP58" s="285"/>
      <c r="CQ58" s="285"/>
      <c r="CR58" s="285"/>
      <c r="CS58" s="285"/>
      <c r="CT58" s="285"/>
      <c r="CU58" s="285"/>
      <c r="CV58" s="285"/>
      <c r="CW58" s="285"/>
      <c r="CX58" s="285"/>
      <c r="CY58" s="285"/>
      <c r="CZ58" s="285"/>
      <c r="DA58" s="285"/>
      <c r="DB58" s="285"/>
      <c r="DC58" s="285"/>
      <c r="DD58" s="285"/>
      <c r="DE58" s="285"/>
      <c r="DF58" s="285"/>
      <c r="DG58" s="285"/>
      <c r="DH58" s="285"/>
      <c r="DI58" s="285"/>
      <c r="DJ58" s="285"/>
      <c r="DK58" s="285"/>
      <c r="DL58" s="285"/>
      <c r="DM58" s="285"/>
      <c r="DN58" s="285"/>
      <c r="DO58" s="285"/>
      <c r="DP58" s="285"/>
      <c r="DQ58" s="285"/>
      <c r="DR58" s="285"/>
      <c r="DS58" s="285"/>
      <c r="DT58" s="285"/>
      <c r="DU58" s="285"/>
      <c r="DV58" s="285"/>
      <c r="DW58" s="285"/>
      <c r="DX58" s="285"/>
      <c r="DY58" s="285"/>
      <c r="DZ58" s="285"/>
      <c r="EA58" s="285"/>
      <c r="EB58" s="285"/>
      <c r="EC58" s="285"/>
      <c r="ED58" s="285"/>
      <c r="EE58" s="285"/>
      <c r="EF58" s="285"/>
      <c r="EG58" s="285"/>
      <c r="EH58" s="285"/>
      <c r="EI58" s="285"/>
      <c r="EJ58" s="285"/>
      <c r="EK58" s="285"/>
      <c r="EL58" s="285"/>
      <c r="EM58" s="285"/>
      <c r="EN58" s="285"/>
      <c r="EO58" s="285"/>
      <c r="EP58" s="285"/>
      <c r="EQ58" s="285"/>
      <c r="ER58" s="285"/>
      <c r="ES58" s="285"/>
      <c r="ET58" s="285"/>
      <c r="EU58" s="285"/>
      <c r="EV58" s="285"/>
      <c r="EW58" s="285"/>
      <c r="EX58" s="285"/>
      <c r="EY58" s="285"/>
      <c r="EZ58" s="285"/>
      <c r="FA58" s="285"/>
      <c r="FB58" s="285"/>
      <c r="FC58" s="285"/>
      <c r="FD58" s="285"/>
      <c r="FE58" s="285"/>
      <c r="FF58" s="285"/>
      <c r="FG58" s="285"/>
      <c r="FH58" s="285"/>
      <c r="FI58" s="285"/>
      <c r="FJ58" s="285"/>
      <c r="FK58" s="285"/>
      <c r="FL58" s="285"/>
      <c r="FM58" s="285"/>
      <c r="FN58" s="285"/>
      <c r="FO58" s="285"/>
      <c r="FP58" s="285"/>
      <c r="FQ58" s="285"/>
      <c r="FR58" s="285"/>
      <c r="FS58" s="285"/>
      <c r="FT58" s="285"/>
      <c r="FU58" s="285"/>
      <c r="FV58" s="285"/>
      <c r="FW58" s="285"/>
      <c r="FX58" s="285"/>
      <c r="FY58" s="285"/>
      <c r="FZ58" s="285"/>
      <c r="GA58" s="285"/>
      <c r="GB58" s="285"/>
      <c r="GC58" s="285"/>
      <c r="GD58" s="285"/>
      <c r="GE58" s="285"/>
      <c r="GF58" s="285"/>
      <c r="GG58" s="285"/>
      <c r="GH58" s="285"/>
      <c r="GI58" s="285"/>
      <c r="GJ58" s="285"/>
      <c r="GK58" s="285"/>
      <c r="GL58" s="285"/>
      <c r="GM58" s="285"/>
      <c r="GN58" s="285"/>
      <c r="GO58" s="285"/>
      <c r="GP58" s="285"/>
      <c r="GQ58" s="285"/>
      <c r="GR58" s="285"/>
      <c r="GS58" s="285"/>
      <c r="GT58" s="285"/>
      <c r="GU58" s="285"/>
      <c r="GV58" s="285"/>
      <c r="GW58" s="285"/>
      <c r="GX58" s="285"/>
      <c r="GY58" s="285"/>
      <c r="GZ58" s="285"/>
      <c r="HA58" s="285"/>
      <c r="HB58" s="285"/>
      <c r="HC58" s="285"/>
      <c r="HD58" s="285"/>
      <c r="HE58" s="285"/>
      <c r="HF58" s="285"/>
      <c r="HG58" s="285"/>
      <c r="HH58" s="285"/>
      <c r="HI58" s="285"/>
      <c r="HJ58" s="285"/>
      <c r="HK58" s="285"/>
      <c r="HL58" s="285"/>
      <c r="HM58" s="285"/>
      <c r="HN58" s="285"/>
      <c r="HO58" s="285"/>
      <c r="HP58" s="285"/>
      <c r="HQ58" s="285"/>
      <c r="HR58" s="285"/>
      <c r="HS58" s="285"/>
      <c r="HT58" s="285"/>
      <c r="HU58" s="285"/>
      <c r="HV58" s="285"/>
      <c r="HW58" s="285"/>
      <c r="HX58" s="285"/>
      <c r="HY58" s="285"/>
      <c r="HZ58" s="285"/>
      <c r="IA58" s="285"/>
      <c r="IB58" s="285"/>
      <c r="IC58" s="285"/>
      <c r="ID58" s="285"/>
      <c r="IE58" s="285"/>
      <c r="IF58" s="285"/>
      <c r="IG58" s="285"/>
      <c r="IH58" s="285"/>
      <c r="II58" s="285"/>
      <c r="IJ58" s="285"/>
      <c r="IK58" s="285"/>
      <c r="IL58" s="285"/>
      <c r="IM58" s="285"/>
      <c r="IN58" s="285"/>
      <c r="IO58" s="285"/>
      <c r="IP58" s="285"/>
      <c r="IQ58" s="285"/>
      <c r="IR58" s="285"/>
      <c r="IS58" s="285"/>
      <c r="IT58" s="285"/>
      <c r="IU58" s="285"/>
      <c r="IV58" s="285"/>
      <c r="IW58" s="285"/>
      <c r="IX58" s="285"/>
      <c r="IY58" s="285"/>
      <c r="IZ58" s="285"/>
      <c r="JA58" s="285"/>
      <c r="JB58" s="285"/>
      <c r="JC58" s="285"/>
      <c r="JD58" s="285"/>
      <c r="JE58" s="285"/>
      <c r="JF58" s="285"/>
      <c r="JG58" s="285"/>
      <c r="JH58" s="285"/>
      <c r="JI58" s="285"/>
      <c r="JJ58" s="285"/>
      <c r="JK58" s="285"/>
      <c r="JL58" s="285"/>
      <c r="JM58" s="285"/>
      <c r="JN58" s="285"/>
      <c r="JO58" s="285"/>
      <c r="JP58" s="285"/>
      <c r="JQ58" s="285"/>
      <c r="JR58" s="285"/>
      <c r="JS58" s="285"/>
      <c r="JT58" s="285"/>
      <c r="JU58" s="285"/>
      <c r="JV58" s="285"/>
      <c r="JW58" s="285"/>
      <c r="JX58" s="285"/>
      <c r="JY58" s="285"/>
      <c r="JZ58" s="285"/>
      <c r="KA58" s="285"/>
      <c r="KB58" s="285"/>
      <c r="KC58" s="285"/>
      <c r="KD58" s="285"/>
      <c r="KE58" s="285"/>
      <c r="KF58" s="285"/>
      <c r="KG58" s="285"/>
      <c r="KH58" s="285"/>
      <c r="KI58" s="285"/>
      <c r="KJ58" s="285"/>
      <c r="KK58" s="285"/>
      <c r="KL58" s="285"/>
      <c r="KM58" s="285"/>
      <c r="KN58" s="285"/>
      <c r="KO58" s="285"/>
      <c r="KP58" s="285"/>
      <c r="KQ58" s="285"/>
      <c r="KR58" s="298"/>
      <c r="KS58" s="285"/>
      <c r="KT58" s="285"/>
      <c r="KU58" s="268"/>
      <c r="KV58" s="288"/>
      <c r="KW58" s="288"/>
      <c r="AES58" s="1304">
        <v>100</v>
      </c>
      <c r="AGF58" s="1304">
        <v>-10</v>
      </c>
    </row>
    <row r="59" spans="1:864" ht="16.2" customHeight="1">
      <c r="A59" s="9" t="s">
        <v>4639</v>
      </c>
      <c r="B59" s="1032" t="s">
        <v>4642</v>
      </c>
      <c r="C59" s="906">
        <v>311112455</v>
      </c>
      <c r="D59" s="906" t="s">
        <v>6925</v>
      </c>
      <c r="E59" s="1421">
        <v>992324040</v>
      </c>
      <c r="F59" s="74">
        <v>0</v>
      </c>
      <c r="G59" s="75">
        <v>749230</v>
      </c>
      <c r="H59" s="944" t="s">
        <v>6806</v>
      </c>
      <c r="I59" s="944"/>
      <c r="J59" s="944"/>
      <c r="K59" s="1308"/>
      <c r="L59" s="1308"/>
      <c r="M59" s="1308"/>
      <c r="N59" s="1308"/>
      <c r="O59" s="285">
        <v>0</v>
      </c>
      <c r="P59" s="285"/>
      <c r="Q59" s="285"/>
      <c r="R59" s="285">
        <v>0</v>
      </c>
      <c r="S59" s="285"/>
      <c r="T59" s="285"/>
      <c r="U59" s="285"/>
      <c r="V59" s="285"/>
      <c r="W59" s="285"/>
      <c r="X59" s="285"/>
      <c r="Y59" s="285"/>
      <c r="Z59" s="285"/>
      <c r="AA59" s="285"/>
      <c r="AB59" s="285"/>
      <c r="AC59" s="285"/>
      <c r="AD59" s="285"/>
      <c r="AE59" s="285"/>
      <c r="AF59" s="285"/>
      <c r="AG59" s="285"/>
      <c r="AH59" s="285"/>
      <c r="AI59" s="285"/>
      <c r="AJ59" s="285"/>
      <c r="AK59" s="285"/>
      <c r="AL59" s="285"/>
      <c r="AM59" s="285"/>
      <c r="AN59" s="285"/>
      <c r="AO59" s="285"/>
      <c r="AP59" s="285"/>
      <c r="AQ59" s="285"/>
      <c r="AR59" s="285"/>
      <c r="AS59" s="285"/>
      <c r="AT59" s="285"/>
      <c r="AU59" s="285"/>
      <c r="AV59" s="285"/>
      <c r="AW59" s="285"/>
      <c r="AX59" s="285"/>
      <c r="AY59" s="285"/>
      <c r="AZ59" s="285"/>
      <c r="BA59" s="285"/>
      <c r="BB59" s="285"/>
      <c r="BC59" s="285"/>
      <c r="BD59" s="285"/>
      <c r="BE59" s="285"/>
      <c r="BF59" s="285"/>
      <c r="BG59" s="285"/>
      <c r="BH59" s="285"/>
      <c r="BI59" s="285"/>
      <c r="BJ59" s="285"/>
      <c r="BK59" s="285"/>
      <c r="BL59" s="285"/>
      <c r="BM59" s="285"/>
      <c r="BN59" s="285"/>
      <c r="BO59" s="285"/>
      <c r="BP59" s="285"/>
      <c r="BQ59" s="285"/>
      <c r="BR59" s="285"/>
      <c r="BS59" s="285"/>
      <c r="BT59" s="285"/>
      <c r="BU59" s="285"/>
      <c r="BV59" s="285"/>
      <c r="BW59" s="285"/>
      <c r="BX59" s="285"/>
      <c r="BY59" s="285"/>
      <c r="BZ59" s="285"/>
      <c r="CA59" s="285"/>
      <c r="CB59" s="285"/>
      <c r="CC59" s="285"/>
      <c r="CD59" s="285"/>
      <c r="CE59" s="285"/>
      <c r="CF59" s="285"/>
      <c r="CG59" s="285"/>
      <c r="CH59" s="285"/>
      <c r="CI59" s="285"/>
      <c r="CJ59" s="285"/>
      <c r="CK59" s="285"/>
      <c r="CL59" s="285"/>
      <c r="CM59" s="285"/>
      <c r="CN59" s="285"/>
      <c r="CO59" s="285"/>
      <c r="CP59" s="285"/>
      <c r="CQ59" s="285"/>
      <c r="CR59" s="285"/>
      <c r="CS59" s="285"/>
      <c r="CT59" s="285"/>
      <c r="CU59" s="285"/>
      <c r="CV59" s="285"/>
      <c r="CW59" s="285"/>
      <c r="CX59" s="285"/>
      <c r="CY59" s="285"/>
      <c r="CZ59" s="285"/>
      <c r="DA59" s="285"/>
      <c r="DB59" s="285"/>
      <c r="DC59" s="285"/>
      <c r="DD59" s="285"/>
      <c r="DE59" s="285"/>
      <c r="DF59" s="285"/>
      <c r="DG59" s="285"/>
      <c r="DH59" s="285"/>
      <c r="DI59" s="285"/>
      <c r="DJ59" s="285"/>
      <c r="DK59" s="285"/>
      <c r="DL59" s="285"/>
      <c r="DM59" s="285"/>
      <c r="DN59" s="285"/>
      <c r="DO59" s="285"/>
      <c r="DP59" s="285"/>
      <c r="DQ59" s="285"/>
      <c r="DR59" s="285"/>
      <c r="DS59" s="285"/>
      <c r="DT59" s="285"/>
      <c r="DU59" s="285"/>
      <c r="DV59" s="285"/>
      <c r="DW59" s="285"/>
      <c r="DX59" s="285"/>
      <c r="DY59" s="285"/>
      <c r="DZ59" s="285"/>
      <c r="EA59" s="285"/>
      <c r="EB59" s="285"/>
      <c r="EC59" s="285"/>
      <c r="ED59" s="285"/>
      <c r="EE59" s="285"/>
      <c r="EF59" s="285"/>
      <c r="EG59" s="285"/>
      <c r="EH59" s="285"/>
      <c r="EI59" s="285"/>
      <c r="EJ59" s="285"/>
      <c r="EK59" s="285"/>
      <c r="EL59" s="285"/>
      <c r="EM59" s="285"/>
      <c r="EN59" s="285"/>
      <c r="EO59" s="285"/>
      <c r="EP59" s="285"/>
      <c r="EQ59" s="285"/>
      <c r="ER59" s="285"/>
      <c r="ES59" s="285"/>
      <c r="ET59" s="285"/>
      <c r="EU59" s="285"/>
      <c r="EV59" s="285"/>
      <c r="EW59" s="285"/>
      <c r="EX59" s="285"/>
      <c r="EY59" s="285"/>
      <c r="EZ59" s="285"/>
      <c r="FA59" s="285"/>
      <c r="FB59" s="285"/>
      <c r="FC59" s="285"/>
      <c r="FD59" s="285"/>
      <c r="FE59" s="285"/>
      <c r="FF59" s="285"/>
      <c r="FG59" s="285"/>
      <c r="FH59" s="285"/>
      <c r="FI59" s="285"/>
      <c r="FJ59" s="285"/>
      <c r="FK59" s="285"/>
      <c r="FL59" s="285"/>
      <c r="FM59" s="285"/>
      <c r="FN59" s="285"/>
      <c r="FO59" s="285"/>
      <c r="FP59" s="285"/>
      <c r="FQ59" s="285"/>
      <c r="FR59" s="285"/>
      <c r="FS59" s="285"/>
      <c r="FT59" s="285"/>
      <c r="FU59" s="285"/>
      <c r="FV59" s="285"/>
      <c r="FW59" s="285"/>
      <c r="FX59" s="285"/>
      <c r="FY59" s="285"/>
      <c r="FZ59" s="285"/>
      <c r="GA59" s="285"/>
      <c r="GB59" s="285"/>
      <c r="GC59" s="285"/>
      <c r="GD59" s="285"/>
      <c r="GE59" s="285"/>
      <c r="GF59" s="285"/>
      <c r="GG59" s="285"/>
      <c r="GH59" s="285"/>
      <c r="GI59" s="285"/>
      <c r="GJ59" s="285"/>
      <c r="GK59" s="285"/>
      <c r="GL59" s="285"/>
      <c r="GM59" s="285"/>
      <c r="GN59" s="285"/>
      <c r="GO59" s="285"/>
      <c r="GP59" s="285"/>
      <c r="GQ59" s="285"/>
      <c r="GR59" s="285"/>
      <c r="GS59" s="285"/>
      <c r="GT59" s="285"/>
      <c r="GU59" s="285"/>
      <c r="GV59" s="285"/>
      <c r="GW59" s="285"/>
      <c r="GX59" s="285"/>
      <c r="GY59" s="285"/>
      <c r="GZ59" s="285"/>
      <c r="HA59" s="285"/>
      <c r="HB59" s="285"/>
      <c r="HC59" s="285"/>
      <c r="HD59" s="285"/>
      <c r="HE59" s="285"/>
      <c r="HF59" s="285"/>
      <c r="HG59" s="285"/>
      <c r="HH59" s="285"/>
      <c r="HI59" s="285"/>
      <c r="HJ59" s="285"/>
      <c r="HK59" s="285"/>
      <c r="HL59" s="285"/>
      <c r="HM59" s="285"/>
      <c r="HN59" s="285"/>
      <c r="HO59" s="285"/>
      <c r="HP59" s="285"/>
      <c r="HQ59" s="285"/>
      <c r="HR59" s="285"/>
      <c r="HS59" s="285"/>
      <c r="HT59" s="285"/>
      <c r="HU59" s="285"/>
      <c r="HV59" s="285"/>
      <c r="HW59" s="285"/>
      <c r="HX59" s="285"/>
      <c r="HY59" s="285"/>
      <c r="HZ59" s="285"/>
      <c r="IA59" s="285"/>
      <c r="IB59" s="285"/>
      <c r="IC59" s="285"/>
      <c r="ID59" s="285"/>
      <c r="IE59" s="285"/>
      <c r="IF59" s="285"/>
      <c r="IG59" s="285"/>
      <c r="IH59" s="285"/>
      <c r="II59" s="285"/>
      <c r="IJ59" s="285"/>
      <c r="IK59" s="285"/>
      <c r="IL59" s="285"/>
      <c r="IM59" s="285"/>
      <c r="IN59" s="285"/>
      <c r="IO59" s="285"/>
      <c r="IP59" s="285"/>
      <c r="IQ59" s="285"/>
      <c r="IR59" s="285"/>
      <c r="IS59" s="285"/>
      <c r="IT59" s="285"/>
      <c r="IU59" s="285"/>
      <c r="IV59" s="285"/>
      <c r="IW59" s="285"/>
      <c r="IX59" s="285"/>
      <c r="IY59" s="285"/>
      <c r="IZ59" s="285"/>
      <c r="JA59" s="285"/>
      <c r="JB59" s="285"/>
      <c r="JC59" s="285"/>
      <c r="JD59" s="285"/>
      <c r="JE59" s="285"/>
      <c r="JF59" s="285"/>
      <c r="JG59" s="285"/>
      <c r="JH59" s="285"/>
      <c r="JI59" s="285"/>
      <c r="JJ59" s="285"/>
      <c r="JK59" s="285"/>
      <c r="JL59" s="285"/>
      <c r="JM59" s="285"/>
      <c r="JN59" s="285"/>
      <c r="JO59" s="285"/>
      <c r="JP59" s="285"/>
      <c r="JQ59" s="285"/>
      <c r="JR59" s="285"/>
      <c r="JS59" s="285"/>
      <c r="JT59" s="285"/>
      <c r="JU59" s="285"/>
      <c r="JV59" s="285"/>
      <c r="JW59" s="285"/>
      <c r="JX59" s="285"/>
      <c r="JY59" s="285"/>
      <c r="JZ59" s="285"/>
      <c r="KA59" s="285"/>
      <c r="KB59" s="285"/>
      <c r="KC59" s="285"/>
      <c r="KD59" s="285"/>
      <c r="KE59" s="285"/>
      <c r="KF59" s="285"/>
      <c r="KG59" s="285"/>
      <c r="KH59" s="285"/>
      <c r="KI59" s="285"/>
      <c r="KJ59" s="285"/>
      <c r="KK59" s="285"/>
      <c r="KL59" s="285"/>
      <c r="KM59" s="285"/>
      <c r="KN59" s="285"/>
      <c r="KO59" s="285"/>
      <c r="KP59" s="285"/>
      <c r="KQ59" s="285"/>
      <c r="KR59" s="298"/>
      <c r="KS59" s="285"/>
      <c r="KT59" s="285"/>
      <c r="KU59" s="268"/>
      <c r="KV59" s="288"/>
      <c r="KW59" s="288"/>
      <c r="AER59" s="1304">
        <v>39.92</v>
      </c>
      <c r="AGF59" s="1304">
        <v>17.100000000000001</v>
      </c>
    </row>
    <row r="60" spans="1:864" ht="16.2" customHeight="1">
      <c r="A60" s="1041" t="s">
        <v>4657</v>
      </c>
      <c r="B60" s="1035" t="s">
        <v>4658</v>
      </c>
      <c r="C60" s="906">
        <v>311123229</v>
      </c>
      <c r="D60" s="906" t="s">
        <v>6925</v>
      </c>
      <c r="E60" s="906">
        <v>777777777</v>
      </c>
      <c r="F60" s="74"/>
      <c r="G60" s="75">
        <v>442197</v>
      </c>
      <c r="H60" s="944" t="s">
        <v>6806</v>
      </c>
      <c r="I60" s="944"/>
      <c r="J60" s="944"/>
      <c r="K60" s="1308"/>
      <c r="L60" s="1308"/>
      <c r="M60" s="1308"/>
      <c r="N60" s="1308"/>
      <c r="O60" s="285">
        <v>0</v>
      </c>
      <c r="P60" s="285"/>
      <c r="Q60" s="285"/>
      <c r="R60" s="285">
        <v>0</v>
      </c>
      <c r="S60" s="285"/>
      <c r="T60" s="285"/>
      <c r="U60" s="285"/>
      <c r="V60" s="285"/>
      <c r="W60" s="285"/>
      <c r="X60" s="285"/>
      <c r="Y60" s="285"/>
      <c r="Z60" s="285"/>
      <c r="AA60" s="285"/>
      <c r="AB60" s="285"/>
      <c r="AC60" s="285"/>
      <c r="AD60" s="285"/>
      <c r="AE60" s="285"/>
      <c r="AF60" s="285"/>
      <c r="AG60" s="285"/>
      <c r="AH60" s="285"/>
      <c r="AI60" s="285"/>
      <c r="AJ60" s="285"/>
      <c r="AK60" s="285"/>
      <c r="AL60" s="285"/>
      <c r="AM60" s="285"/>
      <c r="AN60" s="285"/>
      <c r="AO60" s="285"/>
      <c r="AP60" s="285"/>
      <c r="AQ60" s="285"/>
      <c r="AR60" s="285"/>
      <c r="AS60" s="285"/>
      <c r="AT60" s="285"/>
      <c r="AU60" s="285"/>
      <c r="AV60" s="285"/>
      <c r="AW60" s="285"/>
      <c r="AX60" s="285"/>
      <c r="AY60" s="285"/>
      <c r="AZ60" s="285"/>
      <c r="BA60" s="285"/>
      <c r="BB60" s="285"/>
      <c r="BC60" s="285"/>
      <c r="BD60" s="285"/>
      <c r="BE60" s="285"/>
      <c r="BF60" s="285"/>
      <c r="BG60" s="285"/>
      <c r="BH60" s="285"/>
      <c r="BI60" s="285"/>
      <c r="BJ60" s="285"/>
      <c r="BK60" s="285"/>
      <c r="BL60" s="285"/>
      <c r="BM60" s="285"/>
      <c r="BN60" s="285"/>
      <c r="BO60" s="285"/>
      <c r="BP60" s="285"/>
      <c r="BQ60" s="285"/>
      <c r="BR60" s="285"/>
      <c r="BS60" s="285"/>
      <c r="BT60" s="285"/>
      <c r="BU60" s="285"/>
      <c r="BV60" s="285"/>
      <c r="BW60" s="285"/>
      <c r="BX60" s="285"/>
      <c r="BY60" s="285"/>
      <c r="BZ60" s="285"/>
      <c r="CA60" s="285"/>
      <c r="CB60" s="285"/>
      <c r="CC60" s="285"/>
      <c r="CD60" s="285"/>
      <c r="CE60" s="285"/>
      <c r="CF60" s="285"/>
      <c r="CG60" s="285"/>
      <c r="CH60" s="285"/>
      <c r="CI60" s="285"/>
      <c r="CJ60" s="285"/>
      <c r="CK60" s="285"/>
      <c r="CL60" s="285"/>
      <c r="CM60" s="285"/>
      <c r="CN60" s="285"/>
      <c r="CO60" s="285"/>
      <c r="CP60" s="285"/>
      <c r="CQ60" s="285"/>
      <c r="CR60" s="285"/>
      <c r="CS60" s="285"/>
      <c r="CT60" s="285"/>
      <c r="CU60" s="285"/>
      <c r="CV60" s="285"/>
      <c r="CW60" s="285"/>
      <c r="CX60" s="285"/>
      <c r="CY60" s="285"/>
      <c r="CZ60" s="285"/>
      <c r="DA60" s="285"/>
      <c r="DB60" s="285"/>
      <c r="DC60" s="285"/>
      <c r="DD60" s="285"/>
      <c r="DE60" s="285"/>
      <c r="DF60" s="285"/>
      <c r="DG60" s="285"/>
      <c r="DH60" s="285"/>
      <c r="DI60" s="285"/>
      <c r="DJ60" s="285"/>
      <c r="DK60" s="285"/>
      <c r="DL60" s="285"/>
      <c r="DM60" s="285"/>
      <c r="DN60" s="285"/>
      <c r="DO60" s="285"/>
      <c r="DP60" s="285"/>
      <c r="DQ60" s="285"/>
      <c r="DR60" s="285"/>
      <c r="DS60" s="285"/>
      <c r="DT60" s="285"/>
      <c r="DU60" s="285"/>
      <c r="DV60" s="285"/>
      <c r="DW60" s="285"/>
      <c r="DX60" s="285"/>
      <c r="DY60" s="285"/>
      <c r="DZ60" s="285"/>
      <c r="EA60" s="285"/>
      <c r="EB60" s="285"/>
      <c r="EC60" s="285"/>
      <c r="ED60" s="285"/>
      <c r="EE60" s="285"/>
      <c r="EF60" s="285"/>
      <c r="EG60" s="285"/>
      <c r="EH60" s="285"/>
      <c r="EI60" s="285"/>
      <c r="EJ60" s="285"/>
      <c r="EK60" s="285"/>
      <c r="EL60" s="285"/>
      <c r="EM60" s="285"/>
      <c r="EN60" s="285"/>
      <c r="EO60" s="285"/>
      <c r="EP60" s="285"/>
      <c r="EQ60" s="285"/>
      <c r="ER60" s="285"/>
      <c r="ES60" s="285"/>
      <c r="ET60" s="285"/>
      <c r="EU60" s="285"/>
      <c r="EV60" s="285"/>
      <c r="EW60" s="285"/>
      <c r="EX60" s="285"/>
      <c r="EY60" s="285"/>
      <c r="EZ60" s="285"/>
      <c r="FA60" s="285"/>
      <c r="FB60" s="285"/>
      <c r="FC60" s="285"/>
      <c r="FD60" s="285"/>
      <c r="FE60" s="285"/>
      <c r="FF60" s="285"/>
      <c r="FG60" s="285"/>
      <c r="FH60" s="285"/>
      <c r="FI60" s="285"/>
      <c r="FJ60" s="285"/>
      <c r="FK60" s="285"/>
      <c r="FL60" s="285"/>
      <c r="FM60" s="285"/>
      <c r="FN60" s="285"/>
      <c r="FO60" s="285"/>
      <c r="FP60" s="285"/>
      <c r="FQ60" s="285"/>
      <c r="FR60" s="285"/>
      <c r="FS60" s="285"/>
      <c r="FT60" s="285"/>
      <c r="FU60" s="285"/>
      <c r="FV60" s="285"/>
      <c r="FW60" s="285"/>
      <c r="FX60" s="285"/>
      <c r="FY60" s="285"/>
      <c r="FZ60" s="285"/>
      <c r="GA60" s="285"/>
      <c r="GB60" s="285"/>
      <c r="GC60" s="285"/>
      <c r="GD60" s="285"/>
      <c r="GE60" s="285"/>
      <c r="GF60" s="285"/>
      <c r="GG60" s="285"/>
      <c r="GH60" s="285"/>
      <c r="GI60" s="285"/>
      <c r="GJ60" s="285"/>
      <c r="GK60" s="285"/>
      <c r="GL60" s="285"/>
      <c r="GM60" s="285"/>
      <c r="GN60" s="285"/>
      <c r="GO60" s="285"/>
      <c r="GP60" s="285"/>
      <c r="GQ60" s="285"/>
      <c r="GR60" s="285"/>
      <c r="GS60" s="285"/>
      <c r="GT60" s="285"/>
      <c r="GU60" s="285"/>
      <c r="GV60" s="285"/>
      <c r="GW60" s="285"/>
      <c r="GX60" s="285"/>
      <c r="GY60" s="285"/>
      <c r="GZ60" s="285"/>
      <c r="HA60" s="285"/>
      <c r="HB60" s="285"/>
      <c r="HC60" s="285"/>
      <c r="HD60" s="285"/>
      <c r="HE60" s="285"/>
      <c r="HF60" s="285"/>
      <c r="HG60" s="285"/>
      <c r="HH60" s="285"/>
      <c r="HI60" s="285"/>
      <c r="HJ60" s="285"/>
      <c r="HK60" s="285"/>
      <c r="HL60" s="285"/>
      <c r="HM60" s="285"/>
      <c r="HN60" s="285"/>
      <c r="HO60" s="285"/>
      <c r="HP60" s="285"/>
      <c r="HQ60" s="285"/>
      <c r="HR60" s="285"/>
      <c r="HS60" s="285"/>
      <c r="HT60" s="285"/>
      <c r="HU60" s="285"/>
      <c r="HV60" s="285"/>
      <c r="HW60" s="285"/>
      <c r="HX60" s="285"/>
      <c r="HY60" s="285"/>
      <c r="HZ60" s="285"/>
      <c r="IA60" s="285"/>
      <c r="IB60" s="285"/>
      <c r="IC60" s="285"/>
      <c r="ID60" s="285"/>
      <c r="IE60" s="285"/>
      <c r="IF60" s="285"/>
      <c r="IG60" s="285"/>
      <c r="IH60" s="285"/>
      <c r="II60" s="285"/>
      <c r="IJ60" s="285"/>
      <c r="IK60" s="285"/>
      <c r="IL60" s="285"/>
      <c r="IM60" s="285"/>
      <c r="IN60" s="285"/>
      <c r="IO60" s="285"/>
      <c r="IP60" s="285"/>
      <c r="IQ60" s="285"/>
      <c r="IR60" s="285"/>
      <c r="IS60" s="285"/>
      <c r="IT60" s="285"/>
      <c r="IU60" s="285"/>
      <c r="IV60" s="285"/>
      <c r="IW60" s="285"/>
      <c r="IX60" s="285"/>
      <c r="IY60" s="285"/>
      <c r="IZ60" s="285"/>
      <c r="JA60" s="285"/>
      <c r="JB60" s="285"/>
      <c r="JC60" s="285"/>
      <c r="JD60" s="285"/>
      <c r="JE60" s="285"/>
      <c r="JF60" s="285"/>
      <c r="JG60" s="285"/>
      <c r="JH60" s="285"/>
      <c r="JI60" s="285"/>
      <c r="JJ60" s="285"/>
      <c r="JK60" s="285"/>
      <c r="JL60" s="285"/>
      <c r="JM60" s="285"/>
      <c r="JN60" s="285"/>
      <c r="JO60" s="285"/>
      <c r="JP60" s="285"/>
      <c r="JQ60" s="285"/>
      <c r="JR60" s="285"/>
      <c r="JS60" s="285"/>
      <c r="JT60" s="285"/>
      <c r="JU60" s="285"/>
      <c r="JV60" s="285"/>
      <c r="JW60" s="285"/>
      <c r="JX60" s="285"/>
      <c r="JY60" s="285"/>
      <c r="JZ60" s="285"/>
      <c r="KA60" s="285"/>
      <c r="KB60" s="285"/>
      <c r="KC60" s="285"/>
      <c r="KD60" s="285"/>
      <c r="KE60" s="285"/>
      <c r="KF60" s="285"/>
      <c r="KG60" s="285"/>
      <c r="KH60" s="285"/>
      <c r="KI60" s="285"/>
      <c r="KJ60" s="285"/>
      <c r="KK60" s="285"/>
      <c r="KL60" s="285"/>
      <c r="KM60" s="285"/>
      <c r="KN60" s="285"/>
      <c r="KO60" s="285"/>
      <c r="KP60" s="285"/>
      <c r="KQ60" s="285"/>
      <c r="KR60" s="298"/>
      <c r="KS60" s="285"/>
      <c r="KT60" s="285"/>
      <c r="KU60" s="268"/>
      <c r="KV60" s="288"/>
      <c r="KW60" s="288"/>
      <c r="AES60" s="1304">
        <v>3200</v>
      </c>
      <c r="AGF60" s="1304">
        <v>6</v>
      </c>
    </row>
    <row r="61" spans="1:864" ht="16.2" customHeight="1">
      <c r="A61" s="9" t="s">
        <v>4661</v>
      </c>
      <c r="B61" s="1042" t="s">
        <v>4662</v>
      </c>
      <c r="C61" s="906">
        <v>311142079</v>
      </c>
      <c r="D61" s="906" t="s">
        <v>6925</v>
      </c>
      <c r="E61" s="1219">
        <v>311142079</v>
      </c>
      <c r="F61" s="74"/>
      <c r="G61" s="75">
        <v>771330</v>
      </c>
      <c r="H61" s="944" t="s">
        <v>6806</v>
      </c>
      <c r="I61" s="944"/>
      <c r="J61" s="944"/>
      <c r="K61" s="1308"/>
      <c r="L61" s="1308"/>
      <c r="M61" s="1308"/>
      <c r="N61" s="1308"/>
      <c r="O61" s="285">
        <v>178.2</v>
      </c>
      <c r="P61" s="285"/>
      <c r="Q61" s="285"/>
      <c r="R61" s="285">
        <f>143+32+3.2</f>
        <v>178.2</v>
      </c>
      <c r="S61" s="285"/>
      <c r="T61" s="285"/>
      <c r="U61" s="285"/>
      <c r="V61" s="285"/>
      <c r="W61" s="285"/>
      <c r="X61" s="285"/>
      <c r="Y61" s="285"/>
      <c r="Z61" s="285"/>
      <c r="AA61" s="285"/>
      <c r="AB61" s="285"/>
      <c r="AC61" s="285"/>
      <c r="AD61" s="285"/>
      <c r="AE61" s="285"/>
      <c r="AF61" s="285"/>
      <c r="AG61" s="285"/>
      <c r="AH61" s="285"/>
      <c r="AI61" s="285"/>
      <c r="AJ61" s="285"/>
      <c r="AK61" s="285"/>
      <c r="AL61" s="285"/>
      <c r="AM61" s="285"/>
      <c r="AN61" s="285"/>
      <c r="AO61" s="285"/>
      <c r="AP61" s="285"/>
      <c r="AQ61" s="285"/>
      <c r="AR61" s="285"/>
      <c r="AS61" s="285"/>
      <c r="AT61" s="285"/>
      <c r="AU61" s="285"/>
      <c r="AV61" s="285"/>
      <c r="AW61" s="285"/>
      <c r="AX61" s="285"/>
      <c r="AY61" s="285"/>
      <c r="AZ61" s="285"/>
      <c r="BA61" s="285"/>
      <c r="BB61" s="285"/>
      <c r="BC61" s="285"/>
      <c r="BD61" s="285"/>
      <c r="BE61" s="285"/>
      <c r="BF61" s="285"/>
      <c r="BG61" s="285"/>
      <c r="BH61" s="285"/>
      <c r="BI61" s="285"/>
      <c r="BJ61" s="285"/>
      <c r="BK61" s="285"/>
      <c r="BL61" s="285"/>
      <c r="BM61" s="285"/>
      <c r="BN61" s="285"/>
      <c r="BO61" s="285"/>
      <c r="BP61" s="285"/>
      <c r="BQ61" s="285"/>
      <c r="BR61" s="285"/>
      <c r="BS61" s="285"/>
      <c r="BT61" s="285"/>
      <c r="BU61" s="285"/>
      <c r="BV61" s="285"/>
      <c r="BW61" s="285"/>
      <c r="BX61" s="285"/>
      <c r="BY61" s="285"/>
      <c r="BZ61" s="285"/>
      <c r="CA61" s="285"/>
      <c r="CB61" s="285"/>
      <c r="CC61" s="285"/>
      <c r="CD61" s="285"/>
      <c r="CE61" s="285"/>
      <c r="CF61" s="285"/>
      <c r="CG61" s="285"/>
      <c r="CH61" s="285"/>
      <c r="CI61" s="285"/>
      <c r="CJ61" s="285"/>
      <c r="CK61" s="285"/>
      <c r="CL61" s="285"/>
      <c r="CM61" s="285"/>
      <c r="CN61" s="285"/>
      <c r="CO61" s="285"/>
      <c r="CP61" s="285"/>
      <c r="CQ61" s="285"/>
      <c r="CR61" s="285"/>
      <c r="CS61" s="285"/>
      <c r="CT61" s="285"/>
      <c r="CU61" s="285"/>
      <c r="CV61" s="285"/>
      <c r="CW61" s="285"/>
      <c r="CX61" s="285"/>
      <c r="CY61" s="285"/>
      <c r="CZ61" s="285"/>
      <c r="DA61" s="285"/>
      <c r="DB61" s="285"/>
      <c r="DC61" s="285"/>
      <c r="DD61" s="285"/>
      <c r="DE61" s="285"/>
      <c r="DF61" s="285"/>
      <c r="DG61" s="285"/>
      <c r="DH61" s="285"/>
      <c r="DI61" s="285"/>
      <c r="DJ61" s="285"/>
      <c r="DK61" s="285"/>
      <c r="DL61" s="285"/>
      <c r="DM61" s="285"/>
      <c r="DN61" s="285"/>
      <c r="DO61" s="285"/>
      <c r="DP61" s="285"/>
      <c r="DQ61" s="285"/>
      <c r="DR61" s="285"/>
      <c r="DS61" s="285"/>
      <c r="DT61" s="285"/>
      <c r="DU61" s="285"/>
      <c r="DV61" s="285"/>
      <c r="DW61" s="285"/>
      <c r="DX61" s="285"/>
      <c r="DY61" s="285"/>
      <c r="DZ61" s="285"/>
      <c r="EA61" s="285"/>
      <c r="EB61" s="285"/>
      <c r="EC61" s="285"/>
      <c r="ED61" s="285"/>
      <c r="EE61" s="285"/>
      <c r="EF61" s="285"/>
      <c r="EG61" s="285"/>
      <c r="EH61" s="285"/>
      <c r="EI61" s="285"/>
      <c r="EJ61" s="285"/>
      <c r="EK61" s="285"/>
      <c r="EL61" s="285"/>
      <c r="EM61" s="285"/>
      <c r="EN61" s="285"/>
      <c r="EO61" s="285"/>
      <c r="EP61" s="285"/>
      <c r="EQ61" s="285"/>
      <c r="ER61" s="285"/>
      <c r="ES61" s="285"/>
      <c r="ET61" s="285"/>
      <c r="EU61" s="285"/>
      <c r="EV61" s="285"/>
      <c r="EW61" s="285"/>
      <c r="EX61" s="285"/>
      <c r="EY61" s="285"/>
      <c r="EZ61" s="285"/>
      <c r="FA61" s="285"/>
      <c r="FB61" s="285"/>
      <c r="FC61" s="285"/>
      <c r="FD61" s="285"/>
      <c r="FE61" s="285"/>
      <c r="FF61" s="285"/>
      <c r="FG61" s="285"/>
      <c r="FH61" s="285"/>
      <c r="FI61" s="285"/>
      <c r="FJ61" s="285"/>
      <c r="FK61" s="285"/>
      <c r="FL61" s="285"/>
      <c r="FM61" s="285"/>
      <c r="FN61" s="285"/>
      <c r="FO61" s="285"/>
      <c r="FP61" s="285"/>
      <c r="FQ61" s="285"/>
      <c r="FR61" s="285"/>
      <c r="FS61" s="285"/>
      <c r="FT61" s="285"/>
      <c r="FU61" s="285"/>
      <c r="FV61" s="285"/>
      <c r="FW61" s="285"/>
      <c r="FX61" s="285"/>
      <c r="FY61" s="285"/>
      <c r="FZ61" s="285"/>
      <c r="GA61" s="285"/>
      <c r="GB61" s="285"/>
      <c r="GC61" s="285"/>
      <c r="GD61" s="285"/>
      <c r="GE61" s="285"/>
      <c r="GF61" s="285"/>
      <c r="GG61" s="285"/>
      <c r="GH61" s="285"/>
      <c r="GI61" s="285"/>
      <c r="GJ61" s="285"/>
      <c r="GK61" s="285"/>
      <c r="GL61" s="285"/>
      <c r="GM61" s="285"/>
      <c r="GN61" s="285"/>
      <c r="GO61" s="285"/>
      <c r="GP61" s="285"/>
      <c r="GQ61" s="285"/>
      <c r="GR61" s="285"/>
      <c r="GS61" s="285"/>
      <c r="GT61" s="285"/>
      <c r="GU61" s="285"/>
      <c r="GV61" s="285"/>
      <c r="GW61" s="285"/>
      <c r="GX61" s="285"/>
      <c r="GY61" s="285"/>
      <c r="GZ61" s="285"/>
      <c r="HA61" s="285"/>
      <c r="HB61" s="285"/>
      <c r="HC61" s="285"/>
      <c r="HD61" s="285"/>
      <c r="HE61" s="285"/>
      <c r="HF61" s="285"/>
      <c r="HG61" s="285"/>
      <c r="HH61" s="285"/>
      <c r="HI61" s="285"/>
      <c r="HJ61" s="285"/>
      <c r="HK61" s="285"/>
      <c r="HL61" s="285"/>
      <c r="HM61" s="285"/>
      <c r="HN61" s="285"/>
      <c r="HO61" s="285"/>
      <c r="HP61" s="285"/>
      <c r="HQ61" s="285"/>
      <c r="HR61" s="285"/>
      <c r="HS61" s="285"/>
      <c r="HT61" s="285"/>
      <c r="HU61" s="285"/>
      <c r="HV61" s="285"/>
      <c r="HW61" s="285"/>
      <c r="HX61" s="285"/>
      <c r="HY61" s="285"/>
      <c r="HZ61" s="285"/>
      <c r="IA61" s="285"/>
      <c r="IB61" s="285"/>
      <c r="IC61" s="285"/>
      <c r="ID61" s="285"/>
      <c r="IE61" s="285"/>
      <c r="IF61" s="285"/>
      <c r="IG61" s="285"/>
      <c r="IH61" s="285"/>
      <c r="II61" s="285"/>
      <c r="IJ61" s="285"/>
      <c r="IK61" s="285"/>
      <c r="IL61" s="285"/>
      <c r="IM61" s="285"/>
      <c r="IN61" s="285"/>
      <c r="IO61" s="285"/>
      <c r="IP61" s="285"/>
      <c r="IQ61" s="285"/>
      <c r="IR61" s="285"/>
      <c r="IS61" s="285"/>
      <c r="IT61" s="285"/>
      <c r="IU61" s="285"/>
      <c r="IV61" s="285"/>
      <c r="IW61" s="285"/>
      <c r="IX61" s="285"/>
      <c r="IY61" s="285"/>
      <c r="IZ61" s="285"/>
      <c r="JA61" s="285"/>
      <c r="JB61" s="285"/>
      <c r="JC61" s="285"/>
      <c r="JD61" s="285"/>
      <c r="JE61" s="285"/>
      <c r="JF61" s="285"/>
      <c r="JG61" s="285"/>
      <c r="JH61" s="285"/>
      <c r="JI61" s="285"/>
      <c r="JJ61" s="285"/>
      <c r="JK61" s="285"/>
      <c r="JL61" s="285"/>
      <c r="JM61" s="285"/>
      <c r="JN61" s="285"/>
      <c r="JO61" s="285"/>
      <c r="JP61" s="285"/>
      <c r="JQ61" s="285"/>
      <c r="JR61" s="285"/>
      <c r="JS61" s="285"/>
      <c r="JT61" s="285"/>
      <c r="JU61" s="285"/>
      <c r="JV61" s="285"/>
      <c r="JW61" s="285"/>
      <c r="JX61" s="285"/>
      <c r="JY61" s="285"/>
      <c r="JZ61" s="285"/>
      <c r="KA61" s="285"/>
      <c r="KB61" s="285"/>
      <c r="KC61" s="285"/>
      <c r="KD61" s="285"/>
      <c r="KE61" s="285"/>
      <c r="KF61" s="285"/>
      <c r="KG61" s="285"/>
      <c r="KH61" s="285"/>
      <c r="KI61" s="285"/>
      <c r="KJ61" s="285"/>
      <c r="KK61" s="285"/>
      <c r="KL61" s="285"/>
      <c r="KM61" s="285"/>
      <c r="KN61" s="285"/>
      <c r="KO61" s="285"/>
      <c r="KP61" s="285"/>
      <c r="KQ61" s="285"/>
      <c r="KR61" s="298"/>
      <c r="KS61" s="285"/>
      <c r="KT61" s="285"/>
      <c r="KU61" s="268"/>
      <c r="KV61" s="288"/>
      <c r="KW61" s="288"/>
      <c r="AES61" s="1304">
        <v>54</v>
      </c>
      <c r="AGF61" s="1304">
        <v>-30</v>
      </c>
    </row>
    <row r="62" spans="1:864" ht="16.2" customHeight="1">
      <c r="A62" s="9" t="s">
        <v>4690</v>
      </c>
      <c r="B62" s="1054" t="s">
        <v>4689</v>
      </c>
      <c r="C62" s="906">
        <v>311156947</v>
      </c>
      <c r="D62" s="906" t="s">
        <v>6926</v>
      </c>
      <c r="E62" s="906">
        <v>311156947</v>
      </c>
      <c r="F62" s="74"/>
      <c r="G62" s="75">
        <v>335780</v>
      </c>
      <c r="H62" s="944" t="s">
        <v>6771</v>
      </c>
      <c r="I62" s="944"/>
      <c r="J62" s="944">
        <v>1</v>
      </c>
      <c r="K62" s="1308"/>
      <c r="L62" s="1308"/>
      <c r="M62" s="1308"/>
      <c r="N62" s="1308"/>
      <c r="O62" s="1308">
        <v>0</v>
      </c>
      <c r="P62" s="1308"/>
      <c r="Q62" s="1308"/>
      <c r="R62" s="1308">
        <v>6.5</v>
      </c>
      <c r="S62" s="1308"/>
      <c r="T62" s="1308"/>
      <c r="U62" s="1308"/>
      <c r="V62" s="1308"/>
      <c r="W62" s="285"/>
      <c r="X62" s="285"/>
      <c r="Y62" s="285"/>
      <c r="Z62" s="285"/>
      <c r="AA62" s="285"/>
      <c r="AB62" s="285"/>
      <c r="AC62" s="285"/>
      <c r="AD62" s="285"/>
      <c r="AE62" s="285"/>
      <c r="AF62" s="285"/>
      <c r="AG62" s="285"/>
      <c r="AH62" s="285"/>
      <c r="AI62" s="285"/>
      <c r="AJ62" s="285"/>
      <c r="AK62" s="285"/>
      <c r="AL62" s="285"/>
      <c r="AM62" s="285"/>
      <c r="AN62" s="285"/>
      <c r="AO62" s="285"/>
      <c r="AP62" s="285"/>
      <c r="AQ62" s="285"/>
      <c r="AR62" s="285"/>
      <c r="AS62" s="285"/>
      <c r="AT62" s="285"/>
      <c r="AU62" s="285"/>
      <c r="AV62" s="285"/>
      <c r="AW62" s="285"/>
      <c r="AX62" s="285"/>
      <c r="AY62" s="285"/>
      <c r="AZ62" s="285"/>
      <c r="BA62" s="285"/>
      <c r="BB62" s="285"/>
      <c r="BC62" s="285"/>
      <c r="BD62" s="285"/>
      <c r="BE62" s="285"/>
      <c r="BF62" s="285"/>
      <c r="BG62" s="285"/>
      <c r="BH62" s="285"/>
      <c r="BI62" s="285"/>
      <c r="BJ62" s="285"/>
      <c r="BK62" s="285"/>
      <c r="BL62" s="285"/>
      <c r="BM62" s="285"/>
      <c r="BN62" s="285"/>
      <c r="BO62" s="285"/>
      <c r="BP62" s="285"/>
      <c r="BQ62" s="285"/>
      <c r="BR62" s="285"/>
      <c r="BS62" s="285"/>
      <c r="BT62" s="285"/>
      <c r="BU62" s="285"/>
      <c r="BV62" s="285"/>
      <c r="BW62" s="285"/>
      <c r="BX62" s="285"/>
      <c r="BY62" s="285"/>
      <c r="BZ62" s="285"/>
      <c r="CA62" s="285"/>
      <c r="CB62" s="285"/>
      <c r="CC62" s="285"/>
      <c r="CD62" s="285"/>
      <c r="CE62" s="285"/>
      <c r="CF62" s="285"/>
      <c r="CG62" s="285"/>
      <c r="CH62" s="285"/>
      <c r="CI62" s="285"/>
      <c r="CJ62" s="285"/>
      <c r="CK62" s="285"/>
      <c r="CL62" s="285"/>
      <c r="CM62" s="285"/>
      <c r="CN62" s="285"/>
      <c r="CO62" s="285"/>
      <c r="CP62" s="285"/>
      <c r="CQ62" s="285"/>
      <c r="CR62" s="285"/>
      <c r="CS62" s="285"/>
      <c r="CT62" s="285"/>
      <c r="CU62" s="285"/>
      <c r="CV62" s="285"/>
      <c r="CW62" s="285"/>
      <c r="CX62" s="285"/>
      <c r="CY62" s="285"/>
      <c r="CZ62" s="285"/>
      <c r="DA62" s="285"/>
      <c r="DB62" s="285"/>
      <c r="DC62" s="285"/>
      <c r="DD62" s="285"/>
      <c r="DE62" s="285"/>
      <c r="DF62" s="285"/>
      <c r="DG62" s="285"/>
      <c r="DH62" s="285"/>
      <c r="DI62" s="285"/>
      <c r="DJ62" s="285"/>
      <c r="DK62" s="285"/>
      <c r="DL62" s="285"/>
      <c r="DM62" s="285"/>
      <c r="DN62" s="285"/>
      <c r="DO62" s="285"/>
      <c r="DP62" s="285"/>
      <c r="DQ62" s="285"/>
      <c r="DR62" s="285"/>
      <c r="DS62" s="285"/>
      <c r="DT62" s="285"/>
      <c r="DU62" s="285"/>
      <c r="DV62" s="285"/>
      <c r="DW62" s="285"/>
      <c r="DX62" s="285"/>
      <c r="DY62" s="285"/>
      <c r="DZ62" s="285"/>
      <c r="EA62" s="285"/>
      <c r="EB62" s="285"/>
      <c r="EC62" s="285"/>
      <c r="ED62" s="285"/>
      <c r="EE62" s="285"/>
      <c r="EF62" s="285"/>
      <c r="EG62" s="285"/>
      <c r="EH62" s="285"/>
      <c r="EI62" s="285"/>
      <c r="EJ62" s="285"/>
      <c r="EK62" s="285"/>
      <c r="EL62" s="285"/>
      <c r="EM62" s="285"/>
      <c r="EN62" s="285"/>
      <c r="EO62" s="285"/>
      <c r="EP62" s="285"/>
      <c r="EQ62" s="285"/>
      <c r="ER62" s="285"/>
      <c r="ES62" s="285"/>
      <c r="ET62" s="285"/>
      <c r="EU62" s="285"/>
      <c r="EV62" s="285"/>
      <c r="EW62" s="285"/>
      <c r="EX62" s="285"/>
      <c r="EY62" s="285"/>
      <c r="EZ62" s="285"/>
      <c r="FA62" s="285"/>
      <c r="FB62" s="285"/>
      <c r="FC62" s="285"/>
      <c r="FD62" s="285"/>
      <c r="FE62" s="285"/>
      <c r="FF62" s="285"/>
      <c r="FG62" s="285"/>
      <c r="FH62" s="285"/>
      <c r="FI62" s="285"/>
      <c r="FJ62" s="285"/>
      <c r="FK62" s="285"/>
      <c r="FL62" s="285"/>
      <c r="FM62" s="285"/>
      <c r="FN62" s="285"/>
      <c r="FO62" s="285"/>
      <c r="FP62" s="285"/>
      <c r="FQ62" s="285"/>
      <c r="FR62" s="285"/>
      <c r="FS62" s="285"/>
      <c r="FT62" s="285"/>
      <c r="FU62" s="285"/>
      <c r="FV62" s="285"/>
      <c r="FW62" s="285"/>
      <c r="FX62" s="285"/>
      <c r="FY62" s="285"/>
      <c r="FZ62" s="285"/>
      <c r="GA62" s="285"/>
      <c r="GB62" s="285"/>
      <c r="GC62" s="285"/>
      <c r="GD62" s="285"/>
      <c r="GE62" s="285"/>
      <c r="GF62" s="285"/>
      <c r="GG62" s="285"/>
      <c r="GH62" s="285"/>
      <c r="GI62" s="285"/>
      <c r="GJ62" s="285"/>
      <c r="GK62" s="285"/>
      <c r="GL62" s="285"/>
      <c r="GM62" s="285"/>
      <c r="GN62" s="285"/>
      <c r="GO62" s="285"/>
      <c r="GP62" s="285"/>
      <c r="GQ62" s="285"/>
      <c r="GR62" s="285"/>
      <c r="GS62" s="285"/>
      <c r="GT62" s="285"/>
      <c r="GU62" s="285"/>
      <c r="GV62" s="285"/>
      <c r="GW62" s="285"/>
      <c r="GX62" s="285"/>
      <c r="GY62" s="285"/>
      <c r="GZ62" s="285"/>
      <c r="HA62" s="285"/>
      <c r="HB62" s="285"/>
      <c r="HC62" s="285"/>
      <c r="HD62" s="285"/>
      <c r="HE62" s="285"/>
      <c r="HF62" s="285"/>
      <c r="HG62" s="285"/>
      <c r="HH62" s="285"/>
      <c r="HI62" s="285"/>
      <c r="HJ62" s="285"/>
      <c r="HK62" s="285"/>
      <c r="HL62" s="285"/>
      <c r="HM62" s="285"/>
      <c r="HN62" s="285"/>
      <c r="HO62" s="285"/>
      <c r="HP62" s="285"/>
      <c r="HQ62" s="285"/>
      <c r="HR62" s="285"/>
      <c r="HS62" s="285"/>
      <c r="HT62" s="285"/>
      <c r="HU62" s="285"/>
      <c r="HV62" s="285"/>
      <c r="HW62" s="285"/>
      <c r="HX62" s="285"/>
      <c r="HY62" s="285"/>
      <c r="HZ62" s="285"/>
      <c r="IA62" s="285"/>
      <c r="IB62" s="285"/>
      <c r="IC62" s="285"/>
      <c r="ID62" s="285"/>
      <c r="IE62" s="285"/>
      <c r="IF62" s="285"/>
      <c r="IG62" s="285"/>
      <c r="IH62" s="285"/>
      <c r="II62" s="285"/>
      <c r="IJ62" s="285"/>
      <c r="IK62" s="285"/>
      <c r="IL62" s="285"/>
      <c r="IM62" s="285"/>
      <c r="IN62" s="285"/>
      <c r="IO62" s="285"/>
      <c r="IP62" s="285"/>
      <c r="IQ62" s="285"/>
      <c r="IR62" s="285"/>
      <c r="IS62" s="285"/>
      <c r="IT62" s="285"/>
      <c r="IU62" s="285"/>
      <c r="IV62" s="285"/>
      <c r="IW62" s="285"/>
      <c r="IX62" s="285"/>
      <c r="IY62" s="285"/>
      <c r="IZ62" s="285"/>
      <c r="JA62" s="285"/>
      <c r="JB62" s="285"/>
      <c r="JC62" s="285"/>
      <c r="JD62" s="285"/>
      <c r="JE62" s="285"/>
      <c r="JF62" s="285"/>
      <c r="JG62" s="285"/>
      <c r="JH62" s="285"/>
      <c r="JI62" s="285"/>
      <c r="JJ62" s="285"/>
      <c r="JK62" s="285"/>
      <c r="JL62" s="285"/>
      <c r="JM62" s="285"/>
      <c r="JN62" s="285"/>
      <c r="JO62" s="285"/>
      <c r="JP62" s="285"/>
      <c r="JQ62" s="285"/>
      <c r="JR62" s="285"/>
      <c r="JS62" s="285"/>
      <c r="JT62" s="285"/>
      <c r="JU62" s="285"/>
      <c r="JV62" s="285"/>
      <c r="JW62" s="285"/>
      <c r="JX62" s="285"/>
      <c r="JY62" s="285"/>
      <c r="JZ62" s="285"/>
      <c r="KA62" s="285"/>
      <c r="KB62" s="285"/>
      <c r="KC62" s="285"/>
      <c r="KD62" s="285"/>
      <c r="KE62" s="285"/>
      <c r="KF62" s="285"/>
      <c r="KG62" s="285"/>
      <c r="KH62" s="285"/>
      <c r="KI62" s="285"/>
      <c r="KJ62" s="285"/>
      <c r="KK62" s="285"/>
      <c r="KL62" s="285"/>
      <c r="KM62" s="285"/>
      <c r="KN62" s="285"/>
      <c r="KO62" s="285"/>
      <c r="KP62" s="285"/>
      <c r="KQ62" s="285"/>
      <c r="KR62" s="298"/>
      <c r="KS62" s="285"/>
      <c r="KT62" s="285"/>
      <c r="KU62" s="268"/>
      <c r="KV62" s="288"/>
      <c r="KW62" s="288"/>
      <c r="AES62" s="1304">
        <v>1590</v>
      </c>
    </row>
    <row r="63" spans="1:864" ht="16.2" customHeight="1">
      <c r="A63" s="9" t="s">
        <v>4714</v>
      </c>
      <c r="B63" s="1064" t="s">
        <v>4715</v>
      </c>
      <c r="C63" s="906">
        <v>311165595</v>
      </c>
      <c r="D63" s="906" t="s">
        <v>6926</v>
      </c>
      <c r="E63" s="1096" t="s">
        <v>4797</v>
      </c>
      <c r="F63" s="74"/>
      <c r="G63" s="75"/>
      <c r="H63" s="944" t="s">
        <v>6914</v>
      </c>
      <c r="I63" s="944"/>
      <c r="J63" s="944"/>
      <c r="K63" s="1308"/>
      <c r="L63" s="1308"/>
      <c r="M63" s="1308"/>
      <c r="N63" s="1308"/>
      <c r="O63" s="285">
        <f>18+R63-2</f>
        <v>42.94</v>
      </c>
      <c r="P63" s="285"/>
      <c r="Q63" s="285"/>
      <c r="R63" s="285">
        <f>20.3+33+33+17+9.64-86</f>
        <v>26.939999999999998</v>
      </c>
      <c r="S63" s="285"/>
      <c r="T63" s="285"/>
      <c r="U63" s="285"/>
      <c r="V63" s="285"/>
      <c r="W63" s="285"/>
      <c r="X63" s="268"/>
      <c r="Y63" s="268"/>
      <c r="Z63" s="268"/>
      <c r="AA63" s="1308"/>
      <c r="AB63" s="285"/>
      <c r="AC63" s="285"/>
      <c r="AD63" s="285"/>
      <c r="AE63" s="285"/>
      <c r="AF63" s="285"/>
      <c r="AG63" s="285"/>
      <c r="AH63" s="285"/>
      <c r="AI63" s="285"/>
      <c r="AJ63" s="285"/>
      <c r="AK63" s="285"/>
      <c r="AL63" s="285"/>
      <c r="AM63" s="285"/>
      <c r="AN63" s="285"/>
      <c r="AO63" s="285"/>
      <c r="AP63" s="285"/>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c r="BQ63" s="285"/>
      <c r="BR63" s="285"/>
      <c r="BS63" s="285"/>
      <c r="BT63" s="285"/>
      <c r="BU63" s="285"/>
      <c r="BV63" s="285"/>
      <c r="BW63" s="285"/>
      <c r="BX63" s="285"/>
      <c r="BY63" s="285"/>
      <c r="BZ63" s="285"/>
      <c r="CA63" s="285"/>
      <c r="CB63" s="285"/>
      <c r="CC63" s="285"/>
      <c r="CD63" s="285"/>
      <c r="CE63" s="285"/>
      <c r="CF63" s="285"/>
      <c r="CG63" s="285"/>
      <c r="CH63" s="285"/>
      <c r="CI63" s="285"/>
      <c r="CJ63" s="285"/>
      <c r="CK63" s="285"/>
      <c r="CL63" s="285"/>
      <c r="CM63" s="285"/>
      <c r="CN63" s="285"/>
      <c r="CO63" s="285"/>
      <c r="CP63" s="285"/>
      <c r="CQ63" s="285"/>
      <c r="CR63" s="285"/>
      <c r="CS63" s="285"/>
      <c r="CT63" s="285"/>
      <c r="CU63" s="285"/>
      <c r="CV63" s="285"/>
      <c r="CW63" s="285"/>
      <c r="CX63" s="285"/>
      <c r="CY63" s="285"/>
      <c r="CZ63" s="285"/>
      <c r="DA63" s="285"/>
      <c r="DB63" s="285"/>
      <c r="DC63" s="285"/>
      <c r="DD63" s="285"/>
      <c r="DE63" s="285"/>
      <c r="DF63" s="285"/>
      <c r="DG63" s="285"/>
      <c r="DH63" s="285"/>
      <c r="DI63" s="285"/>
      <c r="DJ63" s="285"/>
      <c r="DK63" s="285"/>
      <c r="DL63" s="285"/>
      <c r="DM63" s="285"/>
      <c r="DN63" s="285"/>
      <c r="DO63" s="285"/>
      <c r="DP63" s="285"/>
      <c r="DQ63" s="285"/>
      <c r="DR63" s="285"/>
      <c r="DS63" s="285"/>
      <c r="DT63" s="285"/>
      <c r="DU63" s="285"/>
      <c r="DV63" s="285"/>
      <c r="DW63" s="285"/>
      <c r="DX63" s="285"/>
      <c r="DY63" s="285"/>
      <c r="DZ63" s="285"/>
      <c r="EA63" s="285"/>
      <c r="EB63" s="285"/>
      <c r="EC63" s="285"/>
      <c r="ED63" s="285"/>
      <c r="EE63" s="285"/>
      <c r="EF63" s="285"/>
      <c r="EG63" s="285"/>
      <c r="EH63" s="285"/>
      <c r="EI63" s="285"/>
      <c r="EJ63" s="285"/>
      <c r="EK63" s="285"/>
      <c r="EL63" s="285"/>
      <c r="EM63" s="285"/>
      <c r="EN63" s="285"/>
      <c r="EO63" s="285"/>
      <c r="EP63" s="285"/>
      <c r="EQ63" s="285"/>
      <c r="ER63" s="285"/>
      <c r="ES63" s="285"/>
      <c r="ET63" s="285"/>
      <c r="EU63" s="285"/>
      <c r="EV63" s="285"/>
      <c r="EW63" s="285"/>
      <c r="EX63" s="285"/>
      <c r="EY63" s="285"/>
      <c r="EZ63" s="285"/>
      <c r="FA63" s="285"/>
      <c r="FB63" s="285"/>
      <c r="FC63" s="285"/>
      <c r="FD63" s="285"/>
      <c r="FE63" s="285"/>
      <c r="FF63" s="285"/>
      <c r="FG63" s="285"/>
      <c r="FH63" s="285"/>
      <c r="FI63" s="285"/>
      <c r="FJ63" s="285"/>
      <c r="FK63" s="285"/>
      <c r="FL63" s="285"/>
      <c r="FM63" s="285"/>
      <c r="FN63" s="285"/>
      <c r="FO63" s="285"/>
      <c r="FP63" s="285"/>
      <c r="FQ63" s="285"/>
      <c r="FR63" s="285"/>
      <c r="FS63" s="285"/>
      <c r="FT63" s="285"/>
      <c r="FU63" s="285"/>
      <c r="FV63" s="285"/>
      <c r="FW63" s="285"/>
      <c r="FX63" s="285"/>
      <c r="FY63" s="285"/>
      <c r="FZ63" s="285"/>
      <c r="GA63" s="285"/>
      <c r="GB63" s="285"/>
      <c r="GC63" s="285"/>
      <c r="GD63" s="285"/>
      <c r="GE63" s="285"/>
      <c r="GF63" s="285"/>
      <c r="GG63" s="285"/>
      <c r="GH63" s="285"/>
      <c r="GI63" s="285"/>
      <c r="GJ63" s="285"/>
      <c r="GK63" s="285"/>
      <c r="GL63" s="285"/>
      <c r="GM63" s="285"/>
      <c r="GN63" s="285"/>
      <c r="GO63" s="285"/>
      <c r="GP63" s="285"/>
      <c r="GQ63" s="285"/>
      <c r="GR63" s="285"/>
      <c r="GS63" s="285"/>
      <c r="GT63" s="285"/>
      <c r="GU63" s="285"/>
      <c r="GV63" s="285"/>
      <c r="GW63" s="285"/>
      <c r="GX63" s="285"/>
      <c r="GY63" s="285"/>
      <c r="GZ63" s="285"/>
      <c r="HA63" s="285"/>
      <c r="HB63" s="285"/>
      <c r="HC63" s="285"/>
      <c r="HD63" s="285"/>
      <c r="HE63" s="285"/>
      <c r="HF63" s="285"/>
      <c r="HG63" s="285"/>
      <c r="HH63" s="285"/>
      <c r="HI63" s="285"/>
      <c r="HJ63" s="285"/>
      <c r="HK63" s="285"/>
      <c r="HL63" s="285"/>
      <c r="HM63" s="285"/>
      <c r="HN63" s="285"/>
      <c r="HO63" s="285"/>
      <c r="HP63" s="285"/>
      <c r="HQ63" s="285"/>
      <c r="HR63" s="285"/>
      <c r="HS63" s="285"/>
      <c r="HT63" s="285"/>
      <c r="HU63" s="285"/>
      <c r="HV63" s="285"/>
      <c r="HW63" s="285"/>
      <c r="HX63" s="285"/>
      <c r="HY63" s="285"/>
      <c r="HZ63" s="285"/>
      <c r="IA63" s="285"/>
      <c r="IB63" s="285"/>
      <c r="IC63" s="285"/>
      <c r="ID63" s="285"/>
      <c r="IE63" s="285"/>
      <c r="IF63" s="285"/>
      <c r="IG63" s="285"/>
      <c r="IH63" s="285"/>
      <c r="II63" s="285"/>
      <c r="IJ63" s="285"/>
      <c r="IK63" s="285"/>
      <c r="IL63" s="285"/>
      <c r="IM63" s="285"/>
      <c r="IN63" s="285"/>
      <c r="IO63" s="285"/>
      <c r="IP63" s="285"/>
      <c r="IQ63" s="285"/>
      <c r="IR63" s="285"/>
      <c r="IS63" s="285"/>
      <c r="IT63" s="285"/>
      <c r="IU63" s="285"/>
      <c r="IV63" s="285"/>
      <c r="IW63" s="285"/>
      <c r="IX63" s="285"/>
      <c r="IY63" s="285"/>
      <c r="IZ63" s="285"/>
      <c r="JA63" s="285"/>
      <c r="JB63" s="285"/>
      <c r="JC63" s="285"/>
      <c r="JD63" s="285"/>
      <c r="JE63" s="285"/>
      <c r="JF63" s="285"/>
      <c r="JG63" s="285"/>
      <c r="JH63" s="285"/>
      <c r="JI63" s="285"/>
      <c r="JJ63" s="285"/>
      <c r="JK63" s="285"/>
      <c r="JL63" s="285"/>
      <c r="JM63" s="285"/>
      <c r="JN63" s="285"/>
      <c r="JO63" s="285"/>
      <c r="JP63" s="285"/>
      <c r="JQ63" s="285"/>
      <c r="JR63" s="285"/>
      <c r="JS63" s="285"/>
      <c r="JT63" s="285"/>
      <c r="JU63" s="285"/>
      <c r="JV63" s="285"/>
      <c r="JW63" s="285"/>
      <c r="JX63" s="285"/>
      <c r="JY63" s="285"/>
      <c r="JZ63" s="285"/>
      <c r="KA63" s="285"/>
      <c r="KB63" s="285"/>
      <c r="KC63" s="285"/>
      <c r="KD63" s="285"/>
      <c r="KE63" s="285"/>
      <c r="KF63" s="285"/>
      <c r="KG63" s="285"/>
      <c r="KH63" s="285"/>
      <c r="KI63" s="285"/>
      <c r="KJ63" s="285"/>
      <c r="KK63" s="285"/>
      <c r="KL63" s="285"/>
      <c r="KM63" s="285"/>
      <c r="KN63" s="285"/>
      <c r="KO63" s="285"/>
      <c r="KP63" s="285"/>
      <c r="KQ63" s="285"/>
      <c r="KR63" s="298"/>
      <c r="KS63" s="285"/>
      <c r="KT63" s="285"/>
      <c r="KU63" s="268"/>
      <c r="KV63" s="288"/>
      <c r="KW63" s="288"/>
      <c r="AES63" s="1304">
        <v>550</v>
      </c>
    </row>
    <row r="64" spans="1:864" ht="16.2" customHeight="1">
      <c r="A64" s="9" t="s">
        <v>4769</v>
      </c>
      <c r="B64" s="1079" t="s">
        <v>4770</v>
      </c>
      <c r="C64" s="906">
        <v>311185326</v>
      </c>
      <c r="D64" s="906" t="s">
        <v>6926</v>
      </c>
      <c r="E64" s="1096" t="s">
        <v>4796</v>
      </c>
      <c r="F64" s="74"/>
      <c r="G64" s="75"/>
      <c r="H64" s="944" t="s">
        <v>6914</v>
      </c>
      <c r="I64" s="944"/>
      <c r="J64" s="944"/>
      <c r="K64" s="1308"/>
      <c r="L64" s="1308"/>
      <c r="M64" s="1308"/>
      <c r="N64" s="1308"/>
      <c r="O64" s="285">
        <v>0</v>
      </c>
      <c r="P64" s="285"/>
      <c r="Q64" s="285"/>
      <c r="R64" s="285" t="s">
        <v>5281</v>
      </c>
      <c r="S64" s="285"/>
      <c r="T64" s="285"/>
      <c r="U64" s="285"/>
      <c r="V64" s="285" t="s">
        <v>5283</v>
      </c>
      <c r="W64" s="285"/>
      <c r="X64" s="1227"/>
      <c r="Y64" s="268"/>
      <c r="Z64" s="268"/>
      <c r="AA64" s="1308"/>
      <c r="AB64" s="285">
        <v>2991</v>
      </c>
      <c r="AC64" s="1223" t="s">
        <v>5295</v>
      </c>
      <c r="AD64" s="285"/>
      <c r="AE64" s="285"/>
      <c r="AF64" s="285"/>
      <c r="AG64" s="285"/>
      <c r="AH64" s="285"/>
      <c r="AI64" s="285"/>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c r="BQ64" s="285"/>
      <c r="BR64" s="285"/>
      <c r="BS64" s="285"/>
      <c r="BT64" s="285"/>
      <c r="BU64" s="285"/>
      <c r="BV64" s="285"/>
      <c r="BW64" s="285"/>
      <c r="BX64" s="285"/>
      <c r="BY64" s="285"/>
      <c r="BZ64" s="285"/>
      <c r="CA64" s="285"/>
      <c r="CB64" s="285"/>
      <c r="CC64" s="285"/>
      <c r="CD64" s="285"/>
      <c r="CE64" s="285"/>
      <c r="CF64" s="285"/>
      <c r="CG64" s="285"/>
      <c r="CH64" s="285"/>
      <c r="CI64" s="285"/>
      <c r="CJ64" s="285"/>
      <c r="CK64" s="285"/>
      <c r="CL64" s="285"/>
      <c r="CM64" s="285"/>
      <c r="CN64" s="285"/>
      <c r="CO64" s="285"/>
      <c r="CP64" s="285"/>
      <c r="CQ64" s="285"/>
      <c r="CR64" s="285"/>
      <c r="CS64" s="285"/>
      <c r="CT64" s="285"/>
      <c r="CU64" s="285"/>
      <c r="CV64" s="285"/>
      <c r="CW64" s="285"/>
      <c r="CX64" s="285"/>
      <c r="CY64" s="285"/>
      <c r="CZ64" s="285"/>
      <c r="DA64" s="285"/>
      <c r="DB64" s="285"/>
      <c r="DC64" s="285"/>
      <c r="DD64" s="285"/>
      <c r="DE64" s="285"/>
      <c r="DF64" s="285"/>
      <c r="DG64" s="285"/>
      <c r="DH64" s="285"/>
      <c r="DI64" s="285"/>
      <c r="DJ64" s="285"/>
      <c r="DK64" s="285"/>
      <c r="DL64" s="285"/>
      <c r="DM64" s="285"/>
      <c r="DN64" s="285"/>
      <c r="DO64" s="285"/>
      <c r="DP64" s="285"/>
      <c r="DQ64" s="285"/>
      <c r="DR64" s="285"/>
      <c r="DS64" s="285"/>
      <c r="DT64" s="285"/>
      <c r="DU64" s="285"/>
      <c r="DV64" s="285"/>
      <c r="DW64" s="285"/>
      <c r="DX64" s="285"/>
      <c r="DY64" s="285"/>
      <c r="DZ64" s="285"/>
      <c r="EA64" s="285"/>
      <c r="EB64" s="285"/>
      <c r="EC64" s="285"/>
      <c r="ED64" s="285"/>
      <c r="EE64" s="285"/>
      <c r="EF64" s="285"/>
      <c r="EG64" s="285"/>
      <c r="EH64" s="285"/>
      <c r="EI64" s="285"/>
      <c r="EJ64" s="285"/>
      <c r="EK64" s="285"/>
      <c r="EL64" s="285"/>
      <c r="EM64" s="285"/>
      <c r="EN64" s="285"/>
      <c r="EO64" s="285"/>
      <c r="EP64" s="285"/>
      <c r="EQ64" s="285"/>
      <c r="ER64" s="285"/>
      <c r="ES64" s="285"/>
      <c r="ET64" s="285"/>
      <c r="EU64" s="285"/>
      <c r="EV64" s="285"/>
      <c r="EW64" s="285"/>
      <c r="EX64" s="285"/>
      <c r="EY64" s="285"/>
      <c r="EZ64" s="285"/>
      <c r="FA64" s="285"/>
      <c r="FB64" s="285"/>
      <c r="FC64" s="285"/>
      <c r="FD64" s="285"/>
      <c r="FE64" s="285"/>
      <c r="FF64" s="285"/>
      <c r="FG64" s="285"/>
      <c r="FH64" s="285"/>
      <c r="FI64" s="285"/>
      <c r="FJ64" s="285"/>
      <c r="FK64" s="285"/>
      <c r="FL64" s="285"/>
      <c r="FM64" s="285"/>
      <c r="FN64" s="285"/>
      <c r="FO64" s="285"/>
      <c r="FP64" s="285"/>
      <c r="FQ64" s="285"/>
      <c r="FR64" s="285"/>
      <c r="FS64" s="285"/>
      <c r="FT64" s="285"/>
      <c r="FU64" s="285"/>
      <c r="FV64" s="285"/>
      <c r="FW64" s="285"/>
      <c r="FX64" s="285"/>
      <c r="FY64" s="285"/>
      <c r="FZ64" s="285"/>
      <c r="GA64" s="285"/>
      <c r="GB64" s="285"/>
      <c r="GC64" s="285"/>
      <c r="GD64" s="285"/>
      <c r="GE64" s="285"/>
      <c r="GF64" s="285"/>
      <c r="GG64" s="285"/>
      <c r="GH64" s="285"/>
      <c r="GI64" s="285"/>
      <c r="GJ64" s="285"/>
      <c r="GK64" s="285"/>
      <c r="GL64" s="285"/>
      <c r="GM64" s="285"/>
      <c r="GN64" s="285"/>
      <c r="GO64" s="285"/>
      <c r="GP64" s="285"/>
      <c r="GQ64" s="285"/>
      <c r="GR64" s="285"/>
      <c r="GS64" s="285"/>
      <c r="GT64" s="285"/>
      <c r="GU64" s="285"/>
      <c r="GV64" s="285"/>
      <c r="GW64" s="285"/>
      <c r="GX64" s="285"/>
      <c r="GY64" s="285"/>
      <c r="GZ64" s="285"/>
      <c r="HA64" s="285"/>
      <c r="HB64" s="285"/>
      <c r="HC64" s="285"/>
      <c r="HD64" s="285"/>
      <c r="HE64" s="285"/>
      <c r="HF64" s="285"/>
      <c r="HG64" s="285"/>
      <c r="HH64" s="285"/>
      <c r="HI64" s="285"/>
      <c r="HJ64" s="285"/>
      <c r="HK64" s="285"/>
      <c r="HL64" s="285"/>
      <c r="HM64" s="285"/>
      <c r="HN64" s="285"/>
      <c r="HO64" s="285"/>
      <c r="HP64" s="285"/>
      <c r="HQ64" s="285"/>
      <c r="HR64" s="285"/>
      <c r="HS64" s="285"/>
      <c r="HT64" s="285"/>
      <c r="HU64" s="285"/>
      <c r="HV64" s="285"/>
      <c r="HW64" s="285"/>
      <c r="HX64" s="285"/>
      <c r="HY64" s="285"/>
      <c r="HZ64" s="285"/>
      <c r="IA64" s="285"/>
      <c r="IB64" s="285"/>
      <c r="IC64" s="285"/>
      <c r="ID64" s="285"/>
      <c r="IE64" s="285"/>
      <c r="IF64" s="285"/>
      <c r="IG64" s="285"/>
      <c r="IH64" s="285"/>
      <c r="II64" s="285"/>
      <c r="IJ64" s="285"/>
      <c r="IK64" s="285"/>
      <c r="IL64" s="285"/>
      <c r="IM64" s="285"/>
      <c r="IN64" s="285"/>
      <c r="IO64" s="285"/>
      <c r="IP64" s="285"/>
      <c r="IQ64" s="285"/>
      <c r="IR64" s="285"/>
      <c r="IS64" s="285"/>
      <c r="IT64" s="285"/>
      <c r="IU64" s="285"/>
      <c r="IV64" s="285"/>
      <c r="IW64" s="285"/>
      <c r="IX64" s="285"/>
      <c r="IY64" s="285"/>
      <c r="IZ64" s="285"/>
      <c r="JA64" s="285"/>
      <c r="JB64" s="285"/>
      <c r="JC64" s="285"/>
      <c r="JD64" s="285"/>
      <c r="JE64" s="285"/>
      <c r="JF64" s="285"/>
      <c r="JG64" s="285"/>
      <c r="JH64" s="285"/>
      <c r="JI64" s="285"/>
      <c r="JJ64" s="285"/>
      <c r="JK64" s="285"/>
      <c r="JL64" s="285"/>
      <c r="JM64" s="285"/>
      <c r="JN64" s="285"/>
      <c r="JO64" s="285"/>
      <c r="JP64" s="285"/>
      <c r="JQ64" s="285"/>
      <c r="JR64" s="285"/>
      <c r="JS64" s="285"/>
      <c r="JT64" s="285"/>
      <c r="JU64" s="285"/>
      <c r="JV64" s="285"/>
      <c r="JW64" s="285"/>
      <c r="JX64" s="285"/>
      <c r="JY64" s="285"/>
      <c r="JZ64" s="285"/>
      <c r="KA64" s="285"/>
      <c r="KB64" s="285"/>
      <c r="KC64" s="285"/>
      <c r="KD64" s="285"/>
      <c r="KE64" s="285"/>
      <c r="KF64" s="285"/>
      <c r="KG64" s="285"/>
      <c r="KH64" s="285"/>
      <c r="KI64" s="285"/>
      <c r="KJ64" s="285"/>
      <c r="KK64" s="285"/>
      <c r="KL64" s="285"/>
      <c r="KM64" s="285"/>
      <c r="KN64" s="285"/>
      <c r="KO64" s="285"/>
      <c r="KP64" s="285"/>
      <c r="KQ64" s="285"/>
      <c r="KR64" s="298"/>
      <c r="KS64" s="285"/>
      <c r="KT64" s="285"/>
      <c r="KU64" s="268"/>
      <c r="KV64" s="288"/>
      <c r="KW64" s="288"/>
      <c r="AES64" s="1304">
        <v>54</v>
      </c>
    </row>
    <row r="65" spans="1:825" ht="16.2" customHeight="1">
      <c r="A65" s="1095" t="s">
        <v>4789</v>
      </c>
      <c r="B65" s="1079" t="s">
        <v>4794</v>
      </c>
      <c r="C65" s="906">
        <v>311194853</v>
      </c>
      <c r="D65" s="906" t="s">
        <v>6926</v>
      </c>
      <c r="E65" s="1220" t="s">
        <v>4795</v>
      </c>
      <c r="F65" s="74"/>
      <c r="G65" s="75"/>
      <c r="H65" s="944" t="s">
        <v>6914</v>
      </c>
      <c r="I65" s="944"/>
      <c r="J65" s="944"/>
      <c r="K65" s="1308"/>
      <c r="L65" s="1308"/>
      <c r="M65" s="1308"/>
      <c r="N65" s="1308"/>
      <c r="O65" s="285">
        <f>+R65+22</f>
        <v>320.60000000000002</v>
      </c>
      <c r="P65" s="285"/>
      <c r="Q65" s="285"/>
      <c r="R65" s="285">
        <v>298.60000000000002</v>
      </c>
      <c r="S65" s="285"/>
      <c r="T65" s="285"/>
      <c r="U65" s="285"/>
      <c r="V65" s="285"/>
      <c r="W65" s="285"/>
      <c r="X65" s="268"/>
      <c r="Y65" s="268"/>
      <c r="Z65" s="268"/>
      <c r="AA65" s="1308"/>
      <c r="AB65" s="285"/>
      <c r="AC65" s="285"/>
      <c r="AD65" s="285"/>
      <c r="AE65" s="285"/>
      <c r="AF65" s="285"/>
      <c r="AG65" s="285"/>
      <c r="AH65" s="285"/>
      <c r="AI65" s="285"/>
      <c r="AJ65" s="285"/>
      <c r="AK65" s="285"/>
      <c r="AL65" s="285"/>
      <c r="AM65" s="285"/>
      <c r="AN65" s="285"/>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c r="BO65" s="285"/>
      <c r="BP65" s="285"/>
      <c r="BQ65" s="285"/>
      <c r="BR65" s="285"/>
      <c r="BS65" s="285"/>
      <c r="BT65" s="285"/>
      <c r="BU65" s="285"/>
      <c r="BV65" s="285"/>
      <c r="BW65" s="285"/>
      <c r="BX65" s="285"/>
      <c r="BY65" s="285"/>
      <c r="BZ65" s="285"/>
      <c r="CA65" s="285"/>
      <c r="CB65" s="285"/>
      <c r="CC65" s="285"/>
      <c r="CD65" s="285"/>
      <c r="CE65" s="285"/>
      <c r="CF65" s="285"/>
      <c r="CG65" s="285"/>
      <c r="CH65" s="285"/>
      <c r="CI65" s="285"/>
      <c r="CJ65" s="285"/>
      <c r="CK65" s="285"/>
      <c r="CL65" s="285"/>
      <c r="CM65" s="285"/>
      <c r="CN65" s="285"/>
      <c r="CO65" s="285"/>
      <c r="CP65" s="285"/>
      <c r="CQ65" s="285"/>
      <c r="CR65" s="285"/>
      <c r="CS65" s="285"/>
      <c r="CT65" s="285"/>
      <c r="CU65" s="285"/>
      <c r="CV65" s="285"/>
      <c r="CW65" s="285"/>
      <c r="CX65" s="285"/>
      <c r="CY65" s="285"/>
      <c r="CZ65" s="285"/>
      <c r="DA65" s="285"/>
      <c r="DB65" s="285"/>
      <c r="DC65" s="285"/>
      <c r="DD65" s="285"/>
      <c r="DE65" s="285"/>
      <c r="DF65" s="285"/>
      <c r="DG65" s="285"/>
      <c r="DH65" s="285"/>
      <c r="DI65" s="285"/>
      <c r="DJ65" s="285"/>
      <c r="DK65" s="285"/>
      <c r="DL65" s="285"/>
      <c r="DM65" s="285"/>
      <c r="DN65" s="285"/>
      <c r="DO65" s="285"/>
      <c r="DP65" s="285"/>
      <c r="DQ65" s="285"/>
      <c r="DR65" s="285"/>
      <c r="DS65" s="285"/>
      <c r="DT65" s="285"/>
      <c r="DU65" s="285"/>
      <c r="DV65" s="285"/>
      <c r="DW65" s="285"/>
      <c r="DX65" s="285"/>
      <c r="DY65" s="285"/>
      <c r="DZ65" s="285"/>
      <c r="EA65" s="285"/>
      <c r="EB65" s="285"/>
      <c r="EC65" s="285"/>
      <c r="ED65" s="285"/>
      <c r="EE65" s="285"/>
      <c r="EF65" s="285"/>
      <c r="EG65" s="285"/>
      <c r="EH65" s="285"/>
      <c r="EI65" s="285"/>
      <c r="EJ65" s="285"/>
      <c r="EK65" s="285"/>
      <c r="EL65" s="285"/>
      <c r="EM65" s="285"/>
      <c r="EN65" s="285"/>
      <c r="EO65" s="285"/>
      <c r="EP65" s="285"/>
      <c r="EQ65" s="285"/>
      <c r="ER65" s="285"/>
      <c r="ES65" s="285"/>
      <c r="ET65" s="285"/>
      <c r="EU65" s="285"/>
      <c r="EV65" s="285"/>
      <c r="EW65" s="285"/>
      <c r="EX65" s="285"/>
      <c r="EY65" s="285"/>
      <c r="EZ65" s="285"/>
      <c r="FA65" s="285"/>
      <c r="FB65" s="285"/>
      <c r="FC65" s="285"/>
      <c r="FD65" s="285"/>
      <c r="FE65" s="285"/>
      <c r="FF65" s="285"/>
      <c r="FG65" s="285"/>
      <c r="FH65" s="285"/>
      <c r="FI65" s="285"/>
      <c r="FJ65" s="285"/>
      <c r="FK65" s="285"/>
      <c r="FL65" s="285"/>
      <c r="FM65" s="285"/>
      <c r="FN65" s="285"/>
      <c r="FO65" s="285"/>
      <c r="FP65" s="285"/>
      <c r="FQ65" s="285"/>
      <c r="FR65" s="285"/>
      <c r="FS65" s="285"/>
      <c r="FT65" s="285"/>
      <c r="FU65" s="285"/>
      <c r="FV65" s="285"/>
      <c r="FW65" s="285"/>
      <c r="FX65" s="285"/>
      <c r="FY65" s="285"/>
      <c r="FZ65" s="285"/>
      <c r="GA65" s="285"/>
      <c r="GB65" s="285"/>
      <c r="GC65" s="285"/>
      <c r="GD65" s="285"/>
      <c r="GE65" s="285"/>
      <c r="GF65" s="285"/>
      <c r="GG65" s="285"/>
      <c r="GH65" s="285"/>
      <c r="GI65" s="285"/>
      <c r="GJ65" s="285"/>
      <c r="GK65" s="285"/>
      <c r="GL65" s="285"/>
      <c r="GM65" s="285"/>
      <c r="GN65" s="285"/>
      <c r="GO65" s="285"/>
      <c r="GP65" s="285"/>
      <c r="GQ65" s="285"/>
      <c r="GR65" s="285"/>
      <c r="GS65" s="285"/>
      <c r="GT65" s="285"/>
      <c r="GU65" s="285"/>
      <c r="GV65" s="285"/>
      <c r="GW65" s="285"/>
      <c r="GX65" s="285"/>
      <c r="GY65" s="285"/>
      <c r="GZ65" s="285"/>
      <c r="HA65" s="285"/>
      <c r="HB65" s="285"/>
      <c r="HC65" s="285"/>
      <c r="HD65" s="285"/>
      <c r="HE65" s="285"/>
      <c r="HF65" s="285"/>
      <c r="HG65" s="285"/>
      <c r="HH65" s="285"/>
      <c r="HI65" s="285"/>
      <c r="HJ65" s="285"/>
      <c r="HK65" s="285"/>
      <c r="HL65" s="285"/>
      <c r="HM65" s="285"/>
      <c r="HN65" s="285"/>
      <c r="HO65" s="285"/>
      <c r="HP65" s="285"/>
      <c r="HQ65" s="285"/>
      <c r="HR65" s="285"/>
      <c r="HS65" s="285"/>
      <c r="HT65" s="285"/>
      <c r="HU65" s="285"/>
      <c r="HV65" s="285"/>
      <c r="HW65" s="285"/>
      <c r="HX65" s="285"/>
      <c r="HY65" s="285"/>
      <c r="HZ65" s="285"/>
      <c r="IA65" s="285"/>
      <c r="IB65" s="285"/>
      <c r="IC65" s="285"/>
      <c r="ID65" s="285"/>
      <c r="IE65" s="285"/>
      <c r="IF65" s="285"/>
      <c r="IG65" s="285"/>
      <c r="IH65" s="285"/>
      <c r="II65" s="285"/>
      <c r="IJ65" s="285"/>
      <c r="IK65" s="285"/>
      <c r="IL65" s="285"/>
      <c r="IM65" s="285"/>
      <c r="IN65" s="285"/>
      <c r="IO65" s="285"/>
      <c r="IP65" s="285"/>
      <c r="IQ65" s="285"/>
      <c r="IR65" s="285"/>
      <c r="IS65" s="285"/>
      <c r="IT65" s="285"/>
      <c r="IU65" s="285"/>
      <c r="IV65" s="285"/>
      <c r="IW65" s="285"/>
      <c r="IX65" s="285"/>
      <c r="IY65" s="285"/>
      <c r="IZ65" s="285"/>
      <c r="JA65" s="285"/>
      <c r="JB65" s="285"/>
      <c r="JC65" s="285"/>
      <c r="JD65" s="285"/>
      <c r="JE65" s="285"/>
      <c r="JF65" s="285"/>
      <c r="JG65" s="285"/>
      <c r="JH65" s="285"/>
      <c r="JI65" s="285"/>
      <c r="JJ65" s="285"/>
      <c r="JK65" s="285"/>
      <c r="JL65" s="285"/>
      <c r="JM65" s="285"/>
      <c r="JN65" s="285"/>
      <c r="JO65" s="285"/>
      <c r="JP65" s="285"/>
      <c r="JQ65" s="285"/>
      <c r="JR65" s="285"/>
      <c r="JS65" s="285"/>
      <c r="JT65" s="285"/>
      <c r="JU65" s="285"/>
      <c r="JV65" s="285"/>
      <c r="JW65" s="285"/>
      <c r="JX65" s="285"/>
      <c r="JY65" s="285"/>
      <c r="JZ65" s="285"/>
      <c r="KA65" s="285"/>
      <c r="KB65" s="285"/>
      <c r="KC65" s="285"/>
      <c r="KD65" s="285"/>
      <c r="KE65" s="285"/>
      <c r="KF65" s="285"/>
      <c r="KG65" s="285"/>
      <c r="KH65" s="285"/>
      <c r="KI65" s="285"/>
      <c r="KJ65" s="285"/>
      <c r="KK65" s="285"/>
      <c r="KL65" s="285"/>
      <c r="KM65" s="285"/>
      <c r="KN65" s="285"/>
      <c r="KO65" s="285"/>
      <c r="KP65" s="285"/>
      <c r="KQ65" s="285"/>
      <c r="KR65" s="298"/>
      <c r="KS65" s="285"/>
      <c r="KT65" s="285"/>
      <c r="KU65" s="268"/>
      <c r="KV65" s="288"/>
      <c r="KW65" s="288"/>
      <c r="AES65" s="1304">
        <v>1590</v>
      </c>
    </row>
    <row r="66" spans="1:825" ht="16.2" customHeight="1">
      <c r="A66" s="9" t="s">
        <v>4789</v>
      </c>
      <c r="B66" s="1121" t="s">
        <v>4808</v>
      </c>
      <c r="C66" s="906">
        <v>311213400</v>
      </c>
      <c r="D66" s="906" t="s">
        <v>6927</v>
      </c>
      <c r="E66" s="1426" t="s">
        <v>4841</v>
      </c>
      <c r="F66" s="74">
        <v>0.2</v>
      </c>
      <c r="G66" s="75"/>
      <c r="H66" s="944" t="s">
        <v>6914</v>
      </c>
      <c r="I66" s="944"/>
      <c r="J66" s="944"/>
      <c r="K66" s="1308"/>
      <c r="L66" s="1308"/>
      <c r="M66" s="1308"/>
      <c r="N66" s="1308"/>
      <c r="O66" s="285">
        <v>549</v>
      </c>
      <c r="P66" s="285"/>
      <c r="Q66" s="285"/>
      <c r="R66" s="285">
        <f>25+33</f>
        <v>58</v>
      </c>
      <c r="S66" s="285"/>
      <c r="T66" s="285"/>
      <c r="U66" s="285"/>
      <c r="V66" s="285"/>
      <c r="W66" s="285"/>
      <c r="X66" s="268"/>
      <c r="Y66" s="268"/>
      <c r="Z66" s="268"/>
      <c r="AA66" s="1308"/>
      <c r="AB66" s="285"/>
      <c r="AC66" s="285"/>
      <c r="AD66" s="285"/>
      <c r="AE66" s="285"/>
      <c r="AF66" s="285"/>
      <c r="AG66" s="285"/>
      <c r="AH66" s="285"/>
      <c r="AI66" s="285"/>
      <c r="AJ66" s="285"/>
      <c r="AK66" s="285"/>
      <c r="AL66" s="285"/>
      <c r="AM66" s="28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c r="BN66" s="285"/>
      <c r="BO66" s="285"/>
      <c r="BP66" s="285"/>
      <c r="BQ66" s="285"/>
      <c r="BR66" s="285"/>
      <c r="BS66" s="285"/>
      <c r="BT66" s="285"/>
      <c r="BU66" s="285"/>
      <c r="BV66" s="285"/>
      <c r="BW66" s="285"/>
      <c r="BX66" s="285"/>
      <c r="BY66" s="285"/>
      <c r="BZ66" s="285"/>
      <c r="CA66" s="285"/>
      <c r="CB66" s="285"/>
      <c r="CC66" s="285"/>
      <c r="CD66" s="285"/>
      <c r="CE66" s="285"/>
      <c r="CF66" s="285"/>
      <c r="CG66" s="285"/>
      <c r="CH66" s="285"/>
      <c r="CI66" s="285"/>
      <c r="CJ66" s="285"/>
      <c r="CK66" s="285"/>
      <c r="CL66" s="285"/>
      <c r="CM66" s="285"/>
      <c r="CN66" s="285"/>
      <c r="CO66" s="285"/>
      <c r="CP66" s="285"/>
      <c r="CQ66" s="285"/>
      <c r="CR66" s="285"/>
      <c r="CS66" s="285"/>
      <c r="CT66" s="285"/>
      <c r="CU66" s="285"/>
      <c r="CV66" s="285"/>
      <c r="CW66" s="285"/>
      <c r="CX66" s="285"/>
      <c r="CY66" s="285"/>
      <c r="CZ66" s="285"/>
      <c r="DA66" s="285"/>
      <c r="DB66" s="285"/>
      <c r="DC66" s="285"/>
      <c r="DD66" s="285"/>
      <c r="DE66" s="285"/>
      <c r="DF66" s="285"/>
      <c r="DG66" s="285"/>
      <c r="DH66" s="285"/>
      <c r="DI66" s="285"/>
      <c r="DJ66" s="285"/>
      <c r="DK66" s="285"/>
      <c r="DL66" s="285"/>
      <c r="DM66" s="285"/>
      <c r="DN66" s="285"/>
      <c r="DO66" s="285"/>
      <c r="DP66" s="285"/>
      <c r="DQ66" s="285"/>
      <c r="DR66" s="285"/>
      <c r="DS66" s="285"/>
      <c r="DT66" s="285"/>
      <c r="DU66" s="285"/>
      <c r="DV66" s="285"/>
      <c r="DW66" s="285"/>
      <c r="DX66" s="285"/>
      <c r="DY66" s="285"/>
      <c r="DZ66" s="285"/>
      <c r="EA66" s="285"/>
      <c r="EB66" s="285"/>
      <c r="EC66" s="285"/>
      <c r="ED66" s="285"/>
      <c r="EE66" s="285"/>
      <c r="EF66" s="285"/>
      <c r="EG66" s="285"/>
      <c r="EH66" s="285"/>
      <c r="EI66" s="285"/>
      <c r="EJ66" s="285"/>
      <c r="EK66" s="285"/>
      <c r="EL66" s="285"/>
      <c r="EM66" s="285"/>
      <c r="EN66" s="285"/>
      <c r="EO66" s="285"/>
      <c r="EP66" s="285"/>
      <c r="EQ66" s="285"/>
      <c r="ER66" s="285"/>
      <c r="ES66" s="285"/>
      <c r="ET66" s="285"/>
      <c r="EU66" s="285"/>
      <c r="EV66" s="285"/>
      <c r="EW66" s="285"/>
      <c r="EX66" s="285"/>
      <c r="EY66" s="285"/>
      <c r="EZ66" s="285"/>
      <c r="FA66" s="285"/>
      <c r="FB66" s="285"/>
      <c r="FC66" s="285"/>
      <c r="FD66" s="285"/>
      <c r="FE66" s="285"/>
      <c r="FF66" s="285"/>
      <c r="FG66" s="285"/>
      <c r="FH66" s="285"/>
      <c r="FI66" s="285"/>
      <c r="FJ66" s="285"/>
      <c r="FK66" s="285"/>
      <c r="FL66" s="285"/>
      <c r="FM66" s="285"/>
      <c r="FN66" s="285"/>
      <c r="FO66" s="285"/>
      <c r="FP66" s="285"/>
      <c r="FQ66" s="285"/>
      <c r="FR66" s="285"/>
      <c r="FS66" s="285"/>
      <c r="FT66" s="285"/>
      <c r="FU66" s="285"/>
      <c r="FV66" s="285"/>
      <c r="FW66" s="285"/>
      <c r="FX66" s="285"/>
      <c r="FY66" s="285"/>
      <c r="FZ66" s="285"/>
      <c r="GA66" s="285"/>
      <c r="GB66" s="285"/>
      <c r="GC66" s="285"/>
      <c r="GD66" s="285"/>
      <c r="GE66" s="285"/>
      <c r="GF66" s="285"/>
      <c r="GG66" s="285"/>
      <c r="GH66" s="285"/>
      <c r="GI66" s="285"/>
      <c r="GJ66" s="285"/>
      <c r="GK66" s="285"/>
      <c r="GL66" s="285"/>
      <c r="GM66" s="285"/>
      <c r="GN66" s="285"/>
      <c r="GO66" s="285"/>
      <c r="GP66" s="285"/>
      <c r="GQ66" s="285"/>
      <c r="GR66" s="285"/>
      <c r="GS66" s="285"/>
      <c r="GT66" s="285"/>
      <c r="GU66" s="285"/>
      <c r="GV66" s="285"/>
      <c r="GW66" s="285"/>
      <c r="GX66" s="285"/>
      <c r="GY66" s="285"/>
      <c r="GZ66" s="285"/>
      <c r="HA66" s="285"/>
      <c r="HB66" s="285"/>
      <c r="HC66" s="285"/>
      <c r="HD66" s="285"/>
      <c r="HE66" s="285"/>
      <c r="HF66" s="285"/>
      <c r="HG66" s="285"/>
      <c r="HH66" s="285"/>
      <c r="HI66" s="285"/>
      <c r="HJ66" s="285"/>
      <c r="HK66" s="285"/>
      <c r="HL66" s="285"/>
      <c r="HM66" s="285"/>
      <c r="HN66" s="285"/>
      <c r="HO66" s="285"/>
      <c r="HP66" s="285"/>
      <c r="HQ66" s="285"/>
      <c r="HR66" s="285"/>
      <c r="HS66" s="285"/>
      <c r="HT66" s="285"/>
      <c r="HU66" s="285"/>
      <c r="HV66" s="285"/>
      <c r="HW66" s="285"/>
      <c r="HX66" s="285"/>
      <c r="HY66" s="285"/>
      <c r="HZ66" s="285"/>
      <c r="IA66" s="285"/>
      <c r="IB66" s="285"/>
      <c r="IC66" s="285"/>
      <c r="ID66" s="285"/>
      <c r="IE66" s="285"/>
      <c r="IF66" s="285"/>
      <c r="IG66" s="285"/>
      <c r="IH66" s="285"/>
      <c r="II66" s="285"/>
      <c r="IJ66" s="285"/>
      <c r="IK66" s="285"/>
      <c r="IL66" s="285"/>
      <c r="IM66" s="285"/>
      <c r="IN66" s="285"/>
      <c r="IO66" s="285"/>
      <c r="IP66" s="285"/>
      <c r="IQ66" s="285"/>
      <c r="IR66" s="285"/>
      <c r="IS66" s="285"/>
      <c r="IT66" s="285"/>
      <c r="IU66" s="285"/>
      <c r="IV66" s="285"/>
      <c r="IW66" s="285"/>
      <c r="IX66" s="285"/>
      <c r="IY66" s="285"/>
      <c r="IZ66" s="285"/>
      <c r="JA66" s="285"/>
      <c r="JB66" s="285"/>
      <c r="JC66" s="285"/>
      <c r="JD66" s="285"/>
      <c r="JE66" s="285"/>
      <c r="JF66" s="285"/>
      <c r="JG66" s="285"/>
      <c r="JH66" s="285"/>
      <c r="JI66" s="285"/>
      <c r="JJ66" s="285"/>
      <c r="JK66" s="285"/>
      <c r="JL66" s="285"/>
      <c r="JM66" s="285"/>
      <c r="JN66" s="285"/>
      <c r="JO66" s="285"/>
      <c r="JP66" s="285"/>
      <c r="JQ66" s="285"/>
      <c r="JR66" s="285"/>
      <c r="JS66" s="285"/>
      <c r="JT66" s="285"/>
      <c r="JU66" s="285"/>
      <c r="JV66" s="285"/>
      <c r="JW66" s="285"/>
      <c r="JX66" s="285"/>
      <c r="JY66" s="285"/>
      <c r="JZ66" s="285"/>
      <c r="KA66" s="285"/>
      <c r="KB66" s="285"/>
      <c r="KC66" s="285"/>
      <c r="KD66" s="285"/>
      <c r="KE66" s="285"/>
      <c r="KF66" s="285"/>
      <c r="KG66" s="285"/>
      <c r="KH66" s="285"/>
      <c r="KI66" s="285"/>
      <c r="KJ66" s="285"/>
      <c r="KK66" s="285"/>
      <c r="KL66" s="285"/>
      <c r="KM66" s="285"/>
      <c r="KN66" s="285"/>
      <c r="KO66" s="285"/>
      <c r="KP66" s="285"/>
      <c r="KQ66" s="285"/>
      <c r="KR66" s="298"/>
      <c r="KS66" s="285"/>
      <c r="KT66" s="285"/>
      <c r="KU66" s="268"/>
      <c r="KV66" s="288"/>
      <c r="KW66" s="288"/>
      <c r="AES66" s="1304">
        <v>550</v>
      </c>
    </row>
    <row r="67" spans="1:825" ht="16.2" customHeight="1">
      <c r="A67" s="9" t="s">
        <v>4809</v>
      </c>
      <c r="B67" s="1079" t="s">
        <v>4903</v>
      </c>
      <c r="C67" s="906">
        <v>311217403</v>
      </c>
      <c r="D67" s="906" t="s">
        <v>6926</v>
      </c>
      <c r="E67" s="1425" t="s">
        <v>5010</v>
      </c>
      <c r="F67" s="74"/>
      <c r="G67" s="75"/>
      <c r="H67" s="944" t="s">
        <v>6914</v>
      </c>
      <c r="I67" s="944"/>
      <c r="J67" s="944"/>
      <c r="K67" s="1308"/>
      <c r="L67" s="1308"/>
      <c r="M67" s="1308"/>
      <c r="N67" s="1308"/>
      <c r="O67" s="285"/>
      <c r="P67" s="285"/>
      <c r="Q67" s="285"/>
      <c r="R67" s="285"/>
      <c r="S67" s="285"/>
      <c r="T67" s="285"/>
      <c r="U67" s="285"/>
      <c r="V67" s="285"/>
      <c r="W67" s="285"/>
      <c r="X67" s="268"/>
      <c r="Y67" s="268"/>
      <c r="Z67" s="268"/>
      <c r="AA67" s="1308"/>
      <c r="AB67" s="285"/>
      <c r="AC67" s="285"/>
      <c r="AD67" s="285"/>
      <c r="AE67" s="285"/>
      <c r="AF67" s="285"/>
      <c r="AG67" s="285"/>
      <c r="AH67" s="285"/>
      <c r="AI67" s="285"/>
      <c r="AJ67" s="285"/>
      <c r="AK67" s="285"/>
      <c r="AL67" s="285"/>
      <c r="AM67" s="285"/>
      <c r="AN67" s="285"/>
      <c r="AO67" s="285"/>
      <c r="AP67" s="285"/>
      <c r="AQ67" s="285"/>
      <c r="AR67" s="285"/>
      <c r="AS67" s="285"/>
      <c r="AT67" s="285"/>
      <c r="AU67" s="285"/>
      <c r="AV67" s="285"/>
      <c r="AW67" s="285"/>
      <c r="AX67" s="285"/>
      <c r="AY67" s="285"/>
      <c r="AZ67" s="285"/>
      <c r="BA67" s="285"/>
      <c r="BB67" s="285"/>
      <c r="BC67" s="285"/>
      <c r="BD67" s="285"/>
      <c r="BE67" s="285"/>
      <c r="BF67" s="285"/>
      <c r="BG67" s="285"/>
      <c r="BH67" s="285"/>
      <c r="BI67" s="285"/>
      <c r="BJ67" s="285"/>
      <c r="BK67" s="285"/>
      <c r="BL67" s="285"/>
      <c r="BM67" s="285"/>
      <c r="BN67" s="285"/>
      <c r="BO67" s="285"/>
      <c r="BP67" s="285"/>
      <c r="BQ67" s="285"/>
      <c r="BR67" s="285"/>
      <c r="BS67" s="285"/>
      <c r="BT67" s="285"/>
      <c r="BU67" s="285"/>
      <c r="BV67" s="285"/>
      <c r="BW67" s="285"/>
      <c r="BX67" s="285"/>
      <c r="BY67" s="285"/>
      <c r="BZ67" s="285"/>
      <c r="CA67" s="285"/>
      <c r="CB67" s="285"/>
      <c r="CC67" s="285"/>
      <c r="CD67" s="285"/>
      <c r="CE67" s="285"/>
      <c r="CF67" s="285"/>
      <c r="CG67" s="285"/>
      <c r="CH67" s="285"/>
      <c r="CI67" s="285"/>
      <c r="CJ67" s="285"/>
      <c r="CK67" s="285"/>
      <c r="CL67" s="285"/>
      <c r="CM67" s="285"/>
      <c r="CN67" s="285"/>
      <c r="CO67" s="285"/>
      <c r="CP67" s="285"/>
      <c r="CQ67" s="285"/>
      <c r="CR67" s="285"/>
      <c r="CS67" s="285"/>
      <c r="CT67" s="285"/>
      <c r="CU67" s="285"/>
      <c r="CV67" s="285"/>
      <c r="CW67" s="285"/>
      <c r="CX67" s="285"/>
      <c r="CY67" s="285"/>
      <c r="CZ67" s="285"/>
      <c r="DA67" s="285"/>
      <c r="DB67" s="285"/>
      <c r="DC67" s="285"/>
      <c r="DD67" s="285"/>
      <c r="DE67" s="285"/>
      <c r="DF67" s="285"/>
      <c r="DG67" s="285"/>
      <c r="DH67" s="285"/>
      <c r="DI67" s="285"/>
      <c r="DJ67" s="285"/>
      <c r="DK67" s="285"/>
      <c r="DL67" s="285"/>
      <c r="DM67" s="285"/>
      <c r="DN67" s="285"/>
      <c r="DO67" s="285"/>
      <c r="DP67" s="285"/>
      <c r="DQ67" s="285"/>
      <c r="DR67" s="285"/>
      <c r="DS67" s="285"/>
      <c r="DT67" s="285"/>
      <c r="DU67" s="285"/>
      <c r="DV67" s="285"/>
      <c r="DW67" s="285"/>
      <c r="DX67" s="285"/>
      <c r="DY67" s="285"/>
      <c r="DZ67" s="285"/>
      <c r="EA67" s="285"/>
      <c r="EB67" s="285"/>
      <c r="EC67" s="285"/>
      <c r="ED67" s="285"/>
      <c r="EE67" s="285"/>
      <c r="EF67" s="285"/>
      <c r="EG67" s="285"/>
      <c r="EH67" s="285"/>
      <c r="EI67" s="285"/>
      <c r="EJ67" s="285"/>
      <c r="EK67" s="285"/>
      <c r="EL67" s="285"/>
      <c r="EM67" s="285"/>
      <c r="EN67" s="285"/>
      <c r="EO67" s="285"/>
      <c r="EP67" s="285"/>
      <c r="EQ67" s="285"/>
      <c r="ER67" s="285"/>
      <c r="ES67" s="285"/>
      <c r="ET67" s="285"/>
      <c r="EU67" s="285"/>
      <c r="EV67" s="285"/>
      <c r="EW67" s="285"/>
      <c r="EX67" s="285"/>
      <c r="EY67" s="285"/>
      <c r="EZ67" s="285"/>
      <c r="FA67" s="285"/>
      <c r="FB67" s="285"/>
      <c r="FC67" s="285"/>
      <c r="FD67" s="285"/>
      <c r="FE67" s="285"/>
      <c r="FF67" s="285"/>
      <c r="FG67" s="285"/>
      <c r="FH67" s="285"/>
      <c r="FI67" s="285"/>
      <c r="FJ67" s="285"/>
      <c r="FK67" s="285"/>
      <c r="FL67" s="285"/>
      <c r="FM67" s="285"/>
      <c r="FN67" s="285"/>
      <c r="FO67" s="285"/>
      <c r="FP67" s="285"/>
      <c r="FQ67" s="285"/>
      <c r="FR67" s="285"/>
      <c r="FS67" s="285"/>
      <c r="FT67" s="285"/>
      <c r="FU67" s="285"/>
      <c r="FV67" s="285"/>
      <c r="FW67" s="285"/>
      <c r="FX67" s="285"/>
      <c r="FY67" s="285"/>
      <c r="FZ67" s="285"/>
      <c r="GA67" s="285"/>
      <c r="GB67" s="285"/>
      <c r="GC67" s="285"/>
      <c r="GD67" s="285"/>
      <c r="GE67" s="285"/>
      <c r="GF67" s="285"/>
      <c r="GG67" s="285"/>
      <c r="GH67" s="285"/>
      <c r="GI67" s="285"/>
      <c r="GJ67" s="285"/>
      <c r="GK67" s="285"/>
      <c r="GL67" s="285"/>
      <c r="GM67" s="285"/>
      <c r="GN67" s="285"/>
      <c r="GO67" s="285"/>
      <c r="GP67" s="285"/>
      <c r="GQ67" s="285"/>
      <c r="GR67" s="285"/>
      <c r="GS67" s="285"/>
      <c r="GT67" s="285"/>
      <c r="GU67" s="285"/>
      <c r="GV67" s="285"/>
      <c r="GW67" s="285"/>
      <c r="GX67" s="285"/>
      <c r="GY67" s="285"/>
      <c r="GZ67" s="285"/>
      <c r="HA67" s="285"/>
      <c r="HB67" s="285"/>
      <c r="HC67" s="285"/>
      <c r="HD67" s="285"/>
      <c r="HE67" s="285"/>
      <c r="HF67" s="285"/>
      <c r="HG67" s="285"/>
      <c r="HH67" s="285"/>
      <c r="HI67" s="285"/>
      <c r="HJ67" s="285"/>
      <c r="HK67" s="285"/>
      <c r="HL67" s="285"/>
      <c r="HM67" s="285"/>
      <c r="HN67" s="285"/>
      <c r="HO67" s="285"/>
      <c r="HP67" s="285"/>
      <c r="HQ67" s="285"/>
      <c r="HR67" s="285"/>
      <c r="HS67" s="285"/>
      <c r="HT67" s="285"/>
      <c r="HU67" s="285"/>
      <c r="HV67" s="285"/>
      <c r="HW67" s="285"/>
      <c r="HX67" s="285"/>
      <c r="HY67" s="285"/>
      <c r="HZ67" s="285"/>
      <c r="IA67" s="285"/>
      <c r="IB67" s="285"/>
      <c r="IC67" s="285"/>
      <c r="ID67" s="285"/>
      <c r="IE67" s="285"/>
      <c r="IF67" s="285"/>
      <c r="IG67" s="285"/>
      <c r="IH67" s="285"/>
      <c r="II67" s="285"/>
      <c r="IJ67" s="285"/>
      <c r="IK67" s="285"/>
      <c r="IL67" s="285"/>
      <c r="IM67" s="285"/>
      <c r="IN67" s="285"/>
      <c r="IO67" s="285"/>
      <c r="IP67" s="285"/>
      <c r="IQ67" s="285"/>
      <c r="IR67" s="285"/>
      <c r="IS67" s="285"/>
      <c r="IT67" s="285"/>
      <c r="IU67" s="285"/>
      <c r="IV67" s="285"/>
      <c r="IW67" s="285"/>
      <c r="IX67" s="285"/>
      <c r="IY67" s="285"/>
      <c r="IZ67" s="285"/>
      <c r="JA67" s="285"/>
      <c r="JB67" s="285"/>
      <c r="JC67" s="285"/>
      <c r="JD67" s="285"/>
      <c r="JE67" s="285"/>
      <c r="JF67" s="285"/>
      <c r="JG67" s="285"/>
      <c r="JH67" s="285"/>
      <c r="JI67" s="285"/>
      <c r="JJ67" s="285"/>
      <c r="JK67" s="285"/>
      <c r="JL67" s="285"/>
      <c r="JM67" s="285"/>
      <c r="JN67" s="285"/>
      <c r="JO67" s="285"/>
      <c r="JP67" s="285"/>
      <c r="JQ67" s="285"/>
      <c r="JR67" s="285"/>
      <c r="JS67" s="285"/>
      <c r="JT67" s="285"/>
      <c r="JU67" s="285"/>
      <c r="JV67" s="285"/>
      <c r="JW67" s="285"/>
      <c r="JX67" s="285"/>
      <c r="JY67" s="285"/>
      <c r="JZ67" s="285"/>
      <c r="KA67" s="285"/>
      <c r="KB67" s="285"/>
      <c r="KC67" s="285"/>
      <c r="KD67" s="285"/>
      <c r="KE67" s="285"/>
      <c r="KF67" s="285"/>
      <c r="KG67" s="285"/>
      <c r="KH67" s="285"/>
      <c r="KI67" s="285"/>
      <c r="KJ67" s="285"/>
      <c r="KK67" s="285"/>
      <c r="KL67" s="285"/>
      <c r="KM67" s="285"/>
      <c r="KN67" s="285"/>
      <c r="KO67" s="285"/>
      <c r="KP67" s="285"/>
      <c r="KQ67" s="285"/>
      <c r="KR67" s="298"/>
      <c r="KS67" s="285"/>
      <c r="KT67" s="285"/>
      <c r="KU67" s="268"/>
      <c r="KV67" s="288"/>
      <c r="KW67" s="288"/>
      <c r="AES67" s="1304">
        <v>54</v>
      </c>
    </row>
    <row r="68" spans="1:825" ht="16.2" customHeight="1">
      <c r="A68" s="9" t="s">
        <v>4898</v>
      </c>
      <c r="B68" s="1121" t="s">
        <v>4899</v>
      </c>
      <c r="C68" s="906">
        <v>311222080</v>
      </c>
      <c r="D68" s="906" t="s">
        <v>6926</v>
      </c>
      <c r="E68" s="1221" t="s">
        <v>4900</v>
      </c>
      <c r="F68" s="74"/>
      <c r="G68" s="75"/>
      <c r="H68" s="944" t="s">
        <v>6914</v>
      </c>
      <c r="I68" s="944"/>
      <c r="J68" s="944">
        <v>0</v>
      </c>
      <c r="K68" s="1308"/>
      <c r="L68" s="1308"/>
      <c r="M68" s="1308"/>
      <c r="N68" s="1308"/>
      <c r="O68" s="1308"/>
      <c r="P68" s="1308"/>
      <c r="Q68" s="1308"/>
      <c r="R68" s="285"/>
      <c r="S68" s="285"/>
      <c r="T68" s="285"/>
      <c r="U68" s="285"/>
      <c r="V68" s="285"/>
      <c r="W68" s="285"/>
      <c r="X68" s="1308"/>
      <c r="Y68" s="1308"/>
      <c r="Z68" s="1308"/>
      <c r="AA68" s="1308"/>
      <c r="AB68" s="285"/>
      <c r="AC68" s="285"/>
      <c r="AD68" s="285"/>
      <c r="AE68" s="285"/>
      <c r="AF68" s="285"/>
      <c r="AG68" s="285"/>
      <c r="AH68" s="285"/>
      <c r="AI68" s="285"/>
      <c r="AJ68" s="285"/>
      <c r="AK68" s="285"/>
      <c r="AL68" s="285"/>
      <c r="AM68" s="285"/>
      <c r="AN68" s="285"/>
      <c r="AO68" s="285"/>
      <c r="AP68" s="285"/>
      <c r="AQ68" s="285"/>
      <c r="AR68" s="285"/>
      <c r="AS68" s="285"/>
      <c r="AT68" s="285"/>
      <c r="AU68" s="285"/>
      <c r="AV68" s="285"/>
      <c r="AW68" s="285"/>
      <c r="AX68" s="285"/>
      <c r="AY68" s="285"/>
      <c r="AZ68" s="285"/>
      <c r="BA68" s="285"/>
      <c r="BB68" s="285"/>
      <c r="BC68" s="285"/>
      <c r="BD68" s="285"/>
      <c r="BE68" s="285"/>
      <c r="BF68" s="285"/>
      <c r="BG68" s="285"/>
      <c r="BH68" s="285"/>
      <c r="BI68" s="285"/>
      <c r="BJ68" s="285"/>
      <c r="BK68" s="285"/>
      <c r="BL68" s="285"/>
      <c r="BM68" s="285"/>
      <c r="BN68" s="285"/>
      <c r="BO68" s="285"/>
      <c r="BP68" s="285"/>
      <c r="BQ68" s="285"/>
      <c r="BR68" s="285"/>
      <c r="BS68" s="285"/>
      <c r="BT68" s="285"/>
      <c r="BU68" s="285"/>
      <c r="BV68" s="285"/>
      <c r="BW68" s="285"/>
      <c r="BX68" s="285"/>
      <c r="BY68" s="285"/>
      <c r="BZ68" s="285"/>
      <c r="CA68" s="285"/>
      <c r="CB68" s="285"/>
      <c r="CC68" s="285"/>
      <c r="CD68" s="285"/>
      <c r="CE68" s="285"/>
      <c r="CF68" s="285"/>
      <c r="CG68" s="285"/>
      <c r="CH68" s="285"/>
      <c r="CI68" s="285"/>
      <c r="CJ68" s="285"/>
      <c r="CK68" s="285"/>
      <c r="CL68" s="285"/>
      <c r="CM68" s="285"/>
      <c r="CN68" s="285"/>
      <c r="CO68" s="285"/>
      <c r="CP68" s="285"/>
      <c r="CQ68" s="285"/>
      <c r="CR68" s="285"/>
      <c r="CS68" s="285"/>
      <c r="CT68" s="285"/>
      <c r="CU68" s="285"/>
      <c r="CV68" s="285"/>
      <c r="CW68" s="285"/>
      <c r="CX68" s="285"/>
      <c r="CY68" s="285"/>
      <c r="CZ68" s="285"/>
      <c r="DA68" s="285"/>
      <c r="DB68" s="285"/>
      <c r="DC68" s="285"/>
      <c r="DD68" s="285"/>
      <c r="DE68" s="285"/>
      <c r="DF68" s="285"/>
      <c r="DG68" s="285"/>
      <c r="DH68" s="285"/>
      <c r="DI68" s="285"/>
      <c r="DJ68" s="285"/>
      <c r="DK68" s="285"/>
      <c r="DL68" s="285"/>
      <c r="DM68" s="285"/>
      <c r="DN68" s="285"/>
      <c r="DO68" s="285"/>
      <c r="DP68" s="285"/>
      <c r="DQ68" s="285"/>
      <c r="DR68" s="285"/>
      <c r="DS68" s="285"/>
      <c r="DT68" s="285"/>
      <c r="DU68" s="285"/>
      <c r="DV68" s="285"/>
      <c r="DW68" s="285"/>
      <c r="DX68" s="285"/>
      <c r="DY68" s="285"/>
      <c r="DZ68" s="285"/>
      <c r="EA68" s="285"/>
      <c r="EB68" s="285"/>
      <c r="EC68" s="285"/>
      <c r="ED68" s="285"/>
      <c r="EE68" s="285"/>
      <c r="EF68" s="285"/>
      <c r="EG68" s="285"/>
      <c r="EH68" s="285"/>
      <c r="EI68" s="285"/>
      <c r="EJ68" s="285"/>
      <c r="EK68" s="285"/>
      <c r="EL68" s="285"/>
      <c r="EM68" s="285"/>
      <c r="EN68" s="285"/>
      <c r="EO68" s="285"/>
      <c r="EP68" s="285"/>
      <c r="EQ68" s="285"/>
      <c r="ER68" s="285"/>
      <c r="ES68" s="285"/>
      <c r="ET68" s="285"/>
      <c r="EU68" s="285"/>
      <c r="EV68" s="285"/>
      <c r="EW68" s="285"/>
      <c r="EX68" s="285"/>
      <c r="EY68" s="285"/>
      <c r="EZ68" s="285"/>
      <c r="FA68" s="285"/>
      <c r="FB68" s="285"/>
      <c r="FC68" s="285"/>
      <c r="FD68" s="285"/>
      <c r="FE68" s="285"/>
      <c r="FF68" s="285"/>
      <c r="FG68" s="285"/>
      <c r="FH68" s="285"/>
      <c r="FI68" s="285"/>
      <c r="FJ68" s="285"/>
      <c r="FK68" s="285"/>
      <c r="FL68" s="285"/>
      <c r="FM68" s="285"/>
      <c r="FN68" s="285"/>
      <c r="FO68" s="285"/>
      <c r="FP68" s="285"/>
      <c r="FQ68" s="285"/>
      <c r="FR68" s="285"/>
      <c r="FS68" s="285"/>
      <c r="FT68" s="285"/>
      <c r="FU68" s="285"/>
      <c r="FV68" s="285"/>
      <c r="FW68" s="285"/>
      <c r="FX68" s="285"/>
      <c r="FY68" s="285"/>
      <c r="FZ68" s="285"/>
      <c r="GA68" s="285"/>
      <c r="GB68" s="285"/>
      <c r="GC68" s="285"/>
      <c r="GD68" s="285"/>
      <c r="GE68" s="285"/>
      <c r="GF68" s="285"/>
      <c r="GG68" s="285"/>
      <c r="GH68" s="285"/>
      <c r="GI68" s="285"/>
      <c r="GJ68" s="285"/>
      <c r="GK68" s="285"/>
      <c r="GL68" s="285"/>
      <c r="GM68" s="285"/>
      <c r="GN68" s="285"/>
      <c r="GO68" s="285"/>
      <c r="GP68" s="285"/>
      <c r="GQ68" s="285"/>
      <c r="GR68" s="285"/>
      <c r="GS68" s="285"/>
      <c r="GT68" s="285"/>
      <c r="GU68" s="285"/>
      <c r="GV68" s="285"/>
      <c r="GW68" s="285"/>
      <c r="GX68" s="285"/>
      <c r="GY68" s="285"/>
      <c r="GZ68" s="285"/>
      <c r="HA68" s="285"/>
      <c r="HB68" s="285"/>
      <c r="HC68" s="285"/>
      <c r="HD68" s="285"/>
      <c r="HE68" s="285"/>
      <c r="HF68" s="285"/>
      <c r="HG68" s="285"/>
      <c r="HH68" s="285"/>
      <c r="HI68" s="285"/>
      <c r="HJ68" s="285"/>
      <c r="HK68" s="285"/>
      <c r="HL68" s="285"/>
      <c r="HM68" s="285"/>
      <c r="HN68" s="285"/>
      <c r="HO68" s="285"/>
      <c r="HP68" s="285"/>
      <c r="HQ68" s="285"/>
      <c r="HR68" s="285"/>
      <c r="HS68" s="285"/>
      <c r="HT68" s="285"/>
      <c r="HU68" s="285"/>
      <c r="HV68" s="285"/>
      <c r="HW68" s="285"/>
      <c r="HX68" s="285"/>
      <c r="HY68" s="285"/>
      <c r="HZ68" s="285"/>
      <c r="IA68" s="285"/>
      <c r="IB68" s="285"/>
      <c r="IC68" s="285"/>
      <c r="ID68" s="285"/>
      <c r="IE68" s="285"/>
      <c r="IF68" s="285"/>
      <c r="IG68" s="285"/>
      <c r="IH68" s="285"/>
      <c r="II68" s="285"/>
      <c r="IJ68" s="285"/>
      <c r="IK68" s="285"/>
      <c r="IL68" s="285"/>
      <c r="IM68" s="285"/>
      <c r="IN68" s="285"/>
      <c r="IO68" s="285"/>
      <c r="IP68" s="285"/>
      <c r="IQ68" s="285"/>
      <c r="IR68" s="285"/>
      <c r="IS68" s="285"/>
      <c r="IT68" s="285"/>
      <c r="IU68" s="285"/>
      <c r="IV68" s="285"/>
      <c r="IW68" s="285"/>
      <c r="IX68" s="285"/>
      <c r="IY68" s="285"/>
      <c r="IZ68" s="285"/>
      <c r="JA68" s="285"/>
      <c r="JB68" s="285"/>
      <c r="JC68" s="285"/>
      <c r="JD68" s="285"/>
      <c r="JE68" s="285"/>
      <c r="JF68" s="285"/>
      <c r="JG68" s="285"/>
      <c r="JH68" s="285"/>
      <c r="JI68" s="285"/>
      <c r="JJ68" s="285"/>
      <c r="JK68" s="285"/>
      <c r="JL68" s="285"/>
      <c r="JM68" s="285"/>
      <c r="JN68" s="285"/>
      <c r="JO68" s="285"/>
      <c r="JP68" s="285"/>
      <c r="JQ68" s="285"/>
      <c r="JR68" s="285"/>
      <c r="JS68" s="285"/>
      <c r="JT68" s="285"/>
      <c r="JU68" s="285"/>
      <c r="JV68" s="285"/>
      <c r="JW68" s="285"/>
      <c r="JX68" s="285"/>
      <c r="JY68" s="285"/>
      <c r="JZ68" s="285"/>
      <c r="KA68" s="285"/>
      <c r="KB68" s="285"/>
      <c r="KC68" s="285"/>
      <c r="KD68" s="285"/>
      <c r="KE68" s="285"/>
      <c r="KF68" s="285"/>
      <c r="KG68" s="285"/>
      <c r="KH68" s="285"/>
      <c r="KI68" s="285"/>
      <c r="KJ68" s="285"/>
      <c r="KK68" s="285"/>
      <c r="KL68" s="285"/>
      <c r="KM68" s="285"/>
      <c r="KN68" s="285"/>
      <c r="KO68" s="285"/>
      <c r="KP68" s="285"/>
      <c r="KQ68" s="285"/>
      <c r="KR68" s="298"/>
      <c r="KS68" s="285"/>
      <c r="KT68" s="285"/>
      <c r="KU68" s="268"/>
      <c r="KV68" s="288"/>
      <c r="KW68" s="288"/>
      <c r="AER68" s="1304">
        <v>59.94</v>
      </c>
    </row>
    <row r="69" spans="1:825" ht="16.2" customHeight="1">
      <c r="A69" s="9" t="s">
        <v>4898</v>
      </c>
      <c r="B69" s="1121" t="s">
        <v>4901</v>
      </c>
      <c r="C69" s="906">
        <v>311221312</v>
      </c>
      <c r="D69" s="906" t="s">
        <v>6926</v>
      </c>
      <c r="E69" s="1221" t="s">
        <v>4902</v>
      </c>
      <c r="F69" s="74"/>
      <c r="G69" s="75"/>
      <c r="H69" s="944" t="s">
        <v>6914</v>
      </c>
      <c r="I69" s="944"/>
      <c r="J69" s="944">
        <v>0</v>
      </c>
      <c r="K69" s="1308"/>
      <c r="L69" s="1308"/>
      <c r="M69" s="1308"/>
      <c r="N69" s="1308"/>
      <c r="O69" s="268">
        <v>0</v>
      </c>
      <c r="P69" s="1308"/>
      <c r="Q69" s="1308"/>
      <c r="R69" s="285" t="s">
        <v>5295</v>
      </c>
      <c r="S69" s="285"/>
      <c r="T69" s="285"/>
      <c r="U69" s="285"/>
      <c r="V69" s="285"/>
      <c r="W69" s="285"/>
      <c r="X69" s="1308"/>
      <c r="Y69" s="1308"/>
      <c r="Z69" s="1308"/>
      <c r="AA69" s="1308"/>
      <c r="AB69" s="285"/>
      <c r="AC69" s="285"/>
      <c r="AD69" s="285"/>
      <c r="AE69" s="285"/>
      <c r="AF69" s="285"/>
      <c r="AG69" s="285"/>
      <c r="AH69" s="285"/>
      <c r="AI69" s="285"/>
      <c r="AJ69" s="285"/>
      <c r="AK69" s="285"/>
      <c r="AL69" s="285"/>
      <c r="AM69" s="285"/>
      <c r="AN69" s="285"/>
      <c r="AO69" s="285"/>
      <c r="AP69" s="285"/>
      <c r="AQ69" s="285"/>
      <c r="AR69" s="285"/>
      <c r="AS69" s="285"/>
      <c r="AT69" s="285"/>
      <c r="AU69" s="285"/>
      <c r="AV69" s="285"/>
      <c r="AW69" s="285"/>
      <c r="AX69" s="285"/>
      <c r="AY69" s="285"/>
      <c r="AZ69" s="285"/>
      <c r="BA69" s="285"/>
      <c r="BB69" s="285"/>
      <c r="BC69" s="285"/>
      <c r="BD69" s="285"/>
      <c r="BE69" s="285"/>
      <c r="BF69" s="285"/>
      <c r="BG69" s="285"/>
      <c r="BH69" s="285"/>
      <c r="BI69" s="285"/>
      <c r="BJ69" s="285"/>
      <c r="BK69" s="285"/>
      <c r="BL69" s="285"/>
      <c r="BM69" s="285"/>
      <c r="BN69" s="285"/>
      <c r="BO69" s="285"/>
      <c r="BP69" s="285"/>
      <c r="BQ69" s="285"/>
      <c r="BR69" s="285"/>
      <c r="BS69" s="285"/>
      <c r="BT69" s="285"/>
      <c r="BU69" s="285"/>
      <c r="BV69" s="285"/>
      <c r="BW69" s="285"/>
      <c r="BX69" s="285"/>
      <c r="BY69" s="285"/>
      <c r="BZ69" s="285"/>
      <c r="CA69" s="285"/>
      <c r="CB69" s="285"/>
      <c r="CC69" s="285"/>
      <c r="CD69" s="285"/>
      <c r="CE69" s="285"/>
      <c r="CF69" s="285"/>
      <c r="CG69" s="285"/>
      <c r="CH69" s="285"/>
      <c r="CI69" s="285"/>
      <c r="CJ69" s="285"/>
      <c r="CK69" s="285"/>
      <c r="CL69" s="285"/>
      <c r="CM69" s="285"/>
      <c r="CN69" s="285"/>
      <c r="CO69" s="285"/>
      <c r="CP69" s="285"/>
      <c r="CQ69" s="285"/>
      <c r="CR69" s="285"/>
      <c r="CS69" s="285"/>
      <c r="CT69" s="285"/>
      <c r="CU69" s="285"/>
      <c r="CV69" s="285"/>
      <c r="CW69" s="285"/>
      <c r="CX69" s="285"/>
      <c r="CY69" s="285"/>
      <c r="CZ69" s="285"/>
      <c r="DA69" s="285"/>
      <c r="DB69" s="285"/>
      <c r="DC69" s="285"/>
      <c r="DD69" s="285"/>
      <c r="DE69" s="285"/>
      <c r="DF69" s="285"/>
      <c r="DG69" s="285"/>
      <c r="DH69" s="285"/>
      <c r="DI69" s="285"/>
      <c r="DJ69" s="285"/>
      <c r="DK69" s="285"/>
      <c r="DL69" s="285"/>
      <c r="DM69" s="285"/>
      <c r="DN69" s="285"/>
      <c r="DO69" s="285"/>
      <c r="DP69" s="285"/>
      <c r="DQ69" s="285"/>
      <c r="DR69" s="285"/>
      <c r="DS69" s="285"/>
      <c r="DT69" s="285"/>
      <c r="DU69" s="285"/>
      <c r="DV69" s="285"/>
      <c r="DW69" s="285"/>
      <c r="DX69" s="285"/>
      <c r="DY69" s="285"/>
      <c r="DZ69" s="285"/>
      <c r="EA69" s="285"/>
      <c r="EB69" s="285"/>
      <c r="EC69" s="285"/>
      <c r="ED69" s="285"/>
      <c r="EE69" s="285"/>
      <c r="EF69" s="285"/>
      <c r="EG69" s="285"/>
      <c r="EH69" s="285"/>
      <c r="EI69" s="285"/>
      <c r="EJ69" s="285"/>
      <c r="EK69" s="285"/>
      <c r="EL69" s="285"/>
      <c r="EM69" s="285"/>
      <c r="EN69" s="285"/>
      <c r="EO69" s="285"/>
      <c r="EP69" s="285"/>
      <c r="EQ69" s="285"/>
      <c r="ER69" s="285"/>
      <c r="ES69" s="285"/>
      <c r="ET69" s="285"/>
      <c r="EU69" s="285"/>
      <c r="EV69" s="285"/>
      <c r="EW69" s="285"/>
      <c r="EX69" s="285"/>
      <c r="EY69" s="285"/>
      <c r="EZ69" s="285"/>
      <c r="FA69" s="285"/>
      <c r="FB69" s="285"/>
      <c r="FC69" s="285"/>
      <c r="FD69" s="285"/>
      <c r="FE69" s="285"/>
      <c r="FF69" s="285"/>
      <c r="FG69" s="285"/>
      <c r="FH69" s="285"/>
      <c r="FI69" s="285"/>
      <c r="FJ69" s="285"/>
      <c r="FK69" s="285"/>
      <c r="FL69" s="285"/>
      <c r="FM69" s="285"/>
      <c r="FN69" s="285"/>
      <c r="FO69" s="285"/>
      <c r="FP69" s="285"/>
      <c r="FQ69" s="285"/>
      <c r="FR69" s="285"/>
      <c r="FS69" s="285"/>
      <c r="FT69" s="285"/>
      <c r="FU69" s="285"/>
      <c r="FV69" s="285"/>
      <c r="FW69" s="285"/>
      <c r="FX69" s="285"/>
      <c r="FY69" s="285"/>
      <c r="FZ69" s="285"/>
      <c r="GA69" s="285"/>
      <c r="GB69" s="285"/>
      <c r="GC69" s="285"/>
      <c r="GD69" s="285"/>
      <c r="GE69" s="285"/>
      <c r="GF69" s="285"/>
      <c r="GG69" s="285"/>
      <c r="GH69" s="285"/>
      <c r="GI69" s="285"/>
      <c r="GJ69" s="285"/>
      <c r="GK69" s="285"/>
      <c r="GL69" s="285"/>
      <c r="GM69" s="285"/>
      <c r="GN69" s="285"/>
      <c r="GO69" s="285"/>
      <c r="GP69" s="285"/>
      <c r="GQ69" s="285"/>
      <c r="GR69" s="285"/>
      <c r="GS69" s="285"/>
      <c r="GT69" s="285"/>
      <c r="GU69" s="285"/>
      <c r="GV69" s="285"/>
      <c r="GW69" s="285"/>
      <c r="GX69" s="285"/>
      <c r="GY69" s="285"/>
      <c r="GZ69" s="285"/>
      <c r="HA69" s="285"/>
      <c r="HB69" s="285"/>
      <c r="HC69" s="285"/>
      <c r="HD69" s="285"/>
      <c r="HE69" s="285"/>
      <c r="HF69" s="285"/>
      <c r="HG69" s="285"/>
      <c r="HH69" s="285"/>
      <c r="HI69" s="285"/>
      <c r="HJ69" s="285"/>
      <c r="HK69" s="285"/>
      <c r="HL69" s="285"/>
      <c r="HM69" s="285"/>
      <c r="HN69" s="285"/>
      <c r="HO69" s="285"/>
      <c r="HP69" s="285"/>
      <c r="HQ69" s="285"/>
      <c r="HR69" s="285"/>
      <c r="HS69" s="285"/>
      <c r="HT69" s="285"/>
      <c r="HU69" s="285"/>
      <c r="HV69" s="285"/>
      <c r="HW69" s="285"/>
      <c r="HX69" s="285"/>
      <c r="HY69" s="285"/>
      <c r="HZ69" s="285"/>
      <c r="IA69" s="285"/>
      <c r="IB69" s="285"/>
      <c r="IC69" s="285"/>
      <c r="ID69" s="285"/>
      <c r="IE69" s="285"/>
      <c r="IF69" s="285"/>
      <c r="IG69" s="285"/>
      <c r="IH69" s="285"/>
      <c r="II69" s="285"/>
      <c r="IJ69" s="285"/>
      <c r="IK69" s="285"/>
      <c r="IL69" s="285"/>
      <c r="IM69" s="285"/>
      <c r="IN69" s="285"/>
      <c r="IO69" s="285"/>
      <c r="IP69" s="285"/>
      <c r="IQ69" s="285"/>
      <c r="IR69" s="285"/>
      <c r="IS69" s="285"/>
      <c r="IT69" s="285"/>
      <c r="IU69" s="285"/>
      <c r="IV69" s="285"/>
      <c r="IW69" s="285"/>
      <c r="IX69" s="285"/>
      <c r="IY69" s="285"/>
      <c r="IZ69" s="285"/>
      <c r="JA69" s="285"/>
      <c r="JB69" s="285"/>
      <c r="JC69" s="285"/>
      <c r="JD69" s="285"/>
      <c r="JE69" s="285"/>
      <c r="JF69" s="285"/>
      <c r="JG69" s="285"/>
      <c r="JH69" s="285"/>
      <c r="JI69" s="285"/>
      <c r="JJ69" s="285"/>
      <c r="JK69" s="285"/>
      <c r="JL69" s="285"/>
      <c r="JM69" s="285"/>
      <c r="JN69" s="285"/>
      <c r="JO69" s="285"/>
      <c r="JP69" s="285"/>
      <c r="JQ69" s="285"/>
      <c r="JR69" s="285"/>
      <c r="JS69" s="285"/>
      <c r="JT69" s="285"/>
      <c r="JU69" s="285"/>
      <c r="JV69" s="285"/>
      <c r="JW69" s="285"/>
      <c r="JX69" s="285"/>
      <c r="JY69" s="285"/>
      <c r="JZ69" s="285"/>
      <c r="KA69" s="285"/>
      <c r="KB69" s="285"/>
      <c r="KC69" s="285"/>
      <c r="KD69" s="285"/>
      <c r="KE69" s="285"/>
      <c r="KF69" s="285"/>
      <c r="KG69" s="285"/>
      <c r="KH69" s="285"/>
      <c r="KI69" s="285"/>
      <c r="KJ69" s="285"/>
      <c r="KK69" s="285"/>
      <c r="KL69" s="285"/>
      <c r="KM69" s="285"/>
      <c r="KN69" s="285"/>
      <c r="KO69" s="285"/>
      <c r="KP69" s="285"/>
      <c r="KQ69" s="285"/>
      <c r="KR69" s="298"/>
      <c r="KS69" s="285"/>
      <c r="KT69" s="285"/>
      <c r="KU69" s="268"/>
      <c r="KV69" s="288"/>
      <c r="KW69" s="288"/>
    </row>
    <row r="70" spans="1:825" ht="16.2" customHeight="1">
      <c r="A70" s="1138" t="s">
        <v>4974</v>
      </c>
      <c r="B70" s="1121" t="s">
        <v>4973</v>
      </c>
      <c r="C70" s="1366">
        <v>311244394</v>
      </c>
      <c r="D70" s="906" t="s">
        <v>6925</v>
      </c>
      <c r="E70" s="1123">
        <v>311244394</v>
      </c>
      <c r="F70" s="74"/>
      <c r="G70" s="75">
        <v>795300</v>
      </c>
      <c r="H70" s="944" t="s">
        <v>6806</v>
      </c>
      <c r="I70" s="944"/>
      <c r="J70" s="944">
        <v>0</v>
      </c>
      <c r="K70" s="1308"/>
      <c r="L70" s="1308"/>
      <c r="M70" s="1308"/>
      <c r="N70" s="1308"/>
      <c r="O70" s="285"/>
      <c r="P70" s="285"/>
      <c r="Q70" s="285"/>
      <c r="R70" s="285"/>
      <c r="S70" s="285"/>
      <c r="T70" s="285"/>
      <c r="U70" s="285"/>
      <c r="V70" s="285"/>
      <c r="W70" s="285"/>
      <c r="X70" s="1308"/>
      <c r="Y70" s="1308"/>
      <c r="Z70" s="1308"/>
      <c r="AA70" s="1308"/>
      <c r="AB70" s="285"/>
      <c r="AC70" s="285"/>
      <c r="AD70" s="285"/>
      <c r="AE70" s="285"/>
      <c r="AF70" s="285"/>
      <c r="AG70" s="285"/>
      <c r="AH70" s="285"/>
      <c r="AI70" s="285"/>
      <c r="AJ70" s="285"/>
      <c r="AK70" s="285"/>
      <c r="AL70" s="285"/>
      <c r="AM70" s="285"/>
      <c r="AN70" s="285"/>
      <c r="AO70" s="285"/>
      <c r="AP70" s="285"/>
      <c r="AQ70" s="285"/>
      <c r="AR70" s="285"/>
      <c r="AS70" s="285"/>
      <c r="AT70" s="285"/>
      <c r="AU70" s="285"/>
      <c r="AV70" s="285"/>
      <c r="AW70" s="285"/>
      <c r="AX70" s="285"/>
      <c r="AY70" s="285"/>
      <c r="AZ70" s="285"/>
      <c r="BA70" s="285"/>
      <c r="BB70" s="285"/>
      <c r="BC70" s="285"/>
      <c r="BD70" s="285"/>
      <c r="BE70" s="285"/>
      <c r="BF70" s="285"/>
      <c r="BG70" s="285"/>
      <c r="BH70" s="285"/>
      <c r="BI70" s="285"/>
      <c r="BJ70" s="285"/>
      <c r="BK70" s="285"/>
      <c r="BL70" s="285"/>
      <c r="BM70" s="285"/>
      <c r="BN70" s="285"/>
      <c r="BO70" s="285"/>
      <c r="BP70" s="285"/>
      <c r="BQ70" s="285"/>
      <c r="BR70" s="285"/>
      <c r="BS70" s="285"/>
      <c r="BT70" s="285"/>
      <c r="BU70" s="285"/>
      <c r="BV70" s="285"/>
      <c r="BW70" s="285"/>
      <c r="BX70" s="285"/>
      <c r="BY70" s="285"/>
      <c r="BZ70" s="285"/>
      <c r="CA70" s="285"/>
      <c r="CB70" s="285"/>
      <c r="CC70" s="285"/>
      <c r="CD70" s="285"/>
      <c r="CE70" s="285"/>
      <c r="CF70" s="285"/>
      <c r="CG70" s="285"/>
      <c r="CH70" s="285"/>
      <c r="CI70" s="285"/>
      <c r="CJ70" s="285"/>
      <c r="CK70" s="285"/>
      <c r="CL70" s="285"/>
      <c r="CM70" s="285"/>
      <c r="CN70" s="285"/>
      <c r="CO70" s="285"/>
      <c r="CP70" s="285"/>
      <c r="CQ70" s="285"/>
      <c r="CR70" s="285"/>
      <c r="CS70" s="285"/>
      <c r="CT70" s="285"/>
      <c r="CU70" s="285"/>
      <c r="CV70" s="285"/>
      <c r="CW70" s="285"/>
      <c r="CX70" s="285"/>
      <c r="CY70" s="285"/>
      <c r="CZ70" s="285"/>
      <c r="DA70" s="285"/>
      <c r="DB70" s="285"/>
      <c r="DC70" s="285"/>
      <c r="DD70" s="285"/>
      <c r="DE70" s="285"/>
      <c r="DF70" s="285"/>
      <c r="DG70" s="285"/>
      <c r="DH70" s="285"/>
      <c r="DI70" s="285"/>
      <c r="DJ70" s="285"/>
      <c r="DK70" s="285"/>
      <c r="DL70" s="285"/>
      <c r="DM70" s="285"/>
      <c r="DN70" s="285"/>
      <c r="DO70" s="285"/>
      <c r="DP70" s="285"/>
      <c r="DQ70" s="285"/>
      <c r="DR70" s="285"/>
      <c r="DS70" s="285"/>
      <c r="DT70" s="285"/>
      <c r="DU70" s="285"/>
      <c r="DV70" s="285"/>
      <c r="DW70" s="285"/>
      <c r="DX70" s="285"/>
      <c r="DY70" s="285"/>
      <c r="DZ70" s="285"/>
      <c r="EA70" s="285"/>
      <c r="EB70" s="285"/>
      <c r="EC70" s="285"/>
      <c r="ED70" s="285"/>
      <c r="EE70" s="285"/>
      <c r="EF70" s="285"/>
      <c r="EG70" s="285"/>
      <c r="EH70" s="285"/>
      <c r="EI70" s="285"/>
      <c r="EJ70" s="285"/>
      <c r="EK70" s="285"/>
      <c r="EL70" s="285"/>
      <c r="EM70" s="285"/>
      <c r="EN70" s="285"/>
      <c r="EO70" s="285"/>
      <c r="EP70" s="285"/>
      <c r="EQ70" s="285"/>
      <c r="ER70" s="285"/>
      <c r="ES70" s="285"/>
      <c r="ET70" s="285"/>
      <c r="EU70" s="285"/>
      <c r="EV70" s="285"/>
      <c r="EW70" s="285"/>
      <c r="EX70" s="285"/>
      <c r="EY70" s="285"/>
      <c r="EZ70" s="285"/>
      <c r="FA70" s="285"/>
      <c r="FB70" s="285"/>
      <c r="FC70" s="285"/>
      <c r="FD70" s="285"/>
      <c r="FE70" s="285"/>
      <c r="FF70" s="285"/>
      <c r="FG70" s="285"/>
      <c r="FH70" s="285"/>
      <c r="FI70" s="285"/>
      <c r="FJ70" s="285"/>
      <c r="FK70" s="285"/>
      <c r="FL70" s="285"/>
      <c r="FM70" s="285"/>
      <c r="FN70" s="285"/>
      <c r="FO70" s="285"/>
      <c r="FP70" s="285"/>
      <c r="FQ70" s="285"/>
      <c r="FR70" s="285"/>
      <c r="FS70" s="285"/>
      <c r="FT70" s="285"/>
      <c r="FU70" s="285"/>
      <c r="FV70" s="285"/>
      <c r="FW70" s="285"/>
      <c r="FX70" s="285"/>
      <c r="FY70" s="285"/>
      <c r="FZ70" s="285"/>
      <c r="GA70" s="285"/>
      <c r="GB70" s="285"/>
      <c r="GC70" s="285"/>
      <c r="GD70" s="285"/>
      <c r="GE70" s="285"/>
      <c r="GF70" s="285"/>
      <c r="GG70" s="285"/>
      <c r="GH70" s="285"/>
      <c r="GI70" s="285"/>
      <c r="GJ70" s="285"/>
      <c r="GK70" s="285"/>
      <c r="GL70" s="285"/>
      <c r="GM70" s="285"/>
      <c r="GN70" s="285"/>
      <c r="GO70" s="285"/>
      <c r="GP70" s="285"/>
      <c r="GQ70" s="285"/>
      <c r="GR70" s="285"/>
      <c r="GS70" s="285"/>
      <c r="GT70" s="285"/>
      <c r="GU70" s="285"/>
      <c r="GV70" s="285"/>
      <c r="GW70" s="285"/>
      <c r="GX70" s="285"/>
      <c r="GY70" s="285"/>
      <c r="GZ70" s="285"/>
      <c r="HA70" s="285"/>
      <c r="HB70" s="285"/>
      <c r="HC70" s="285"/>
      <c r="HD70" s="285"/>
      <c r="HE70" s="285"/>
      <c r="HF70" s="285"/>
      <c r="HG70" s="285"/>
      <c r="HH70" s="285"/>
      <c r="HI70" s="285"/>
      <c r="HJ70" s="285"/>
      <c r="HK70" s="285"/>
      <c r="HL70" s="285"/>
      <c r="HM70" s="285"/>
      <c r="HN70" s="285"/>
      <c r="HO70" s="285"/>
      <c r="HP70" s="285"/>
      <c r="HQ70" s="285"/>
      <c r="HR70" s="285"/>
      <c r="HS70" s="285"/>
      <c r="HT70" s="285"/>
      <c r="HU70" s="285"/>
      <c r="HV70" s="285"/>
      <c r="HW70" s="285"/>
      <c r="HX70" s="285"/>
      <c r="HY70" s="285"/>
      <c r="HZ70" s="285"/>
      <c r="IA70" s="285"/>
      <c r="IB70" s="285"/>
      <c r="IC70" s="285"/>
      <c r="ID70" s="285"/>
      <c r="IE70" s="285"/>
      <c r="IF70" s="285"/>
      <c r="IG70" s="285"/>
      <c r="IH70" s="285"/>
      <c r="II70" s="285"/>
      <c r="IJ70" s="285"/>
      <c r="IK70" s="285"/>
      <c r="IL70" s="285"/>
      <c r="IM70" s="285"/>
      <c r="IN70" s="285"/>
      <c r="IO70" s="285"/>
      <c r="IP70" s="285"/>
      <c r="IQ70" s="285"/>
      <c r="IR70" s="285"/>
      <c r="IS70" s="285"/>
      <c r="IT70" s="285"/>
      <c r="IU70" s="285"/>
      <c r="IV70" s="285"/>
      <c r="IW70" s="285"/>
      <c r="IX70" s="285"/>
      <c r="IY70" s="285"/>
      <c r="IZ70" s="285"/>
      <c r="JA70" s="285"/>
      <c r="JB70" s="285"/>
      <c r="JC70" s="285"/>
      <c r="JD70" s="285"/>
      <c r="JE70" s="285"/>
      <c r="JF70" s="285"/>
      <c r="JG70" s="285"/>
      <c r="JH70" s="285"/>
      <c r="JI70" s="285"/>
      <c r="JJ70" s="285"/>
      <c r="JK70" s="285"/>
      <c r="JL70" s="285"/>
      <c r="JM70" s="285"/>
      <c r="JN70" s="285"/>
      <c r="JO70" s="285"/>
      <c r="JP70" s="285"/>
      <c r="JQ70" s="285"/>
      <c r="JR70" s="285"/>
      <c r="JS70" s="285"/>
      <c r="JT70" s="285"/>
      <c r="JU70" s="285"/>
      <c r="JV70" s="285"/>
      <c r="JW70" s="285"/>
      <c r="JX70" s="285"/>
      <c r="JY70" s="285"/>
      <c r="JZ70" s="285"/>
      <c r="KA70" s="285"/>
      <c r="KB70" s="285"/>
      <c r="KC70" s="285"/>
      <c r="KD70" s="285"/>
      <c r="KE70" s="285"/>
      <c r="KF70" s="285"/>
      <c r="KG70" s="285"/>
      <c r="KH70" s="285"/>
      <c r="KI70" s="285"/>
      <c r="KJ70" s="285"/>
      <c r="KK70" s="285"/>
      <c r="KL70" s="285"/>
      <c r="KM70" s="285"/>
      <c r="KN70" s="285"/>
      <c r="KO70" s="285"/>
      <c r="KP70" s="285"/>
      <c r="KQ70" s="285"/>
      <c r="KR70" s="298"/>
      <c r="KS70" s="285"/>
      <c r="KT70" s="285"/>
      <c r="KU70" s="268"/>
      <c r="KV70" s="288"/>
      <c r="KW70" s="288"/>
    </row>
    <row r="71" spans="1:825" ht="16.2" customHeight="1">
      <c r="A71" s="1143" t="s">
        <v>4979</v>
      </c>
      <c r="B71" s="1170" t="s">
        <v>5070</v>
      </c>
      <c r="C71" s="1366">
        <v>311248887</v>
      </c>
      <c r="D71" s="906" t="s">
        <v>6926</v>
      </c>
      <c r="E71" s="1429" t="s">
        <v>5125</v>
      </c>
      <c r="F71" s="74"/>
      <c r="G71" s="75"/>
      <c r="H71" s="944" t="s">
        <v>6806</v>
      </c>
      <c r="I71" s="944"/>
      <c r="J71" s="944"/>
      <c r="K71" s="1308"/>
      <c r="L71" s="1308"/>
      <c r="M71" s="1308"/>
      <c r="N71" s="1308"/>
      <c r="O71" s="285">
        <v>0</v>
      </c>
      <c r="P71" s="285"/>
      <c r="Q71" s="285"/>
      <c r="R71" s="285" t="s">
        <v>5281</v>
      </c>
      <c r="S71" s="285"/>
      <c r="T71" s="285"/>
      <c r="U71" s="285"/>
      <c r="V71" s="285" t="s">
        <v>5282</v>
      </c>
      <c r="W71" s="285"/>
      <c r="X71" s="1308"/>
      <c r="Y71" s="1308"/>
      <c r="Z71" s="1308"/>
      <c r="AA71" s="1308"/>
      <c r="AB71" s="285">
        <v>3445</v>
      </c>
      <c r="AC71" s="285" t="s">
        <v>5295</v>
      </c>
      <c r="AD71" s="285">
        <v>3445</v>
      </c>
      <c r="AE71" s="285"/>
      <c r="AF71" s="285"/>
      <c r="AG71" s="285"/>
      <c r="AH71" s="285"/>
      <c r="AI71" s="285"/>
      <c r="AJ71" s="285"/>
      <c r="AK71" s="285"/>
      <c r="AL71" s="285"/>
      <c r="AM71" s="285"/>
      <c r="AN71" s="285"/>
      <c r="AO71" s="285"/>
      <c r="AP71" s="285"/>
      <c r="AQ71" s="285"/>
      <c r="AR71" s="285"/>
      <c r="AS71" s="285"/>
      <c r="AT71" s="285"/>
      <c r="AU71" s="285"/>
      <c r="AV71" s="285"/>
      <c r="AW71" s="285"/>
      <c r="AX71" s="285"/>
      <c r="AY71" s="285"/>
      <c r="AZ71" s="285"/>
      <c r="BA71" s="285"/>
      <c r="BB71" s="285"/>
      <c r="BC71" s="285"/>
      <c r="BD71" s="285"/>
      <c r="BE71" s="285"/>
      <c r="BF71" s="285"/>
      <c r="BG71" s="285"/>
      <c r="BH71" s="285"/>
      <c r="BI71" s="285"/>
      <c r="BJ71" s="285"/>
      <c r="BK71" s="285"/>
      <c r="BL71" s="285"/>
      <c r="BM71" s="285"/>
      <c r="BN71" s="285"/>
      <c r="BO71" s="285"/>
      <c r="BP71" s="285"/>
      <c r="BQ71" s="285"/>
      <c r="BR71" s="285"/>
      <c r="BS71" s="285"/>
      <c r="BT71" s="285"/>
      <c r="BU71" s="285"/>
      <c r="BV71" s="285"/>
      <c r="BW71" s="285"/>
      <c r="BX71" s="285"/>
      <c r="BY71" s="285"/>
      <c r="BZ71" s="285"/>
      <c r="CA71" s="285"/>
      <c r="CB71" s="285"/>
      <c r="CC71" s="285"/>
      <c r="CD71" s="285"/>
      <c r="CE71" s="285"/>
      <c r="CF71" s="285"/>
      <c r="CG71" s="285"/>
      <c r="CH71" s="285"/>
      <c r="CI71" s="285"/>
      <c r="CJ71" s="285"/>
      <c r="CK71" s="285"/>
      <c r="CL71" s="285"/>
      <c r="CM71" s="285"/>
      <c r="CN71" s="285"/>
      <c r="CO71" s="285"/>
      <c r="CP71" s="285"/>
      <c r="CQ71" s="285"/>
      <c r="CR71" s="285"/>
      <c r="CS71" s="285"/>
      <c r="CT71" s="285"/>
      <c r="CU71" s="285"/>
      <c r="CV71" s="285"/>
      <c r="CW71" s="285"/>
      <c r="CX71" s="285"/>
      <c r="CY71" s="285"/>
      <c r="CZ71" s="285"/>
      <c r="DA71" s="285"/>
      <c r="DB71" s="285"/>
      <c r="DC71" s="285"/>
      <c r="DD71" s="285"/>
      <c r="DE71" s="285"/>
      <c r="DF71" s="285"/>
      <c r="DG71" s="285"/>
      <c r="DH71" s="285"/>
      <c r="DI71" s="285"/>
      <c r="DJ71" s="285"/>
      <c r="DK71" s="285"/>
      <c r="DL71" s="285"/>
      <c r="DM71" s="285"/>
      <c r="DN71" s="285"/>
      <c r="DO71" s="285"/>
      <c r="DP71" s="285"/>
      <c r="DQ71" s="285"/>
      <c r="DR71" s="285"/>
      <c r="DS71" s="285"/>
      <c r="DT71" s="285"/>
      <c r="DU71" s="285"/>
      <c r="DV71" s="285"/>
      <c r="DW71" s="285"/>
      <c r="DX71" s="285"/>
      <c r="DY71" s="285"/>
      <c r="DZ71" s="285"/>
      <c r="EA71" s="285"/>
      <c r="EB71" s="285"/>
      <c r="EC71" s="285"/>
      <c r="ED71" s="285"/>
      <c r="EE71" s="285"/>
      <c r="EF71" s="285"/>
      <c r="EG71" s="285"/>
      <c r="EH71" s="285"/>
      <c r="EI71" s="285"/>
      <c r="EJ71" s="285"/>
      <c r="EK71" s="285"/>
      <c r="EL71" s="285"/>
      <c r="EM71" s="285"/>
      <c r="EN71" s="285"/>
      <c r="EO71" s="285"/>
      <c r="EP71" s="285"/>
      <c r="EQ71" s="285"/>
      <c r="ER71" s="285"/>
      <c r="ES71" s="285"/>
      <c r="ET71" s="285"/>
      <c r="EU71" s="285"/>
      <c r="EV71" s="285"/>
      <c r="EW71" s="285"/>
      <c r="EX71" s="285"/>
      <c r="EY71" s="285"/>
      <c r="EZ71" s="285"/>
      <c r="FA71" s="285"/>
      <c r="FB71" s="285"/>
      <c r="FC71" s="285"/>
      <c r="FD71" s="285"/>
      <c r="FE71" s="285"/>
      <c r="FF71" s="285"/>
      <c r="FG71" s="285"/>
      <c r="FH71" s="285"/>
      <c r="FI71" s="285"/>
      <c r="FJ71" s="285"/>
      <c r="FK71" s="285"/>
      <c r="FL71" s="285"/>
      <c r="FM71" s="285"/>
      <c r="FN71" s="285"/>
      <c r="FO71" s="285"/>
      <c r="FP71" s="285"/>
      <c r="FQ71" s="285"/>
      <c r="FR71" s="285"/>
      <c r="FS71" s="285"/>
      <c r="FT71" s="285"/>
      <c r="FU71" s="285"/>
      <c r="FV71" s="285"/>
      <c r="FW71" s="285"/>
      <c r="FX71" s="285"/>
      <c r="FY71" s="285"/>
      <c r="FZ71" s="285"/>
      <c r="GA71" s="285"/>
      <c r="GB71" s="285"/>
      <c r="GC71" s="285"/>
      <c r="GD71" s="285"/>
      <c r="GE71" s="285"/>
      <c r="GF71" s="285"/>
      <c r="GG71" s="285"/>
      <c r="GH71" s="285"/>
      <c r="GI71" s="285"/>
      <c r="GJ71" s="285"/>
      <c r="GK71" s="285"/>
      <c r="GL71" s="285"/>
      <c r="GM71" s="285"/>
      <c r="GN71" s="285"/>
      <c r="GO71" s="285"/>
      <c r="GP71" s="285"/>
      <c r="GQ71" s="285"/>
      <c r="GR71" s="285"/>
      <c r="GS71" s="285"/>
      <c r="GT71" s="285"/>
      <c r="GU71" s="285"/>
      <c r="GV71" s="285"/>
      <c r="GW71" s="285"/>
      <c r="GX71" s="285"/>
      <c r="GY71" s="285"/>
      <c r="GZ71" s="285"/>
      <c r="HA71" s="285"/>
      <c r="HB71" s="285"/>
      <c r="HC71" s="285"/>
      <c r="HD71" s="285"/>
      <c r="HE71" s="285"/>
      <c r="HF71" s="285"/>
      <c r="HG71" s="285"/>
      <c r="HH71" s="285"/>
      <c r="HI71" s="285"/>
      <c r="HJ71" s="285"/>
      <c r="HK71" s="285"/>
      <c r="HL71" s="285"/>
      <c r="HM71" s="285"/>
      <c r="HN71" s="285"/>
      <c r="HO71" s="285"/>
      <c r="HP71" s="285"/>
      <c r="HQ71" s="285"/>
      <c r="HR71" s="285"/>
      <c r="HS71" s="285"/>
      <c r="HT71" s="285"/>
      <c r="HU71" s="285"/>
      <c r="HV71" s="285"/>
      <c r="HW71" s="285"/>
      <c r="HX71" s="285"/>
      <c r="HY71" s="285"/>
      <c r="HZ71" s="285"/>
      <c r="IA71" s="285"/>
      <c r="IB71" s="285"/>
      <c r="IC71" s="285"/>
      <c r="ID71" s="285"/>
      <c r="IE71" s="285"/>
      <c r="IF71" s="285"/>
      <c r="IG71" s="285"/>
      <c r="IH71" s="285"/>
      <c r="II71" s="285"/>
      <c r="IJ71" s="285"/>
      <c r="IK71" s="285"/>
      <c r="IL71" s="285"/>
      <c r="IM71" s="285"/>
      <c r="IN71" s="285"/>
      <c r="IO71" s="285"/>
      <c r="IP71" s="285"/>
      <c r="IQ71" s="285"/>
      <c r="IR71" s="285"/>
      <c r="IS71" s="285"/>
      <c r="IT71" s="285"/>
      <c r="IU71" s="285"/>
      <c r="IV71" s="285"/>
      <c r="IW71" s="285"/>
      <c r="IX71" s="285"/>
      <c r="IY71" s="285"/>
      <c r="IZ71" s="285"/>
      <c r="JA71" s="285"/>
      <c r="JB71" s="285"/>
      <c r="JC71" s="285"/>
      <c r="JD71" s="285"/>
      <c r="JE71" s="285"/>
      <c r="JF71" s="285"/>
      <c r="JG71" s="285"/>
      <c r="JH71" s="285"/>
      <c r="JI71" s="285"/>
      <c r="JJ71" s="285"/>
      <c r="JK71" s="285"/>
      <c r="JL71" s="285"/>
      <c r="JM71" s="285"/>
      <c r="JN71" s="285"/>
      <c r="JO71" s="285"/>
      <c r="JP71" s="285"/>
      <c r="JQ71" s="285"/>
      <c r="JR71" s="285"/>
      <c r="JS71" s="285"/>
      <c r="JT71" s="285"/>
      <c r="JU71" s="285"/>
      <c r="JV71" s="285"/>
      <c r="JW71" s="285"/>
      <c r="JX71" s="285"/>
      <c r="JY71" s="285"/>
      <c r="JZ71" s="285"/>
      <c r="KA71" s="285"/>
      <c r="KB71" s="285"/>
      <c r="KC71" s="285"/>
      <c r="KD71" s="285"/>
      <c r="KE71" s="285"/>
      <c r="KF71" s="285"/>
      <c r="KG71" s="285"/>
      <c r="KH71" s="285"/>
      <c r="KI71" s="285"/>
      <c r="KJ71" s="285"/>
      <c r="KK71" s="285"/>
      <c r="KL71" s="285"/>
      <c r="KM71" s="285"/>
      <c r="KN71" s="285"/>
      <c r="KO71" s="285"/>
      <c r="KP71" s="285"/>
      <c r="KQ71" s="285"/>
      <c r="KR71" s="298"/>
      <c r="KS71" s="285"/>
      <c r="KT71" s="285"/>
      <c r="KU71" s="268"/>
      <c r="KV71" s="288"/>
      <c r="KW71" s="288"/>
    </row>
    <row r="72" spans="1:825" ht="16.2" customHeight="1">
      <c r="A72" s="1143" t="s">
        <v>5008</v>
      </c>
      <c r="B72" s="1142" t="s">
        <v>5009</v>
      </c>
      <c r="C72" s="1144">
        <v>311256846</v>
      </c>
      <c r="D72" s="906" t="s">
        <v>6926</v>
      </c>
      <c r="E72" s="1188" t="s">
        <v>5033</v>
      </c>
      <c r="F72" s="74"/>
      <c r="G72" s="75"/>
      <c r="H72" s="944" t="s">
        <v>6891</v>
      </c>
      <c r="I72" s="944"/>
      <c r="J72" s="944"/>
      <c r="K72" s="1308"/>
      <c r="L72" s="1308"/>
      <c r="M72" s="1308"/>
      <c r="N72" s="1308"/>
      <c r="O72" s="285">
        <v>0</v>
      </c>
      <c r="P72" s="285"/>
      <c r="Q72" s="285"/>
      <c r="R72" s="285" t="s">
        <v>5281</v>
      </c>
      <c r="S72" s="285"/>
      <c r="T72" s="285"/>
      <c r="U72" s="285"/>
      <c r="V72" s="285" t="s">
        <v>5263</v>
      </c>
      <c r="W72" s="285"/>
      <c r="X72" s="1308"/>
      <c r="Y72" s="1308"/>
      <c r="Z72" s="1308"/>
      <c r="AA72" s="1308"/>
      <c r="AB72" s="285">
        <v>1534</v>
      </c>
      <c r="AC72" s="1223" t="s">
        <v>5296</v>
      </c>
      <c r="AD72" s="285"/>
      <c r="AE72" s="285"/>
      <c r="AF72" s="285"/>
      <c r="AG72" s="285"/>
      <c r="AH72" s="285"/>
      <c r="AI72" s="285"/>
      <c r="AJ72" s="285"/>
      <c r="AK72" s="285"/>
      <c r="AL72" s="285"/>
      <c r="AM72" s="285"/>
      <c r="AN72" s="285"/>
      <c r="AO72" s="285"/>
      <c r="AP72" s="285"/>
      <c r="AQ72" s="285"/>
      <c r="AR72" s="285"/>
      <c r="AS72" s="285"/>
      <c r="AT72" s="285"/>
      <c r="AU72" s="285"/>
      <c r="AV72" s="285"/>
      <c r="AW72" s="285"/>
      <c r="AX72" s="285"/>
      <c r="AY72" s="285"/>
      <c r="AZ72" s="285"/>
      <c r="BA72" s="285"/>
      <c r="BB72" s="285"/>
      <c r="BC72" s="285"/>
      <c r="BD72" s="285"/>
      <c r="BE72" s="285"/>
      <c r="BF72" s="285"/>
      <c r="BG72" s="285"/>
      <c r="BH72" s="285"/>
      <c r="BI72" s="285"/>
      <c r="BJ72" s="285"/>
      <c r="BK72" s="285"/>
      <c r="BL72" s="285"/>
      <c r="BM72" s="285"/>
      <c r="BN72" s="285"/>
      <c r="BO72" s="285"/>
      <c r="BP72" s="285"/>
      <c r="BQ72" s="285"/>
      <c r="BR72" s="285"/>
      <c r="BS72" s="285"/>
      <c r="BT72" s="285"/>
      <c r="BU72" s="285"/>
      <c r="BV72" s="285"/>
      <c r="BW72" s="285"/>
      <c r="BX72" s="285"/>
      <c r="BY72" s="285"/>
      <c r="BZ72" s="285"/>
      <c r="CA72" s="285"/>
      <c r="CB72" s="285"/>
      <c r="CC72" s="285"/>
      <c r="CD72" s="285"/>
      <c r="CE72" s="285"/>
      <c r="CF72" s="285"/>
      <c r="CG72" s="285"/>
      <c r="CH72" s="285"/>
      <c r="CI72" s="285"/>
      <c r="CJ72" s="285"/>
      <c r="CK72" s="285"/>
      <c r="CL72" s="285"/>
      <c r="CM72" s="285"/>
      <c r="CN72" s="285"/>
      <c r="CO72" s="285"/>
      <c r="CP72" s="285"/>
      <c r="CQ72" s="285"/>
      <c r="CR72" s="285"/>
      <c r="CS72" s="285"/>
      <c r="CT72" s="285"/>
      <c r="CU72" s="285"/>
      <c r="CV72" s="285"/>
      <c r="CW72" s="285"/>
      <c r="CX72" s="285"/>
      <c r="CY72" s="285"/>
      <c r="CZ72" s="285"/>
      <c r="DA72" s="285"/>
      <c r="DB72" s="285"/>
      <c r="DC72" s="285"/>
      <c r="DD72" s="285"/>
      <c r="DE72" s="285"/>
      <c r="DF72" s="285"/>
      <c r="DG72" s="285"/>
      <c r="DH72" s="285"/>
      <c r="DI72" s="285"/>
      <c r="DJ72" s="285"/>
      <c r="DK72" s="285"/>
      <c r="DL72" s="285"/>
      <c r="DM72" s="285"/>
      <c r="DN72" s="285"/>
      <c r="DO72" s="285"/>
      <c r="DP72" s="285"/>
      <c r="DQ72" s="285"/>
      <c r="DR72" s="285"/>
      <c r="DS72" s="285"/>
      <c r="DT72" s="285"/>
      <c r="DU72" s="285"/>
      <c r="DV72" s="285"/>
      <c r="DW72" s="285"/>
      <c r="DX72" s="285"/>
      <c r="DY72" s="285"/>
      <c r="DZ72" s="285"/>
      <c r="EA72" s="285"/>
      <c r="EB72" s="285"/>
      <c r="EC72" s="285"/>
      <c r="ED72" s="285"/>
      <c r="EE72" s="285"/>
      <c r="EF72" s="285"/>
      <c r="EG72" s="285"/>
      <c r="EH72" s="285"/>
      <c r="EI72" s="285"/>
      <c r="EJ72" s="285"/>
      <c r="EK72" s="285"/>
      <c r="EL72" s="285"/>
      <c r="EM72" s="285"/>
      <c r="EN72" s="285"/>
      <c r="EO72" s="285"/>
      <c r="EP72" s="285"/>
      <c r="EQ72" s="285"/>
      <c r="ER72" s="285"/>
      <c r="ES72" s="285"/>
      <c r="ET72" s="285"/>
      <c r="EU72" s="285"/>
      <c r="EV72" s="285"/>
      <c r="EW72" s="285"/>
      <c r="EX72" s="285"/>
      <c r="EY72" s="285"/>
      <c r="EZ72" s="285"/>
      <c r="FA72" s="285"/>
      <c r="FB72" s="285"/>
      <c r="FC72" s="285"/>
      <c r="FD72" s="285"/>
      <c r="FE72" s="285"/>
      <c r="FF72" s="285"/>
      <c r="FG72" s="285"/>
      <c r="FH72" s="285"/>
      <c r="FI72" s="285"/>
      <c r="FJ72" s="285"/>
      <c r="FK72" s="285"/>
      <c r="FL72" s="285"/>
      <c r="FM72" s="285"/>
      <c r="FN72" s="285"/>
      <c r="FO72" s="285"/>
      <c r="FP72" s="285"/>
      <c r="FQ72" s="285"/>
      <c r="FR72" s="285"/>
      <c r="FS72" s="285"/>
      <c r="FT72" s="285"/>
      <c r="FU72" s="285"/>
      <c r="FV72" s="285"/>
      <c r="FW72" s="285"/>
      <c r="FX72" s="285"/>
      <c r="FY72" s="285"/>
      <c r="FZ72" s="285"/>
      <c r="GA72" s="285"/>
      <c r="GB72" s="285"/>
      <c r="GC72" s="285"/>
      <c r="GD72" s="285"/>
      <c r="GE72" s="285"/>
      <c r="GF72" s="285"/>
      <c r="GG72" s="285"/>
      <c r="GH72" s="285"/>
      <c r="GI72" s="285"/>
      <c r="GJ72" s="285"/>
      <c r="GK72" s="285"/>
      <c r="GL72" s="285"/>
      <c r="GM72" s="285"/>
      <c r="GN72" s="285"/>
      <c r="GO72" s="285"/>
      <c r="GP72" s="285"/>
      <c r="GQ72" s="285"/>
      <c r="GR72" s="285"/>
      <c r="GS72" s="285"/>
      <c r="GT72" s="285"/>
      <c r="GU72" s="285"/>
      <c r="GV72" s="285"/>
      <c r="GW72" s="285"/>
      <c r="GX72" s="285"/>
      <c r="GY72" s="285"/>
      <c r="GZ72" s="285"/>
      <c r="HA72" s="285"/>
      <c r="HB72" s="285"/>
      <c r="HC72" s="285"/>
      <c r="HD72" s="285"/>
      <c r="HE72" s="285"/>
      <c r="HF72" s="285"/>
      <c r="HG72" s="285"/>
      <c r="HH72" s="285"/>
      <c r="HI72" s="285"/>
      <c r="HJ72" s="285"/>
      <c r="HK72" s="285"/>
      <c r="HL72" s="285"/>
      <c r="HM72" s="285"/>
      <c r="HN72" s="285"/>
      <c r="HO72" s="285"/>
      <c r="HP72" s="285"/>
      <c r="HQ72" s="285"/>
      <c r="HR72" s="285"/>
      <c r="HS72" s="285"/>
      <c r="HT72" s="285"/>
      <c r="HU72" s="285"/>
      <c r="HV72" s="285"/>
      <c r="HW72" s="285"/>
      <c r="HX72" s="285"/>
      <c r="HY72" s="285"/>
      <c r="HZ72" s="285"/>
      <c r="IA72" s="285"/>
      <c r="IB72" s="285"/>
      <c r="IC72" s="285"/>
      <c r="ID72" s="285"/>
      <c r="IE72" s="285"/>
      <c r="IF72" s="285"/>
      <c r="IG72" s="285"/>
      <c r="IH72" s="285"/>
      <c r="II72" s="285"/>
      <c r="IJ72" s="285"/>
      <c r="IK72" s="285"/>
      <c r="IL72" s="285"/>
      <c r="IM72" s="285"/>
      <c r="IN72" s="285"/>
      <c r="IO72" s="285"/>
      <c r="IP72" s="285"/>
      <c r="IQ72" s="285"/>
      <c r="IR72" s="285"/>
      <c r="IS72" s="285"/>
      <c r="IT72" s="285"/>
      <c r="IU72" s="285"/>
      <c r="IV72" s="285"/>
      <c r="IW72" s="285"/>
      <c r="IX72" s="285"/>
      <c r="IY72" s="285"/>
      <c r="IZ72" s="285"/>
      <c r="JA72" s="285"/>
      <c r="JB72" s="285"/>
      <c r="JC72" s="285"/>
      <c r="JD72" s="285"/>
      <c r="JE72" s="285"/>
      <c r="JF72" s="285"/>
      <c r="JG72" s="285"/>
      <c r="JH72" s="285"/>
      <c r="JI72" s="285"/>
      <c r="JJ72" s="285"/>
      <c r="JK72" s="285"/>
      <c r="JL72" s="285"/>
      <c r="JM72" s="285"/>
      <c r="JN72" s="285"/>
      <c r="JO72" s="285"/>
      <c r="JP72" s="285"/>
      <c r="JQ72" s="285"/>
      <c r="JR72" s="285"/>
      <c r="JS72" s="285"/>
      <c r="JT72" s="285"/>
      <c r="JU72" s="285"/>
      <c r="JV72" s="285"/>
      <c r="JW72" s="285"/>
      <c r="JX72" s="285"/>
      <c r="JY72" s="285"/>
      <c r="JZ72" s="285"/>
      <c r="KA72" s="285"/>
      <c r="KB72" s="285"/>
      <c r="KC72" s="285"/>
      <c r="KD72" s="285"/>
      <c r="KE72" s="285"/>
      <c r="KF72" s="285"/>
      <c r="KG72" s="285"/>
      <c r="KH72" s="285"/>
      <c r="KI72" s="285"/>
      <c r="KJ72" s="285"/>
      <c r="KK72" s="285"/>
      <c r="KL72" s="285"/>
      <c r="KM72" s="285"/>
      <c r="KN72" s="285"/>
      <c r="KO72" s="285"/>
      <c r="KP72" s="285"/>
      <c r="KQ72" s="285"/>
      <c r="KR72" s="298"/>
      <c r="KS72" s="285"/>
      <c r="KT72" s="285"/>
      <c r="KU72" s="268"/>
      <c r="KV72" s="288"/>
      <c r="KW72" s="288"/>
    </row>
    <row r="73" spans="1:825" ht="16.2" customHeight="1">
      <c r="A73" s="1171" t="s">
        <v>5008</v>
      </c>
      <c r="B73" s="1149" t="s">
        <v>5032</v>
      </c>
      <c r="C73" s="1420">
        <v>311265717</v>
      </c>
      <c r="D73" s="906" t="s">
        <v>6926</v>
      </c>
      <c r="E73" s="1153" t="s">
        <v>5031</v>
      </c>
      <c r="F73" s="74"/>
      <c r="G73" s="75"/>
      <c r="H73" s="944" t="s">
        <v>6806</v>
      </c>
      <c r="I73" s="944"/>
      <c r="J73" s="944"/>
      <c r="K73" s="1308"/>
      <c r="L73" s="1308"/>
      <c r="M73" s="1308"/>
      <c r="N73" s="1308"/>
      <c r="O73" s="285">
        <v>0</v>
      </c>
      <c r="P73" s="285"/>
      <c r="Q73" s="285"/>
      <c r="R73" s="285" t="s">
        <v>5281</v>
      </c>
      <c r="S73" s="285"/>
      <c r="T73" s="285"/>
      <c r="U73" s="285"/>
      <c r="V73" s="285" t="s">
        <v>5262</v>
      </c>
      <c r="W73" s="285"/>
      <c r="X73" s="1398"/>
      <c r="Y73" s="1308"/>
      <c r="Z73" s="1308"/>
      <c r="AA73" s="1308"/>
      <c r="AB73" s="285"/>
      <c r="AC73" s="285"/>
      <c r="AD73" s="285"/>
      <c r="AE73" s="285"/>
      <c r="AF73" s="285"/>
      <c r="AG73" s="285"/>
      <c r="AH73" s="285"/>
      <c r="AI73" s="285"/>
      <c r="AJ73" s="285"/>
      <c r="AK73" s="285"/>
      <c r="AL73" s="285"/>
      <c r="AM73" s="285"/>
      <c r="AN73" s="285"/>
      <c r="AO73" s="285"/>
      <c r="AP73" s="285"/>
      <c r="AQ73" s="285"/>
      <c r="AR73" s="285"/>
      <c r="AS73" s="285"/>
      <c r="AT73" s="285"/>
      <c r="AU73" s="285"/>
      <c r="AV73" s="285"/>
      <c r="AW73" s="285"/>
      <c r="AX73" s="285"/>
      <c r="AY73" s="285"/>
      <c r="AZ73" s="285"/>
      <c r="BA73" s="285"/>
      <c r="BB73" s="285"/>
      <c r="BC73" s="285"/>
      <c r="BD73" s="285"/>
      <c r="BE73" s="285"/>
      <c r="BF73" s="285"/>
      <c r="BG73" s="285"/>
      <c r="BH73" s="285"/>
      <c r="BI73" s="285"/>
      <c r="BJ73" s="285"/>
      <c r="BK73" s="285"/>
      <c r="BL73" s="285"/>
      <c r="BM73" s="285"/>
      <c r="BN73" s="285"/>
      <c r="BO73" s="285"/>
      <c r="BP73" s="285"/>
      <c r="BQ73" s="285"/>
      <c r="BR73" s="285"/>
      <c r="BS73" s="285"/>
      <c r="BT73" s="285"/>
      <c r="BU73" s="285"/>
      <c r="BV73" s="285"/>
      <c r="BW73" s="285"/>
      <c r="BX73" s="285"/>
      <c r="BY73" s="285"/>
      <c r="BZ73" s="285"/>
      <c r="CA73" s="285"/>
      <c r="CB73" s="285"/>
      <c r="CC73" s="285"/>
      <c r="CD73" s="285"/>
      <c r="CE73" s="285"/>
      <c r="CF73" s="285"/>
      <c r="CG73" s="285"/>
      <c r="CH73" s="285"/>
      <c r="CI73" s="285"/>
      <c r="CJ73" s="285"/>
      <c r="CK73" s="285"/>
      <c r="CL73" s="285"/>
      <c r="CM73" s="285"/>
      <c r="CN73" s="285"/>
      <c r="CO73" s="285"/>
      <c r="CP73" s="285"/>
      <c r="CQ73" s="285"/>
      <c r="CR73" s="285"/>
      <c r="CS73" s="285"/>
      <c r="CT73" s="285"/>
      <c r="CU73" s="285"/>
      <c r="CV73" s="285"/>
      <c r="CW73" s="285"/>
      <c r="CX73" s="285"/>
      <c r="CY73" s="285"/>
      <c r="CZ73" s="285"/>
      <c r="DA73" s="285"/>
      <c r="DB73" s="285"/>
      <c r="DC73" s="285"/>
      <c r="DD73" s="285"/>
      <c r="DE73" s="285"/>
      <c r="DF73" s="285"/>
      <c r="DG73" s="285"/>
      <c r="DH73" s="285"/>
      <c r="DI73" s="285"/>
      <c r="DJ73" s="285"/>
      <c r="DK73" s="285"/>
      <c r="DL73" s="285"/>
      <c r="DM73" s="285"/>
      <c r="DN73" s="285"/>
      <c r="DO73" s="285"/>
      <c r="DP73" s="285"/>
      <c r="DQ73" s="285"/>
      <c r="DR73" s="285"/>
      <c r="DS73" s="285"/>
      <c r="DT73" s="285"/>
      <c r="DU73" s="285"/>
      <c r="DV73" s="285"/>
      <c r="DW73" s="285"/>
      <c r="DX73" s="285"/>
      <c r="DY73" s="285"/>
      <c r="DZ73" s="285"/>
      <c r="EA73" s="285"/>
      <c r="EB73" s="285"/>
      <c r="EC73" s="285"/>
      <c r="ED73" s="285"/>
      <c r="EE73" s="285"/>
      <c r="EF73" s="285"/>
      <c r="EG73" s="285"/>
      <c r="EH73" s="285"/>
      <c r="EI73" s="285"/>
      <c r="EJ73" s="285"/>
      <c r="EK73" s="285"/>
      <c r="EL73" s="285"/>
      <c r="EM73" s="285"/>
      <c r="EN73" s="285"/>
      <c r="EO73" s="285"/>
      <c r="EP73" s="285"/>
      <c r="EQ73" s="285"/>
      <c r="ER73" s="285"/>
      <c r="ES73" s="285"/>
      <c r="ET73" s="285"/>
      <c r="EU73" s="285"/>
      <c r="EV73" s="285"/>
      <c r="EW73" s="285"/>
      <c r="EX73" s="285"/>
      <c r="EY73" s="285"/>
      <c r="EZ73" s="285"/>
      <c r="FA73" s="285"/>
      <c r="FB73" s="285"/>
      <c r="FC73" s="285"/>
      <c r="FD73" s="285"/>
      <c r="FE73" s="285"/>
      <c r="FF73" s="285"/>
      <c r="FG73" s="285"/>
      <c r="FH73" s="285"/>
      <c r="FI73" s="285"/>
      <c r="FJ73" s="285"/>
      <c r="FK73" s="285"/>
      <c r="FL73" s="285"/>
      <c r="FM73" s="285"/>
      <c r="FN73" s="285"/>
      <c r="FO73" s="285"/>
      <c r="FP73" s="285"/>
      <c r="FQ73" s="285"/>
      <c r="FR73" s="285"/>
      <c r="FS73" s="285"/>
      <c r="FT73" s="285"/>
      <c r="FU73" s="285"/>
      <c r="FV73" s="285"/>
      <c r="FW73" s="285"/>
      <c r="FX73" s="285"/>
      <c r="FY73" s="285"/>
      <c r="FZ73" s="285"/>
      <c r="GA73" s="285"/>
      <c r="GB73" s="285"/>
      <c r="GC73" s="285"/>
      <c r="GD73" s="285"/>
      <c r="GE73" s="285"/>
      <c r="GF73" s="285"/>
      <c r="GG73" s="285"/>
      <c r="GH73" s="285"/>
      <c r="GI73" s="285"/>
      <c r="GJ73" s="285"/>
      <c r="GK73" s="285"/>
      <c r="GL73" s="285"/>
      <c r="GM73" s="285"/>
      <c r="GN73" s="285"/>
      <c r="GO73" s="285"/>
      <c r="GP73" s="285"/>
      <c r="GQ73" s="285"/>
      <c r="GR73" s="285"/>
      <c r="GS73" s="285"/>
      <c r="GT73" s="285"/>
      <c r="GU73" s="285"/>
      <c r="GV73" s="285"/>
      <c r="GW73" s="285"/>
      <c r="GX73" s="285"/>
      <c r="GY73" s="285"/>
      <c r="GZ73" s="285"/>
      <c r="HA73" s="285"/>
      <c r="HB73" s="285"/>
      <c r="HC73" s="285"/>
      <c r="HD73" s="285"/>
      <c r="HE73" s="285"/>
      <c r="HF73" s="285"/>
      <c r="HG73" s="285"/>
      <c r="HH73" s="285"/>
      <c r="HI73" s="285"/>
      <c r="HJ73" s="285"/>
      <c r="HK73" s="285"/>
      <c r="HL73" s="285"/>
      <c r="HM73" s="285"/>
      <c r="HN73" s="285"/>
      <c r="HO73" s="285"/>
      <c r="HP73" s="285"/>
      <c r="HQ73" s="285"/>
      <c r="HR73" s="285"/>
      <c r="HS73" s="285"/>
      <c r="HT73" s="285"/>
      <c r="HU73" s="285"/>
      <c r="HV73" s="285"/>
      <c r="HW73" s="285"/>
      <c r="HX73" s="285"/>
      <c r="HY73" s="285"/>
      <c r="HZ73" s="285"/>
      <c r="IA73" s="285"/>
      <c r="IB73" s="285"/>
      <c r="IC73" s="285"/>
      <c r="ID73" s="285"/>
      <c r="IE73" s="285"/>
      <c r="IF73" s="285"/>
      <c r="IG73" s="285"/>
      <c r="IH73" s="285"/>
      <c r="II73" s="285"/>
      <c r="IJ73" s="285"/>
      <c r="IK73" s="285"/>
      <c r="IL73" s="285"/>
      <c r="IM73" s="285"/>
      <c r="IN73" s="285"/>
      <c r="IO73" s="285"/>
      <c r="IP73" s="285"/>
      <c r="IQ73" s="285"/>
      <c r="IR73" s="285"/>
      <c r="IS73" s="285"/>
      <c r="IT73" s="285"/>
      <c r="IU73" s="285"/>
      <c r="IV73" s="285"/>
      <c r="IW73" s="285"/>
      <c r="IX73" s="285"/>
      <c r="IY73" s="285"/>
      <c r="IZ73" s="285"/>
      <c r="JA73" s="285"/>
      <c r="JB73" s="285"/>
      <c r="JC73" s="285"/>
      <c r="JD73" s="285"/>
      <c r="JE73" s="285"/>
      <c r="JF73" s="285"/>
      <c r="JG73" s="285"/>
      <c r="JH73" s="285"/>
      <c r="JI73" s="285"/>
      <c r="JJ73" s="285"/>
      <c r="JK73" s="285"/>
      <c r="JL73" s="285"/>
      <c r="JM73" s="285"/>
      <c r="JN73" s="285"/>
      <c r="JO73" s="285"/>
      <c r="JP73" s="285"/>
      <c r="JQ73" s="285"/>
      <c r="JR73" s="285"/>
      <c r="JS73" s="285"/>
      <c r="JT73" s="285"/>
      <c r="JU73" s="285"/>
      <c r="JV73" s="285"/>
      <c r="JW73" s="285"/>
      <c r="JX73" s="285"/>
      <c r="JY73" s="285"/>
      <c r="JZ73" s="285"/>
      <c r="KA73" s="285"/>
      <c r="KB73" s="285"/>
      <c r="KC73" s="285"/>
      <c r="KD73" s="285"/>
      <c r="KE73" s="285"/>
      <c r="KF73" s="285"/>
      <c r="KG73" s="285"/>
      <c r="KH73" s="285"/>
      <c r="KI73" s="285"/>
      <c r="KJ73" s="285"/>
      <c r="KK73" s="285"/>
      <c r="KL73" s="285"/>
      <c r="KM73" s="285"/>
      <c r="KN73" s="285"/>
      <c r="KO73" s="285"/>
      <c r="KP73" s="285"/>
      <c r="KQ73" s="285"/>
      <c r="KR73" s="298"/>
      <c r="KS73" s="285"/>
      <c r="KT73" s="285"/>
      <c r="KU73" s="268"/>
      <c r="KV73" s="288"/>
      <c r="KW73" s="288"/>
    </row>
    <row r="74" spans="1:825" ht="16.2" customHeight="1">
      <c r="A74" s="1143" t="s">
        <v>5008</v>
      </c>
      <c r="B74" s="1142" t="s">
        <v>5007</v>
      </c>
      <c r="C74" s="906">
        <v>311252654</v>
      </c>
      <c r="D74" s="906" t="s">
        <v>6926</v>
      </c>
      <c r="E74" s="1222" t="s">
        <v>5036</v>
      </c>
      <c r="F74" s="74"/>
      <c r="G74" s="75"/>
      <c r="H74" s="944" t="s">
        <v>6806</v>
      </c>
      <c r="I74" s="944"/>
      <c r="J74" s="944"/>
      <c r="K74" s="1308"/>
      <c r="L74" s="1308"/>
      <c r="M74" s="1308"/>
      <c r="N74" s="1308"/>
      <c r="O74" s="1308"/>
      <c r="P74" s="1308"/>
      <c r="Q74" s="1308"/>
      <c r="R74" s="285" t="s">
        <v>5281</v>
      </c>
      <c r="S74" s="285"/>
      <c r="T74" s="285"/>
      <c r="U74" s="285"/>
      <c r="V74" s="285"/>
      <c r="W74" s="285"/>
      <c r="X74" s="1308"/>
      <c r="Y74" s="1308"/>
      <c r="Z74" s="1308"/>
      <c r="AA74" s="1308"/>
      <c r="AB74" s="285"/>
      <c r="AC74" s="285" t="s">
        <v>5340</v>
      </c>
      <c r="AD74" s="285">
        <v>4683</v>
      </c>
      <c r="AE74" s="285"/>
      <c r="AF74" s="285"/>
      <c r="AG74" s="285"/>
      <c r="AH74" s="285"/>
      <c r="AI74" s="285"/>
      <c r="AJ74" s="285"/>
      <c r="AK74" s="285"/>
      <c r="AL74" s="285"/>
      <c r="AM74" s="285"/>
      <c r="AN74" s="285"/>
      <c r="AO74" s="285"/>
      <c r="AP74" s="285"/>
      <c r="AQ74" s="285"/>
      <c r="AR74" s="285"/>
      <c r="AS74" s="285"/>
      <c r="AT74" s="285"/>
      <c r="AU74" s="285"/>
      <c r="AV74" s="285"/>
      <c r="AW74" s="285"/>
      <c r="AX74" s="285"/>
      <c r="AY74" s="285"/>
      <c r="AZ74" s="285"/>
      <c r="BA74" s="285"/>
      <c r="BB74" s="285"/>
      <c r="BC74" s="285"/>
      <c r="BD74" s="285"/>
      <c r="BE74" s="285"/>
      <c r="BF74" s="285"/>
      <c r="BG74" s="285"/>
      <c r="BH74" s="285"/>
      <c r="BI74" s="285"/>
      <c r="BJ74" s="285"/>
      <c r="BK74" s="285"/>
      <c r="BL74" s="285"/>
      <c r="BM74" s="285"/>
      <c r="BN74" s="285"/>
      <c r="BO74" s="285"/>
      <c r="BP74" s="285"/>
      <c r="BQ74" s="285"/>
      <c r="BR74" s="285"/>
      <c r="BS74" s="285"/>
      <c r="BT74" s="285"/>
      <c r="BU74" s="285"/>
      <c r="BV74" s="285"/>
      <c r="BW74" s="285"/>
      <c r="BX74" s="285"/>
      <c r="BY74" s="285"/>
      <c r="BZ74" s="285"/>
      <c r="CA74" s="285"/>
      <c r="CB74" s="285"/>
      <c r="CC74" s="285"/>
      <c r="CD74" s="285"/>
      <c r="CE74" s="285"/>
      <c r="CF74" s="285"/>
      <c r="CG74" s="285"/>
      <c r="CH74" s="285"/>
      <c r="CI74" s="285"/>
      <c r="CJ74" s="285"/>
      <c r="CK74" s="285"/>
      <c r="CL74" s="285"/>
      <c r="CM74" s="285"/>
      <c r="CN74" s="285"/>
      <c r="CO74" s="285"/>
      <c r="CP74" s="285"/>
      <c r="CQ74" s="285"/>
      <c r="CR74" s="285"/>
      <c r="CS74" s="285"/>
      <c r="CT74" s="285"/>
      <c r="CU74" s="285"/>
      <c r="CV74" s="285"/>
      <c r="CW74" s="285"/>
      <c r="CX74" s="285"/>
      <c r="CY74" s="285"/>
      <c r="CZ74" s="285"/>
      <c r="DA74" s="285"/>
      <c r="DB74" s="285"/>
      <c r="DC74" s="285"/>
      <c r="DD74" s="285"/>
      <c r="DE74" s="285"/>
      <c r="DF74" s="285"/>
      <c r="DG74" s="285"/>
      <c r="DH74" s="285"/>
      <c r="DI74" s="285"/>
      <c r="DJ74" s="285"/>
      <c r="DK74" s="285"/>
      <c r="DL74" s="285"/>
      <c r="DM74" s="285"/>
      <c r="DN74" s="285"/>
      <c r="DO74" s="285"/>
      <c r="DP74" s="285"/>
      <c r="DQ74" s="285"/>
      <c r="DR74" s="285"/>
      <c r="DS74" s="285"/>
      <c r="DT74" s="285"/>
      <c r="DU74" s="285"/>
      <c r="DV74" s="285"/>
      <c r="DW74" s="285"/>
      <c r="DX74" s="285"/>
      <c r="DY74" s="285"/>
      <c r="DZ74" s="285"/>
      <c r="EA74" s="285"/>
      <c r="EB74" s="285"/>
      <c r="EC74" s="285"/>
      <c r="ED74" s="285"/>
      <c r="EE74" s="285"/>
      <c r="EF74" s="285"/>
      <c r="EG74" s="285"/>
      <c r="EH74" s="285"/>
      <c r="EI74" s="285"/>
      <c r="EJ74" s="285"/>
      <c r="EK74" s="285"/>
      <c r="EL74" s="285"/>
      <c r="EM74" s="285"/>
      <c r="EN74" s="285"/>
      <c r="EO74" s="285"/>
      <c r="EP74" s="285"/>
      <c r="EQ74" s="285"/>
      <c r="ER74" s="285"/>
      <c r="ES74" s="285"/>
      <c r="ET74" s="285"/>
      <c r="EU74" s="285"/>
      <c r="EV74" s="285"/>
      <c r="EW74" s="285"/>
      <c r="EX74" s="285"/>
      <c r="EY74" s="285"/>
      <c r="EZ74" s="285"/>
      <c r="FA74" s="285"/>
      <c r="FB74" s="285"/>
      <c r="FC74" s="285"/>
      <c r="FD74" s="285"/>
      <c r="FE74" s="285"/>
      <c r="FF74" s="285"/>
      <c r="FG74" s="285"/>
      <c r="FH74" s="285"/>
      <c r="FI74" s="285"/>
      <c r="FJ74" s="285"/>
      <c r="FK74" s="285"/>
      <c r="FL74" s="285"/>
      <c r="FM74" s="285"/>
      <c r="FN74" s="285"/>
      <c r="FO74" s="285"/>
      <c r="FP74" s="285"/>
      <c r="FQ74" s="285"/>
      <c r="FR74" s="285"/>
      <c r="FS74" s="285"/>
      <c r="FT74" s="285"/>
      <c r="FU74" s="285"/>
      <c r="FV74" s="285"/>
      <c r="FW74" s="285"/>
      <c r="FX74" s="285"/>
      <c r="FY74" s="285"/>
      <c r="FZ74" s="285"/>
      <c r="GA74" s="285"/>
      <c r="GB74" s="285"/>
      <c r="GC74" s="285"/>
      <c r="GD74" s="285"/>
      <c r="GE74" s="285"/>
      <c r="GF74" s="285"/>
      <c r="GG74" s="285"/>
      <c r="GH74" s="285"/>
      <c r="GI74" s="285"/>
      <c r="GJ74" s="285"/>
      <c r="GK74" s="285"/>
      <c r="GL74" s="285"/>
      <c r="GM74" s="285"/>
      <c r="GN74" s="285"/>
      <c r="GO74" s="285"/>
      <c r="GP74" s="285"/>
      <c r="GQ74" s="285"/>
      <c r="GR74" s="285"/>
      <c r="GS74" s="285"/>
      <c r="GT74" s="285"/>
      <c r="GU74" s="285"/>
      <c r="GV74" s="285"/>
      <c r="GW74" s="285"/>
      <c r="GX74" s="285"/>
      <c r="GY74" s="285"/>
      <c r="GZ74" s="285"/>
      <c r="HA74" s="285"/>
      <c r="HB74" s="285"/>
      <c r="HC74" s="285"/>
      <c r="HD74" s="285"/>
      <c r="HE74" s="285"/>
      <c r="HF74" s="285"/>
      <c r="HG74" s="285"/>
      <c r="HH74" s="285"/>
      <c r="HI74" s="285"/>
      <c r="HJ74" s="285"/>
      <c r="HK74" s="285"/>
      <c r="HL74" s="285"/>
      <c r="HM74" s="285"/>
      <c r="HN74" s="285"/>
      <c r="HO74" s="285"/>
      <c r="HP74" s="285"/>
      <c r="HQ74" s="285"/>
      <c r="HR74" s="285"/>
      <c r="HS74" s="285"/>
      <c r="HT74" s="285"/>
      <c r="HU74" s="285"/>
      <c r="HV74" s="285"/>
      <c r="HW74" s="285"/>
      <c r="HX74" s="285"/>
      <c r="HY74" s="285"/>
      <c r="HZ74" s="285"/>
      <c r="IA74" s="285"/>
      <c r="IB74" s="285"/>
      <c r="IC74" s="285"/>
      <c r="ID74" s="285"/>
      <c r="IE74" s="285"/>
      <c r="IF74" s="285"/>
      <c r="IG74" s="285"/>
      <c r="IH74" s="285"/>
      <c r="II74" s="285"/>
      <c r="IJ74" s="285"/>
      <c r="IK74" s="285"/>
      <c r="IL74" s="285"/>
      <c r="IM74" s="285"/>
      <c r="IN74" s="285"/>
      <c r="IO74" s="285"/>
      <c r="IP74" s="285"/>
      <c r="IQ74" s="285"/>
      <c r="IR74" s="285"/>
      <c r="IS74" s="285"/>
      <c r="IT74" s="285"/>
      <c r="IU74" s="285"/>
      <c r="IV74" s="285"/>
      <c r="IW74" s="285"/>
      <c r="IX74" s="285"/>
      <c r="IY74" s="285"/>
      <c r="IZ74" s="285"/>
      <c r="JA74" s="285"/>
      <c r="JB74" s="285"/>
      <c r="JC74" s="285"/>
      <c r="JD74" s="285"/>
      <c r="JE74" s="285"/>
      <c r="JF74" s="285"/>
      <c r="JG74" s="285"/>
      <c r="JH74" s="285"/>
      <c r="JI74" s="285"/>
      <c r="JJ74" s="285"/>
      <c r="JK74" s="285"/>
      <c r="JL74" s="285"/>
      <c r="JM74" s="285"/>
      <c r="JN74" s="285"/>
      <c r="JO74" s="285"/>
      <c r="JP74" s="285"/>
      <c r="JQ74" s="285"/>
      <c r="JR74" s="285"/>
      <c r="JS74" s="285"/>
      <c r="JT74" s="285"/>
      <c r="JU74" s="285"/>
      <c r="JV74" s="285"/>
      <c r="JW74" s="285"/>
      <c r="JX74" s="285"/>
      <c r="JY74" s="285"/>
      <c r="JZ74" s="285"/>
      <c r="KA74" s="285"/>
      <c r="KB74" s="285"/>
      <c r="KC74" s="285"/>
      <c r="KD74" s="285"/>
      <c r="KE74" s="285"/>
      <c r="KF74" s="285"/>
      <c r="KG74" s="285"/>
      <c r="KH74" s="285"/>
      <c r="KI74" s="285"/>
      <c r="KJ74" s="285"/>
      <c r="KK74" s="285"/>
      <c r="KL74" s="285"/>
      <c r="KM74" s="285"/>
      <c r="KN74" s="285"/>
      <c r="KO74" s="285"/>
      <c r="KP74" s="285"/>
      <c r="KQ74" s="285"/>
      <c r="KR74" s="298"/>
      <c r="KS74" s="285"/>
      <c r="KT74" s="285"/>
      <c r="KU74" s="268"/>
      <c r="KV74" s="288"/>
      <c r="KW74" s="288"/>
    </row>
    <row r="75" spans="1:825" ht="16.2" customHeight="1">
      <c r="A75" s="1171" t="s">
        <v>5069</v>
      </c>
      <c r="B75" s="1215" t="s">
        <v>5264</v>
      </c>
      <c r="C75" s="1421">
        <v>311267491</v>
      </c>
      <c r="D75" s="906" t="s">
        <v>6926</v>
      </c>
      <c r="E75" s="1206" t="s">
        <v>5126</v>
      </c>
      <c r="F75" s="944"/>
      <c r="G75" s="75"/>
      <c r="H75" s="944" t="s">
        <v>6806</v>
      </c>
      <c r="I75" s="944"/>
      <c r="J75" s="944"/>
      <c r="K75" s="1308"/>
      <c r="L75" s="1308"/>
      <c r="M75" s="1308"/>
      <c r="N75" s="1308"/>
      <c r="O75" s="285">
        <v>1</v>
      </c>
      <c r="P75" s="285"/>
      <c r="Q75" s="285"/>
      <c r="R75" s="1240" t="s">
        <v>5261</v>
      </c>
      <c r="S75" s="1240"/>
      <c r="T75" s="1240"/>
      <c r="U75" s="1240"/>
      <c r="V75" s="1225" t="s">
        <v>5262</v>
      </c>
      <c r="W75" s="285"/>
      <c r="X75" s="1308"/>
      <c r="Y75" s="1308"/>
      <c r="Z75" s="1308"/>
      <c r="AA75" s="1308"/>
      <c r="AB75" s="285">
        <v>8730</v>
      </c>
      <c r="AC75" s="285" t="s">
        <v>5296</v>
      </c>
      <c r="AD75" s="285"/>
      <c r="AE75" s="285"/>
      <c r="AF75" s="285"/>
      <c r="AG75" s="285"/>
      <c r="AH75" s="285"/>
      <c r="AI75" s="285"/>
      <c r="AJ75" s="285"/>
      <c r="AK75" s="285"/>
      <c r="AL75" s="285"/>
      <c r="AM75" s="285"/>
      <c r="AN75" s="285"/>
      <c r="AO75" s="285"/>
      <c r="AP75" s="285"/>
      <c r="AQ75" s="285"/>
      <c r="AR75" s="285"/>
      <c r="AS75" s="285"/>
      <c r="AT75" s="285"/>
      <c r="AU75" s="285"/>
      <c r="AV75" s="285"/>
      <c r="AW75" s="285"/>
      <c r="AX75" s="285"/>
      <c r="AY75" s="285"/>
      <c r="AZ75" s="285"/>
      <c r="BA75" s="285"/>
      <c r="BB75" s="285"/>
      <c r="BC75" s="285"/>
      <c r="BD75" s="285"/>
      <c r="BE75" s="285"/>
      <c r="BF75" s="285"/>
      <c r="BG75" s="285"/>
      <c r="BH75" s="285"/>
      <c r="BI75" s="285"/>
      <c r="BJ75" s="285"/>
      <c r="BK75" s="285"/>
      <c r="BL75" s="285"/>
      <c r="BM75" s="285"/>
      <c r="BN75" s="285"/>
      <c r="BO75" s="285"/>
      <c r="BP75" s="285"/>
      <c r="BQ75" s="285"/>
      <c r="BR75" s="285"/>
      <c r="BS75" s="285"/>
      <c r="BT75" s="285"/>
      <c r="BU75" s="285"/>
      <c r="BV75" s="285"/>
      <c r="BW75" s="285"/>
      <c r="BX75" s="285"/>
      <c r="BY75" s="285"/>
      <c r="BZ75" s="285"/>
      <c r="CA75" s="285"/>
      <c r="CB75" s="285"/>
      <c r="CC75" s="285"/>
      <c r="CD75" s="285"/>
      <c r="CE75" s="285"/>
      <c r="CF75" s="285"/>
      <c r="CG75" s="285"/>
      <c r="CH75" s="285"/>
      <c r="CI75" s="285"/>
      <c r="CJ75" s="285"/>
      <c r="CK75" s="285"/>
      <c r="CL75" s="285"/>
      <c r="CM75" s="285"/>
      <c r="CN75" s="285"/>
      <c r="CO75" s="285"/>
      <c r="CP75" s="285"/>
      <c r="CQ75" s="285"/>
      <c r="CR75" s="285"/>
      <c r="CS75" s="285"/>
      <c r="CT75" s="285"/>
      <c r="CU75" s="285"/>
      <c r="CV75" s="285"/>
      <c r="CW75" s="285"/>
      <c r="CX75" s="285"/>
      <c r="CY75" s="285"/>
      <c r="CZ75" s="285"/>
      <c r="DA75" s="285"/>
      <c r="DB75" s="285"/>
      <c r="DC75" s="285"/>
      <c r="DD75" s="285"/>
      <c r="DE75" s="285"/>
      <c r="DF75" s="285"/>
      <c r="DG75" s="285"/>
      <c r="DH75" s="285"/>
      <c r="DI75" s="285"/>
      <c r="DJ75" s="285"/>
      <c r="DK75" s="285"/>
      <c r="DL75" s="285"/>
      <c r="DM75" s="285"/>
      <c r="DN75" s="285"/>
      <c r="DO75" s="285"/>
      <c r="DP75" s="285"/>
      <c r="DQ75" s="285"/>
      <c r="DR75" s="285"/>
      <c r="DS75" s="285"/>
      <c r="DT75" s="285"/>
      <c r="DU75" s="285"/>
      <c r="DV75" s="285"/>
      <c r="DW75" s="285"/>
      <c r="DX75" s="285"/>
      <c r="DY75" s="285"/>
      <c r="DZ75" s="285"/>
      <c r="EA75" s="285"/>
      <c r="EB75" s="285"/>
      <c r="EC75" s="285"/>
      <c r="ED75" s="285"/>
      <c r="EE75" s="285"/>
      <c r="EF75" s="285"/>
      <c r="EG75" s="285"/>
      <c r="EH75" s="285"/>
      <c r="EI75" s="285"/>
      <c r="EJ75" s="285"/>
      <c r="EK75" s="285"/>
      <c r="EL75" s="285"/>
      <c r="EM75" s="285"/>
      <c r="EN75" s="285"/>
      <c r="EO75" s="285"/>
      <c r="EP75" s="285"/>
      <c r="EQ75" s="285"/>
      <c r="ER75" s="285"/>
      <c r="ES75" s="285"/>
      <c r="ET75" s="285"/>
      <c r="EU75" s="285"/>
      <c r="EV75" s="285"/>
      <c r="EW75" s="285"/>
      <c r="EX75" s="285"/>
      <c r="EY75" s="285"/>
      <c r="EZ75" s="285"/>
      <c r="FA75" s="285"/>
      <c r="FB75" s="285"/>
      <c r="FC75" s="285"/>
      <c r="FD75" s="285"/>
      <c r="FE75" s="285"/>
      <c r="FF75" s="285"/>
      <c r="FG75" s="285"/>
      <c r="FH75" s="285"/>
      <c r="FI75" s="285"/>
      <c r="FJ75" s="285"/>
      <c r="FK75" s="285"/>
      <c r="FL75" s="285"/>
      <c r="FM75" s="285"/>
      <c r="FN75" s="285"/>
      <c r="FO75" s="285"/>
      <c r="FP75" s="285"/>
      <c r="FQ75" s="285"/>
      <c r="FR75" s="285"/>
      <c r="FS75" s="285"/>
      <c r="FT75" s="285"/>
      <c r="FU75" s="285"/>
      <c r="FV75" s="285"/>
      <c r="FW75" s="285"/>
      <c r="FX75" s="285"/>
      <c r="FY75" s="285"/>
      <c r="FZ75" s="285"/>
      <c r="GA75" s="285"/>
      <c r="GB75" s="285"/>
      <c r="GC75" s="285"/>
      <c r="GD75" s="285"/>
      <c r="GE75" s="285"/>
      <c r="GF75" s="285"/>
      <c r="GG75" s="285"/>
      <c r="GH75" s="285"/>
      <c r="GI75" s="285"/>
      <c r="GJ75" s="285"/>
      <c r="GK75" s="285"/>
      <c r="GL75" s="285"/>
      <c r="GM75" s="285"/>
      <c r="GN75" s="285"/>
      <c r="GO75" s="285"/>
      <c r="GP75" s="285"/>
      <c r="GQ75" s="285"/>
      <c r="GR75" s="285"/>
      <c r="GS75" s="285"/>
      <c r="GT75" s="285"/>
      <c r="GU75" s="285"/>
      <c r="GV75" s="285"/>
      <c r="GW75" s="285"/>
      <c r="GX75" s="285"/>
      <c r="GY75" s="285"/>
      <c r="GZ75" s="285"/>
      <c r="HA75" s="285"/>
      <c r="HB75" s="285"/>
      <c r="HC75" s="285"/>
      <c r="HD75" s="285"/>
      <c r="HE75" s="285"/>
      <c r="HF75" s="285"/>
      <c r="HG75" s="285"/>
      <c r="HH75" s="285"/>
      <c r="HI75" s="285"/>
      <c r="HJ75" s="285"/>
      <c r="HK75" s="285"/>
      <c r="HL75" s="285"/>
      <c r="HM75" s="285"/>
      <c r="HN75" s="285"/>
      <c r="HO75" s="285"/>
      <c r="HP75" s="285"/>
      <c r="HQ75" s="285"/>
      <c r="HR75" s="285"/>
      <c r="HS75" s="285"/>
      <c r="HT75" s="285"/>
      <c r="HU75" s="285"/>
      <c r="HV75" s="285"/>
      <c r="HW75" s="285"/>
      <c r="HX75" s="285"/>
      <c r="HY75" s="285"/>
      <c r="HZ75" s="285"/>
      <c r="IA75" s="285"/>
      <c r="IB75" s="285"/>
      <c r="IC75" s="285"/>
      <c r="ID75" s="285"/>
      <c r="IE75" s="285"/>
      <c r="IF75" s="285"/>
      <c r="IG75" s="285"/>
      <c r="IH75" s="285"/>
      <c r="II75" s="285"/>
      <c r="IJ75" s="285"/>
      <c r="IK75" s="285"/>
      <c r="IL75" s="285"/>
      <c r="IM75" s="285"/>
      <c r="IN75" s="285"/>
      <c r="IO75" s="285"/>
      <c r="IP75" s="285"/>
      <c r="IQ75" s="285"/>
      <c r="IR75" s="285"/>
      <c r="IS75" s="285"/>
      <c r="IT75" s="285"/>
      <c r="IU75" s="285"/>
      <c r="IV75" s="285"/>
      <c r="IW75" s="285"/>
      <c r="IX75" s="285"/>
      <c r="IY75" s="285"/>
      <c r="IZ75" s="285"/>
      <c r="JA75" s="285"/>
      <c r="JB75" s="285"/>
      <c r="JC75" s="285"/>
      <c r="JD75" s="285"/>
      <c r="JE75" s="285"/>
      <c r="JF75" s="285"/>
      <c r="JG75" s="285"/>
      <c r="JH75" s="285"/>
      <c r="JI75" s="285"/>
      <c r="JJ75" s="285"/>
      <c r="JK75" s="285"/>
      <c r="JL75" s="285"/>
      <c r="JM75" s="285"/>
      <c r="JN75" s="285"/>
      <c r="JO75" s="285"/>
      <c r="JP75" s="285"/>
      <c r="JQ75" s="285"/>
      <c r="JR75" s="285"/>
      <c r="JS75" s="285"/>
      <c r="JT75" s="285"/>
      <c r="JU75" s="285"/>
      <c r="JV75" s="285"/>
      <c r="JW75" s="285"/>
      <c r="JX75" s="285"/>
      <c r="JY75" s="285"/>
      <c r="JZ75" s="285"/>
      <c r="KA75" s="285"/>
      <c r="KB75" s="285"/>
      <c r="KC75" s="285"/>
      <c r="KD75" s="285"/>
      <c r="KE75" s="285"/>
      <c r="KF75" s="285"/>
      <c r="KG75" s="285"/>
      <c r="KH75" s="285"/>
      <c r="KI75" s="285"/>
      <c r="KJ75" s="285"/>
      <c r="KK75" s="285"/>
      <c r="KL75" s="285"/>
      <c r="KM75" s="285"/>
      <c r="KN75" s="285"/>
      <c r="KO75" s="285"/>
      <c r="KP75" s="285"/>
      <c r="KQ75" s="285"/>
      <c r="KR75" s="298"/>
      <c r="KS75" s="285"/>
      <c r="KT75" s="285"/>
      <c r="KU75" s="268"/>
      <c r="KV75" s="288"/>
      <c r="KW75" s="288"/>
    </row>
    <row r="76" spans="1:825" ht="16.2" customHeight="1">
      <c r="A76" s="9" t="s">
        <v>5071</v>
      </c>
      <c r="B76" s="1170" t="s">
        <v>5072</v>
      </c>
      <c r="C76" s="906">
        <v>311277194</v>
      </c>
      <c r="D76" s="906" t="s">
        <v>6926</v>
      </c>
      <c r="E76" s="1437" t="s">
        <v>5258</v>
      </c>
      <c r="F76" s="74"/>
      <c r="G76" s="75"/>
      <c r="H76" s="944" t="s">
        <v>6806</v>
      </c>
      <c r="I76" s="944"/>
      <c r="J76" s="944"/>
      <c r="K76" s="1308"/>
      <c r="L76" s="1308"/>
      <c r="M76" s="1308"/>
      <c r="N76" s="1308"/>
      <c r="O76" s="285">
        <v>1</v>
      </c>
      <c r="P76" s="285"/>
      <c r="Q76" s="285"/>
      <c r="R76" s="1223" t="s">
        <v>5261</v>
      </c>
      <c r="S76" s="1223"/>
      <c r="T76" s="1223"/>
      <c r="U76" s="1223"/>
      <c r="V76" s="1223" t="s">
        <v>5263</v>
      </c>
      <c r="W76" s="285"/>
      <c r="X76" s="1308"/>
      <c r="Y76" s="1308"/>
      <c r="Z76" s="1308"/>
      <c r="AA76" s="1308"/>
      <c r="AB76" s="285">
        <v>1534</v>
      </c>
      <c r="AC76" s="1223" t="s">
        <v>5296</v>
      </c>
      <c r="AD76" s="285"/>
      <c r="AE76" s="285"/>
      <c r="AF76" s="285"/>
      <c r="AG76" s="285"/>
      <c r="AH76" s="285"/>
      <c r="AI76" s="285"/>
      <c r="AJ76" s="285"/>
      <c r="AK76" s="285"/>
      <c r="AL76" s="285"/>
      <c r="AM76" s="285"/>
      <c r="AN76" s="285"/>
      <c r="AO76" s="285"/>
      <c r="AP76" s="285"/>
      <c r="AQ76" s="285"/>
      <c r="AR76" s="285"/>
      <c r="AS76" s="285"/>
      <c r="AT76" s="285"/>
      <c r="AU76" s="285"/>
      <c r="AV76" s="285"/>
      <c r="AW76" s="285"/>
      <c r="AX76" s="285"/>
      <c r="AY76" s="285"/>
      <c r="AZ76" s="285"/>
      <c r="BA76" s="285"/>
      <c r="BB76" s="285"/>
      <c r="BC76" s="285"/>
      <c r="BD76" s="285"/>
      <c r="BE76" s="285"/>
      <c r="BF76" s="285"/>
      <c r="BG76" s="285"/>
      <c r="BH76" s="285"/>
      <c r="BI76" s="285"/>
      <c r="BJ76" s="285"/>
      <c r="BK76" s="285"/>
      <c r="BL76" s="285"/>
      <c r="BM76" s="285"/>
      <c r="BN76" s="285"/>
      <c r="BO76" s="285"/>
      <c r="BP76" s="285"/>
      <c r="BQ76" s="285"/>
      <c r="BR76" s="285"/>
      <c r="BS76" s="285"/>
      <c r="BT76" s="285"/>
      <c r="BU76" s="285"/>
      <c r="BV76" s="285"/>
      <c r="BW76" s="285"/>
      <c r="BX76" s="285"/>
      <c r="BY76" s="285"/>
      <c r="BZ76" s="285"/>
      <c r="CA76" s="285"/>
      <c r="CB76" s="285"/>
      <c r="CC76" s="285"/>
      <c r="CD76" s="285"/>
      <c r="CE76" s="285"/>
      <c r="CF76" s="285"/>
      <c r="CG76" s="285"/>
      <c r="CH76" s="285"/>
      <c r="CI76" s="285"/>
      <c r="CJ76" s="285"/>
      <c r="CK76" s="285"/>
      <c r="CL76" s="285"/>
      <c r="CM76" s="285"/>
      <c r="CN76" s="285"/>
      <c r="CO76" s="285"/>
      <c r="CP76" s="285"/>
      <c r="CQ76" s="285"/>
      <c r="CR76" s="285"/>
      <c r="CS76" s="285"/>
      <c r="CT76" s="285"/>
      <c r="CU76" s="285"/>
      <c r="CV76" s="285"/>
      <c r="CW76" s="285"/>
      <c r="CX76" s="285"/>
      <c r="CY76" s="285"/>
      <c r="CZ76" s="285"/>
      <c r="DA76" s="285"/>
      <c r="DB76" s="285"/>
      <c r="DC76" s="285"/>
      <c r="DD76" s="285"/>
      <c r="DE76" s="285"/>
      <c r="DF76" s="285"/>
      <c r="DG76" s="285"/>
      <c r="DH76" s="285"/>
      <c r="DI76" s="285"/>
      <c r="DJ76" s="285"/>
      <c r="DK76" s="285"/>
      <c r="DL76" s="285"/>
      <c r="DM76" s="285"/>
      <c r="DN76" s="285"/>
      <c r="DO76" s="285"/>
      <c r="DP76" s="285"/>
      <c r="DQ76" s="285"/>
      <c r="DR76" s="285"/>
      <c r="DS76" s="285"/>
      <c r="DT76" s="285"/>
      <c r="DU76" s="285"/>
      <c r="DV76" s="285"/>
      <c r="DW76" s="285"/>
      <c r="DX76" s="285"/>
      <c r="DY76" s="285"/>
      <c r="DZ76" s="285"/>
      <c r="EA76" s="285"/>
      <c r="EB76" s="285"/>
      <c r="EC76" s="285"/>
      <c r="ED76" s="285"/>
      <c r="EE76" s="285"/>
      <c r="EF76" s="285"/>
      <c r="EG76" s="285"/>
      <c r="EH76" s="285"/>
      <c r="EI76" s="285"/>
      <c r="EJ76" s="285"/>
      <c r="EK76" s="285"/>
      <c r="EL76" s="285"/>
      <c r="EM76" s="285"/>
      <c r="EN76" s="285"/>
      <c r="EO76" s="285"/>
      <c r="EP76" s="285"/>
      <c r="EQ76" s="285"/>
      <c r="ER76" s="285"/>
      <c r="ES76" s="285"/>
      <c r="ET76" s="285"/>
      <c r="EU76" s="285"/>
      <c r="EV76" s="285"/>
      <c r="EW76" s="285"/>
      <c r="EX76" s="285"/>
      <c r="EY76" s="285"/>
      <c r="EZ76" s="285"/>
      <c r="FA76" s="285"/>
      <c r="FB76" s="285"/>
      <c r="FC76" s="285"/>
      <c r="FD76" s="285"/>
      <c r="FE76" s="285"/>
      <c r="FF76" s="285"/>
      <c r="FG76" s="285"/>
      <c r="FH76" s="285"/>
      <c r="FI76" s="285"/>
      <c r="FJ76" s="285"/>
      <c r="FK76" s="285"/>
      <c r="FL76" s="285"/>
      <c r="FM76" s="285"/>
      <c r="FN76" s="285"/>
      <c r="FO76" s="285"/>
      <c r="FP76" s="285"/>
      <c r="FQ76" s="285"/>
      <c r="FR76" s="285"/>
      <c r="FS76" s="285"/>
      <c r="FT76" s="285"/>
      <c r="FU76" s="285"/>
      <c r="FV76" s="285"/>
      <c r="FW76" s="285"/>
      <c r="FX76" s="285"/>
      <c r="FY76" s="285"/>
      <c r="FZ76" s="285"/>
      <c r="GA76" s="285"/>
      <c r="GB76" s="285"/>
      <c r="GC76" s="285"/>
      <c r="GD76" s="285"/>
      <c r="GE76" s="285"/>
      <c r="GF76" s="285"/>
      <c r="GG76" s="285"/>
      <c r="GH76" s="285"/>
      <c r="GI76" s="285"/>
      <c r="GJ76" s="285"/>
      <c r="GK76" s="285"/>
      <c r="GL76" s="285"/>
      <c r="GM76" s="285"/>
      <c r="GN76" s="285"/>
      <c r="GO76" s="285"/>
      <c r="GP76" s="285"/>
      <c r="GQ76" s="285"/>
      <c r="GR76" s="285"/>
      <c r="GS76" s="285"/>
      <c r="GT76" s="285"/>
      <c r="GU76" s="285"/>
      <c r="GV76" s="285"/>
      <c r="GW76" s="285"/>
      <c r="GX76" s="285"/>
      <c r="GY76" s="285"/>
      <c r="GZ76" s="285"/>
      <c r="HA76" s="285"/>
      <c r="HB76" s="285"/>
      <c r="HC76" s="285"/>
      <c r="HD76" s="285"/>
      <c r="HE76" s="285"/>
      <c r="HF76" s="285"/>
      <c r="HG76" s="285"/>
      <c r="HH76" s="285"/>
      <c r="HI76" s="285"/>
      <c r="HJ76" s="285"/>
      <c r="HK76" s="285"/>
      <c r="HL76" s="285"/>
      <c r="HM76" s="285"/>
      <c r="HN76" s="285"/>
      <c r="HO76" s="285"/>
      <c r="HP76" s="285"/>
      <c r="HQ76" s="285"/>
      <c r="HR76" s="285"/>
      <c r="HS76" s="285"/>
      <c r="HT76" s="285"/>
      <c r="HU76" s="285"/>
      <c r="HV76" s="285"/>
      <c r="HW76" s="285"/>
      <c r="HX76" s="285"/>
      <c r="HY76" s="285"/>
      <c r="HZ76" s="285"/>
      <c r="IA76" s="285"/>
      <c r="IB76" s="285"/>
      <c r="IC76" s="285"/>
      <c r="ID76" s="285"/>
      <c r="IE76" s="285"/>
      <c r="IF76" s="285"/>
      <c r="IG76" s="285"/>
      <c r="IH76" s="285"/>
      <c r="II76" s="285"/>
      <c r="IJ76" s="285"/>
      <c r="IK76" s="285"/>
      <c r="IL76" s="285"/>
      <c r="IM76" s="285"/>
      <c r="IN76" s="285"/>
      <c r="IO76" s="285"/>
      <c r="IP76" s="285"/>
      <c r="IQ76" s="285"/>
      <c r="IR76" s="285"/>
      <c r="IS76" s="285"/>
      <c r="IT76" s="285"/>
      <c r="IU76" s="285"/>
      <c r="IV76" s="285"/>
      <c r="IW76" s="285"/>
      <c r="IX76" s="285"/>
      <c r="IY76" s="285"/>
      <c r="IZ76" s="285"/>
      <c r="JA76" s="285"/>
      <c r="JB76" s="285"/>
      <c r="JC76" s="285"/>
      <c r="JD76" s="285"/>
      <c r="JE76" s="285"/>
      <c r="JF76" s="285"/>
      <c r="JG76" s="285"/>
      <c r="JH76" s="285"/>
      <c r="JI76" s="285"/>
      <c r="JJ76" s="285"/>
      <c r="JK76" s="285"/>
      <c r="JL76" s="285"/>
      <c r="JM76" s="285"/>
      <c r="JN76" s="285"/>
      <c r="JO76" s="285"/>
      <c r="JP76" s="285"/>
      <c r="JQ76" s="285"/>
      <c r="JR76" s="285"/>
      <c r="JS76" s="285"/>
      <c r="JT76" s="285"/>
      <c r="JU76" s="285"/>
      <c r="JV76" s="285"/>
      <c r="JW76" s="285"/>
      <c r="JX76" s="285"/>
      <c r="JY76" s="285"/>
      <c r="JZ76" s="285"/>
      <c r="KA76" s="285"/>
      <c r="KB76" s="285"/>
      <c r="KC76" s="285"/>
      <c r="KD76" s="285"/>
      <c r="KE76" s="285"/>
      <c r="KF76" s="285"/>
      <c r="KG76" s="285"/>
      <c r="KH76" s="285"/>
      <c r="KI76" s="285"/>
      <c r="KJ76" s="285"/>
      <c r="KK76" s="285"/>
      <c r="KL76" s="285"/>
      <c r="KM76" s="285"/>
      <c r="KN76" s="285"/>
      <c r="KO76" s="285"/>
      <c r="KP76" s="285"/>
      <c r="KQ76" s="285"/>
      <c r="KR76" s="298"/>
      <c r="KS76" s="285"/>
      <c r="KT76" s="285"/>
      <c r="KU76" s="268"/>
      <c r="KV76" s="288"/>
      <c r="KW76" s="288"/>
    </row>
    <row r="77" spans="1:825" ht="16.2" customHeight="1">
      <c r="A77" s="1354" t="s">
        <v>5157</v>
      </c>
      <c r="B77" s="1840" t="s">
        <v>5156</v>
      </c>
      <c r="C77" s="1355">
        <v>311288023</v>
      </c>
      <c r="D77" s="1355"/>
      <c r="E77" s="1206" t="s">
        <v>5183</v>
      </c>
      <c r="F77" s="944"/>
      <c r="G77" s="75"/>
      <c r="H77" s="944" t="s">
        <v>6806</v>
      </c>
      <c r="I77" s="944"/>
      <c r="J77" s="944"/>
      <c r="K77" s="1308"/>
      <c r="L77" s="1308"/>
      <c r="M77" s="1308"/>
      <c r="N77" s="1308"/>
      <c r="O77" s="285">
        <v>1</v>
      </c>
      <c r="P77" s="285"/>
      <c r="Q77" s="285"/>
      <c r="R77" s="1240" t="s">
        <v>5261</v>
      </c>
      <c r="S77" s="1240"/>
      <c r="T77" s="1240"/>
      <c r="U77" s="1240"/>
      <c r="V77" s="1223" t="s">
        <v>5294</v>
      </c>
      <c r="W77" s="285"/>
      <c r="X77" s="1308"/>
      <c r="Y77" s="1308"/>
      <c r="Z77" s="1308"/>
      <c r="AA77" s="1308"/>
      <c r="AB77" s="285"/>
      <c r="AC77" s="285"/>
      <c r="AD77" s="285"/>
      <c r="AE77" s="285"/>
      <c r="AF77" s="285"/>
      <c r="AG77" s="285"/>
      <c r="AH77" s="285"/>
      <c r="AI77" s="285"/>
      <c r="AJ77" s="285"/>
      <c r="AK77" s="285"/>
      <c r="AL77" s="285"/>
      <c r="AM77" s="285"/>
      <c r="AN77" s="285"/>
      <c r="AO77" s="285"/>
      <c r="AP77" s="285"/>
      <c r="AQ77" s="285"/>
      <c r="AR77" s="285"/>
      <c r="AS77" s="285"/>
      <c r="AT77" s="285"/>
      <c r="AU77" s="285"/>
      <c r="AV77" s="285"/>
      <c r="AW77" s="285"/>
      <c r="AX77" s="285"/>
      <c r="AY77" s="285"/>
      <c r="AZ77" s="285"/>
      <c r="BA77" s="285"/>
      <c r="BB77" s="285"/>
      <c r="BC77" s="285"/>
      <c r="BD77" s="285"/>
      <c r="BE77" s="285"/>
      <c r="BF77" s="285"/>
      <c r="BG77" s="285"/>
      <c r="BH77" s="285"/>
      <c r="BI77" s="285"/>
      <c r="BJ77" s="285"/>
      <c r="BK77" s="285"/>
      <c r="BL77" s="285"/>
      <c r="BM77" s="285"/>
      <c r="BN77" s="285"/>
      <c r="BO77" s="285"/>
      <c r="BP77" s="285"/>
      <c r="BQ77" s="285"/>
      <c r="BR77" s="285"/>
      <c r="BS77" s="285"/>
      <c r="BT77" s="285"/>
      <c r="BU77" s="285"/>
      <c r="BV77" s="285"/>
      <c r="BW77" s="285"/>
      <c r="BX77" s="285"/>
      <c r="BY77" s="285"/>
      <c r="BZ77" s="285"/>
      <c r="CA77" s="285"/>
      <c r="CB77" s="285"/>
      <c r="CC77" s="285"/>
      <c r="CD77" s="285"/>
      <c r="CE77" s="285"/>
      <c r="CF77" s="285"/>
      <c r="CG77" s="285"/>
      <c r="CH77" s="285"/>
      <c r="CI77" s="285"/>
      <c r="CJ77" s="285"/>
      <c r="CK77" s="285"/>
      <c r="CL77" s="285"/>
      <c r="CM77" s="285"/>
      <c r="CN77" s="285"/>
      <c r="CO77" s="285"/>
      <c r="CP77" s="285"/>
      <c r="CQ77" s="285"/>
      <c r="CR77" s="285"/>
      <c r="CS77" s="285"/>
      <c r="CT77" s="285"/>
      <c r="CU77" s="285"/>
      <c r="CV77" s="285"/>
      <c r="CW77" s="285"/>
      <c r="CX77" s="285"/>
      <c r="CY77" s="285"/>
      <c r="CZ77" s="285"/>
      <c r="DA77" s="285"/>
      <c r="DB77" s="285"/>
      <c r="DC77" s="285"/>
      <c r="DD77" s="285"/>
      <c r="DE77" s="285"/>
      <c r="DF77" s="285"/>
      <c r="DG77" s="285"/>
      <c r="DH77" s="285"/>
      <c r="DI77" s="285"/>
      <c r="DJ77" s="285"/>
      <c r="DK77" s="285"/>
      <c r="DL77" s="285"/>
      <c r="DM77" s="285"/>
      <c r="DN77" s="285"/>
      <c r="DO77" s="285"/>
      <c r="DP77" s="285"/>
      <c r="DQ77" s="285"/>
      <c r="DR77" s="285"/>
      <c r="DS77" s="285"/>
      <c r="DT77" s="285"/>
      <c r="DU77" s="285"/>
      <c r="DV77" s="285"/>
      <c r="DW77" s="285"/>
      <c r="DX77" s="285"/>
      <c r="DY77" s="285"/>
      <c r="DZ77" s="285"/>
      <c r="EA77" s="285"/>
      <c r="EB77" s="285"/>
      <c r="EC77" s="285"/>
      <c r="ED77" s="285"/>
      <c r="EE77" s="285"/>
      <c r="EF77" s="285"/>
      <c r="EG77" s="285"/>
      <c r="EH77" s="285"/>
      <c r="EI77" s="285"/>
      <c r="EJ77" s="285"/>
      <c r="EK77" s="285"/>
      <c r="EL77" s="285"/>
      <c r="EM77" s="285"/>
      <c r="EN77" s="285"/>
      <c r="EO77" s="285"/>
      <c r="EP77" s="285"/>
      <c r="EQ77" s="285"/>
      <c r="ER77" s="285"/>
      <c r="ES77" s="285"/>
      <c r="ET77" s="285"/>
      <c r="EU77" s="285"/>
      <c r="EV77" s="285"/>
      <c r="EW77" s="285"/>
      <c r="EX77" s="285"/>
      <c r="EY77" s="285"/>
      <c r="EZ77" s="285"/>
      <c r="FA77" s="285"/>
      <c r="FB77" s="285"/>
      <c r="FC77" s="285"/>
      <c r="FD77" s="285"/>
      <c r="FE77" s="285"/>
      <c r="FF77" s="285"/>
      <c r="FG77" s="285"/>
      <c r="FH77" s="285"/>
      <c r="FI77" s="285"/>
      <c r="FJ77" s="285"/>
      <c r="FK77" s="285"/>
      <c r="FL77" s="285"/>
      <c r="FM77" s="285"/>
      <c r="FN77" s="285"/>
      <c r="FO77" s="285"/>
      <c r="FP77" s="285"/>
      <c r="FQ77" s="285"/>
      <c r="FR77" s="285"/>
      <c r="FS77" s="285"/>
      <c r="FT77" s="285"/>
      <c r="FU77" s="285"/>
      <c r="FV77" s="285"/>
      <c r="FW77" s="285"/>
      <c r="FX77" s="285"/>
      <c r="FY77" s="285"/>
      <c r="FZ77" s="285"/>
      <c r="GA77" s="285"/>
      <c r="GB77" s="285"/>
      <c r="GC77" s="285"/>
      <c r="GD77" s="285"/>
      <c r="GE77" s="285"/>
      <c r="GF77" s="285"/>
      <c r="GG77" s="285"/>
      <c r="GH77" s="285"/>
      <c r="GI77" s="285"/>
      <c r="GJ77" s="285"/>
      <c r="GK77" s="285"/>
      <c r="GL77" s="285"/>
      <c r="GM77" s="285"/>
      <c r="GN77" s="285"/>
      <c r="GO77" s="285"/>
      <c r="GP77" s="285"/>
      <c r="GQ77" s="285"/>
      <c r="GR77" s="285"/>
      <c r="GS77" s="285"/>
      <c r="GT77" s="285"/>
      <c r="GU77" s="285"/>
      <c r="GV77" s="285"/>
      <c r="GW77" s="285"/>
      <c r="GX77" s="285"/>
      <c r="GY77" s="285"/>
      <c r="GZ77" s="285"/>
      <c r="HA77" s="285"/>
      <c r="HB77" s="285"/>
      <c r="HC77" s="285"/>
      <c r="HD77" s="285"/>
      <c r="HE77" s="285"/>
      <c r="HF77" s="285"/>
      <c r="HG77" s="285"/>
      <c r="HH77" s="285"/>
      <c r="HI77" s="285"/>
      <c r="HJ77" s="285"/>
      <c r="HK77" s="285"/>
      <c r="HL77" s="285"/>
      <c r="HM77" s="285"/>
      <c r="HN77" s="285"/>
      <c r="HO77" s="285"/>
      <c r="HP77" s="285"/>
      <c r="HQ77" s="285"/>
      <c r="HR77" s="285"/>
      <c r="HS77" s="285"/>
      <c r="HT77" s="285"/>
      <c r="HU77" s="285"/>
      <c r="HV77" s="285"/>
      <c r="HW77" s="285"/>
      <c r="HX77" s="285"/>
      <c r="HY77" s="285"/>
      <c r="HZ77" s="285"/>
      <c r="IA77" s="285"/>
      <c r="IB77" s="285"/>
      <c r="IC77" s="285"/>
      <c r="ID77" s="285"/>
      <c r="IE77" s="285"/>
      <c r="IF77" s="285"/>
      <c r="IG77" s="285"/>
      <c r="IH77" s="285"/>
      <c r="II77" s="285"/>
      <c r="IJ77" s="285"/>
      <c r="IK77" s="285"/>
      <c r="IL77" s="285"/>
      <c r="IM77" s="285"/>
      <c r="IN77" s="285"/>
      <c r="IO77" s="285"/>
      <c r="IP77" s="285"/>
      <c r="IQ77" s="285"/>
      <c r="IR77" s="285"/>
      <c r="IS77" s="285"/>
      <c r="IT77" s="285"/>
      <c r="IU77" s="285"/>
      <c r="IV77" s="285"/>
      <c r="IW77" s="285"/>
      <c r="IX77" s="285"/>
      <c r="IY77" s="285"/>
      <c r="IZ77" s="285"/>
      <c r="JA77" s="285"/>
      <c r="JB77" s="285"/>
      <c r="JC77" s="285"/>
      <c r="JD77" s="285"/>
      <c r="JE77" s="285"/>
      <c r="JF77" s="285"/>
      <c r="JG77" s="285"/>
      <c r="JH77" s="285"/>
      <c r="JI77" s="285"/>
      <c r="JJ77" s="285"/>
      <c r="JK77" s="285"/>
      <c r="JL77" s="285"/>
      <c r="JM77" s="285"/>
      <c r="JN77" s="285"/>
      <c r="JO77" s="285"/>
      <c r="JP77" s="285"/>
      <c r="JQ77" s="285"/>
      <c r="JR77" s="285"/>
      <c r="JS77" s="285"/>
      <c r="JT77" s="285"/>
      <c r="JU77" s="285"/>
      <c r="JV77" s="285"/>
      <c r="JW77" s="285"/>
      <c r="JX77" s="285"/>
      <c r="JY77" s="285"/>
      <c r="JZ77" s="285"/>
      <c r="KA77" s="285"/>
      <c r="KB77" s="285"/>
      <c r="KC77" s="285"/>
      <c r="KD77" s="285"/>
      <c r="KE77" s="285"/>
      <c r="KF77" s="285"/>
      <c r="KG77" s="285"/>
      <c r="KH77" s="285"/>
      <c r="KI77" s="285"/>
      <c r="KJ77" s="285"/>
      <c r="KK77" s="285"/>
      <c r="KL77" s="285"/>
      <c r="KM77" s="285"/>
      <c r="KN77" s="285"/>
      <c r="KO77" s="285"/>
      <c r="KP77" s="285"/>
      <c r="KQ77" s="285"/>
      <c r="KR77" s="298"/>
      <c r="KS77" s="285"/>
      <c r="KT77" s="285"/>
      <c r="KU77" s="268"/>
      <c r="KV77" s="288"/>
      <c r="KW77" s="288"/>
    </row>
    <row r="78" spans="1:825" ht="16.2" customHeight="1">
      <c r="A78" s="1202" t="s">
        <v>5185</v>
      </c>
      <c r="B78" s="1844" t="s">
        <v>5184</v>
      </c>
      <c r="C78" s="1421">
        <v>311302796</v>
      </c>
      <c r="D78" s="906" t="s">
        <v>6926</v>
      </c>
      <c r="E78" s="1427" t="s">
        <v>5203</v>
      </c>
      <c r="F78" s="74"/>
      <c r="G78" s="75"/>
      <c r="H78" s="944" t="s">
        <v>6806</v>
      </c>
      <c r="I78" s="944"/>
      <c r="J78" s="944"/>
      <c r="K78" s="1308"/>
      <c r="L78" s="1308"/>
      <c r="M78" s="1308"/>
      <c r="N78" s="1308"/>
      <c r="O78" s="285">
        <v>1</v>
      </c>
      <c r="P78" s="285"/>
      <c r="Q78" s="285"/>
      <c r="R78" s="1240" t="s">
        <v>5261</v>
      </c>
      <c r="S78" s="1240"/>
      <c r="T78" s="1240"/>
      <c r="U78" s="1240"/>
      <c r="V78" s="1223" t="s">
        <v>5294</v>
      </c>
      <c r="W78" s="285"/>
      <c r="X78" s="1308"/>
      <c r="Y78" s="1308"/>
      <c r="Z78" s="1308"/>
      <c r="AA78" s="1308"/>
      <c r="AB78" s="285"/>
      <c r="AC78" s="285"/>
      <c r="AD78" s="285"/>
      <c r="AE78" s="285"/>
      <c r="AF78" s="285"/>
      <c r="AG78" s="285"/>
      <c r="AH78" s="285"/>
      <c r="AI78" s="285"/>
      <c r="AJ78" s="285"/>
      <c r="AK78" s="285"/>
      <c r="AL78" s="285"/>
      <c r="AM78" s="285"/>
      <c r="AN78" s="285"/>
      <c r="AO78" s="285"/>
      <c r="AP78" s="285"/>
      <c r="AQ78" s="285"/>
      <c r="AR78" s="285"/>
      <c r="AS78" s="285"/>
      <c r="AT78" s="285"/>
      <c r="AU78" s="285"/>
      <c r="AV78" s="285"/>
      <c r="AW78" s="285"/>
      <c r="AX78" s="285"/>
      <c r="AY78" s="285"/>
      <c r="AZ78" s="285"/>
      <c r="BA78" s="285"/>
      <c r="BB78" s="285"/>
      <c r="BC78" s="285"/>
      <c r="BD78" s="285"/>
      <c r="BE78" s="285"/>
      <c r="BF78" s="285"/>
      <c r="BG78" s="285"/>
      <c r="BH78" s="285"/>
      <c r="BI78" s="285"/>
      <c r="BJ78" s="285"/>
      <c r="BK78" s="285"/>
      <c r="BL78" s="285"/>
      <c r="BM78" s="285"/>
      <c r="BN78" s="285"/>
      <c r="BO78" s="285"/>
      <c r="BP78" s="285"/>
      <c r="BQ78" s="285"/>
      <c r="BR78" s="285"/>
      <c r="BS78" s="285"/>
      <c r="BT78" s="285"/>
      <c r="BU78" s="285"/>
      <c r="BV78" s="285"/>
      <c r="BW78" s="285"/>
      <c r="BX78" s="285"/>
      <c r="BY78" s="285"/>
      <c r="BZ78" s="285"/>
      <c r="CA78" s="285"/>
      <c r="CB78" s="285"/>
      <c r="CC78" s="285"/>
      <c r="CD78" s="285"/>
      <c r="CE78" s="285"/>
      <c r="CF78" s="285"/>
      <c r="CG78" s="285"/>
      <c r="CH78" s="285"/>
      <c r="CI78" s="285"/>
      <c r="CJ78" s="285"/>
      <c r="CK78" s="285"/>
      <c r="CL78" s="285"/>
      <c r="CM78" s="285"/>
      <c r="CN78" s="285"/>
      <c r="CO78" s="285"/>
      <c r="CP78" s="285"/>
      <c r="CQ78" s="285"/>
      <c r="CR78" s="285"/>
      <c r="CS78" s="285"/>
      <c r="CT78" s="285"/>
      <c r="CU78" s="285"/>
      <c r="CV78" s="285"/>
      <c r="CW78" s="285"/>
      <c r="CX78" s="285"/>
      <c r="CY78" s="285"/>
      <c r="CZ78" s="285"/>
      <c r="DA78" s="285"/>
      <c r="DB78" s="285"/>
      <c r="DC78" s="285"/>
      <c r="DD78" s="285"/>
      <c r="DE78" s="285"/>
      <c r="DF78" s="285"/>
      <c r="DG78" s="285"/>
      <c r="DH78" s="285"/>
      <c r="DI78" s="285"/>
      <c r="DJ78" s="285"/>
      <c r="DK78" s="285"/>
      <c r="DL78" s="285"/>
      <c r="DM78" s="285"/>
      <c r="DN78" s="285"/>
      <c r="DO78" s="285"/>
      <c r="DP78" s="285"/>
      <c r="DQ78" s="285"/>
      <c r="DR78" s="285"/>
      <c r="DS78" s="285"/>
      <c r="DT78" s="285"/>
      <c r="DU78" s="285"/>
      <c r="DV78" s="285"/>
      <c r="DW78" s="285"/>
      <c r="DX78" s="285"/>
      <c r="DY78" s="285"/>
      <c r="DZ78" s="285"/>
      <c r="EA78" s="285"/>
      <c r="EB78" s="285"/>
      <c r="EC78" s="285"/>
      <c r="ED78" s="285"/>
      <c r="EE78" s="285"/>
      <c r="EF78" s="285"/>
      <c r="EG78" s="285"/>
      <c r="EH78" s="285"/>
      <c r="EI78" s="285"/>
      <c r="EJ78" s="285"/>
      <c r="EK78" s="285"/>
      <c r="EL78" s="285"/>
      <c r="EM78" s="285"/>
      <c r="EN78" s="285"/>
      <c r="EO78" s="285"/>
      <c r="EP78" s="285"/>
      <c r="EQ78" s="285"/>
      <c r="ER78" s="285"/>
      <c r="ES78" s="285"/>
      <c r="ET78" s="285"/>
      <c r="EU78" s="285"/>
      <c r="EV78" s="285"/>
      <c r="EW78" s="285"/>
      <c r="EX78" s="285"/>
      <c r="EY78" s="285"/>
      <c r="EZ78" s="285"/>
      <c r="FA78" s="285"/>
      <c r="FB78" s="285"/>
      <c r="FC78" s="285"/>
      <c r="FD78" s="285"/>
      <c r="FE78" s="285"/>
      <c r="FF78" s="285"/>
      <c r="FG78" s="285"/>
      <c r="FH78" s="285"/>
      <c r="FI78" s="285"/>
      <c r="FJ78" s="285"/>
      <c r="FK78" s="285"/>
      <c r="FL78" s="285"/>
      <c r="FM78" s="285"/>
      <c r="FN78" s="285"/>
      <c r="FO78" s="285"/>
      <c r="FP78" s="285"/>
      <c r="FQ78" s="285"/>
      <c r="FR78" s="285"/>
      <c r="FS78" s="285"/>
      <c r="FT78" s="285"/>
      <c r="FU78" s="285"/>
      <c r="FV78" s="285"/>
      <c r="FW78" s="285"/>
      <c r="FX78" s="285"/>
      <c r="FY78" s="285"/>
      <c r="FZ78" s="285"/>
      <c r="GA78" s="285"/>
      <c r="GB78" s="285"/>
      <c r="GC78" s="285"/>
      <c r="GD78" s="285"/>
      <c r="GE78" s="285"/>
      <c r="GF78" s="285"/>
      <c r="GG78" s="285"/>
      <c r="GH78" s="285"/>
      <c r="GI78" s="285"/>
      <c r="GJ78" s="285"/>
      <c r="GK78" s="285"/>
      <c r="GL78" s="285"/>
      <c r="GM78" s="285"/>
      <c r="GN78" s="285"/>
      <c r="GO78" s="285"/>
      <c r="GP78" s="285"/>
      <c r="GQ78" s="285"/>
      <c r="GR78" s="285"/>
      <c r="GS78" s="285"/>
      <c r="GT78" s="285"/>
      <c r="GU78" s="285"/>
      <c r="GV78" s="285"/>
      <c r="GW78" s="285"/>
      <c r="GX78" s="285"/>
      <c r="GY78" s="285"/>
      <c r="GZ78" s="285"/>
      <c r="HA78" s="285"/>
      <c r="HB78" s="285"/>
      <c r="HC78" s="285"/>
      <c r="HD78" s="285"/>
      <c r="HE78" s="285"/>
      <c r="HF78" s="285"/>
      <c r="HG78" s="285"/>
      <c r="HH78" s="285"/>
      <c r="HI78" s="285"/>
      <c r="HJ78" s="285"/>
      <c r="HK78" s="285"/>
      <c r="HL78" s="285"/>
      <c r="HM78" s="285"/>
      <c r="HN78" s="285"/>
      <c r="HO78" s="285"/>
      <c r="HP78" s="285"/>
      <c r="HQ78" s="285"/>
      <c r="HR78" s="285"/>
      <c r="HS78" s="285"/>
      <c r="HT78" s="285"/>
      <c r="HU78" s="285"/>
      <c r="HV78" s="285"/>
      <c r="HW78" s="285"/>
      <c r="HX78" s="285"/>
      <c r="HY78" s="285"/>
      <c r="HZ78" s="285"/>
      <c r="IA78" s="285"/>
      <c r="IB78" s="285"/>
      <c r="IC78" s="285"/>
      <c r="ID78" s="285"/>
      <c r="IE78" s="285"/>
      <c r="IF78" s="285"/>
      <c r="IG78" s="285"/>
      <c r="IH78" s="285"/>
      <c r="II78" s="285"/>
      <c r="IJ78" s="285"/>
      <c r="IK78" s="285"/>
      <c r="IL78" s="285"/>
      <c r="IM78" s="285"/>
      <c r="IN78" s="285"/>
      <c r="IO78" s="285"/>
      <c r="IP78" s="285"/>
      <c r="IQ78" s="285"/>
      <c r="IR78" s="285"/>
      <c r="IS78" s="285"/>
      <c r="IT78" s="285"/>
      <c r="IU78" s="285"/>
      <c r="IV78" s="285"/>
      <c r="IW78" s="285"/>
      <c r="IX78" s="285"/>
      <c r="IY78" s="285"/>
      <c r="IZ78" s="285"/>
      <c r="JA78" s="285"/>
      <c r="JB78" s="285"/>
      <c r="JC78" s="285"/>
      <c r="JD78" s="285"/>
      <c r="JE78" s="285"/>
      <c r="JF78" s="285"/>
      <c r="JG78" s="285"/>
      <c r="JH78" s="285"/>
      <c r="JI78" s="285"/>
      <c r="JJ78" s="285"/>
      <c r="JK78" s="285"/>
      <c r="JL78" s="285"/>
      <c r="JM78" s="285"/>
      <c r="JN78" s="285"/>
      <c r="JO78" s="285"/>
      <c r="JP78" s="285"/>
      <c r="JQ78" s="285"/>
      <c r="JR78" s="285"/>
      <c r="JS78" s="285"/>
      <c r="JT78" s="285"/>
      <c r="JU78" s="285"/>
      <c r="JV78" s="285"/>
      <c r="JW78" s="285"/>
      <c r="JX78" s="285"/>
      <c r="JY78" s="285"/>
      <c r="JZ78" s="285"/>
      <c r="KA78" s="285"/>
      <c r="KB78" s="285"/>
      <c r="KC78" s="285"/>
      <c r="KD78" s="285"/>
      <c r="KE78" s="285"/>
      <c r="KF78" s="285"/>
      <c r="KG78" s="285"/>
      <c r="KH78" s="285"/>
      <c r="KI78" s="285"/>
      <c r="KJ78" s="285"/>
      <c r="KK78" s="285"/>
      <c r="KL78" s="285"/>
      <c r="KM78" s="285"/>
      <c r="KN78" s="285"/>
      <c r="KO78" s="285"/>
      <c r="KP78" s="285"/>
      <c r="KQ78" s="285"/>
      <c r="KR78" s="298"/>
      <c r="KS78" s="285"/>
      <c r="KT78" s="285"/>
      <c r="KU78" s="268"/>
      <c r="KV78" s="288"/>
      <c r="KW78" s="288"/>
    </row>
    <row r="79" spans="1:825" ht="16.2" customHeight="1">
      <c r="A79" s="1202" t="s">
        <v>5212</v>
      </c>
      <c r="B79" s="1231" t="s">
        <v>5213</v>
      </c>
      <c r="C79" s="906">
        <v>311305412</v>
      </c>
      <c r="D79" s="906" t="s">
        <v>6926</v>
      </c>
      <c r="E79" s="1216" t="s">
        <v>5259</v>
      </c>
      <c r="F79" s="74"/>
      <c r="G79" s="75"/>
      <c r="H79" s="944" t="s">
        <v>6806</v>
      </c>
      <c r="I79" s="944"/>
      <c r="J79" s="944"/>
      <c r="K79" s="1308"/>
      <c r="L79" s="1308"/>
      <c r="M79" s="1308"/>
      <c r="N79" s="1308"/>
      <c r="O79" s="285">
        <v>1</v>
      </c>
      <c r="P79" s="285"/>
      <c r="Q79" s="285"/>
      <c r="R79" s="1240" t="s">
        <v>5261</v>
      </c>
      <c r="S79" s="1240"/>
      <c r="T79" s="1240"/>
      <c r="U79" s="1240"/>
      <c r="V79" s="1223" t="s">
        <v>5282</v>
      </c>
      <c r="W79" s="285"/>
      <c r="X79" s="1308"/>
      <c r="Y79" s="1308"/>
      <c r="Z79" s="1308"/>
      <c r="AA79" s="1308"/>
      <c r="AB79" s="285"/>
      <c r="AC79" s="285" t="s">
        <v>5320</v>
      </c>
      <c r="AD79" s="285"/>
      <c r="AE79" s="285"/>
      <c r="AF79" s="285"/>
      <c r="AG79" s="285"/>
      <c r="AH79" s="285"/>
      <c r="AI79" s="285"/>
      <c r="AJ79" s="285"/>
      <c r="AK79" s="285"/>
      <c r="AL79" s="285"/>
      <c r="AM79" s="285"/>
      <c r="AN79" s="285"/>
      <c r="AO79" s="285"/>
      <c r="AP79" s="285"/>
      <c r="AQ79" s="285"/>
      <c r="AR79" s="285"/>
      <c r="AS79" s="285"/>
      <c r="AT79" s="285"/>
      <c r="AU79" s="285"/>
      <c r="AV79" s="285"/>
      <c r="AW79" s="285"/>
      <c r="AX79" s="285"/>
      <c r="AY79" s="285"/>
      <c r="AZ79" s="285"/>
      <c r="BA79" s="285"/>
      <c r="BB79" s="285"/>
      <c r="BC79" s="285"/>
      <c r="BD79" s="285"/>
      <c r="BE79" s="285"/>
      <c r="BF79" s="285"/>
      <c r="BG79" s="285"/>
      <c r="BH79" s="285"/>
      <c r="BI79" s="285"/>
      <c r="BJ79" s="285"/>
      <c r="BK79" s="285"/>
      <c r="BL79" s="285"/>
      <c r="BM79" s="285"/>
      <c r="BN79" s="285"/>
      <c r="BO79" s="285"/>
      <c r="BP79" s="285"/>
      <c r="BQ79" s="285"/>
      <c r="BR79" s="285"/>
      <c r="BS79" s="285"/>
      <c r="BT79" s="285"/>
      <c r="BU79" s="285"/>
      <c r="BV79" s="285"/>
      <c r="BW79" s="285"/>
      <c r="BX79" s="285"/>
      <c r="BY79" s="285"/>
      <c r="BZ79" s="285"/>
      <c r="CA79" s="285"/>
      <c r="CB79" s="285"/>
      <c r="CC79" s="285"/>
      <c r="CD79" s="285"/>
      <c r="CE79" s="285"/>
      <c r="CF79" s="285"/>
      <c r="CG79" s="285"/>
      <c r="CH79" s="285"/>
      <c r="CI79" s="285"/>
      <c r="CJ79" s="285"/>
      <c r="CK79" s="285"/>
      <c r="CL79" s="285"/>
      <c r="CM79" s="285"/>
      <c r="CN79" s="285"/>
      <c r="CO79" s="285"/>
      <c r="CP79" s="285"/>
      <c r="CQ79" s="285"/>
      <c r="CR79" s="285"/>
      <c r="CS79" s="285"/>
      <c r="CT79" s="285"/>
      <c r="CU79" s="285"/>
      <c r="CV79" s="285"/>
      <c r="CW79" s="285"/>
      <c r="CX79" s="285"/>
      <c r="CY79" s="285"/>
      <c r="CZ79" s="285"/>
      <c r="DA79" s="285"/>
      <c r="DB79" s="285"/>
      <c r="DC79" s="285"/>
      <c r="DD79" s="285"/>
      <c r="DE79" s="285"/>
      <c r="DF79" s="285"/>
      <c r="DG79" s="285"/>
      <c r="DH79" s="285"/>
      <c r="DI79" s="285"/>
      <c r="DJ79" s="285"/>
      <c r="DK79" s="285"/>
      <c r="DL79" s="285"/>
      <c r="DM79" s="285"/>
      <c r="DN79" s="285"/>
      <c r="DO79" s="285"/>
      <c r="DP79" s="285"/>
      <c r="DQ79" s="285"/>
      <c r="DR79" s="285"/>
      <c r="DS79" s="285"/>
      <c r="DT79" s="285"/>
      <c r="DU79" s="285"/>
      <c r="DV79" s="285"/>
      <c r="DW79" s="285"/>
      <c r="DX79" s="285"/>
      <c r="DY79" s="285"/>
      <c r="DZ79" s="285"/>
      <c r="EA79" s="285"/>
      <c r="EB79" s="285"/>
      <c r="EC79" s="285"/>
      <c r="ED79" s="285"/>
      <c r="EE79" s="285"/>
      <c r="EF79" s="285"/>
      <c r="EG79" s="285"/>
      <c r="EH79" s="285"/>
      <c r="EI79" s="285"/>
      <c r="EJ79" s="285"/>
      <c r="EK79" s="285"/>
      <c r="EL79" s="285"/>
      <c r="EM79" s="285"/>
      <c r="EN79" s="285"/>
      <c r="EO79" s="285"/>
      <c r="EP79" s="285"/>
      <c r="EQ79" s="285"/>
      <c r="ER79" s="285"/>
      <c r="ES79" s="285"/>
      <c r="ET79" s="285"/>
      <c r="EU79" s="285"/>
      <c r="EV79" s="285"/>
      <c r="EW79" s="285"/>
      <c r="EX79" s="285"/>
      <c r="EY79" s="285"/>
      <c r="EZ79" s="285"/>
      <c r="FA79" s="285"/>
      <c r="FB79" s="285"/>
      <c r="FC79" s="285"/>
      <c r="FD79" s="285"/>
      <c r="FE79" s="285"/>
      <c r="FF79" s="285"/>
      <c r="FG79" s="285"/>
      <c r="FH79" s="285"/>
      <c r="FI79" s="285"/>
      <c r="FJ79" s="285"/>
      <c r="FK79" s="285"/>
      <c r="FL79" s="285"/>
      <c r="FM79" s="285"/>
      <c r="FN79" s="285"/>
      <c r="FO79" s="285"/>
      <c r="FP79" s="285"/>
      <c r="FQ79" s="285"/>
      <c r="FR79" s="285"/>
      <c r="FS79" s="285"/>
      <c r="FT79" s="285"/>
      <c r="FU79" s="285"/>
      <c r="FV79" s="285"/>
      <c r="FW79" s="285"/>
      <c r="FX79" s="285"/>
      <c r="FY79" s="285"/>
      <c r="FZ79" s="285"/>
      <c r="GA79" s="285"/>
      <c r="GB79" s="285"/>
      <c r="GC79" s="285"/>
      <c r="GD79" s="285"/>
      <c r="GE79" s="285"/>
      <c r="GF79" s="285"/>
      <c r="GG79" s="285"/>
      <c r="GH79" s="285"/>
      <c r="GI79" s="285"/>
      <c r="GJ79" s="285"/>
      <c r="GK79" s="285"/>
      <c r="GL79" s="285"/>
      <c r="GM79" s="285"/>
      <c r="GN79" s="285"/>
      <c r="GO79" s="285"/>
      <c r="GP79" s="285"/>
      <c r="GQ79" s="285"/>
      <c r="GR79" s="285"/>
      <c r="GS79" s="285"/>
      <c r="GT79" s="285"/>
      <c r="GU79" s="285"/>
      <c r="GV79" s="285"/>
      <c r="GW79" s="285"/>
      <c r="GX79" s="285"/>
      <c r="GY79" s="285"/>
      <c r="GZ79" s="285"/>
      <c r="HA79" s="285"/>
      <c r="HB79" s="285"/>
      <c r="HC79" s="285"/>
      <c r="HD79" s="285"/>
      <c r="HE79" s="285"/>
      <c r="HF79" s="285"/>
      <c r="HG79" s="285"/>
      <c r="HH79" s="285"/>
      <c r="HI79" s="285"/>
      <c r="HJ79" s="285"/>
      <c r="HK79" s="285"/>
      <c r="HL79" s="285"/>
      <c r="HM79" s="285"/>
      <c r="HN79" s="285"/>
      <c r="HO79" s="285"/>
      <c r="HP79" s="285"/>
      <c r="HQ79" s="285"/>
      <c r="HR79" s="285"/>
      <c r="HS79" s="285"/>
      <c r="HT79" s="285"/>
      <c r="HU79" s="285"/>
      <c r="HV79" s="285"/>
      <c r="HW79" s="285"/>
      <c r="HX79" s="285"/>
      <c r="HY79" s="285"/>
      <c r="HZ79" s="285"/>
      <c r="IA79" s="285"/>
      <c r="IB79" s="285"/>
      <c r="IC79" s="285"/>
      <c r="ID79" s="285"/>
      <c r="IE79" s="285"/>
      <c r="IF79" s="285"/>
      <c r="IG79" s="285"/>
      <c r="IH79" s="285"/>
      <c r="II79" s="285"/>
      <c r="IJ79" s="285"/>
      <c r="IK79" s="285"/>
      <c r="IL79" s="285"/>
      <c r="IM79" s="285"/>
      <c r="IN79" s="285"/>
      <c r="IO79" s="285"/>
      <c r="IP79" s="285"/>
      <c r="IQ79" s="285"/>
      <c r="IR79" s="285"/>
      <c r="IS79" s="285"/>
      <c r="IT79" s="285"/>
      <c r="IU79" s="285"/>
      <c r="IV79" s="285"/>
      <c r="IW79" s="285"/>
      <c r="IX79" s="285"/>
      <c r="IY79" s="285"/>
      <c r="IZ79" s="285"/>
      <c r="JA79" s="285"/>
      <c r="JB79" s="285"/>
      <c r="JC79" s="285"/>
      <c r="JD79" s="285"/>
      <c r="JE79" s="285"/>
      <c r="JF79" s="285"/>
      <c r="JG79" s="285"/>
      <c r="JH79" s="285"/>
      <c r="JI79" s="285"/>
      <c r="JJ79" s="285"/>
      <c r="JK79" s="285"/>
      <c r="JL79" s="285"/>
      <c r="JM79" s="285"/>
      <c r="JN79" s="285"/>
      <c r="JO79" s="285"/>
      <c r="JP79" s="285"/>
      <c r="JQ79" s="285"/>
      <c r="JR79" s="285"/>
      <c r="JS79" s="285"/>
      <c r="JT79" s="285"/>
      <c r="JU79" s="285"/>
      <c r="JV79" s="285"/>
      <c r="JW79" s="285"/>
      <c r="JX79" s="285"/>
      <c r="JY79" s="285"/>
      <c r="JZ79" s="285"/>
      <c r="KA79" s="285"/>
      <c r="KB79" s="285"/>
      <c r="KC79" s="285"/>
      <c r="KD79" s="285"/>
      <c r="KE79" s="285"/>
      <c r="KF79" s="285"/>
      <c r="KG79" s="285"/>
      <c r="KH79" s="285"/>
      <c r="KI79" s="285"/>
      <c r="KJ79" s="285"/>
      <c r="KK79" s="285"/>
      <c r="KL79" s="285"/>
      <c r="KM79" s="285"/>
      <c r="KN79" s="285"/>
      <c r="KO79" s="285"/>
      <c r="KP79" s="285"/>
      <c r="KQ79" s="285"/>
      <c r="KR79" s="298"/>
      <c r="KS79" s="285"/>
      <c r="KT79" s="285"/>
      <c r="KU79" s="268"/>
      <c r="KV79" s="288"/>
      <c r="KW79" s="288"/>
    </row>
    <row r="80" spans="1:825" ht="16.2" customHeight="1">
      <c r="A80" s="1214" t="s">
        <v>5234</v>
      </c>
      <c r="B80" s="1215" t="s">
        <v>5237</v>
      </c>
      <c r="C80" s="906">
        <v>311292803</v>
      </c>
      <c r="D80" s="906" t="s">
        <v>6926</v>
      </c>
      <c r="E80" s="1428" t="s">
        <v>5238</v>
      </c>
      <c r="F80" s="74"/>
      <c r="G80" s="75"/>
      <c r="H80" s="944" t="s">
        <v>6806</v>
      </c>
      <c r="I80" s="944"/>
      <c r="J80" s="944">
        <v>0</v>
      </c>
      <c r="K80" s="1308"/>
      <c r="L80" s="1308"/>
      <c r="M80" s="1308"/>
      <c r="N80" s="1308"/>
      <c r="O80" s="285">
        <v>1</v>
      </c>
      <c r="P80" s="285"/>
      <c r="Q80" s="285"/>
      <c r="R80" s="1223" t="s">
        <v>5261</v>
      </c>
      <c r="S80" s="1223"/>
      <c r="T80" s="1223"/>
      <c r="U80" s="1223"/>
      <c r="V80" s="1223" t="s">
        <v>5262</v>
      </c>
      <c r="W80" s="285"/>
      <c r="X80" s="1308"/>
      <c r="Y80" s="1308"/>
      <c r="Z80" s="1308"/>
      <c r="AA80" s="1308"/>
      <c r="AB80" s="285"/>
      <c r="AC80" s="285"/>
      <c r="AD80" s="285"/>
      <c r="AE80" s="285"/>
      <c r="AF80" s="285"/>
      <c r="AG80" s="285"/>
      <c r="AH80" s="285"/>
      <c r="AI80" s="285"/>
      <c r="AJ80" s="285"/>
      <c r="AK80" s="285"/>
      <c r="AL80" s="285"/>
      <c r="AM80" s="285"/>
      <c r="AN80" s="285"/>
      <c r="AO80" s="285"/>
      <c r="AP80" s="285"/>
      <c r="AQ80" s="285"/>
      <c r="AR80" s="285"/>
      <c r="AS80" s="285"/>
      <c r="AT80" s="285"/>
      <c r="AU80" s="285"/>
      <c r="AV80" s="285"/>
      <c r="AW80" s="285"/>
      <c r="AX80" s="285"/>
      <c r="AY80" s="285"/>
      <c r="AZ80" s="285"/>
      <c r="BA80" s="285"/>
      <c r="BB80" s="285"/>
      <c r="BC80" s="285"/>
      <c r="BD80" s="285"/>
      <c r="BE80" s="285"/>
      <c r="BF80" s="285"/>
      <c r="BG80" s="285"/>
      <c r="BH80" s="285"/>
      <c r="BI80" s="285"/>
      <c r="BJ80" s="285"/>
      <c r="BK80" s="285"/>
      <c r="BL80" s="285"/>
      <c r="BM80" s="285"/>
      <c r="BN80" s="285"/>
      <c r="BO80" s="285"/>
      <c r="BP80" s="285"/>
      <c r="BQ80" s="285"/>
      <c r="BR80" s="285"/>
      <c r="BS80" s="285"/>
      <c r="BT80" s="285"/>
      <c r="BU80" s="285"/>
      <c r="BV80" s="285"/>
      <c r="BW80" s="285"/>
      <c r="BX80" s="285"/>
      <c r="BY80" s="285"/>
      <c r="BZ80" s="285"/>
      <c r="CA80" s="285"/>
      <c r="CB80" s="285"/>
      <c r="CC80" s="285"/>
      <c r="CD80" s="285"/>
      <c r="CE80" s="285"/>
      <c r="CF80" s="285"/>
      <c r="CG80" s="285"/>
      <c r="CH80" s="285"/>
      <c r="CI80" s="285"/>
      <c r="CJ80" s="285"/>
      <c r="CK80" s="285"/>
      <c r="CL80" s="285"/>
      <c r="CM80" s="285"/>
      <c r="CN80" s="285"/>
      <c r="CO80" s="285"/>
      <c r="CP80" s="285"/>
      <c r="CQ80" s="285"/>
      <c r="CR80" s="285"/>
      <c r="CS80" s="285"/>
      <c r="CT80" s="285"/>
      <c r="CU80" s="285"/>
      <c r="CV80" s="285"/>
      <c r="CW80" s="285"/>
      <c r="CX80" s="285"/>
      <c r="CY80" s="285"/>
      <c r="CZ80" s="285"/>
      <c r="DA80" s="285"/>
      <c r="DB80" s="285"/>
      <c r="DC80" s="285"/>
      <c r="DD80" s="285"/>
      <c r="DE80" s="285"/>
      <c r="DF80" s="285"/>
      <c r="DG80" s="285"/>
      <c r="DH80" s="285"/>
      <c r="DI80" s="285"/>
      <c r="DJ80" s="285"/>
      <c r="DK80" s="285"/>
      <c r="DL80" s="285"/>
      <c r="DM80" s="285"/>
      <c r="DN80" s="285"/>
      <c r="DO80" s="285"/>
      <c r="DP80" s="285"/>
      <c r="DQ80" s="285"/>
      <c r="DR80" s="285"/>
      <c r="DS80" s="285"/>
      <c r="DT80" s="285"/>
      <c r="DU80" s="285"/>
      <c r="DV80" s="285"/>
      <c r="DW80" s="285"/>
      <c r="DX80" s="285"/>
      <c r="DY80" s="285"/>
      <c r="DZ80" s="285"/>
      <c r="EA80" s="285"/>
      <c r="EB80" s="285"/>
      <c r="EC80" s="285"/>
      <c r="ED80" s="285"/>
      <c r="EE80" s="285"/>
      <c r="EF80" s="285"/>
      <c r="EG80" s="285"/>
      <c r="EH80" s="285"/>
      <c r="EI80" s="285"/>
      <c r="EJ80" s="285"/>
      <c r="EK80" s="285"/>
      <c r="EL80" s="285"/>
      <c r="EM80" s="285"/>
      <c r="EN80" s="285"/>
      <c r="EO80" s="285"/>
      <c r="EP80" s="285"/>
      <c r="EQ80" s="285"/>
      <c r="ER80" s="285"/>
      <c r="ES80" s="285"/>
      <c r="ET80" s="285"/>
      <c r="EU80" s="285"/>
      <c r="EV80" s="285"/>
      <c r="EW80" s="285"/>
      <c r="EX80" s="285"/>
      <c r="EY80" s="285"/>
      <c r="EZ80" s="285"/>
      <c r="FA80" s="285"/>
      <c r="FB80" s="285"/>
      <c r="FC80" s="285"/>
      <c r="FD80" s="285"/>
      <c r="FE80" s="285"/>
      <c r="FF80" s="285"/>
      <c r="FG80" s="285"/>
      <c r="FH80" s="285"/>
      <c r="FI80" s="285"/>
      <c r="FJ80" s="285"/>
      <c r="FK80" s="285"/>
      <c r="FL80" s="285"/>
      <c r="FM80" s="285"/>
      <c r="FN80" s="285"/>
      <c r="FO80" s="285"/>
      <c r="FP80" s="285"/>
      <c r="FQ80" s="285"/>
      <c r="FR80" s="285"/>
      <c r="FS80" s="285"/>
      <c r="FT80" s="285"/>
      <c r="FU80" s="285"/>
      <c r="FV80" s="285"/>
      <c r="FW80" s="285"/>
      <c r="FX80" s="285"/>
      <c r="FY80" s="285"/>
      <c r="FZ80" s="285"/>
      <c r="GA80" s="285"/>
      <c r="GB80" s="285"/>
      <c r="GC80" s="285"/>
      <c r="GD80" s="285"/>
      <c r="GE80" s="285"/>
      <c r="GF80" s="285"/>
      <c r="GG80" s="285"/>
      <c r="GH80" s="285"/>
      <c r="GI80" s="285"/>
      <c r="GJ80" s="285"/>
      <c r="GK80" s="285"/>
      <c r="GL80" s="285"/>
      <c r="GM80" s="285"/>
      <c r="GN80" s="285"/>
      <c r="GO80" s="285"/>
      <c r="GP80" s="285"/>
      <c r="GQ80" s="285"/>
      <c r="GR80" s="285"/>
      <c r="GS80" s="285"/>
      <c r="GT80" s="285"/>
      <c r="GU80" s="285"/>
      <c r="GV80" s="285"/>
      <c r="GW80" s="285"/>
      <c r="GX80" s="285"/>
      <c r="GY80" s="285"/>
      <c r="GZ80" s="285"/>
      <c r="HA80" s="285"/>
      <c r="HB80" s="285"/>
      <c r="HC80" s="285"/>
      <c r="HD80" s="285"/>
      <c r="HE80" s="285"/>
      <c r="HF80" s="285"/>
      <c r="HG80" s="285"/>
      <c r="HH80" s="285"/>
      <c r="HI80" s="285"/>
      <c r="HJ80" s="285"/>
      <c r="HK80" s="285"/>
      <c r="HL80" s="285"/>
      <c r="HM80" s="285"/>
      <c r="HN80" s="285"/>
      <c r="HO80" s="285"/>
      <c r="HP80" s="285"/>
      <c r="HQ80" s="285"/>
      <c r="HR80" s="285"/>
      <c r="HS80" s="285"/>
      <c r="HT80" s="285"/>
      <c r="HU80" s="285"/>
      <c r="HV80" s="285"/>
      <c r="HW80" s="285"/>
      <c r="HX80" s="285"/>
      <c r="HY80" s="285"/>
      <c r="HZ80" s="285"/>
      <c r="IA80" s="285"/>
      <c r="IB80" s="285"/>
      <c r="IC80" s="285"/>
      <c r="ID80" s="285"/>
      <c r="IE80" s="285"/>
      <c r="IF80" s="285"/>
      <c r="IG80" s="285"/>
      <c r="IH80" s="285"/>
      <c r="II80" s="285"/>
      <c r="IJ80" s="285"/>
      <c r="IK80" s="285"/>
      <c r="IL80" s="285"/>
      <c r="IM80" s="285"/>
      <c r="IN80" s="285"/>
      <c r="IO80" s="285"/>
      <c r="IP80" s="285"/>
      <c r="IQ80" s="285"/>
      <c r="IR80" s="285"/>
      <c r="IS80" s="285"/>
      <c r="IT80" s="285"/>
      <c r="IU80" s="285"/>
      <c r="IV80" s="285"/>
      <c r="IW80" s="285"/>
      <c r="IX80" s="285"/>
      <c r="IY80" s="285"/>
      <c r="IZ80" s="285"/>
      <c r="JA80" s="285"/>
      <c r="JB80" s="285"/>
      <c r="JC80" s="285"/>
      <c r="JD80" s="285"/>
      <c r="JE80" s="285"/>
      <c r="JF80" s="285"/>
      <c r="JG80" s="285"/>
      <c r="JH80" s="285"/>
      <c r="JI80" s="285"/>
      <c r="JJ80" s="285"/>
      <c r="JK80" s="285"/>
      <c r="JL80" s="285"/>
      <c r="JM80" s="285"/>
      <c r="JN80" s="285"/>
      <c r="JO80" s="285"/>
      <c r="JP80" s="285"/>
      <c r="JQ80" s="285"/>
      <c r="JR80" s="285"/>
      <c r="JS80" s="285"/>
      <c r="JT80" s="285"/>
      <c r="JU80" s="285"/>
      <c r="JV80" s="285"/>
      <c r="JW80" s="285"/>
      <c r="JX80" s="285"/>
      <c r="JY80" s="285"/>
      <c r="JZ80" s="285"/>
      <c r="KA80" s="285"/>
      <c r="KB80" s="285"/>
      <c r="KC80" s="285"/>
      <c r="KD80" s="285"/>
      <c r="KE80" s="285"/>
      <c r="KF80" s="285"/>
      <c r="KG80" s="285"/>
      <c r="KH80" s="285"/>
      <c r="KI80" s="285"/>
      <c r="KJ80" s="285"/>
      <c r="KK80" s="285"/>
      <c r="KL80" s="285"/>
      <c r="KM80" s="285"/>
      <c r="KN80" s="285"/>
      <c r="KO80" s="285"/>
      <c r="KP80" s="285"/>
      <c r="KQ80" s="285"/>
      <c r="KR80" s="298"/>
      <c r="KS80" s="285"/>
      <c r="KT80" s="285"/>
      <c r="KU80" s="268"/>
      <c r="KV80" s="288"/>
      <c r="KW80" s="288"/>
    </row>
    <row r="81" spans="1:309" ht="16.2" customHeight="1">
      <c r="A81" s="1214" t="s">
        <v>5234</v>
      </c>
      <c r="B81" s="1215" t="s">
        <v>5236</v>
      </c>
      <c r="C81" s="906">
        <v>311306671</v>
      </c>
      <c r="D81" s="906" t="s">
        <v>6926</v>
      </c>
      <c r="E81" s="1428" t="s">
        <v>5260</v>
      </c>
      <c r="F81" s="74"/>
      <c r="G81" s="75"/>
      <c r="H81" s="944" t="s">
        <v>6891</v>
      </c>
      <c r="I81" s="944"/>
      <c r="J81" s="944"/>
      <c r="K81" s="1308"/>
      <c r="L81" s="1308"/>
      <c r="M81" s="1308"/>
      <c r="N81" s="1308"/>
      <c r="O81" s="268">
        <v>0</v>
      </c>
      <c r="P81" s="1308"/>
      <c r="Q81" s="1308"/>
      <c r="R81" s="285" t="s">
        <v>5339</v>
      </c>
      <c r="S81" s="285"/>
      <c r="T81" s="285"/>
      <c r="U81" s="285"/>
      <c r="V81" s="285" t="s">
        <v>5263</v>
      </c>
      <c r="W81" s="285"/>
      <c r="X81" s="1308"/>
      <c r="Y81" s="1308"/>
      <c r="Z81" s="1308"/>
      <c r="AA81" s="1308"/>
      <c r="AB81" s="285"/>
      <c r="AC81" s="285" t="s">
        <v>5340</v>
      </c>
      <c r="AD81" s="285"/>
      <c r="AE81" s="285"/>
      <c r="AF81" s="285"/>
      <c r="AG81" s="285"/>
      <c r="AH81" s="285"/>
      <c r="AI81" s="285"/>
      <c r="AJ81" s="285"/>
      <c r="AK81" s="285"/>
      <c r="AL81" s="285"/>
      <c r="AM81" s="285"/>
      <c r="AN81" s="285"/>
      <c r="AO81" s="285"/>
      <c r="AP81" s="285"/>
      <c r="AQ81" s="285"/>
      <c r="AR81" s="285"/>
      <c r="AS81" s="285"/>
      <c r="AT81" s="285"/>
      <c r="AU81" s="285"/>
      <c r="AV81" s="285"/>
      <c r="AW81" s="285"/>
      <c r="AX81" s="285"/>
      <c r="AY81" s="285"/>
      <c r="AZ81" s="285"/>
      <c r="BA81" s="285"/>
      <c r="BB81" s="285"/>
      <c r="BC81" s="285"/>
      <c r="BD81" s="285"/>
      <c r="BE81" s="285"/>
      <c r="BF81" s="285"/>
      <c r="BG81" s="285"/>
      <c r="BH81" s="285"/>
      <c r="BI81" s="285"/>
      <c r="BJ81" s="285"/>
      <c r="BK81" s="285"/>
      <c r="BL81" s="285"/>
      <c r="BM81" s="285"/>
      <c r="BN81" s="285"/>
      <c r="BO81" s="285"/>
      <c r="BP81" s="285"/>
      <c r="BQ81" s="285"/>
      <c r="BR81" s="285"/>
      <c r="BS81" s="285"/>
      <c r="BT81" s="285"/>
      <c r="BU81" s="285"/>
      <c r="BV81" s="285"/>
      <c r="BW81" s="285"/>
      <c r="BX81" s="285"/>
      <c r="BY81" s="285"/>
      <c r="BZ81" s="285"/>
      <c r="CA81" s="285"/>
      <c r="CB81" s="285"/>
      <c r="CC81" s="285"/>
      <c r="CD81" s="285"/>
      <c r="CE81" s="285"/>
      <c r="CF81" s="285"/>
      <c r="CG81" s="285"/>
      <c r="CH81" s="285"/>
      <c r="CI81" s="285"/>
      <c r="CJ81" s="285"/>
      <c r="CK81" s="285"/>
      <c r="CL81" s="285"/>
      <c r="CM81" s="285"/>
      <c r="CN81" s="285"/>
      <c r="CO81" s="285"/>
      <c r="CP81" s="285"/>
      <c r="CQ81" s="285"/>
      <c r="CR81" s="285"/>
      <c r="CS81" s="285"/>
      <c r="CT81" s="285"/>
      <c r="CU81" s="285"/>
      <c r="CV81" s="285"/>
      <c r="CW81" s="285"/>
      <c r="CX81" s="285"/>
      <c r="CY81" s="285"/>
      <c r="CZ81" s="285"/>
      <c r="DA81" s="285"/>
      <c r="DB81" s="285"/>
      <c r="DC81" s="285"/>
      <c r="DD81" s="285"/>
      <c r="DE81" s="285"/>
      <c r="DF81" s="285"/>
      <c r="DG81" s="285"/>
      <c r="DH81" s="285"/>
      <c r="DI81" s="285"/>
      <c r="DJ81" s="285"/>
      <c r="DK81" s="285"/>
      <c r="DL81" s="285"/>
      <c r="DM81" s="285"/>
      <c r="DN81" s="285"/>
      <c r="DO81" s="285"/>
      <c r="DP81" s="285"/>
      <c r="DQ81" s="285"/>
      <c r="DR81" s="285"/>
      <c r="DS81" s="285"/>
      <c r="DT81" s="285"/>
      <c r="DU81" s="285"/>
      <c r="DV81" s="285"/>
      <c r="DW81" s="285"/>
      <c r="DX81" s="285"/>
      <c r="DY81" s="285"/>
      <c r="DZ81" s="285"/>
      <c r="EA81" s="285"/>
      <c r="EB81" s="285"/>
      <c r="EC81" s="285"/>
      <c r="ED81" s="285"/>
      <c r="EE81" s="285"/>
      <c r="EF81" s="285"/>
      <c r="EG81" s="285"/>
      <c r="EH81" s="285"/>
      <c r="EI81" s="285"/>
      <c r="EJ81" s="285"/>
      <c r="EK81" s="285"/>
      <c r="EL81" s="285"/>
      <c r="EM81" s="285"/>
      <c r="EN81" s="285"/>
      <c r="EO81" s="285"/>
      <c r="EP81" s="285"/>
      <c r="EQ81" s="285"/>
      <c r="ER81" s="285"/>
      <c r="ES81" s="285"/>
      <c r="ET81" s="285"/>
      <c r="EU81" s="285"/>
      <c r="EV81" s="285"/>
      <c r="EW81" s="285"/>
      <c r="EX81" s="285"/>
      <c r="EY81" s="285"/>
      <c r="EZ81" s="285"/>
      <c r="FA81" s="285"/>
      <c r="FB81" s="285"/>
      <c r="FC81" s="285"/>
      <c r="FD81" s="285"/>
      <c r="FE81" s="285"/>
      <c r="FF81" s="285"/>
      <c r="FG81" s="285"/>
      <c r="FH81" s="285"/>
      <c r="FI81" s="285"/>
      <c r="FJ81" s="285"/>
      <c r="FK81" s="285"/>
      <c r="FL81" s="285"/>
      <c r="FM81" s="285"/>
      <c r="FN81" s="285"/>
      <c r="FO81" s="285"/>
      <c r="FP81" s="285"/>
      <c r="FQ81" s="285"/>
      <c r="FR81" s="285"/>
      <c r="FS81" s="285"/>
      <c r="FT81" s="285"/>
      <c r="FU81" s="285"/>
      <c r="FV81" s="285"/>
      <c r="FW81" s="285"/>
      <c r="FX81" s="285"/>
      <c r="FY81" s="285"/>
      <c r="FZ81" s="285"/>
      <c r="GA81" s="285"/>
      <c r="GB81" s="285"/>
      <c r="GC81" s="285"/>
      <c r="GD81" s="285"/>
      <c r="GE81" s="285"/>
      <c r="GF81" s="285"/>
      <c r="GG81" s="285"/>
      <c r="GH81" s="285"/>
      <c r="GI81" s="285"/>
      <c r="GJ81" s="285"/>
      <c r="GK81" s="285"/>
      <c r="GL81" s="285"/>
      <c r="GM81" s="285"/>
      <c r="GN81" s="285"/>
      <c r="GO81" s="285"/>
      <c r="GP81" s="285"/>
      <c r="GQ81" s="285"/>
      <c r="GR81" s="285"/>
      <c r="GS81" s="285"/>
      <c r="GT81" s="285"/>
      <c r="GU81" s="285"/>
      <c r="GV81" s="285"/>
      <c r="GW81" s="285"/>
      <c r="GX81" s="285"/>
      <c r="GY81" s="285"/>
      <c r="GZ81" s="285"/>
      <c r="HA81" s="285"/>
      <c r="HB81" s="285"/>
      <c r="HC81" s="285"/>
      <c r="HD81" s="285"/>
      <c r="HE81" s="285"/>
      <c r="HF81" s="285"/>
      <c r="HG81" s="285"/>
      <c r="HH81" s="285"/>
      <c r="HI81" s="285"/>
      <c r="HJ81" s="285"/>
      <c r="HK81" s="285"/>
      <c r="HL81" s="285"/>
      <c r="HM81" s="285"/>
      <c r="HN81" s="285"/>
      <c r="HO81" s="285"/>
      <c r="HP81" s="285"/>
      <c r="HQ81" s="285"/>
      <c r="HR81" s="285"/>
      <c r="HS81" s="285"/>
      <c r="HT81" s="285"/>
      <c r="HU81" s="285"/>
      <c r="HV81" s="285"/>
      <c r="HW81" s="285"/>
      <c r="HX81" s="285"/>
      <c r="HY81" s="285"/>
      <c r="HZ81" s="285"/>
      <c r="IA81" s="285"/>
      <c r="IB81" s="285"/>
      <c r="IC81" s="285"/>
      <c r="ID81" s="285"/>
      <c r="IE81" s="285"/>
      <c r="IF81" s="285"/>
      <c r="IG81" s="285"/>
      <c r="IH81" s="285"/>
      <c r="II81" s="285"/>
      <c r="IJ81" s="285"/>
      <c r="IK81" s="285"/>
      <c r="IL81" s="285"/>
      <c r="IM81" s="285"/>
      <c r="IN81" s="285"/>
      <c r="IO81" s="285"/>
      <c r="IP81" s="285"/>
      <c r="IQ81" s="285"/>
      <c r="IR81" s="285"/>
      <c r="IS81" s="285"/>
      <c r="IT81" s="285"/>
      <c r="IU81" s="285"/>
      <c r="IV81" s="285"/>
      <c r="IW81" s="285"/>
      <c r="IX81" s="285"/>
      <c r="IY81" s="285"/>
      <c r="IZ81" s="285"/>
      <c r="JA81" s="285"/>
      <c r="JB81" s="285"/>
      <c r="JC81" s="285"/>
      <c r="JD81" s="285"/>
      <c r="JE81" s="285"/>
      <c r="JF81" s="285"/>
      <c r="JG81" s="285"/>
      <c r="JH81" s="285"/>
      <c r="JI81" s="285"/>
      <c r="JJ81" s="285"/>
      <c r="JK81" s="285"/>
      <c r="JL81" s="285"/>
      <c r="JM81" s="285"/>
      <c r="JN81" s="285"/>
      <c r="JO81" s="285"/>
      <c r="JP81" s="285"/>
      <c r="JQ81" s="285"/>
      <c r="JR81" s="285"/>
      <c r="JS81" s="285"/>
      <c r="JT81" s="285"/>
      <c r="JU81" s="285"/>
      <c r="JV81" s="285"/>
      <c r="JW81" s="285"/>
      <c r="JX81" s="285"/>
      <c r="JY81" s="285"/>
      <c r="JZ81" s="285"/>
      <c r="KA81" s="285"/>
      <c r="KB81" s="285"/>
      <c r="KC81" s="285"/>
      <c r="KD81" s="285"/>
      <c r="KE81" s="285"/>
      <c r="KF81" s="285"/>
      <c r="KG81" s="285"/>
      <c r="KH81" s="285"/>
      <c r="KI81" s="285"/>
      <c r="KJ81" s="285"/>
      <c r="KK81" s="285"/>
      <c r="KL81" s="285"/>
      <c r="KM81" s="285"/>
      <c r="KN81" s="285"/>
      <c r="KO81" s="285"/>
      <c r="KP81" s="285"/>
      <c r="KQ81" s="285"/>
      <c r="KR81" s="298"/>
      <c r="KS81" s="285"/>
      <c r="KT81" s="285"/>
      <c r="KU81" s="268"/>
      <c r="KV81" s="288"/>
      <c r="KW81" s="288"/>
    </row>
    <row r="82" spans="1:309" ht="16.2" customHeight="1">
      <c r="A82" s="1214" t="s">
        <v>5234</v>
      </c>
      <c r="B82" s="1844" t="s">
        <v>5235</v>
      </c>
      <c r="C82" s="906">
        <v>311320291</v>
      </c>
      <c r="D82" s="906" t="s">
        <v>6926</v>
      </c>
      <c r="E82" s="1371" t="s">
        <v>5353</v>
      </c>
      <c r="F82" s="74"/>
      <c r="G82" s="75"/>
      <c r="H82" s="944" t="s">
        <v>6891</v>
      </c>
      <c r="I82" s="944"/>
      <c r="J82" s="944"/>
      <c r="K82" s="1308"/>
      <c r="L82" s="1308"/>
      <c r="M82" s="1308"/>
      <c r="N82" s="1308"/>
      <c r="O82" s="1308"/>
      <c r="P82" s="1308"/>
      <c r="Q82" s="1308"/>
      <c r="R82" s="285" t="s">
        <v>5339</v>
      </c>
      <c r="S82" s="285"/>
      <c r="T82" s="285"/>
      <c r="U82" s="285"/>
      <c r="V82" s="285" t="s">
        <v>5294</v>
      </c>
      <c r="W82" s="285"/>
      <c r="X82" s="1308"/>
      <c r="Y82" s="1308"/>
      <c r="Z82" s="1308"/>
      <c r="AA82" s="1308"/>
      <c r="AB82" s="285"/>
      <c r="AC82" s="285" t="s">
        <v>5294</v>
      </c>
      <c r="AD82" s="285">
        <v>9721</v>
      </c>
      <c r="AE82" s="285"/>
      <c r="AF82" s="285"/>
      <c r="AG82" s="285"/>
      <c r="AH82" s="285"/>
      <c r="AI82" s="285"/>
      <c r="AJ82" s="285"/>
      <c r="AK82" s="285"/>
      <c r="AL82" s="285"/>
      <c r="AM82" s="285"/>
      <c r="AN82" s="285"/>
      <c r="AO82" s="285"/>
      <c r="AP82" s="285"/>
      <c r="AQ82" s="285"/>
      <c r="AR82" s="285"/>
      <c r="AS82" s="285"/>
      <c r="AT82" s="285"/>
      <c r="AU82" s="285"/>
      <c r="AV82" s="285"/>
      <c r="AW82" s="285"/>
      <c r="AX82" s="285"/>
      <c r="AY82" s="285"/>
      <c r="AZ82" s="285"/>
      <c r="BA82" s="285"/>
      <c r="BB82" s="285"/>
      <c r="BC82" s="285"/>
      <c r="BD82" s="285"/>
      <c r="BE82" s="285"/>
      <c r="BF82" s="285"/>
      <c r="BG82" s="285"/>
      <c r="BH82" s="285"/>
      <c r="BI82" s="285"/>
      <c r="BJ82" s="285"/>
      <c r="BK82" s="285"/>
      <c r="BL82" s="285"/>
      <c r="BM82" s="285"/>
      <c r="BN82" s="285"/>
      <c r="BO82" s="285"/>
      <c r="BP82" s="285"/>
      <c r="BQ82" s="285"/>
      <c r="BR82" s="285"/>
      <c r="BS82" s="285"/>
      <c r="BT82" s="285"/>
      <c r="BU82" s="285"/>
      <c r="BV82" s="285"/>
      <c r="BW82" s="285"/>
      <c r="BX82" s="285"/>
      <c r="BY82" s="285"/>
      <c r="BZ82" s="285"/>
      <c r="CA82" s="285"/>
      <c r="CB82" s="285"/>
      <c r="CC82" s="285"/>
      <c r="CD82" s="285"/>
      <c r="CE82" s="285"/>
      <c r="CF82" s="285"/>
      <c r="CG82" s="285"/>
      <c r="CH82" s="285"/>
      <c r="CI82" s="285"/>
      <c r="CJ82" s="285"/>
      <c r="CK82" s="285"/>
      <c r="CL82" s="285"/>
      <c r="CM82" s="285"/>
      <c r="CN82" s="285"/>
      <c r="CO82" s="285"/>
      <c r="CP82" s="285"/>
      <c r="CQ82" s="285"/>
      <c r="CR82" s="285"/>
      <c r="CS82" s="285"/>
      <c r="CT82" s="285"/>
      <c r="CU82" s="285"/>
      <c r="CV82" s="285"/>
      <c r="CW82" s="285"/>
      <c r="CX82" s="285"/>
      <c r="CY82" s="285"/>
      <c r="CZ82" s="285"/>
      <c r="DA82" s="285"/>
      <c r="DB82" s="285"/>
      <c r="DC82" s="285"/>
      <c r="DD82" s="285"/>
      <c r="DE82" s="285"/>
      <c r="DF82" s="285"/>
      <c r="DG82" s="285"/>
      <c r="DH82" s="285"/>
      <c r="DI82" s="285"/>
      <c r="DJ82" s="285"/>
      <c r="DK82" s="285"/>
      <c r="DL82" s="285"/>
      <c r="DM82" s="285"/>
      <c r="DN82" s="285"/>
      <c r="DO82" s="285"/>
      <c r="DP82" s="285"/>
      <c r="DQ82" s="285"/>
      <c r="DR82" s="285"/>
      <c r="DS82" s="285"/>
      <c r="DT82" s="285"/>
      <c r="DU82" s="285"/>
      <c r="DV82" s="285"/>
      <c r="DW82" s="285"/>
      <c r="DX82" s="285"/>
      <c r="DY82" s="285"/>
      <c r="DZ82" s="285"/>
      <c r="EA82" s="285"/>
      <c r="EB82" s="285"/>
      <c r="EC82" s="285"/>
      <c r="ED82" s="285"/>
      <c r="EE82" s="285"/>
      <c r="EF82" s="285"/>
      <c r="EG82" s="285"/>
      <c r="EH82" s="285"/>
      <c r="EI82" s="285"/>
      <c r="EJ82" s="285"/>
      <c r="EK82" s="285"/>
      <c r="EL82" s="285"/>
      <c r="EM82" s="285"/>
      <c r="EN82" s="285"/>
      <c r="EO82" s="285"/>
      <c r="EP82" s="285"/>
      <c r="EQ82" s="285"/>
      <c r="ER82" s="285"/>
      <c r="ES82" s="285"/>
      <c r="ET82" s="285"/>
      <c r="EU82" s="285"/>
      <c r="EV82" s="285"/>
      <c r="EW82" s="285"/>
      <c r="EX82" s="285"/>
      <c r="EY82" s="285"/>
      <c r="EZ82" s="285"/>
      <c r="FA82" s="285"/>
      <c r="FB82" s="285"/>
      <c r="FC82" s="285"/>
      <c r="FD82" s="285"/>
      <c r="FE82" s="285"/>
      <c r="FF82" s="285"/>
      <c r="FG82" s="285"/>
      <c r="FH82" s="285"/>
      <c r="FI82" s="285"/>
      <c r="FJ82" s="285"/>
      <c r="FK82" s="285"/>
      <c r="FL82" s="285"/>
      <c r="FM82" s="285"/>
      <c r="FN82" s="285"/>
      <c r="FO82" s="285"/>
      <c r="FP82" s="285"/>
      <c r="FQ82" s="285"/>
      <c r="FR82" s="285"/>
      <c r="FS82" s="285"/>
      <c r="FT82" s="285"/>
      <c r="FU82" s="285"/>
      <c r="FV82" s="285"/>
      <c r="FW82" s="285"/>
      <c r="FX82" s="285"/>
      <c r="FY82" s="285"/>
      <c r="FZ82" s="285"/>
      <c r="GA82" s="285"/>
      <c r="GB82" s="285"/>
      <c r="GC82" s="285"/>
      <c r="GD82" s="285"/>
      <c r="GE82" s="285"/>
      <c r="GF82" s="285"/>
      <c r="GG82" s="285"/>
      <c r="GH82" s="285"/>
      <c r="GI82" s="285"/>
      <c r="GJ82" s="285"/>
      <c r="GK82" s="285"/>
      <c r="GL82" s="285"/>
      <c r="GM82" s="285"/>
      <c r="GN82" s="285"/>
      <c r="GO82" s="285"/>
      <c r="GP82" s="285"/>
      <c r="GQ82" s="285"/>
      <c r="GR82" s="285"/>
      <c r="GS82" s="285"/>
      <c r="GT82" s="285"/>
      <c r="GU82" s="285"/>
      <c r="GV82" s="285"/>
      <c r="GW82" s="285"/>
      <c r="GX82" s="285"/>
      <c r="GY82" s="285"/>
      <c r="GZ82" s="285"/>
      <c r="HA82" s="285"/>
      <c r="HB82" s="285"/>
      <c r="HC82" s="285"/>
      <c r="HD82" s="285"/>
      <c r="HE82" s="285"/>
      <c r="HF82" s="285"/>
      <c r="HG82" s="285"/>
      <c r="HH82" s="285"/>
      <c r="HI82" s="285"/>
      <c r="HJ82" s="285"/>
      <c r="HK82" s="285"/>
      <c r="HL82" s="285"/>
      <c r="HM82" s="285"/>
      <c r="HN82" s="285"/>
      <c r="HO82" s="285"/>
      <c r="HP82" s="285"/>
      <c r="HQ82" s="285"/>
      <c r="HR82" s="285"/>
      <c r="HS82" s="285"/>
      <c r="HT82" s="285"/>
      <c r="HU82" s="285"/>
      <c r="HV82" s="285"/>
      <c r="HW82" s="285"/>
      <c r="HX82" s="285"/>
      <c r="HY82" s="285"/>
      <c r="HZ82" s="285"/>
      <c r="IA82" s="285"/>
      <c r="IB82" s="285"/>
      <c r="IC82" s="285"/>
      <c r="ID82" s="285"/>
      <c r="IE82" s="285"/>
      <c r="IF82" s="285"/>
      <c r="IG82" s="285"/>
      <c r="IH82" s="285"/>
      <c r="II82" s="285"/>
      <c r="IJ82" s="285"/>
      <c r="IK82" s="285"/>
      <c r="IL82" s="285"/>
      <c r="IM82" s="285"/>
      <c r="IN82" s="285"/>
      <c r="IO82" s="285"/>
      <c r="IP82" s="285"/>
      <c r="IQ82" s="285"/>
      <c r="IR82" s="285"/>
      <c r="IS82" s="285"/>
      <c r="IT82" s="285"/>
      <c r="IU82" s="285"/>
      <c r="IV82" s="285"/>
      <c r="IW82" s="285"/>
      <c r="IX82" s="285"/>
      <c r="IY82" s="285"/>
      <c r="IZ82" s="285"/>
      <c r="JA82" s="285"/>
      <c r="JB82" s="285"/>
      <c r="JC82" s="285"/>
      <c r="JD82" s="285"/>
      <c r="JE82" s="285"/>
      <c r="JF82" s="285"/>
      <c r="JG82" s="285"/>
      <c r="JH82" s="285"/>
      <c r="JI82" s="285"/>
      <c r="JJ82" s="285"/>
      <c r="JK82" s="285"/>
      <c r="JL82" s="285"/>
      <c r="JM82" s="285"/>
      <c r="JN82" s="285"/>
      <c r="JO82" s="285"/>
      <c r="JP82" s="285"/>
      <c r="JQ82" s="285"/>
      <c r="JR82" s="285"/>
      <c r="JS82" s="285"/>
      <c r="JT82" s="285"/>
      <c r="JU82" s="285"/>
      <c r="JV82" s="285"/>
      <c r="JW82" s="285"/>
      <c r="JX82" s="285"/>
      <c r="JY82" s="285"/>
      <c r="JZ82" s="285"/>
      <c r="KA82" s="285"/>
      <c r="KB82" s="285"/>
      <c r="KC82" s="285"/>
      <c r="KD82" s="285"/>
      <c r="KE82" s="285"/>
      <c r="KF82" s="285"/>
      <c r="KG82" s="285"/>
      <c r="KH82" s="285"/>
      <c r="KI82" s="285"/>
      <c r="KJ82" s="285"/>
      <c r="KK82" s="285"/>
      <c r="KL82" s="285"/>
      <c r="KM82" s="285"/>
      <c r="KN82" s="285"/>
      <c r="KO82" s="285"/>
      <c r="KP82" s="285"/>
      <c r="KQ82" s="285"/>
      <c r="KR82" s="298"/>
      <c r="KS82" s="285"/>
      <c r="KT82" s="285"/>
      <c r="KU82" s="268"/>
      <c r="KV82" s="288"/>
      <c r="KW82" s="288"/>
    </row>
    <row r="83" spans="1:309" ht="16.2" customHeight="1">
      <c r="A83" s="1214" t="s">
        <v>5298</v>
      </c>
      <c r="B83" s="1396" t="s">
        <v>5297</v>
      </c>
      <c r="C83" s="1366">
        <v>311332087</v>
      </c>
      <c r="D83" s="906" t="s">
        <v>6925</v>
      </c>
      <c r="E83" s="1233" t="s">
        <v>5299</v>
      </c>
      <c r="F83" s="74" t="s">
        <v>6895</v>
      </c>
      <c r="G83" s="75"/>
      <c r="H83" s="944" t="s">
        <v>6891</v>
      </c>
      <c r="I83" s="944"/>
      <c r="J83" s="944">
        <v>0</v>
      </c>
      <c r="K83" s="1308"/>
      <c r="L83" s="1308"/>
      <c r="M83" s="1308"/>
      <c r="N83" s="1308"/>
      <c r="O83" s="285"/>
      <c r="P83" s="285"/>
      <c r="Q83" s="285"/>
      <c r="R83" s="285" t="s">
        <v>5339</v>
      </c>
      <c r="S83" s="285"/>
      <c r="T83" s="285"/>
      <c r="U83" s="285"/>
      <c r="V83" s="285"/>
      <c r="W83" s="285"/>
      <c r="X83" s="1308"/>
      <c r="Y83" s="1308"/>
      <c r="Z83" s="1308"/>
      <c r="AA83" s="1308"/>
      <c r="AB83" s="285"/>
      <c r="AC83" s="285" t="s">
        <v>5450</v>
      </c>
      <c r="AD83" s="285">
        <v>4762</v>
      </c>
      <c r="AE83" s="285"/>
      <c r="AF83" s="285"/>
      <c r="AG83" s="285"/>
      <c r="AH83" s="285"/>
      <c r="AI83" s="285"/>
      <c r="AJ83" s="285"/>
      <c r="AK83" s="285"/>
      <c r="AL83" s="285"/>
      <c r="AM83" s="285"/>
      <c r="AN83" s="285"/>
      <c r="AO83" s="285"/>
      <c r="AP83" s="285"/>
      <c r="AQ83" s="285"/>
      <c r="AR83" s="285"/>
      <c r="AS83" s="285"/>
      <c r="AT83" s="285"/>
      <c r="AU83" s="285"/>
      <c r="AV83" s="285"/>
      <c r="AW83" s="285"/>
      <c r="AX83" s="285"/>
      <c r="AY83" s="285"/>
      <c r="AZ83" s="285"/>
      <c r="BA83" s="285"/>
      <c r="BB83" s="285"/>
      <c r="BC83" s="285"/>
      <c r="BD83" s="285"/>
      <c r="BE83" s="285"/>
      <c r="BF83" s="285"/>
      <c r="BG83" s="285"/>
      <c r="BH83" s="285"/>
      <c r="BI83" s="285"/>
      <c r="BJ83" s="285"/>
      <c r="BK83" s="285"/>
      <c r="BL83" s="285"/>
      <c r="BM83" s="285"/>
      <c r="BN83" s="285"/>
      <c r="BO83" s="285"/>
      <c r="BP83" s="285"/>
      <c r="BQ83" s="285"/>
      <c r="BR83" s="285"/>
      <c r="BS83" s="285"/>
      <c r="BT83" s="285"/>
      <c r="BU83" s="285"/>
      <c r="BV83" s="285"/>
      <c r="BW83" s="285"/>
      <c r="BX83" s="285"/>
      <c r="BY83" s="285"/>
      <c r="BZ83" s="285"/>
      <c r="CA83" s="285"/>
      <c r="CB83" s="285"/>
      <c r="CC83" s="285"/>
      <c r="CD83" s="285"/>
      <c r="CE83" s="285"/>
      <c r="CF83" s="285"/>
      <c r="CG83" s="285"/>
      <c r="CH83" s="285"/>
      <c r="CI83" s="285"/>
      <c r="CJ83" s="285"/>
      <c r="CK83" s="285"/>
      <c r="CL83" s="285"/>
      <c r="CM83" s="285"/>
      <c r="CN83" s="285"/>
      <c r="CO83" s="285"/>
      <c r="CP83" s="285"/>
      <c r="CQ83" s="285"/>
      <c r="CR83" s="285"/>
      <c r="CS83" s="285"/>
      <c r="CT83" s="285"/>
      <c r="CU83" s="285"/>
      <c r="CV83" s="285"/>
      <c r="CW83" s="285"/>
      <c r="CX83" s="285"/>
      <c r="CY83" s="285"/>
      <c r="CZ83" s="285"/>
      <c r="DA83" s="285"/>
      <c r="DB83" s="285"/>
      <c r="DC83" s="285"/>
      <c r="DD83" s="285"/>
      <c r="DE83" s="285"/>
      <c r="DF83" s="285"/>
      <c r="DG83" s="285"/>
      <c r="DH83" s="285"/>
      <c r="DI83" s="285"/>
      <c r="DJ83" s="285"/>
      <c r="DK83" s="285"/>
      <c r="DL83" s="285"/>
      <c r="DM83" s="285"/>
      <c r="DN83" s="285"/>
      <c r="DO83" s="285"/>
      <c r="DP83" s="285"/>
      <c r="DQ83" s="285"/>
      <c r="DR83" s="285"/>
      <c r="DS83" s="285"/>
      <c r="DT83" s="285"/>
      <c r="DU83" s="285"/>
      <c r="DV83" s="285"/>
      <c r="DW83" s="285"/>
      <c r="DX83" s="285"/>
      <c r="DY83" s="285"/>
      <c r="DZ83" s="285"/>
      <c r="EA83" s="285"/>
      <c r="EB83" s="285"/>
      <c r="EC83" s="285"/>
      <c r="ED83" s="285"/>
      <c r="EE83" s="285"/>
      <c r="EF83" s="285"/>
      <c r="EG83" s="285"/>
      <c r="EH83" s="285"/>
      <c r="EI83" s="285"/>
      <c r="EJ83" s="285"/>
      <c r="EK83" s="285"/>
      <c r="EL83" s="285"/>
      <c r="EM83" s="285"/>
      <c r="EN83" s="285"/>
      <c r="EO83" s="285"/>
      <c r="EP83" s="285"/>
      <c r="EQ83" s="285"/>
      <c r="ER83" s="285"/>
      <c r="ES83" s="285"/>
      <c r="ET83" s="285"/>
      <c r="EU83" s="285"/>
      <c r="EV83" s="285"/>
      <c r="EW83" s="285"/>
      <c r="EX83" s="285"/>
      <c r="EY83" s="285"/>
      <c r="EZ83" s="285"/>
      <c r="FA83" s="285"/>
      <c r="FB83" s="285"/>
      <c r="FC83" s="285"/>
      <c r="FD83" s="285"/>
      <c r="FE83" s="285"/>
      <c r="FF83" s="285"/>
      <c r="FG83" s="285"/>
      <c r="FH83" s="285"/>
      <c r="FI83" s="285"/>
      <c r="FJ83" s="285"/>
      <c r="FK83" s="285"/>
      <c r="FL83" s="285"/>
      <c r="FM83" s="285"/>
      <c r="FN83" s="285"/>
      <c r="FO83" s="285"/>
      <c r="FP83" s="285"/>
      <c r="FQ83" s="285"/>
      <c r="FR83" s="285"/>
      <c r="FS83" s="285"/>
      <c r="FT83" s="285"/>
      <c r="FU83" s="285"/>
      <c r="FV83" s="285"/>
      <c r="FW83" s="285"/>
      <c r="FX83" s="285"/>
      <c r="FY83" s="285"/>
      <c r="FZ83" s="285"/>
      <c r="GA83" s="285"/>
      <c r="GB83" s="285"/>
      <c r="GC83" s="285"/>
      <c r="GD83" s="285"/>
      <c r="GE83" s="285"/>
      <c r="GF83" s="285"/>
      <c r="GG83" s="285"/>
      <c r="GH83" s="285"/>
      <c r="GI83" s="285"/>
      <c r="GJ83" s="285"/>
      <c r="GK83" s="285"/>
      <c r="GL83" s="285"/>
      <c r="GM83" s="285"/>
      <c r="GN83" s="285"/>
      <c r="GO83" s="285"/>
      <c r="GP83" s="285"/>
      <c r="GQ83" s="285"/>
      <c r="GR83" s="285"/>
      <c r="GS83" s="285"/>
      <c r="GT83" s="285"/>
      <c r="GU83" s="285"/>
      <c r="GV83" s="285"/>
      <c r="GW83" s="285"/>
      <c r="GX83" s="285"/>
      <c r="GY83" s="285"/>
      <c r="GZ83" s="285"/>
      <c r="HA83" s="285"/>
      <c r="HB83" s="285"/>
      <c r="HC83" s="285"/>
      <c r="HD83" s="285"/>
      <c r="HE83" s="285"/>
      <c r="HF83" s="285"/>
      <c r="HG83" s="285"/>
      <c r="HH83" s="285"/>
      <c r="HI83" s="285"/>
      <c r="HJ83" s="285"/>
      <c r="HK83" s="285"/>
      <c r="HL83" s="285"/>
      <c r="HM83" s="285"/>
      <c r="HN83" s="285"/>
      <c r="HO83" s="285"/>
      <c r="HP83" s="285"/>
      <c r="HQ83" s="285"/>
      <c r="HR83" s="285"/>
      <c r="HS83" s="285"/>
      <c r="HT83" s="285"/>
      <c r="HU83" s="285"/>
      <c r="HV83" s="285"/>
      <c r="HW83" s="285"/>
      <c r="HX83" s="285"/>
      <c r="HY83" s="285"/>
      <c r="HZ83" s="285"/>
      <c r="IA83" s="285"/>
      <c r="IB83" s="285"/>
      <c r="IC83" s="285"/>
      <c r="ID83" s="285"/>
      <c r="IE83" s="285"/>
      <c r="IF83" s="285"/>
      <c r="IG83" s="285"/>
      <c r="IH83" s="285"/>
      <c r="II83" s="285"/>
      <c r="IJ83" s="285"/>
      <c r="IK83" s="285"/>
      <c r="IL83" s="285"/>
      <c r="IM83" s="285"/>
      <c r="IN83" s="285"/>
      <c r="IO83" s="285"/>
      <c r="IP83" s="285"/>
      <c r="IQ83" s="285"/>
      <c r="IR83" s="285"/>
      <c r="IS83" s="285"/>
      <c r="IT83" s="285"/>
      <c r="IU83" s="285"/>
      <c r="IV83" s="285"/>
      <c r="IW83" s="285"/>
      <c r="IX83" s="285"/>
      <c r="IY83" s="285"/>
      <c r="IZ83" s="285"/>
      <c r="JA83" s="285"/>
      <c r="JB83" s="285"/>
      <c r="JC83" s="285"/>
      <c r="JD83" s="285"/>
      <c r="JE83" s="285"/>
      <c r="JF83" s="285"/>
      <c r="JG83" s="285"/>
      <c r="JH83" s="285"/>
      <c r="JI83" s="285"/>
      <c r="JJ83" s="285"/>
      <c r="JK83" s="285"/>
      <c r="JL83" s="285"/>
      <c r="JM83" s="285"/>
      <c r="JN83" s="285"/>
      <c r="JO83" s="285"/>
      <c r="JP83" s="285"/>
      <c r="JQ83" s="285"/>
      <c r="JR83" s="285"/>
      <c r="JS83" s="285"/>
      <c r="JT83" s="285"/>
      <c r="JU83" s="285"/>
      <c r="JV83" s="285"/>
      <c r="JW83" s="285"/>
      <c r="JX83" s="285"/>
      <c r="JY83" s="285"/>
      <c r="JZ83" s="285"/>
      <c r="KA83" s="285"/>
      <c r="KB83" s="285"/>
      <c r="KC83" s="285"/>
      <c r="KD83" s="285"/>
      <c r="KE83" s="285"/>
      <c r="KF83" s="285"/>
      <c r="KG83" s="285"/>
      <c r="KH83" s="285"/>
      <c r="KI83" s="285"/>
      <c r="KJ83" s="285"/>
      <c r="KK83" s="285"/>
      <c r="KL83" s="285"/>
      <c r="KM83" s="285"/>
      <c r="KN83" s="285"/>
      <c r="KO83" s="285"/>
      <c r="KP83" s="285"/>
      <c r="KQ83" s="285"/>
      <c r="KR83" s="298"/>
      <c r="KS83" s="285"/>
      <c r="KT83" s="285"/>
      <c r="KU83" s="268"/>
      <c r="KV83" s="288"/>
      <c r="KW83" s="288"/>
    </row>
    <row r="84" spans="1:309" ht="16.2" customHeight="1">
      <c r="A84" s="1232" t="s">
        <v>5298</v>
      </c>
      <c r="B84" s="1250" t="s">
        <v>5344</v>
      </c>
      <c r="C84" s="1144">
        <v>311336739</v>
      </c>
      <c r="D84" s="906" t="s">
        <v>6925</v>
      </c>
      <c r="E84" s="1237" t="s">
        <v>5299</v>
      </c>
      <c r="F84" s="74" t="s">
        <v>6895</v>
      </c>
      <c r="G84" s="75"/>
      <c r="H84" s="944" t="s">
        <v>6891</v>
      </c>
      <c r="I84" s="944"/>
      <c r="J84" s="944">
        <v>0</v>
      </c>
      <c r="K84" s="1308"/>
      <c r="L84" s="1308"/>
      <c r="M84" s="1308"/>
      <c r="N84" s="1308"/>
      <c r="O84" s="285"/>
      <c r="P84" s="285"/>
      <c r="Q84" s="285"/>
      <c r="R84" s="285" t="s">
        <v>5339</v>
      </c>
      <c r="S84" s="285"/>
      <c r="T84" s="285"/>
      <c r="U84" s="285"/>
      <c r="V84" s="285"/>
      <c r="W84" s="285"/>
      <c r="X84" s="1308"/>
      <c r="Y84" s="1308"/>
      <c r="Z84" s="1308"/>
      <c r="AA84" s="1308"/>
      <c r="AB84" s="285"/>
      <c r="AC84" s="285" t="s">
        <v>5262</v>
      </c>
      <c r="AD84" s="285">
        <v>2991</v>
      </c>
      <c r="AE84" s="285" t="s">
        <v>5609</v>
      </c>
      <c r="AF84" s="285"/>
      <c r="AG84" s="285"/>
      <c r="AH84" s="285"/>
      <c r="AI84" s="285"/>
      <c r="AJ84" s="285"/>
      <c r="AK84" s="285"/>
      <c r="AL84" s="285"/>
      <c r="AM84" s="285"/>
      <c r="AN84" s="285"/>
      <c r="AO84" s="285"/>
      <c r="AP84" s="285"/>
      <c r="AQ84" s="285"/>
      <c r="AR84" s="285"/>
      <c r="AS84" s="285"/>
      <c r="AT84" s="285"/>
      <c r="AU84" s="285"/>
      <c r="AV84" s="285"/>
      <c r="AW84" s="285"/>
      <c r="AX84" s="285"/>
      <c r="AY84" s="285"/>
      <c r="AZ84" s="285"/>
      <c r="BA84" s="285"/>
      <c r="BB84" s="285"/>
      <c r="BC84" s="285"/>
      <c r="BD84" s="285"/>
      <c r="BE84" s="285"/>
      <c r="BF84" s="285"/>
      <c r="BG84" s="285"/>
      <c r="BH84" s="285"/>
      <c r="BI84" s="285"/>
      <c r="BJ84" s="285"/>
      <c r="BK84" s="285"/>
      <c r="BL84" s="285"/>
      <c r="BM84" s="285"/>
      <c r="BN84" s="285"/>
      <c r="BO84" s="285"/>
      <c r="BP84" s="285"/>
      <c r="BQ84" s="285"/>
      <c r="BR84" s="285"/>
      <c r="BS84" s="285"/>
      <c r="BT84" s="285"/>
      <c r="BU84" s="285"/>
      <c r="BV84" s="285"/>
      <c r="BW84" s="285"/>
      <c r="BX84" s="285"/>
      <c r="BY84" s="285"/>
      <c r="BZ84" s="285"/>
      <c r="CA84" s="285"/>
      <c r="CB84" s="285"/>
      <c r="CC84" s="285"/>
      <c r="CD84" s="285"/>
      <c r="CE84" s="285"/>
      <c r="CF84" s="285"/>
      <c r="CG84" s="285"/>
      <c r="CH84" s="285"/>
      <c r="CI84" s="285"/>
      <c r="CJ84" s="285"/>
      <c r="CK84" s="285"/>
      <c r="CL84" s="285"/>
      <c r="CM84" s="285"/>
      <c r="CN84" s="285"/>
      <c r="CO84" s="285"/>
      <c r="CP84" s="285"/>
      <c r="CQ84" s="285"/>
      <c r="CR84" s="285"/>
      <c r="CS84" s="285"/>
      <c r="CT84" s="285"/>
      <c r="CU84" s="285"/>
      <c r="CV84" s="285"/>
      <c r="CW84" s="285"/>
      <c r="CX84" s="285"/>
      <c r="CY84" s="285"/>
      <c r="CZ84" s="285"/>
      <c r="DA84" s="285"/>
      <c r="DB84" s="285"/>
      <c r="DC84" s="285"/>
      <c r="DD84" s="285"/>
      <c r="DE84" s="285"/>
      <c r="DF84" s="285"/>
      <c r="DG84" s="285"/>
      <c r="DH84" s="285"/>
      <c r="DI84" s="285"/>
      <c r="DJ84" s="285"/>
      <c r="DK84" s="285"/>
      <c r="DL84" s="285"/>
      <c r="DM84" s="285"/>
      <c r="DN84" s="285"/>
      <c r="DO84" s="285"/>
      <c r="DP84" s="285"/>
      <c r="DQ84" s="285"/>
      <c r="DR84" s="285"/>
      <c r="DS84" s="285"/>
      <c r="DT84" s="285"/>
      <c r="DU84" s="285"/>
      <c r="DV84" s="285"/>
      <c r="DW84" s="285"/>
      <c r="DX84" s="285"/>
      <c r="DY84" s="285"/>
      <c r="DZ84" s="285"/>
      <c r="EA84" s="285"/>
      <c r="EB84" s="285"/>
      <c r="EC84" s="285"/>
      <c r="ED84" s="285"/>
      <c r="EE84" s="285"/>
      <c r="EF84" s="285"/>
      <c r="EG84" s="285"/>
      <c r="EH84" s="285"/>
      <c r="EI84" s="285"/>
      <c r="EJ84" s="285"/>
      <c r="EK84" s="285"/>
      <c r="EL84" s="285"/>
      <c r="EM84" s="285"/>
      <c r="EN84" s="285"/>
      <c r="EO84" s="285"/>
      <c r="EP84" s="285"/>
      <c r="EQ84" s="285"/>
      <c r="ER84" s="285"/>
      <c r="ES84" s="285"/>
      <c r="ET84" s="285"/>
      <c r="EU84" s="285"/>
      <c r="EV84" s="285"/>
      <c r="EW84" s="285"/>
      <c r="EX84" s="285"/>
      <c r="EY84" s="285"/>
      <c r="EZ84" s="285"/>
      <c r="FA84" s="285"/>
      <c r="FB84" s="285"/>
      <c r="FC84" s="285"/>
      <c r="FD84" s="285"/>
      <c r="FE84" s="285"/>
      <c r="FF84" s="285"/>
      <c r="FG84" s="285"/>
      <c r="FH84" s="285"/>
      <c r="FI84" s="285"/>
      <c r="FJ84" s="285"/>
      <c r="FK84" s="285"/>
      <c r="FL84" s="285"/>
      <c r="FM84" s="285"/>
      <c r="FN84" s="285"/>
      <c r="FO84" s="285"/>
      <c r="FP84" s="285"/>
      <c r="FQ84" s="285"/>
      <c r="FR84" s="285"/>
      <c r="FS84" s="285"/>
      <c r="FT84" s="285"/>
      <c r="FU84" s="285"/>
      <c r="FV84" s="285"/>
      <c r="FW84" s="285"/>
      <c r="FX84" s="285"/>
      <c r="FY84" s="285"/>
      <c r="FZ84" s="285"/>
      <c r="GA84" s="285"/>
      <c r="GB84" s="285"/>
      <c r="GC84" s="285"/>
      <c r="GD84" s="285"/>
      <c r="GE84" s="285"/>
      <c r="GF84" s="285"/>
      <c r="GG84" s="285"/>
      <c r="GH84" s="285"/>
      <c r="GI84" s="285"/>
      <c r="GJ84" s="285"/>
      <c r="GK84" s="285"/>
      <c r="GL84" s="285"/>
      <c r="GM84" s="285"/>
      <c r="GN84" s="285"/>
      <c r="GO84" s="285"/>
      <c r="GP84" s="285"/>
      <c r="GQ84" s="285"/>
      <c r="GR84" s="285"/>
      <c r="GS84" s="285"/>
      <c r="GT84" s="285"/>
      <c r="GU84" s="285"/>
      <c r="GV84" s="285"/>
      <c r="GW84" s="285"/>
      <c r="GX84" s="285"/>
      <c r="GY84" s="285"/>
      <c r="GZ84" s="285"/>
      <c r="HA84" s="285"/>
      <c r="HB84" s="285"/>
      <c r="HC84" s="285"/>
      <c r="HD84" s="285"/>
      <c r="HE84" s="285"/>
      <c r="HF84" s="285"/>
      <c r="HG84" s="285"/>
      <c r="HH84" s="285"/>
      <c r="HI84" s="285"/>
      <c r="HJ84" s="285"/>
      <c r="HK84" s="285"/>
      <c r="HL84" s="285"/>
      <c r="HM84" s="285"/>
      <c r="HN84" s="285"/>
      <c r="HO84" s="285"/>
      <c r="HP84" s="285"/>
      <c r="HQ84" s="285"/>
      <c r="HR84" s="285"/>
      <c r="HS84" s="285"/>
      <c r="HT84" s="285"/>
      <c r="HU84" s="285"/>
      <c r="HV84" s="285"/>
      <c r="HW84" s="285"/>
      <c r="HX84" s="285"/>
      <c r="HY84" s="285"/>
      <c r="HZ84" s="285"/>
      <c r="IA84" s="285"/>
      <c r="IB84" s="285"/>
      <c r="IC84" s="285"/>
      <c r="ID84" s="285"/>
      <c r="IE84" s="285"/>
      <c r="IF84" s="285"/>
      <c r="IG84" s="285"/>
      <c r="IH84" s="285"/>
      <c r="II84" s="285"/>
      <c r="IJ84" s="285"/>
      <c r="IK84" s="285"/>
      <c r="IL84" s="285"/>
      <c r="IM84" s="285"/>
      <c r="IN84" s="285"/>
      <c r="IO84" s="285"/>
      <c r="IP84" s="285"/>
      <c r="IQ84" s="285"/>
      <c r="IR84" s="285"/>
      <c r="IS84" s="285"/>
      <c r="IT84" s="285"/>
      <c r="IU84" s="285"/>
      <c r="IV84" s="285"/>
      <c r="IW84" s="285"/>
      <c r="IX84" s="285"/>
      <c r="IY84" s="285"/>
      <c r="IZ84" s="285"/>
      <c r="JA84" s="285"/>
      <c r="JB84" s="285"/>
      <c r="JC84" s="285"/>
      <c r="JD84" s="285"/>
      <c r="JE84" s="285"/>
      <c r="JF84" s="285"/>
      <c r="JG84" s="285"/>
      <c r="JH84" s="285"/>
      <c r="JI84" s="285"/>
      <c r="JJ84" s="285"/>
      <c r="JK84" s="285"/>
      <c r="JL84" s="285"/>
      <c r="JM84" s="285"/>
      <c r="JN84" s="285"/>
      <c r="JO84" s="285"/>
      <c r="JP84" s="285"/>
      <c r="JQ84" s="285"/>
      <c r="JR84" s="285"/>
      <c r="JS84" s="285"/>
      <c r="JT84" s="285"/>
      <c r="JU84" s="285"/>
      <c r="JV84" s="285"/>
      <c r="JW84" s="285"/>
      <c r="JX84" s="285"/>
      <c r="JY84" s="285"/>
      <c r="JZ84" s="285"/>
      <c r="KA84" s="285"/>
      <c r="KB84" s="285"/>
      <c r="KC84" s="285"/>
      <c r="KD84" s="285"/>
      <c r="KE84" s="285"/>
      <c r="KF84" s="285"/>
      <c r="KG84" s="285"/>
      <c r="KH84" s="285"/>
      <c r="KI84" s="285"/>
      <c r="KJ84" s="285"/>
      <c r="KK84" s="285"/>
      <c r="KL84" s="285"/>
      <c r="KM84" s="285"/>
      <c r="KN84" s="285"/>
      <c r="KO84" s="285"/>
      <c r="KP84" s="285"/>
      <c r="KQ84" s="285"/>
      <c r="KR84" s="298"/>
      <c r="KS84" s="285"/>
      <c r="KT84" s="285"/>
      <c r="KU84" s="268"/>
      <c r="KV84" s="288"/>
      <c r="KW84" s="288"/>
    </row>
    <row r="85" spans="1:309" ht="16.2" customHeight="1">
      <c r="A85" s="1232" t="s">
        <v>5315</v>
      </c>
      <c r="B85" s="1844" t="s">
        <v>5321</v>
      </c>
      <c r="C85" s="1356">
        <v>311340655</v>
      </c>
      <c r="D85" s="906" t="s">
        <v>6925</v>
      </c>
      <c r="E85" s="1237">
        <v>311340655</v>
      </c>
      <c r="F85" s="74"/>
      <c r="G85" s="75">
        <v>203734</v>
      </c>
      <c r="H85" s="944" t="s">
        <v>6891</v>
      </c>
      <c r="I85" s="944"/>
      <c r="J85" s="944">
        <v>0</v>
      </c>
      <c r="K85" s="1308"/>
      <c r="L85" s="1308"/>
      <c r="M85" s="1308"/>
      <c r="N85" s="1308"/>
      <c r="O85" s="285"/>
      <c r="P85" s="285"/>
      <c r="Q85" s="285"/>
      <c r="R85" s="285"/>
      <c r="S85" s="285"/>
      <c r="T85" s="285"/>
      <c r="U85" s="285"/>
      <c r="V85" s="285"/>
      <c r="W85" s="285"/>
      <c r="X85" s="1308"/>
      <c r="Y85" s="1308"/>
      <c r="Z85" s="1308"/>
      <c r="AA85" s="1308"/>
      <c r="AB85" s="285"/>
      <c r="AC85" s="285" t="s">
        <v>5294</v>
      </c>
      <c r="AD85" s="285">
        <v>539</v>
      </c>
      <c r="AE85" s="1328" t="s">
        <v>5261</v>
      </c>
      <c r="AF85" s="285"/>
      <c r="AG85" s="285"/>
      <c r="AH85" s="285"/>
      <c r="AI85" s="285"/>
      <c r="AJ85" s="285"/>
      <c r="AK85" s="285"/>
      <c r="AL85" s="285"/>
      <c r="AM85" s="285"/>
      <c r="AN85" s="285"/>
      <c r="AO85" s="285"/>
      <c r="AP85" s="285"/>
      <c r="AQ85" s="285"/>
      <c r="AR85" s="285"/>
      <c r="AS85" s="285"/>
      <c r="AT85" s="285"/>
      <c r="AU85" s="285"/>
      <c r="AV85" s="285"/>
      <c r="AW85" s="285"/>
      <c r="AX85" s="285"/>
      <c r="AY85" s="285"/>
      <c r="AZ85" s="285"/>
      <c r="BA85" s="285"/>
      <c r="BB85" s="285"/>
      <c r="BC85" s="285"/>
      <c r="BD85" s="285"/>
      <c r="BE85" s="285"/>
      <c r="BF85" s="285"/>
      <c r="BG85" s="285"/>
      <c r="BH85" s="285"/>
      <c r="BI85" s="285"/>
      <c r="BJ85" s="285"/>
      <c r="BK85" s="285"/>
      <c r="BL85" s="285"/>
      <c r="BM85" s="285"/>
      <c r="BN85" s="285"/>
      <c r="BO85" s="285"/>
      <c r="BP85" s="285"/>
      <c r="BQ85" s="285"/>
      <c r="BR85" s="285"/>
      <c r="BS85" s="285"/>
      <c r="BT85" s="285"/>
      <c r="BU85" s="285"/>
      <c r="BV85" s="285"/>
      <c r="BW85" s="285"/>
      <c r="BX85" s="285"/>
      <c r="BY85" s="285"/>
      <c r="BZ85" s="285"/>
      <c r="CA85" s="285"/>
      <c r="CB85" s="285"/>
      <c r="CC85" s="285"/>
      <c r="CD85" s="285"/>
      <c r="CE85" s="285"/>
      <c r="CF85" s="285"/>
      <c r="CG85" s="285"/>
      <c r="CH85" s="285"/>
      <c r="CI85" s="285"/>
      <c r="CJ85" s="285"/>
      <c r="CK85" s="285"/>
      <c r="CL85" s="285"/>
      <c r="CM85" s="285"/>
      <c r="CN85" s="285"/>
      <c r="CO85" s="285"/>
      <c r="CP85" s="285"/>
      <c r="CQ85" s="285"/>
      <c r="CR85" s="285"/>
      <c r="CS85" s="285"/>
      <c r="CT85" s="285"/>
      <c r="CU85" s="285"/>
      <c r="CV85" s="285"/>
      <c r="CW85" s="285"/>
      <c r="CX85" s="285"/>
      <c r="CY85" s="285"/>
      <c r="CZ85" s="285"/>
      <c r="DA85" s="285"/>
      <c r="DB85" s="285"/>
      <c r="DC85" s="285"/>
      <c r="DD85" s="285"/>
      <c r="DE85" s="285"/>
      <c r="DF85" s="285"/>
      <c r="DG85" s="285"/>
      <c r="DH85" s="285"/>
      <c r="DI85" s="285"/>
      <c r="DJ85" s="285"/>
      <c r="DK85" s="285"/>
      <c r="DL85" s="285"/>
      <c r="DM85" s="285"/>
      <c r="DN85" s="285"/>
      <c r="DO85" s="285"/>
      <c r="DP85" s="285"/>
      <c r="DQ85" s="285"/>
      <c r="DR85" s="285"/>
      <c r="DS85" s="285"/>
      <c r="DT85" s="285"/>
      <c r="DU85" s="285"/>
      <c r="DV85" s="285"/>
      <c r="DW85" s="285"/>
      <c r="DX85" s="285"/>
      <c r="DY85" s="285"/>
      <c r="DZ85" s="285"/>
      <c r="EA85" s="285"/>
      <c r="EB85" s="285"/>
      <c r="EC85" s="285"/>
      <c r="ED85" s="285"/>
      <c r="EE85" s="285"/>
      <c r="EF85" s="285"/>
      <c r="EG85" s="285"/>
      <c r="EH85" s="285"/>
      <c r="EI85" s="285"/>
      <c r="EJ85" s="285"/>
      <c r="EK85" s="285"/>
      <c r="EL85" s="285"/>
      <c r="EM85" s="285"/>
      <c r="EN85" s="285"/>
      <c r="EO85" s="285"/>
      <c r="EP85" s="285"/>
      <c r="EQ85" s="285"/>
      <c r="ER85" s="285"/>
      <c r="ES85" s="285"/>
      <c r="ET85" s="285"/>
      <c r="EU85" s="285"/>
      <c r="EV85" s="285"/>
      <c r="EW85" s="285"/>
      <c r="EX85" s="285"/>
      <c r="EY85" s="285"/>
      <c r="EZ85" s="285"/>
      <c r="FA85" s="285"/>
      <c r="FB85" s="285"/>
      <c r="FC85" s="285"/>
      <c r="FD85" s="285"/>
      <c r="FE85" s="285"/>
      <c r="FF85" s="285"/>
      <c r="FG85" s="285"/>
      <c r="FH85" s="285"/>
      <c r="FI85" s="285"/>
      <c r="FJ85" s="285"/>
      <c r="FK85" s="285"/>
      <c r="FL85" s="285"/>
      <c r="FM85" s="285"/>
      <c r="FN85" s="285"/>
      <c r="FO85" s="285"/>
      <c r="FP85" s="285"/>
      <c r="FQ85" s="285"/>
      <c r="FR85" s="285"/>
      <c r="FS85" s="285"/>
      <c r="FT85" s="285"/>
      <c r="FU85" s="285"/>
      <c r="FV85" s="285"/>
      <c r="FW85" s="285"/>
      <c r="FX85" s="285"/>
      <c r="FY85" s="285"/>
      <c r="FZ85" s="285"/>
      <c r="GA85" s="285"/>
      <c r="GB85" s="285"/>
      <c r="GC85" s="285"/>
      <c r="GD85" s="285"/>
      <c r="GE85" s="285"/>
      <c r="GF85" s="285"/>
      <c r="GG85" s="285"/>
      <c r="GH85" s="285"/>
      <c r="GI85" s="285"/>
      <c r="GJ85" s="285"/>
      <c r="GK85" s="285"/>
      <c r="GL85" s="285"/>
      <c r="GM85" s="285"/>
      <c r="GN85" s="285"/>
      <c r="GO85" s="285"/>
      <c r="GP85" s="285"/>
      <c r="GQ85" s="285"/>
      <c r="GR85" s="285"/>
      <c r="GS85" s="285"/>
      <c r="GT85" s="285"/>
      <c r="GU85" s="285"/>
      <c r="GV85" s="285"/>
      <c r="GW85" s="285"/>
      <c r="GX85" s="285"/>
      <c r="GY85" s="285"/>
      <c r="GZ85" s="285"/>
      <c r="HA85" s="285"/>
      <c r="HB85" s="285"/>
      <c r="HC85" s="285"/>
      <c r="HD85" s="285"/>
      <c r="HE85" s="285"/>
      <c r="HF85" s="285"/>
      <c r="HG85" s="285"/>
      <c r="HH85" s="285"/>
      <c r="HI85" s="285"/>
      <c r="HJ85" s="285"/>
      <c r="HK85" s="285"/>
      <c r="HL85" s="285"/>
      <c r="HM85" s="285"/>
      <c r="HN85" s="285"/>
      <c r="HO85" s="285"/>
      <c r="HP85" s="285"/>
      <c r="HQ85" s="285"/>
      <c r="HR85" s="285"/>
      <c r="HS85" s="285"/>
      <c r="HT85" s="285"/>
      <c r="HU85" s="285"/>
      <c r="HV85" s="285"/>
      <c r="HW85" s="285"/>
      <c r="HX85" s="285"/>
      <c r="HY85" s="285"/>
      <c r="HZ85" s="285"/>
      <c r="IA85" s="285"/>
      <c r="IB85" s="285"/>
      <c r="IC85" s="285"/>
      <c r="ID85" s="285"/>
      <c r="IE85" s="285"/>
      <c r="IF85" s="285"/>
      <c r="IG85" s="285"/>
      <c r="IH85" s="285"/>
      <c r="II85" s="285"/>
      <c r="IJ85" s="285"/>
      <c r="IK85" s="285"/>
      <c r="IL85" s="285"/>
      <c r="IM85" s="285"/>
      <c r="IN85" s="285"/>
      <c r="IO85" s="285"/>
      <c r="IP85" s="285"/>
      <c r="IQ85" s="285"/>
      <c r="IR85" s="285"/>
      <c r="IS85" s="285"/>
      <c r="IT85" s="285"/>
      <c r="IU85" s="285"/>
      <c r="IV85" s="285"/>
      <c r="IW85" s="285"/>
      <c r="IX85" s="285"/>
      <c r="IY85" s="285"/>
      <c r="IZ85" s="285"/>
      <c r="JA85" s="285"/>
      <c r="JB85" s="285"/>
      <c r="JC85" s="285"/>
      <c r="JD85" s="285"/>
      <c r="JE85" s="285"/>
      <c r="JF85" s="285"/>
      <c r="JG85" s="285"/>
      <c r="JH85" s="285"/>
      <c r="JI85" s="285"/>
      <c r="JJ85" s="285"/>
      <c r="JK85" s="285"/>
      <c r="JL85" s="285"/>
      <c r="JM85" s="285"/>
      <c r="JN85" s="285"/>
      <c r="JO85" s="285"/>
      <c r="JP85" s="285"/>
      <c r="JQ85" s="285"/>
      <c r="JR85" s="285"/>
      <c r="JS85" s="285"/>
      <c r="JT85" s="285"/>
      <c r="JU85" s="285"/>
      <c r="JV85" s="285"/>
      <c r="JW85" s="285"/>
      <c r="JX85" s="285"/>
      <c r="JY85" s="285"/>
      <c r="JZ85" s="285"/>
      <c r="KA85" s="285"/>
      <c r="KB85" s="285"/>
      <c r="KC85" s="285"/>
      <c r="KD85" s="285"/>
      <c r="KE85" s="285"/>
      <c r="KF85" s="285"/>
      <c r="KG85" s="285"/>
      <c r="KH85" s="285"/>
      <c r="KI85" s="285"/>
      <c r="KJ85" s="285"/>
      <c r="KK85" s="285"/>
      <c r="KL85" s="285"/>
      <c r="KM85" s="285"/>
      <c r="KN85" s="285"/>
      <c r="KO85" s="285"/>
      <c r="KP85" s="285"/>
      <c r="KQ85" s="285"/>
      <c r="KR85" s="298"/>
      <c r="KS85" s="285"/>
      <c r="KT85" s="285"/>
      <c r="KU85" s="268"/>
      <c r="KV85" s="288"/>
      <c r="KW85" s="288"/>
    </row>
    <row r="86" spans="1:309" ht="16.2" customHeight="1">
      <c r="A86" s="1232" t="s">
        <v>5346</v>
      </c>
      <c r="B86" s="1250" t="s">
        <v>5347</v>
      </c>
      <c r="C86" s="1144">
        <v>311354795</v>
      </c>
      <c r="D86" s="906" t="s">
        <v>6925</v>
      </c>
      <c r="E86" s="1242" t="s">
        <v>5299</v>
      </c>
      <c r="F86" s="74" t="s">
        <v>6895</v>
      </c>
      <c r="G86" s="75"/>
      <c r="H86" s="944" t="s">
        <v>6891</v>
      </c>
      <c r="I86" s="944"/>
      <c r="J86" s="944">
        <v>0</v>
      </c>
      <c r="K86" s="1308"/>
      <c r="L86" s="1308"/>
      <c r="M86" s="1308"/>
      <c r="N86" s="1308"/>
      <c r="O86" s="285"/>
      <c r="P86" s="285"/>
      <c r="Q86" s="285"/>
      <c r="R86" s="1397" t="s">
        <v>5942</v>
      </c>
      <c r="S86" s="1397"/>
      <c r="T86" s="1397"/>
      <c r="U86" s="1397"/>
      <c r="V86" s="925"/>
      <c r="W86" s="925"/>
      <c r="X86" s="925"/>
      <c r="Y86" s="925"/>
      <c r="Z86" s="925"/>
      <c r="AA86" s="925"/>
      <c r="AB86" s="1328" t="s">
        <v>5572</v>
      </c>
      <c r="AC86" s="285"/>
      <c r="AD86" s="285"/>
      <c r="AE86" s="285"/>
      <c r="AF86" s="285"/>
      <c r="AG86" s="285"/>
      <c r="AH86" s="285"/>
      <c r="AI86" s="285"/>
      <c r="AJ86" s="285"/>
      <c r="AK86" s="285"/>
      <c r="AL86" s="285"/>
      <c r="AM86" s="285"/>
      <c r="AN86" s="285"/>
      <c r="AO86" s="285"/>
      <c r="AP86" s="285"/>
      <c r="AQ86" s="285"/>
      <c r="AR86" s="285"/>
      <c r="AS86" s="285"/>
      <c r="AT86" s="285"/>
      <c r="AU86" s="285"/>
      <c r="AV86" s="285"/>
      <c r="AW86" s="285"/>
      <c r="AX86" s="285"/>
      <c r="AY86" s="285"/>
      <c r="AZ86" s="285"/>
      <c r="BA86" s="285"/>
      <c r="BB86" s="285"/>
      <c r="BC86" s="285"/>
      <c r="BD86" s="285"/>
      <c r="BE86" s="285"/>
      <c r="BF86" s="285"/>
      <c r="BG86" s="285"/>
      <c r="BH86" s="285"/>
      <c r="BI86" s="285"/>
      <c r="BJ86" s="285"/>
      <c r="BK86" s="285"/>
      <c r="BL86" s="285"/>
      <c r="BM86" s="285"/>
      <c r="BN86" s="285"/>
      <c r="BO86" s="285"/>
      <c r="BP86" s="285"/>
      <c r="BQ86" s="285"/>
      <c r="BR86" s="285"/>
      <c r="BS86" s="285"/>
      <c r="BT86" s="285"/>
      <c r="BU86" s="285"/>
      <c r="BV86" s="285"/>
      <c r="BW86" s="285"/>
      <c r="BX86" s="285"/>
      <c r="BY86" s="285"/>
      <c r="BZ86" s="285"/>
      <c r="CA86" s="285"/>
      <c r="CB86" s="285"/>
      <c r="CC86" s="285"/>
      <c r="CD86" s="285"/>
      <c r="CE86" s="285"/>
      <c r="CF86" s="285"/>
      <c r="CG86" s="285"/>
      <c r="CH86" s="285"/>
      <c r="CI86" s="285"/>
      <c r="CJ86" s="285"/>
      <c r="CK86" s="285"/>
      <c r="CL86" s="285"/>
      <c r="CM86" s="285"/>
      <c r="CN86" s="285"/>
      <c r="CO86" s="285"/>
      <c r="CP86" s="285"/>
      <c r="CQ86" s="285"/>
      <c r="CR86" s="285"/>
      <c r="CS86" s="285"/>
      <c r="CT86" s="285"/>
      <c r="CU86" s="285"/>
      <c r="CV86" s="285"/>
      <c r="CW86" s="285"/>
      <c r="CX86" s="285"/>
      <c r="CY86" s="285"/>
      <c r="CZ86" s="285"/>
      <c r="DA86" s="285"/>
      <c r="DB86" s="285"/>
      <c r="DC86" s="285"/>
      <c r="DD86" s="285"/>
      <c r="DE86" s="285"/>
      <c r="DF86" s="285"/>
      <c r="DG86" s="285"/>
      <c r="DH86" s="285"/>
      <c r="DI86" s="285"/>
      <c r="DJ86" s="285"/>
      <c r="DK86" s="285"/>
      <c r="DL86" s="285"/>
      <c r="DM86" s="285"/>
      <c r="DN86" s="285"/>
      <c r="DO86" s="285"/>
      <c r="DP86" s="285"/>
      <c r="DQ86" s="285"/>
      <c r="DR86" s="285"/>
      <c r="DS86" s="285"/>
      <c r="DT86" s="285"/>
      <c r="DU86" s="285"/>
      <c r="DV86" s="285"/>
      <c r="DW86" s="285"/>
      <c r="DX86" s="285"/>
      <c r="DY86" s="285"/>
      <c r="DZ86" s="285"/>
      <c r="EA86" s="285"/>
      <c r="EB86" s="285"/>
      <c r="EC86" s="285"/>
      <c r="ED86" s="285"/>
      <c r="EE86" s="285"/>
      <c r="EF86" s="285"/>
      <c r="EG86" s="285"/>
      <c r="EH86" s="285"/>
      <c r="EI86" s="285"/>
      <c r="EJ86" s="285"/>
      <c r="EK86" s="285"/>
      <c r="EL86" s="285"/>
      <c r="EM86" s="285"/>
      <c r="EN86" s="285"/>
      <c r="EO86" s="285"/>
      <c r="EP86" s="285"/>
      <c r="EQ86" s="285"/>
      <c r="ER86" s="285"/>
      <c r="ES86" s="285"/>
      <c r="ET86" s="285"/>
      <c r="EU86" s="285"/>
      <c r="EV86" s="285"/>
      <c r="EW86" s="285"/>
      <c r="EX86" s="285"/>
      <c r="EY86" s="285"/>
      <c r="EZ86" s="285"/>
      <c r="FA86" s="285"/>
      <c r="FB86" s="285"/>
      <c r="FC86" s="285"/>
      <c r="FD86" s="285"/>
      <c r="FE86" s="285"/>
      <c r="FF86" s="285"/>
      <c r="FG86" s="285"/>
      <c r="FH86" s="285"/>
      <c r="FI86" s="285"/>
      <c r="FJ86" s="285"/>
      <c r="FK86" s="285"/>
      <c r="FL86" s="285"/>
      <c r="FM86" s="285"/>
      <c r="FN86" s="285"/>
      <c r="FO86" s="285"/>
      <c r="FP86" s="285"/>
      <c r="FQ86" s="285"/>
      <c r="FR86" s="285"/>
      <c r="FS86" s="285"/>
      <c r="FT86" s="285"/>
      <c r="FU86" s="285"/>
      <c r="FV86" s="285"/>
      <c r="FW86" s="285"/>
      <c r="FX86" s="285"/>
      <c r="FY86" s="285"/>
      <c r="FZ86" s="285"/>
      <c r="GA86" s="285"/>
      <c r="GB86" s="285"/>
      <c r="GC86" s="285"/>
      <c r="GD86" s="285"/>
      <c r="GE86" s="285"/>
      <c r="GF86" s="285"/>
      <c r="GG86" s="285"/>
      <c r="GH86" s="285"/>
      <c r="GI86" s="285"/>
      <c r="GJ86" s="285"/>
      <c r="GK86" s="285"/>
      <c r="GL86" s="285"/>
      <c r="GM86" s="285"/>
      <c r="GN86" s="285"/>
      <c r="GO86" s="285"/>
      <c r="GP86" s="285"/>
      <c r="GQ86" s="285"/>
      <c r="GR86" s="285"/>
      <c r="GS86" s="285"/>
      <c r="GT86" s="285"/>
      <c r="GU86" s="285"/>
      <c r="GV86" s="285"/>
      <c r="GW86" s="285"/>
      <c r="GX86" s="285"/>
      <c r="GY86" s="285"/>
      <c r="GZ86" s="285"/>
      <c r="HA86" s="285"/>
      <c r="HB86" s="285"/>
      <c r="HC86" s="285"/>
      <c r="HD86" s="285"/>
      <c r="HE86" s="285"/>
      <c r="HF86" s="285"/>
      <c r="HG86" s="285"/>
      <c r="HH86" s="285"/>
      <c r="HI86" s="285"/>
      <c r="HJ86" s="285"/>
      <c r="HK86" s="285"/>
      <c r="HL86" s="285"/>
      <c r="HM86" s="285"/>
      <c r="HN86" s="285"/>
      <c r="HO86" s="285"/>
      <c r="HP86" s="285"/>
      <c r="HQ86" s="285"/>
      <c r="HR86" s="285"/>
      <c r="HS86" s="285"/>
      <c r="HT86" s="285"/>
      <c r="HU86" s="285"/>
      <c r="HV86" s="285"/>
      <c r="HW86" s="285"/>
      <c r="HX86" s="285"/>
      <c r="HY86" s="285"/>
      <c r="HZ86" s="285"/>
      <c r="IA86" s="285"/>
      <c r="IB86" s="285"/>
      <c r="IC86" s="285"/>
      <c r="ID86" s="285"/>
      <c r="IE86" s="285"/>
      <c r="IF86" s="285"/>
      <c r="IG86" s="285"/>
      <c r="IH86" s="285"/>
      <c r="II86" s="285"/>
      <c r="IJ86" s="285"/>
      <c r="IK86" s="285"/>
      <c r="IL86" s="285"/>
      <c r="IM86" s="285"/>
      <c r="IN86" s="285"/>
      <c r="IO86" s="285"/>
      <c r="IP86" s="285"/>
      <c r="IQ86" s="285"/>
      <c r="IR86" s="285"/>
      <c r="IS86" s="285"/>
      <c r="IT86" s="285"/>
      <c r="IU86" s="285"/>
      <c r="IV86" s="285"/>
      <c r="IW86" s="285"/>
      <c r="IX86" s="285"/>
      <c r="IY86" s="285"/>
      <c r="IZ86" s="285"/>
      <c r="JA86" s="285"/>
      <c r="JB86" s="285"/>
      <c r="JC86" s="285"/>
      <c r="JD86" s="285"/>
      <c r="JE86" s="285"/>
      <c r="JF86" s="285"/>
      <c r="JG86" s="285"/>
      <c r="JH86" s="285"/>
      <c r="JI86" s="285"/>
      <c r="JJ86" s="285"/>
      <c r="JK86" s="285"/>
      <c r="JL86" s="285"/>
      <c r="JM86" s="285"/>
      <c r="JN86" s="285"/>
      <c r="JO86" s="285"/>
      <c r="JP86" s="285"/>
      <c r="JQ86" s="285"/>
      <c r="JR86" s="285"/>
      <c r="JS86" s="285"/>
      <c r="JT86" s="285"/>
      <c r="JU86" s="285"/>
      <c r="JV86" s="285"/>
      <c r="JW86" s="285"/>
      <c r="JX86" s="285"/>
      <c r="JY86" s="285"/>
      <c r="JZ86" s="285"/>
      <c r="KA86" s="285"/>
      <c r="KB86" s="285"/>
      <c r="KC86" s="285"/>
      <c r="KD86" s="285"/>
      <c r="KE86" s="285"/>
      <c r="KF86" s="285"/>
      <c r="KG86" s="285"/>
      <c r="KH86" s="285"/>
      <c r="KI86" s="285"/>
      <c r="KJ86" s="285"/>
      <c r="KK86" s="285"/>
      <c r="KL86" s="285"/>
      <c r="KM86" s="285"/>
      <c r="KN86" s="285"/>
      <c r="KO86" s="285"/>
      <c r="KP86" s="285"/>
      <c r="KQ86" s="285"/>
      <c r="KR86" s="298"/>
      <c r="KS86" s="285"/>
      <c r="KT86" s="285"/>
      <c r="KU86" s="268"/>
      <c r="KV86" s="288"/>
      <c r="KW86" s="288"/>
    </row>
    <row r="87" spans="1:309" ht="16.2" customHeight="1">
      <c r="A87" s="1232" t="s">
        <v>5346</v>
      </c>
      <c r="B87" s="1844" t="s">
        <v>5348</v>
      </c>
      <c r="C87" s="1243">
        <v>311354764</v>
      </c>
      <c r="D87" s="906" t="s">
        <v>6925</v>
      </c>
      <c r="E87" s="1242" t="s">
        <v>5299</v>
      </c>
      <c r="F87" s="74" t="s">
        <v>6895</v>
      </c>
      <c r="G87" s="75"/>
      <c r="H87" s="944" t="s">
        <v>6891</v>
      </c>
      <c r="I87" s="944"/>
      <c r="J87" s="944">
        <v>0</v>
      </c>
      <c r="K87" s="1308"/>
      <c r="L87" s="1308"/>
      <c r="M87" s="1308"/>
      <c r="N87" s="1308"/>
      <c r="O87" s="285"/>
      <c r="P87" s="285"/>
      <c r="Q87" s="285"/>
      <c r="R87" s="285"/>
      <c r="S87" s="285"/>
      <c r="T87" s="285"/>
      <c r="U87" s="285"/>
      <c r="V87" s="285"/>
      <c r="W87" s="285"/>
      <c r="X87" s="1227"/>
      <c r="Y87" s="1308"/>
      <c r="Z87" s="1308"/>
      <c r="AA87" s="1308"/>
      <c r="AB87" s="1328" t="s">
        <v>5572</v>
      </c>
      <c r="AC87" s="285" t="s">
        <v>5263</v>
      </c>
      <c r="AD87" s="285">
        <v>2982</v>
      </c>
      <c r="AE87" s="285" t="s">
        <v>5261</v>
      </c>
      <c r="AF87" s="285"/>
      <c r="AG87" s="285"/>
      <c r="AH87" s="285"/>
      <c r="AI87" s="285"/>
      <c r="AJ87" s="285"/>
      <c r="AK87" s="285"/>
      <c r="AL87" s="285"/>
      <c r="AM87" s="285"/>
      <c r="AN87" s="285"/>
      <c r="AO87" s="285"/>
      <c r="AP87" s="285"/>
      <c r="AQ87" s="285"/>
      <c r="AR87" s="285"/>
      <c r="AS87" s="285"/>
      <c r="AT87" s="285"/>
      <c r="AU87" s="285"/>
      <c r="AV87" s="285"/>
      <c r="AW87" s="285"/>
      <c r="AX87" s="285"/>
      <c r="AY87" s="285"/>
      <c r="AZ87" s="285"/>
      <c r="BA87" s="285"/>
      <c r="BB87" s="285"/>
      <c r="BC87" s="285"/>
      <c r="BD87" s="285"/>
      <c r="BE87" s="285"/>
      <c r="BF87" s="285"/>
      <c r="BG87" s="285"/>
      <c r="BH87" s="285"/>
      <c r="BI87" s="285"/>
      <c r="BJ87" s="285"/>
      <c r="BK87" s="285"/>
      <c r="BL87" s="285"/>
      <c r="BM87" s="285"/>
      <c r="BN87" s="285"/>
      <c r="BO87" s="285"/>
      <c r="BP87" s="285"/>
      <c r="BQ87" s="285"/>
      <c r="BR87" s="285"/>
      <c r="BS87" s="285"/>
      <c r="BT87" s="285"/>
      <c r="BU87" s="285"/>
      <c r="BV87" s="285"/>
      <c r="BW87" s="285"/>
      <c r="BX87" s="285"/>
      <c r="BY87" s="285"/>
      <c r="BZ87" s="285"/>
      <c r="CA87" s="285"/>
      <c r="CB87" s="285"/>
      <c r="CC87" s="285"/>
      <c r="CD87" s="285"/>
      <c r="CE87" s="285"/>
      <c r="CF87" s="285"/>
      <c r="CG87" s="285"/>
      <c r="CH87" s="285"/>
      <c r="CI87" s="285"/>
      <c r="CJ87" s="285"/>
      <c r="CK87" s="285"/>
      <c r="CL87" s="285"/>
      <c r="CM87" s="285"/>
      <c r="CN87" s="285"/>
      <c r="CO87" s="285"/>
      <c r="CP87" s="285"/>
      <c r="CQ87" s="285"/>
      <c r="CR87" s="285"/>
      <c r="CS87" s="285"/>
      <c r="CT87" s="285"/>
      <c r="CU87" s="285"/>
      <c r="CV87" s="285"/>
      <c r="CW87" s="285"/>
      <c r="CX87" s="285"/>
      <c r="CY87" s="285"/>
      <c r="CZ87" s="285"/>
      <c r="DA87" s="285"/>
      <c r="DB87" s="285"/>
      <c r="DC87" s="285"/>
      <c r="DD87" s="285"/>
      <c r="DE87" s="285"/>
      <c r="DF87" s="285"/>
      <c r="DG87" s="285"/>
      <c r="DH87" s="285"/>
      <c r="DI87" s="285"/>
      <c r="DJ87" s="285"/>
      <c r="DK87" s="285"/>
      <c r="DL87" s="285"/>
      <c r="DM87" s="285"/>
      <c r="DN87" s="285"/>
      <c r="DO87" s="285"/>
      <c r="DP87" s="285"/>
      <c r="DQ87" s="285"/>
      <c r="DR87" s="285"/>
      <c r="DS87" s="285"/>
      <c r="DT87" s="285"/>
      <c r="DU87" s="285"/>
      <c r="DV87" s="285"/>
      <c r="DW87" s="285"/>
      <c r="DX87" s="285"/>
      <c r="DY87" s="285"/>
      <c r="DZ87" s="285"/>
      <c r="EA87" s="285"/>
      <c r="EB87" s="285"/>
      <c r="EC87" s="285"/>
      <c r="ED87" s="285"/>
      <c r="EE87" s="285"/>
      <c r="EF87" s="285"/>
      <c r="EG87" s="285"/>
      <c r="EH87" s="285"/>
      <c r="EI87" s="285"/>
      <c r="EJ87" s="285"/>
      <c r="EK87" s="285"/>
      <c r="EL87" s="285"/>
      <c r="EM87" s="285"/>
      <c r="EN87" s="285"/>
      <c r="EO87" s="285"/>
      <c r="EP87" s="285"/>
      <c r="EQ87" s="285"/>
      <c r="ER87" s="285"/>
      <c r="ES87" s="285"/>
      <c r="ET87" s="285"/>
      <c r="EU87" s="285"/>
      <c r="EV87" s="285"/>
      <c r="EW87" s="285"/>
      <c r="EX87" s="285"/>
      <c r="EY87" s="285"/>
      <c r="EZ87" s="285"/>
      <c r="FA87" s="285"/>
      <c r="FB87" s="285"/>
      <c r="FC87" s="285"/>
      <c r="FD87" s="285"/>
      <c r="FE87" s="285"/>
      <c r="FF87" s="285"/>
      <c r="FG87" s="285"/>
      <c r="FH87" s="285"/>
      <c r="FI87" s="285"/>
      <c r="FJ87" s="285"/>
      <c r="FK87" s="285"/>
      <c r="FL87" s="285"/>
      <c r="FM87" s="285"/>
      <c r="FN87" s="285"/>
      <c r="FO87" s="285"/>
      <c r="FP87" s="285"/>
      <c r="FQ87" s="285"/>
      <c r="FR87" s="285"/>
      <c r="FS87" s="285"/>
      <c r="FT87" s="285"/>
      <c r="FU87" s="285"/>
      <c r="FV87" s="285"/>
      <c r="FW87" s="285"/>
      <c r="FX87" s="285"/>
      <c r="FY87" s="285"/>
      <c r="FZ87" s="285"/>
      <c r="GA87" s="285"/>
      <c r="GB87" s="285"/>
      <c r="GC87" s="285"/>
      <c r="GD87" s="285"/>
      <c r="GE87" s="285"/>
      <c r="GF87" s="285"/>
      <c r="GG87" s="285"/>
      <c r="GH87" s="285"/>
      <c r="GI87" s="285"/>
      <c r="GJ87" s="285"/>
      <c r="GK87" s="285"/>
      <c r="GL87" s="285"/>
      <c r="GM87" s="285"/>
      <c r="GN87" s="285"/>
      <c r="GO87" s="285"/>
      <c r="GP87" s="285"/>
      <c r="GQ87" s="285"/>
      <c r="GR87" s="285"/>
      <c r="GS87" s="285"/>
      <c r="GT87" s="285"/>
      <c r="GU87" s="285"/>
      <c r="GV87" s="285"/>
      <c r="GW87" s="285"/>
      <c r="GX87" s="285"/>
      <c r="GY87" s="285"/>
      <c r="GZ87" s="285"/>
      <c r="HA87" s="285"/>
      <c r="HB87" s="285"/>
      <c r="HC87" s="285"/>
      <c r="HD87" s="285"/>
      <c r="HE87" s="285"/>
      <c r="HF87" s="285"/>
      <c r="HG87" s="285"/>
      <c r="HH87" s="285"/>
      <c r="HI87" s="285"/>
      <c r="HJ87" s="285"/>
      <c r="HK87" s="285"/>
      <c r="HL87" s="285"/>
      <c r="HM87" s="285"/>
      <c r="HN87" s="285"/>
      <c r="HO87" s="285"/>
      <c r="HP87" s="285"/>
      <c r="HQ87" s="285"/>
      <c r="HR87" s="285"/>
      <c r="HS87" s="285"/>
      <c r="HT87" s="285"/>
      <c r="HU87" s="285"/>
      <c r="HV87" s="285"/>
      <c r="HW87" s="285"/>
      <c r="HX87" s="285"/>
      <c r="HY87" s="285"/>
      <c r="HZ87" s="285"/>
      <c r="IA87" s="285"/>
      <c r="IB87" s="285"/>
      <c r="IC87" s="285"/>
      <c r="ID87" s="285"/>
      <c r="IE87" s="285"/>
      <c r="IF87" s="285"/>
      <c r="IG87" s="285"/>
      <c r="IH87" s="285"/>
      <c r="II87" s="285"/>
      <c r="IJ87" s="285"/>
      <c r="IK87" s="285"/>
      <c r="IL87" s="285"/>
      <c r="IM87" s="285"/>
      <c r="IN87" s="285"/>
      <c r="IO87" s="285"/>
      <c r="IP87" s="285"/>
      <c r="IQ87" s="285"/>
      <c r="IR87" s="285"/>
      <c r="IS87" s="285"/>
      <c r="IT87" s="285"/>
      <c r="IU87" s="285"/>
      <c r="IV87" s="285"/>
      <c r="IW87" s="285"/>
      <c r="IX87" s="285"/>
      <c r="IY87" s="285"/>
      <c r="IZ87" s="285"/>
      <c r="JA87" s="285"/>
      <c r="JB87" s="285"/>
      <c r="JC87" s="285"/>
      <c r="JD87" s="285"/>
      <c r="JE87" s="285"/>
      <c r="JF87" s="285"/>
      <c r="JG87" s="285"/>
      <c r="JH87" s="285"/>
      <c r="JI87" s="285"/>
      <c r="JJ87" s="285"/>
      <c r="JK87" s="285"/>
      <c r="JL87" s="285"/>
      <c r="JM87" s="285"/>
      <c r="JN87" s="285"/>
      <c r="JO87" s="285"/>
      <c r="JP87" s="285"/>
      <c r="JQ87" s="285"/>
      <c r="JR87" s="285"/>
      <c r="JS87" s="285"/>
      <c r="JT87" s="285"/>
      <c r="JU87" s="285"/>
      <c r="JV87" s="285"/>
      <c r="JW87" s="285"/>
      <c r="JX87" s="285"/>
      <c r="JY87" s="285"/>
      <c r="JZ87" s="285"/>
      <c r="KA87" s="285"/>
      <c r="KB87" s="285"/>
      <c r="KC87" s="285"/>
      <c r="KD87" s="285"/>
      <c r="KE87" s="285"/>
      <c r="KF87" s="285"/>
      <c r="KG87" s="285"/>
      <c r="KH87" s="285"/>
      <c r="KI87" s="285"/>
      <c r="KJ87" s="285"/>
      <c r="KK87" s="285"/>
      <c r="KL87" s="285"/>
      <c r="KM87" s="285"/>
      <c r="KN87" s="285"/>
      <c r="KO87" s="285"/>
      <c r="KP87" s="285"/>
      <c r="KQ87" s="285"/>
      <c r="KR87" s="298"/>
      <c r="KS87" s="285"/>
      <c r="KT87" s="285"/>
      <c r="KU87" s="268"/>
      <c r="KV87" s="288"/>
      <c r="KW87" s="288"/>
    </row>
    <row r="88" spans="1:309" ht="16.2" customHeight="1">
      <c r="A88" s="1248" t="s">
        <v>5359</v>
      </c>
      <c r="B88" s="1251" t="s">
        <v>5362</v>
      </c>
      <c r="C88" s="1243">
        <v>311361503</v>
      </c>
      <c r="D88" s="906" t="s">
        <v>6925</v>
      </c>
      <c r="E88" s="1249" t="s">
        <v>5299</v>
      </c>
      <c r="F88" s="74" t="s">
        <v>6895</v>
      </c>
      <c r="G88" s="75"/>
      <c r="H88" s="944" t="s">
        <v>6891</v>
      </c>
      <c r="I88" s="944"/>
      <c r="J88" s="944">
        <v>0</v>
      </c>
      <c r="K88" s="1308"/>
      <c r="L88" s="1308"/>
      <c r="M88" s="1308"/>
      <c r="N88" s="1308"/>
      <c r="O88" s="285"/>
      <c r="P88" s="285"/>
      <c r="Q88" s="285"/>
      <c r="R88" s="285"/>
      <c r="S88" s="285"/>
      <c r="T88" s="285"/>
      <c r="U88" s="285"/>
      <c r="V88" s="285"/>
      <c r="W88" s="285"/>
      <c r="X88" s="1308"/>
      <c r="Y88" s="1308"/>
      <c r="Z88" s="1308"/>
      <c r="AA88" s="1308"/>
      <c r="AB88" s="1328" t="s">
        <v>5572</v>
      </c>
      <c r="AC88" s="285" t="s">
        <v>5262</v>
      </c>
      <c r="AD88" s="285">
        <v>1488</v>
      </c>
      <c r="AE88" s="285" t="s">
        <v>5572</v>
      </c>
      <c r="AF88" s="285"/>
      <c r="AG88" s="285"/>
      <c r="AH88" s="285"/>
      <c r="AI88" s="285"/>
      <c r="AJ88" s="285"/>
      <c r="AK88" s="285"/>
      <c r="AL88" s="285"/>
      <c r="AM88" s="285"/>
      <c r="AN88" s="285"/>
      <c r="AO88" s="285"/>
      <c r="AP88" s="285"/>
      <c r="AQ88" s="285"/>
      <c r="AR88" s="285"/>
      <c r="AS88" s="285"/>
      <c r="AT88" s="285"/>
      <c r="AU88" s="285"/>
      <c r="AV88" s="285"/>
      <c r="AW88" s="285"/>
      <c r="AX88" s="285"/>
      <c r="AY88" s="285"/>
      <c r="AZ88" s="285"/>
      <c r="BA88" s="285"/>
      <c r="BB88" s="285"/>
      <c r="BC88" s="285"/>
      <c r="BD88" s="285"/>
      <c r="BE88" s="285"/>
      <c r="BF88" s="285"/>
      <c r="BG88" s="285"/>
      <c r="BH88" s="285"/>
      <c r="BI88" s="285"/>
      <c r="BJ88" s="285"/>
      <c r="BK88" s="285"/>
      <c r="BL88" s="285"/>
      <c r="BM88" s="285"/>
      <c r="BN88" s="285"/>
      <c r="BO88" s="285"/>
      <c r="BP88" s="285"/>
      <c r="BQ88" s="285"/>
      <c r="BR88" s="285"/>
      <c r="BS88" s="285"/>
      <c r="BT88" s="285"/>
      <c r="BU88" s="285"/>
      <c r="BV88" s="285"/>
      <c r="BW88" s="285"/>
      <c r="BX88" s="285"/>
      <c r="BY88" s="285"/>
      <c r="BZ88" s="285"/>
      <c r="CA88" s="285"/>
      <c r="CB88" s="285"/>
      <c r="CC88" s="285"/>
      <c r="CD88" s="285"/>
      <c r="CE88" s="285"/>
      <c r="CF88" s="285"/>
      <c r="CG88" s="285"/>
      <c r="CH88" s="285"/>
      <c r="CI88" s="285"/>
      <c r="CJ88" s="285"/>
      <c r="CK88" s="285"/>
      <c r="CL88" s="285"/>
      <c r="CM88" s="285"/>
      <c r="CN88" s="285"/>
      <c r="CO88" s="285"/>
      <c r="CP88" s="285"/>
      <c r="CQ88" s="285"/>
      <c r="CR88" s="285"/>
      <c r="CS88" s="285"/>
      <c r="CT88" s="285"/>
      <c r="CU88" s="285"/>
      <c r="CV88" s="285"/>
      <c r="CW88" s="285"/>
      <c r="CX88" s="285"/>
      <c r="CY88" s="285"/>
      <c r="CZ88" s="285"/>
      <c r="DA88" s="285"/>
      <c r="DB88" s="285"/>
      <c r="DC88" s="285"/>
      <c r="DD88" s="285"/>
      <c r="DE88" s="285"/>
      <c r="DF88" s="285"/>
      <c r="DG88" s="285"/>
      <c r="DH88" s="285"/>
      <c r="DI88" s="285"/>
      <c r="DJ88" s="285"/>
      <c r="DK88" s="285"/>
      <c r="DL88" s="285"/>
      <c r="DM88" s="285"/>
      <c r="DN88" s="285"/>
      <c r="DO88" s="285"/>
      <c r="DP88" s="285"/>
      <c r="DQ88" s="285"/>
      <c r="DR88" s="285"/>
      <c r="DS88" s="285"/>
      <c r="DT88" s="285"/>
      <c r="DU88" s="285"/>
      <c r="DV88" s="285"/>
      <c r="DW88" s="285"/>
      <c r="DX88" s="285"/>
      <c r="DY88" s="285"/>
      <c r="DZ88" s="285"/>
      <c r="EA88" s="285"/>
      <c r="EB88" s="285"/>
      <c r="EC88" s="285"/>
      <c r="ED88" s="285"/>
      <c r="EE88" s="285"/>
      <c r="EF88" s="285"/>
      <c r="EG88" s="285"/>
      <c r="EH88" s="285"/>
      <c r="EI88" s="285"/>
      <c r="EJ88" s="285"/>
      <c r="EK88" s="285"/>
      <c r="EL88" s="285"/>
      <c r="EM88" s="285"/>
      <c r="EN88" s="285"/>
      <c r="EO88" s="285"/>
      <c r="EP88" s="285"/>
      <c r="EQ88" s="285"/>
      <c r="ER88" s="285"/>
      <c r="ES88" s="285"/>
      <c r="ET88" s="285"/>
      <c r="EU88" s="285"/>
      <c r="EV88" s="285"/>
      <c r="EW88" s="285"/>
      <c r="EX88" s="285"/>
      <c r="EY88" s="285"/>
      <c r="EZ88" s="285"/>
      <c r="FA88" s="285"/>
      <c r="FB88" s="285"/>
      <c r="FC88" s="285"/>
      <c r="FD88" s="285"/>
      <c r="FE88" s="285"/>
      <c r="FF88" s="285"/>
      <c r="FG88" s="285"/>
      <c r="FH88" s="285"/>
      <c r="FI88" s="285"/>
      <c r="FJ88" s="285"/>
      <c r="FK88" s="285"/>
      <c r="FL88" s="285"/>
      <c r="FM88" s="285"/>
      <c r="FN88" s="285"/>
      <c r="FO88" s="285"/>
      <c r="FP88" s="285"/>
      <c r="FQ88" s="285"/>
      <c r="FR88" s="285"/>
      <c r="FS88" s="285"/>
      <c r="FT88" s="285"/>
      <c r="FU88" s="285"/>
      <c r="FV88" s="285"/>
      <c r="FW88" s="285"/>
      <c r="FX88" s="285"/>
      <c r="FY88" s="285"/>
      <c r="FZ88" s="285"/>
      <c r="GA88" s="285"/>
      <c r="GB88" s="285"/>
      <c r="GC88" s="285"/>
      <c r="GD88" s="285"/>
      <c r="GE88" s="285"/>
      <c r="GF88" s="285"/>
      <c r="GG88" s="285"/>
      <c r="GH88" s="285"/>
      <c r="GI88" s="285"/>
      <c r="GJ88" s="285"/>
      <c r="GK88" s="285"/>
      <c r="GL88" s="285"/>
      <c r="GM88" s="285"/>
      <c r="GN88" s="285"/>
      <c r="GO88" s="285"/>
      <c r="GP88" s="285"/>
      <c r="GQ88" s="285"/>
      <c r="GR88" s="285"/>
      <c r="GS88" s="285"/>
      <c r="GT88" s="285"/>
      <c r="GU88" s="285"/>
      <c r="GV88" s="285"/>
      <c r="GW88" s="285"/>
      <c r="GX88" s="285"/>
      <c r="GY88" s="285"/>
      <c r="GZ88" s="285"/>
      <c r="HA88" s="285"/>
      <c r="HB88" s="285"/>
      <c r="HC88" s="285"/>
      <c r="HD88" s="285"/>
      <c r="HE88" s="285"/>
      <c r="HF88" s="285"/>
      <c r="HG88" s="285"/>
      <c r="HH88" s="285"/>
      <c r="HI88" s="285"/>
      <c r="HJ88" s="285"/>
      <c r="HK88" s="285"/>
      <c r="HL88" s="285"/>
      <c r="HM88" s="285"/>
      <c r="HN88" s="285"/>
      <c r="HO88" s="285"/>
      <c r="HP88" s="285"/>
      <c r="HQ88" s="285"/>
      <c r="HR88" s="285"/>
      <c r="HS88" s="285"/>
      <c r="HT88" s="285"/>
      <c r="HU88" s="285"/>
      <c r="HV88" s="285"/>
      <c r="HW88" s="285"/>
      <c r="HX88" s="285"/>
      <c r="HY88" s="285"/>
      <c r="HZ88" s="285"/>
      <c r="IA88" s="285"/>
      <c r="IB88" s="285"/>
      <c r="IC88" s="285"/>
      <c r="ID88" s="285"/>
      <c r="IE88" s="285"/>
      <c r="IF88" s="285"/>
      <c r="IG88" s="285"/>
      <c r="IH88" s="285"/>
      <c r="II88" s="285"/>
      <c r="IJ88" s="285"/>
      <c r="IK88" s="285"/>
      <c r="IL88" s="285"/>
      <c r="IM88" s="285"/>
      <c r="IN88" s="285"/>
      <c r="IO88" s="285"/>
      <c r="IP88" s="285"/>
      <c r="IQ88" s="285"/>
      <c r="IR88" s="285"/>
      <c r="IS88" s="285"/>
      <c r="IT88" s="285"/>
      <c r="IU88" s="285"/>
      <c r="IV88" s="285"/>
      <c r="IW88" s="285"/>
      <c r="IX88" s="285"/>
      <c r="IY88" s="285"/>
      <c r="IZ88" s="285"/>
      <c r="JA88" s="285"/>
      <c r="JB88" s="285"/>
      <c r="JC88" s="285"/>
      <c r="JD88" s="285"/>
      <c r="JE88" s="285"/>
      <c r="JF88" s="285"/>
      <c r="JG88" s="285"/>
      <c r="JH88" s="285"/>
      <c r="JI88" s="285"/>
      <c r="JJ88" s="285"/>
      <c r="JK88" s="285"/>
      <c r="JL88" s="285"/>
      <c r="JM88" s="285"/>
      <c r="JN88" s="285"/>
      <c r="JO88" s="285"/>
      <c r="JP88" s="285"/>
      <c r="JQ88" s="285"/>
      <c r="JR88" s="285"/>
      <c r="JS88" s="285"/>
      <c r="JT88" s="285"/>
      <c r="JU88" s="285"/>
      <c r="JV88" s="285"/>
      <c r="JW88" s="285"/>
      <c r="JX88" s="285"/>
      <c r="JY88" s="285"/>
      <c r="JZ88" s="285"/>
      <c r="KA88" s="285"/>
      <c r="KB88" s="285"/>
      <c r="KC88" s="285"/>
      <c r="KD88" s="285"/>
      <c r="KE88" s="285"/>
      <c r="KF88" s="285"/>
      <c r="KG88" s="285"/>
      <c r="KH88" s="285"/>
      <c r="KI88" s="285"/>
      <c r="KJ88" s="285"/>
      <c r="KK88" s="285"/>
      <c r="KL88" s="285"/>
      <c r="KM88" s="285"/>
      <c r="KN88" s="285"/>
      <c r="KO88" s="285"/>
      <c r="KP88" s="285"/>
      <c r="KQ88" s="285"/>
      <c r="KR88" s="298"/>
      <c r="KS88" s="285"/>
      <c r="KT88" s="285"/>
      <c r="KU88" s="268"/>
      <c r="KV88" s="288"/>
      <c r="KW88" s="288"/>
    </row>
    <row r="89" spans="1:309" ht="16.2" customHeight="1">
      <c r="A89" s="1281" t="s">
        <v>5369</v>
      </c>
      <c r="B89" s="1280" t="s">
        <v>5452</v>
      </c>
      <c r="C89" s="225">
        <v>311367977</v>
      </c>
      <c r="D89" s="906" t="s">
        <v>6925</v>
      </c>
      <c r="E89" s="1342" t="s">
        <v>5630</v>
      </c>
      <c r="F89" s="74"/>
      <c r="G89" s="75"/>
      <c r="H89" s="1662" t="s">
        <v>6806</v>
      </c>
      <c r="I89" s="1662"/>
      <c r="J89" s="944">
        <v>0</v>
      </c>
      <c r="K89" s="1308"/>
      <c r="L89" s="1308"/>
      <c r="M89" s="1308"/>
      <c r="N89" s="1308"/>
      <c r="O89" s="285"/>
      <c r="P89" s="285"/>
      <c r="Q89" s="285"/>
      <c r="R89" s="285"/>
      <c r="S89" s="285"/>
      <c r="T89" s="285"/>
      <c r="U89" s="285"/>
      <c r="V89" s="285" t="s">
        <v>5696</v>
      </c>
      <c r="W89" s="285"/>
      <c r="X89" s="1308"/>
      <c r="Y89" s="1308"/>
      <c r="Z89" s="1308"/>
      <c r="AA89" s="1308"/>
      <c r="AB89" s="285" t="s">
        <v>5692</v>
      </c>
      <c r="AC89" s="285"/>
      <c r="AD89" s="285">
        <v>2982</v>
      </c>
      <c r="AE89" s="285" t="s">
        <v>5261</v>
      </c>
      <c r="AF89" s="285"/>
      <c r="AG89" s="285"/>
      <c r="AH89" s="285"/>
      <c r="AI89" s="285"/>
      <c r="AJ89" s="285"/>
      <c r="AK89" s="285"/>
      <c r="AL89" s="285"/>
      <c r="AM89" s="285"/>
      <c r="AN89" s="285"/>
      <c r="AO89" s="285"/>
      <c r="AP89" s="285"/>
      <c r="AQ89" s="285"/>
      <c r="AR89" s="285"/>
      <c r="AS89" s="285"/>
      <c r="AT89" s="285"/>
      <c r="AU89" s="285"/>
      <c r="AV89" s="285"/>
      <c r="AW89" s="285"/>
      <c r="AX89" s="285"/>
      <c r="AY89" s="285"/>
      <c r="AZ89" s="285"/>
      <c r="BA89" s="285"/>
      <c r="BB89" s="285"/>
      <c r="BC89" s="285"/>
      <c r="BD89" s="285"/>
      <c r="BE89" s="285"/>
      <c r="BF89" s="285"/>
      <c r="BG89" s="285"/>
      <c r="BH89" s="285"/>
      <c r="BI89" s="285"/>
      <c r="BJ89" s="285"/>
      <c r="BK89" s="285"/>
      <c r="BL89" s="285"/>
      <c r="BM89" s="285"/>
      <c r="BN89" s="285"/>
      <c r="BO89" s="285"/>
      <c r="BP89" s="285"/>
      <c r="BQ89" s="285"/>
      <c r="BR89" s="285"/>
      <c r="BS89" s="285"/>
      <c r="BT89" s="285"/>
      <c r="BU89" s="285"/>
      <c r="BV89" s="285"/>
      <c r="BW89" s="285"/>
      <c r="BX89" s="285"/>
      <c r="BY89" s="285"/>
      <c r="BZ89" s="285"/>
      <c r="CA89" s="285"/>
      <c r="CB89" s="285"/>
      <c r="CC89" s="285"/>
      <c r="CD89" s="285"/>
      <c r="CE89" s="285"/>
      <c r="CF89" s="285"/>
      <c r="CG89" s="285"/>
      <c r="CH89" s="285"/>
      <c r="CI89" s="285"/>
      <c r="CJ89" s="285"/>
      <c r="CK89" s="285"/>
      <c r="CL89" s="285"/>
      <c r="CM89" s="285"/>
      <c r="CN89" s="285"/>
      <c r="CO89" s="285"/>
      <c r="CP89" s="285"/>
      <c r="CQ89" s="285"/>
      <c r="CR89" s="285"/>
      <c r="CS89" s="285"/>
      <c r="CT89" s="285"/>
      <c r="CU89" s="285"/>
      <c r="CV89" s="285"/>
      <c r="CW89" s="285"/>
      <c r="CX89" s="285"/>
      <c r="CY89" s="285"/>
      <c r="CZ89" s="285"/>
      <c r="DA89" s="285"/>
      <c r="DB89" s="285"/>
      <c r="DC89" s="285"/>
      <c r="DD89" s="285"/>
      <c r="DE89" s="285"/>
      <c r="DF89" s="285"/>
      <c r="DG89" s="285"/>
      <c r="DH89" s="285"/>
      <c r="DI89" s="285"/>
      <c r="DJ89" s="285"/>
      <c r="DK89" s="285"/>
      <c r="DL89" s="285"/>
      <c r="DM89" s="285"/>
      <c r="DN89" s="285"/>
      <c r="DO89" s="285"/>
      <c r="DP89" s="285"/>
      <c r="DQ89" s="285"/>
      <c r="DR89" s="285"/>
      <c r="DS89" s="285"/>
      <c r="DT89" s="285"/>
      <c r="DU89" s="285"/>
      <c r="DV89" s="285"/>
      <c r="DW89" s="285"/>
      <c r="DX89" s="285"/>
      <c r="DY89" s="285"/>
      <c r="DZ89" s="285"/>
      <c r="EA89" s="285"/>
      <c r="EB89" s="285"/>
      <c r="EC89" s="285"/>
      <c r="ED89" s="285"/>
      <c r="EE89" s="285"/>
      <c r="EF89" s="285"/>
      <c r="EG89" s="285"/>
      <c r="EH89" s="285"/>
      <c r="EI89" s="285"/>
      <c r="EJ89" s="285"/>
      <c r="EK89" s="285"/>
      <c r="EL89" s="285"/>
      <c r="EM89" s="285"/>
      <c r="EN89" s="285"/>
      <c r="EO89" s="285"/>
      <c r="EP89" s="285"/>
      <c r="EQ89" s="285"/>
      <c r="ER89" s="285"/>
      <c r="ES89" s="285"/>
      <c r="ET89" s="285"/>
      <c r="EU89" s="285"/>
      <c r="EV89" s="285"/>
      <c r="EW89" s="285"/>
      <c r="EX89" s="285"/>
      <c r="EY89" s="285"/>
      <c r="EZ89" s="285"/>
      <c r="FA89" s="285"/>
      <c r="FB89" s="285"/>
      <c r="FC89" s="285"/>
      <c r="FD89" s="285"/>
      <c r="FE89" s="285"/>
      <c r="FF89" s="285"/>
      <c r="FG89" s="285"/>
      <c r="FH89" s="285"/>
      <c r="FI89" s="285"/>
      <c r="FJ89" s="285"/>
      <c r="FK89" s="285"/>
      <c r="FL89" s="285"/>
      <c r="FM89" s="285"/>
      <c r="FN89" s="285"/>
      <c r="FO89" s="285"/>
      <c r="FP89" s="285"/>
      <c r="FQ89" s="285"/>
      <c r="FR89" s="285"/>
      <c r="FS89" s="285"/>
      <c r="FT89" s="285"/>
      <c r="FU89" s="285"/>
      <c r="FV89" s="285"/>
      <c r="FW89" s="285"/>
      <c r="FX89" s="285"/>
      <c r="FY89" s="285"/>
      <c r="FZ89" s="285"/>
      <c r="GA89" s="285"/>
      <c r="GB89" s="285"/>
      <c r="GC89" s="285"/>
      <c r="GD89" s="285"/>
      <c r="GE89" s="285"/>
      <c r="GF89" s="285"/>
      <c r="GG89" s="285"/>
      <c r="GH89" s="285"/>
      <c r="GI89" s="285"/>
      <c r="GJ89" s="285"/>
      <c r="GK89" s="285"/>
      <c r="GL89" s="285"/>
      <c r="GM89" s="285"/>
      <c r="GN89" s="285"/>
      <c r="GO89" s="285"/>
      <c r="GP89" s="285"/>
      <c r="GQ89" s="285"/>
      <c r="GR89" s="285"/>
      <c r="GS89" s="285"/>
      <c r="GT89" s="285"/>
      <c r="GU89" s="285"/>
      <c r="GV89" s="285"/>
      <c r="GW89" s="285"/>
      <c r="GX89" s="285"/>
      <c r="GY89" s="285"/>
      <c r="GZ89" s="285"/>
      <c r="HA89" s="285"/>
      <c r="HB89" s="285"/>
      <c r="HC89" s="285"/>
      <c r="HD89" s="285"/>
      <c r="HE89" s="285"/>
      <c r="HF89" s="285"/>
      <c r="HG89" s="285"/>
      <c r="HH89" s="285"/>
      <c r="HI89" s="285"/>
      <c r="HJ89" s="285"/>
      <c r="HK89" s="285"/>
      <c r="HL89" s="285"/>
      <c r="HM89" s="285"/>
      <c r="HN89" s="285"/>
      <c r="HO89" s="285"/>
      <c r="HP89" s="285"/>
      <c r="HQ89" s="285"/>
      <c r="HR89" s="285"/>
      <c r="HS89" s="285"/>
      <c r="HT89" s="285"/>
      <c r="HU89" s="285"/>
      <c r="HV89" s="285"/>
      <c r="HW89" s="285"/>
      <c r="HX89" s="285"/>
      <c r="HY89" s="285"/>
      <c r="HZ89" s="285"/>
      <c r="IA89" s="285"/>
      <c r="IB89" s="285"/>
      <c r="IC89" s="285"/>
      <c r="ID89" s="285"/>
      <c r="IE89" s="285"/>
      <c r="IF89" s="285"/>
      <c r="IG89" s="285"/>
      <c r="IH89" s="285"/>
      <c r="II89" s="285"/>
      <c r="IJ89" s="285"/>
      <c r="IK89" s="285"/>
      <c r="IL89" s="285"/>
      <c r="IM89" s="285"/>
      <c r="IN89" s="285"/>
      <c r="IO89" s="285"/>
      <c r="IP89" s="285"/>
      <c r="IQ89" s="285"/>
      <c r="IR89" s="285"/>
      <c r="IS89" s="285"/>
      <c r="IT89" s="285"/>
      <c r="IU89" s="285"/>
      <c r="IV89" s="285"/>
      <c r="IW89" s="285"/>
      <c r="IX89" s="285"/>
      <c r="IY89" s="285"/>
      <c r="IZ89" s="285"/>
      <c r="JA89" s="285"/>
      <c r="JB89" s="285"/>
      <c r="JC89" s="285"/>
      <c r="JD89" s="285"/>
      <c r="JE89" s="285"/>
      <c r="JF89" s="285"/>
      <c r="JG89" s="285"/>
      <c r="JH89" s="285"/>
      <c r="JI89" s="285"/>
      <c r="JJ89" s="285"/>
      <c r="JK89" s="285"/>
      <c r="JL89" s="285"/>
      <c r="JM89" s="285"/>
      <c r="JN89" s="285"/>
      <c r="JO89" s="285"/>
      <c r="JP89" s="285"/>
      <c r="JQ89" s="285"/>
      <c r="JR89" s="285"/>
      <c r="JS89" s="285"/>
      <c r="JT89" s="285"/>
      <c r="JU89" s="285"/>
      <c r="JV89" s="285"/>
      <c r="JW89" s="285"/>
      <c r="JX89" s="285"/>
      <c r="JY89" s="285"/>
      <c r="JZ89" s="285"/>
      <c r="KA89" s="285"/>
      <c r="KB89" s="285"/>
      <c r="KC89" s="285"/>
      <c r="KD89" s="285"/>
      <c r="KE89" s="285"/>
      <c r="KF89" s="285"/>
      <c r="KG89" s="285"/>
      <c r="KH89" s="285"/>
      <c r="KI89" s="285"/>
      <c r="KJ89" s="285"/>
      <c r="KK89" s="285"/>
      <c r="KL89" s="285"/>
      <c r="KM89" s="285"/>
      <c r="KN89" s="285"/>
      <c r="KO89" s="285"/>
      <c r="KP89" s="285"/>
      <c r="KQ89" s="285"/>
      <c r="KR89" s="298"/>
      <c r="KS89" s="285"/>
      <c r="KT89" s="285"/>
      <c r="KU89" s="268"/>
      <c r="KV89" s="288"/>
      <c r="KW89" s="288"/>
    </row>
    <row r="90" spans="1:309" ht="16.2" customHeight="1">
      <c r="A90" s="1275" t="s">
        <v>5376</v>
      </c>
      <c r="B90" s="1276" t="s">
        <v>5402</v>
      </c>
      <c r="C90" s="1243">
        <v>311373052</v>
      </c>
      <c r="D90" s="906" t="s">
        <v>6925</v>
      </c>
      <c r="E90" s="1277" t="s">
        <v>5403</v>
      </c>
      <c r="F90" s="74"/>
      <c r="G90" s="75"/>
      <c r="H90" s="1662" t="s">
        <v>6806</v>
      </c>
      <c r="I90" s="1662"/>
      <c r="J90" s="944">
        <v>0</v>
      </c>
      <c r="K90" s="1308"/>
      <c r="L90" s="1308"/>
      <c r="M90" s="1308"/>
      <c r="N90" s="1308"/>
      <c r="O90" s="285"/>
      <c r="P90" s="285"/>
      <c r="Q90" s="285"/>
      <c r="R90" s="285"/>
      <c r="S90" s="285"/>
      <c r="T90" s="285"/>
      <c r="U90" s="285"/>
      <c r="V90" s="285"/>
      <c r="W90" s="285"/>
      <c r="X90" s="1308"/>
      <c r="Y90" s="1308"/>
      <c r="Z90" s="1308"/>
      <c r="AA90" s="1308"/>
      <c r="AB90" s="285" t="s">
        <v>5572</v>
      </c>
      <c r="AC90" s="285" t="s">
        <v>5263</v>
      </c>
      <c r="AD90" s="285">
        <v>9296</v>
      </c>
      <c r="AE90" s="1330" t="s">
        <v>5608</v>
      </c>
      <c r="AF90" s="285"/>
      <c r="AG90" s="285"/>
      <c r="AH90" s="285"/>
      <c r="AI90" s="285"/>
      <c r="AJ90" s="285"/>
      <c r="AK90" s="285"/>
      <c r="AL90" s="285"/>
      <c r="AM90" s="285"/>
      <c r="AN90" s="285"/>
      <c r="AO90" s="285"/>
      <c r="AP90" s="285"/>
      <c r="AQ90" s="285"/>
      <c r="AR90" s="285"/>
      <c r="AS90" s="285"/>
      <c r="AT90" s="285"/>
      <c r="AU90" s="285"/>
      <c r="AV90" s="285"/>
      <c r="AW90" s="285"/>
      <c r="AX90" s="285"/>
      <c r="AY90" s="285"/>
      <c r="AZ90" s="285"/>
      <c r="BA90" s="285"/>
      <c r="BB90" s="285"/>
      <c r="BC90" s="285"/>
      <c r="BD90" s="285"/>
      <c r="BE90" s="285"/>
      <c r="BF90" s="285"/>
      <c r="BG90" s="285"/>
      <c r="BH90" s="285"/>
      <c r="BI90" s="285"/>
      <c r="BJ90" s="285"/>
      <c r="BK90" s="285"/>
      <c r="BL90" s="285"/>
      <c r="BM90" s="285"/>
      <c r="BN90" s="285"/>
      <c r="BO90" s="285"/>
      <c r="BP90" s="285"/>
      <c r="BQ90" s="285"/>
      <c r="BR90" s="285"/>
      <c r="BS90" s="285"/>
      <c r="BT90" s="285"/>
      <c r="BU90" s="285"/>
      <c r="BV90" s="285"/>
      <c r="BW90" s="285"/>
      <c r="BX90" s="285"/>
      <c r="BY90" s="285"/>
      <c r="BZ90" s="285"/>
      <c r="CA90" s="285"/>
      <c r="CB90" s="285"/>
      <c r="CC90" s="285"/>
      <c r="CD90" s="285"/>
      <c r="CE90" s="285"/>
      <c r="CF90" s="285"/>
      <c r="CG90" s="285"/>
      <c r="CH90" s="285"/>
      <c r="CI90" s="285"/>
      <c r="CJ90" s="285"/>
      <c r="CK90" s="285"/>
      <c r="CL90" s="285"/>
      <c r="CM90" s="285"/>
      <c r="CN90" s="285"/>
      <c r="CO90" s="285"/>
      <c r="CP90" s="285"/>
      <c r="CQ90" s="285"/>
      <c r="CR90" s="285"/>
      <c r="CS90" s="285"/>
      <c r="CT90" s="285"/>
      <c r="CU90" s="285"/>
      <c r="CV90" s="285"/>
      <c r="CW90" s="285"/>
      <c r="CX90" s="285"/>
      <c r="CY90" s="285"/>
      <c r="CZ90" s="285"/>
      <c r="DA90" s="285"/>
      <c r="DB90" s="285"/>
      <c r="DC90" s="285"/>
      <c r="DD90" s="285"/>
      <c r="DE90" s="285"/>
      <c r="DF90" s="285"/>
      <c r="DG90" s="285"/>
      <c r="DH90" s="285"/>
      <c r="DI90" s="285"/>
      <c r="DJ90" s="285"/>
      <c r="DK90" s="285"/>
      <c r="DL90" s="285"/>
      <c r="DM90" s="285"/>
      <c r="DN90" s="285"/>
      <c r="DO90" s="285"/>
      <c r="DP90" s="285"/>
      <c r="DQ90" s="285"/>
      <c r="DR90" s="285"/>
      <c r="DS90" s="285"/>
      <c r="DT90" s="285"/>
      <c r="DU90" s="285"/>
      <c r="DV90" s="285"/>
      <c r="DW90" s="285"/>
      <c r="DX90" s="285"/>
      <c r="DY90" s="285"/>
      <c r="DZ90" s="285"/>
      <c r="EA90" s="285"/>
      <c r="EB90" s="285"/>
      <c r="EC90" s="285"/>
      <c r="ED90" s="285"/>
      <c r="EE90" s="285"/>
      <c r="EF90" s="285"/>
      <c r="EG90" s="285"/>
      <c r="EH90" s="285"/>
      <c r="EI90" s="285"/>
      <c r="EJ90" s="285"/>
      <c r="EK90" s="285"/>
      <c r="EL90" s="285"/>
      <c r="EM90" s="285"/>
      <c r="EN90" s="285"/>
      <c r="EO90" s="285"/>
      <c r="EP90" s="285"/>
      <c r="EQ90" s="285"/>
      <c r="ER90" s="285"/>
      <c r="ES90" s="285"/>
      <c r="ET90" s="285"/>
      <c r="EU90" s="285"/>
      <c r="EV90" s="285"/>
      <c r="EW90" s="285"/>
      <c r="EX90" s="285"/>
      <c r="EY90" s="285"/>
      <c r="EZ90" s="285"/>
      <c r="FA90" s="285"/>
      <c r="FB90" s="285"/>
      <c r="FC90" s="285"/>
      <c r="FD90" s="285"/>
      <c r="FE90" s="285"/>
      <c r="FF90" s="285"/>
      <c r="FG90" s="285"/>
      <c r="FH90" s="285"/>
      <c r="FI90" s="285"/>
      <c r="FJ90" s="285"/>
      <c r="FK90" s="285"/>
      <c r="FL90" s="285"/>
      <c r="FM90" s="285"/>
      <c r="FN90" s="285"/>
      <c r="FO90" s="285"/>
      <c r="FP90" s="285"/>
      <c r="FQ90" s="285"/>
      <c r="FR90" s="285"/>
      <c r="FS90" s="285"/>
      <c r="FT90" s="285"/>
      <c r="FU90" s="285"/>
      <c r="FV90" s="285"/>
      <c r="FW90" s="285"/>
      <c r="FX90" s="285"/>
      <c r="FY90" s="285"/>
      <c r="FZ90" s="285"/>
      <c r="GA90" s="285"/>
      <c r="GB90" s="285"/>
      <c r="GC90" s="285"/>
      <c r="GD90" s="285"/>
      <c r="GE90" s="285"/>
      <c r="GF90" s="285"/>
      <c r="GG90" s="285"/>
      <c r="GH90" s="285"/>
      <c r="GI90" s="285"/>
      <c r="GJ90" s="285"/>
      <c r="GK90" s="285"/>
      <c r="GL90" s="285"/>
      <c r="GM90" s="285"/>
      <c r="GN90" s="285"/>
      <c r="GO90" s="285"/>
      <c r="GP90" s="285"/>
      <c r="GQ90" s="285"/>
      <c r="GR90" s="285"/>
      <c r="GS90" s="285"/>
      <c r="GT90" s="285"/>
      <c r="GU90" s="285"/>
      <c r="GV90" s="285"/>
      <c r="GW90" s="285"/>
      <c r="GX90" s="285"/>
      <c r="GY90" s="285"/>
      <c r="GZ90" s="285"/>
      <c r="HA90" s="285"/>
      <c r="HB90" s="285"/>
      <c r="HC90" s="285"/>
      <c r="HD90" s="285"/>
      <c r="HE90" s="285"/>
      <c r="HF90" s="285"/>
      <c r="HG90" s="285"/>
      <c r="HH90" s="285"/>
      <c r="HI90" s="285"/>
      <c r="HJ90" s="285"/>
      <c r="HK90" s="285"/>
      <c r="HL90" s="285"/>
      <c r="HM90" s="285"/>
      <c r="HN90" s="285"/>
      <c r="HO90" s="285"/>
      <c r="HP90" s="285"/>
      <c r="HQ90" s="285"/>
      <c r="HR90" s="285"/>
      <c r="HS90" s="285"/>
      <c r="HT90" s="285"/>
      <c r="HU90" s="285"/>
      <c r="HV90" s="285"/>
      <c r="HW90" s="285"/>
      <c r="HX90" s="285"/>
      <c r="HY90" s="285"/>
      <c r="HZ90" s="285"/>
      <c r="IA90" s="285"/>
      <c r="IB90" s="285"/>
      <c r="IC90" s="285"/>
      <c r="ID90" s="285"/>
      <c r="IE90" s="285"/>
      <c r="IF90" s="285"/>
      <c r="IG90" s="285"/>
      <c r="IH90" s="285"/>
      <c r="II90" s="285"/>
      <c r="IJ90" s="285"/>
      <c r="IK90" s="285"/>
      <c r="IL90" s="285"/>
      <c r="IM90" s="285"/>
      <c r="IN90" s="285"/>
      <c r="IO90" s="285"/>
      <c r="IP90" s="285"/>
      <c r="IQ90" s="285"/>
      <c r="IR90" s="285"/>
      <c r="IS90" s="285"/>
      <c r="IT90" s="285"/>
      <c r="IU90" s="285"/>
      <c r="IV90" s="285"/>
      <c r="IW90" s="285"/>
      <c r="IX90" s="285"/>
      <c r="IY90" s="285"/>
      <c r="IZ90" s="285"/>
      <c r="JA90" s="285"/>
      <c r="JB90" s="285"/>
      <c r="JC90" s="285"/>
      <c r="JD90" s="285"/>
      <c r="JE90" s="285"/>
      <c r="JF90" s="285"/>
      <c r="JG90" s="285"/>
      <c r="JH90" s="285"/>
      <c r="JI90" s="285"/>
      <c r="JJ90" s="285"/>
      <c r="JK90" s="285"/>
      <c r="JL90" s="285"/>
      <c r="JM90" s="285"/>
      <c r="JN90" s="285"/>
      <c r="JO90" s="285"/>
      <c r="JP90" s="285"/>
      <c r="JQ90" s="285"/>
      <c r="JR90" s="285"/>
      <c r="JS90" s="285"/>
      <c r="JT90" s="285"/>
      <c r="JU90" s="285"/>
      <c r="JV90" s="285"/>
      <c r="JW90" s="285"/>
      <c r="JX90" s="285"/>
      <c r="JY90" s="285"/>
      <c r="JZ90" s="285"/>
      <c r="KA90" s="285"/>
      <c r="KB90" s="285"/>
      <c r="KC90" s="285"/>
      <c r="KD90" s="285"/>
      <c r="KE90" s="285"/>
      <c r="KF90" s="285"/>
      <c r="KG90" s="285"/>
      <c r="KH90" s="285"/>
      <c r="KI90" s="285"/>
      <c r="KJ90" s="285"/>
      <c r="KK90" s="285"/>
      <c r="KL90" s="285"/>
      <c r="KM90" s="285"/>
      <c r="KN90" s="285"/>
      <c r="KO90" s="285"/>
      <c r="KP90" s="285"/>
      <c r="KQ90" s="285"/>
      <c r="KR90" s="298"/>
      <c r="KS90" s="285"/>
      <c r="KT90" s="285"/>
      <c r="KU90" s="268"/>
      <c r="KV90" s="288"/>
      <c r="KW90" s="288"/>
    </row>
    <row r="91" spans="1:309" ht="16.2" customHeight="1">
      <c r="A91" s="1275" t="s">
        <v>5376</v>
      </c>
      <c r="B91" s="1381" t="s">
        <v>5443</v>
      </c>
      <c r="C91" s="225">
        <v>311384370</v>
      </c>
      <c r="D91" s="906" t="s">
        <v>6925</v>
      </c>
      <c r="E91" s="1342" t="s">
        <v>5605</v>
      </c>
      <c r="F91" s="74">
        <v>0</v>
      </c>
      <c r="G91" s="75"/>
      <c r="H91" s="1662" t="s">
        <v>6806</v>
      </c>
      <c r="I91" s="1662"/>
      <c r="J91" s="944">
        <v>0</v>
      </c>
      <c r="K91" s="1308"/>
      <c r="L91" s="1308"/>
      <c r="M91" s="1308"/>
      <c r="N91" s="1308"/>
      <c r="O91" s="285"/>
      <c r="P91" s="285"/>
      <c r="Q91" s="285"/>
      <c r="R91" s="285"/>
      <c r="S91" s="285"/>
      <c r="T91" s="285"/>
      <c r="U91" s="285"/>
      <c r="V91" s="285" t="s">
        <v>5262</v>
      </c>
      <c r="W91" s="285"/>
      <c r="X91" s="1308"/>
      <c r="Y91" s="1308"/>
      <c r="Z91" s="1308"/>
      <c r="AA91" s="1308"/>
      <c r="AB91" s="1328" t="s">
        <v>5572</v>
      </c>
      <c r="AC91" s="285"/>
      <c r="AD91" s="285"/>
      <c r="AE91" s="285"/>
      <c r="AF91" s="285"/>
      <c r="AG91" s="285"/>
      <c r="AH91" s="285"/>
      <c r="AI91" s="285"/>
      <c r="AJ91" s="285"/>
      <c r="AK91" s="285"/>
      <c r="AL91" s="285"/>
      <c r="AM91" s="285"/>
      <c r="AN91" s="285"/>
      <c r="AO91" s="285"/>
      <c r="AP91" s="285"/>
      <c r="AQ91" s="285"/>
      <c r="AR91" s="285"/>
      <c r="AS91" s="285"/>
      <c r="AT91" s="285"/>
      <c r="AU91" s="285"/>
      <c r="AV91" s="285"/>
      <c r="AW91" s="285"/>
      <c r="AX91" s="285"/>
      <c r="AY91" s="285"/>
      <c r="AZ91" s="285"/>
      <c r="BA91" s="285"/>
      <c r="BB91" s="285"/>
      <c r="BC91" s="285"/>
      <c r="BD91" s="285"/>
      <c r="BE91" s="285"/>
      <c r="BF91" s="285"/>
      <c r="BG91" s="285"/>
      <c r="BH91" s="285"/>
      <c r="BI91" s="285"/>
      <c r="BJ91" s="285"/>
      <c r="BK91" s="285"/>
      <c r="BL91" s="285"/>
      <c r="BM91" s="285"/>
      <c r="BN91" s="285"/>
      <c r="BO91" s="285"/>
      <c r="BP91" s="285"/>
      <c r="BQ91" s="285"/>
      <c r="BR91" s="285"/>
      <c r="BS91" s="285"/>
      <c r="BT91" s="285"/>
      <c r="BU91" s="285"/>
      <c r="BV91" s="285"/>
      <c r="BW91" s="285"/>
      <c r="BX91" s="285"/>
      <c r="BY91" s="285"/>
      <c r="BZ91" s="285"/>
      <c r="CA91" s="285"/>
      <c r="CB91" s="285"/>
      <c r="CC91" s="285"/>
      <c r="CD91" s="285"/>
      <c r="CE91" s="285"/>
      <c r="CF91" s="285"/>
      <c r="CG91" s="285"/>
      <c r="CH91" s="285"/>
      <c r="CI91" s="285"/>
      <c r="CJ91" s="285"/>
      <c r="CK91" s="285"/>
      <c r="CL91" s="285"/>
      <c r="CM91" s="285"/>
      <c r="CN91" s="285"/>
      <c r="CO91" s="285"/>
      <c r="CP91" s="285"/>
      <c r="CQ91" s="285"/>
      <c r="CR91" s="285"/>
      <c r="CS91" s="285"/>
      <c r="CT91" s="285"/>
      <c r="CU91" s="285"/>
      <c r="CV91" s="285"/>
      <c r="CW91" s="285"/>
      <c r="CX91" s="285"/>
      <c r="CY91" s="285"/>
      <c r="CZ91" s="285"/>
      <c r="DA91" s="285"/>
      <c r="DB91" s="285"/>
      <c r="DC91" s="285"/>
      <c r="DD91" s="285"/>
      <c r="DE91" s="285"/>
      <c r="DF91" s="285"/>
      <c r="DG91" s="285"/>
      <c r="DH91" s="285"/>
      <c r="DI91" s="285"/>
      <c r="DJ91" s="285"/>
      <c r="DK91" s="285"/>
      <c r="DL91" s="285"/>
      <c r="DM91" s="285"/>
      <c r="DN91" s="285"/>
      <c r="DO91" s="285"/>
      <c r="DP91" s="285"/>
      <c r="DQ91" s="285"/>
      <c r="DR91" s="285"/>
      <c r="DS91" s="285"/>
      <c r="DT91" s="285"/>
      <c r="DU91" s="285"/>
      <c r="DV91" s="285"/>
      <c r="DW91" s="285"/>
      <c r="DX91" s="285"/>
      <c r="DY91" s="285"/>
      <c r="DZ91" s="285"/>
      <c r="EA91" s="285"/>
      <c r="EB91" s="285"/>
      <c r="EC91" s="285"/>
      <c r="ED91" s="285"/>
      <c r="EE91" s="285"/>
      <c r="EF91" s="285"/>
      <c r="EG91" s="285"/>
      <c r="EH91" s="285"/>
      <c r="EI91" s="285"/>
      <c r="EJ91" s="285"/>
      <c r="EK91" s="285"/>
      <c r="EL91" s="285"/>
      <c r="EM91" s="285"/>
      <c r="EN91" s="285"/>
      <c r="EO91" s="285"/>
      <c r="EP91" s="285"/>
      <c r="EQ91" s="285"/>
      <c r="ER91" s="285"/>
      <c r="ES91" s="285"/>
      <c r="ET91" s="285"/>
      <c r="EU91" s="285"/>
      <c r="EV91" s="285"/>
      <c r="EW91" s="285"/>
      <c r="EX91" s="285"/>
      <c r="EY91" s="285"/>
      <c r="EZ91" s="285"/>
      <c r="FA91" s="285"/>
      <c r="FB91" s="285"/>
      <c r="FC91" s="285"/>
      <c r="FD91" s="285"/>
      <c r="FE91" s="285"/>
      <c r="FF91" s="285"/>
      <c r="FG91" s="285"/>
      <c r="FH91" s="285"/>
      <c r="FI91" s="285"/>
      <c r="FJ91" s="285"/>
      <c r="FK91" s="285"/>
      <c r="FL91" s="285"/>
      <c r="FM91" s="285"/>
      <c r="FN91" s="285"/>
      <c r="FO91" s="285"/>
      <c r="FP91" s="285"/>
      <c r="FQ91" s="285"/>
      <c r="FR91" s="285"/>
      <c r="FS91" s="285"/>
      <c r="FT91" s="285"/>
      <c r="FU91" s="285"/>
      <c r="FV91" s="285"/>
      <c r="FW91" s="285"/>
      <c r="FX91" s="285"/>
      <c r="FY91" s="285"/>
      <c r="FZ91" s="285"/>
      <c r="GA91" s="285"/>
      <c r="GB91" s="285"/>
      <c r="GC91" s="285"/>
      <c r="GD91" s="285"/>
      <c r="GE91" s="285"/>
      <c r="GF91" s="285"/>
      <c r="GG91" s="285"/>
      <c r="GH91" s="285"/>
      <c r="GI91" s="285"/>
      <c r="GJ91" s="285"/>
      <c r="GK91" s="285"/>
      <c r="GL91" s="285"/>
      <c r="GM91" s="285"/>
      <c r="GN91" s="285"/>
      <c r="GO91" s="285"/>
      <c r="GP91" s="285"/>
      <c r="GQ91" s="285"/>
      <c r="GR91" s="285"/>
      <c r="GS91" s="285"/>
      <c r="GT91" s="285"/>
      <c r="GU91" s="285"/>
      <c r="GV91" s="285"/>
      <c r="GW91" s="285"/>
      <c r="GX91" s="285"/>
      <c r="GY91" s="285"/>
      <c r="GZ91" s="285"/>
      <c r="HA91" s="285"/>
      <c r="HB91" s="285"/>
      <c r="HC91" s="285"/>
      <c r="HD91" s="285"/>
      <c r="HE91" s="285"/>
      <c r="HF91" s="285"/>
      <c r="HG91" s="285"/>
      <c r="HH91" s="285"/>
      <c r="HI91" s="285"/>
      <c r="HJ91" s="285"/>
      <c r="HK91" s="285"/>
      <c r="HL91" s="285"/>
      <c r="HM91" s="285"/>
      <c r="HN91" s="285"/>
      <c r="HO91" s="285"/>
      <c r="HP91" s="285"/>
      <c r="HQ91" s="285"/>
      <c r="HR91" s="285"/>
      <c r="HS91" s="285"/>
      <c r="HT91" s="285"/>
      <c r="HU91" s="285"/>
      <c r="HV91" s="285"/>
      <c r="HW91" s="285"/>
      <c r="HX91" s="285"/>
      <c r="HY91" s="285"/>
      <c r="HZ91" s="285"/>
      <c r="IA91" s="285"/>
      <c r="IB91" s="285"/>
      <c r="IC91" s="285"/>
      <c r="ID91" s="285"/>
      <c r="IE91" s="285"/>
      <c r="IF91" s="285"/>
      <c r="IG91" s="285"/>
      <c r="IH91" s="285"/>
      <c r="II91" s="285"/>
      <c r="IJ91" s="285"/>
      <c r="IK91" s="285"/>
      <c r="IL91" s="285"/>
      <c r="IM91" s="285"/>
      <c r="IN91" s="285"/>
      <c r="IO91" s="285"/>
      <c r="IP91" s="285"/>
      <c r="IQ91" s="285"/>
      <c r="IR91" s="285"/>
      <c r="IS91" s="285"/>
      <c r="IT91" s="285"/>
      <c r="IU91" s="285"/>
      <c r="IV91" s="285"/>
      <c r="IW91" s="285"/>
      <c r="IX91" s="285"/>
      <c r="IY91" s="285"/>
      <c r="IZ91" s="285"/>
      <c r="JA91" s="285"/>
      <c r="JB91" s="285"/>
      <c r="JC91" s="285"/>
      <c r="JD91" s="285"/>
      <c r="JE91" s="285"/>
      <c r="JF91" s="285"/>
      <c r="JG91" s="285"/>
      <c r="JH91" s="285"/>
      <c r="JI91" s="285"/>
      <c r="JJ91" s="285"/>
      <c r="JK91" s="285"/>
      <c r="JL91" s="285"/>
      <c r="JM91" s="285"/>
      <c r="JN91" s="285"/>
      <c r="JO91" s="285"/>
      <c r="JP91" s="285"/>
      <c r="JQ91" s="285"/>
      <c r="JR91" s="285"/>
      <c r="JS91" s="285"/>
      <c r="JT91" s="285"/>
      <c r="JU91" s="285"/>
      <c r="JV91" s="285"/>
      <c r="JW91" s="285"/>
      <c r="JX91" s="285"/>
      <c r="JY91" s="285"/>
      <c r="JZ91" s="285"/>
      <c r="KA91" s="285"/>
      <c r="KB91" s="285"/>
      <c r="KC91" s="285"/>
      <c r="KD91" s="285"/>
      <c r="KE91" s="285"/>
      <c r="KF91" s="285"/>
      <c r="KG91" s="285"/>
      <c r="KH91" s="285"/>
      <c r="KI91" s="285"/>
      <c r="KJ91" s="285"/>
      <c r="KK91" s="285"/>
      <c r="KL91" s="285"/>
      <c r="KM91" s="285"/>
      <c r="KN91" s="285"/>
      <c r="KO91" s="285"/>
      <c r="KP91" s="285"/>
      <c r="KQ91" s="285"/>
      <c r="KR91" s="298"/>
      <c r="KS91" s="285"/>
      <c r="KT91" s="285"/>
      <c r="KU91" s="268"/>
      <c r="KV91" s="288"/>
      <c r="KW91" s="288"/>
    </row>
    <row r="92" spans="1:309" ht="16.2" customHeight="1">
      <c r="A92" s="1275" t="s">
        <v>5426</v>
      </c>
      <c r="B92" s="1276" t="s">
        <v>5442</v>
      </c>
      <c r="C92" s="225">
        <v>311384964</v>
      </c>
      <c r="D92" s="906" t="s">
        <v>6925</v>
      </c>
      <c r="E92" s="1329" t="s">
        <v>5603</v>
      </c>
      <c r="F92" s="74"/>
      <c r="G92" s="75"/>
      <c r="H92" s="1662" t="s">
        <v>6806</v>
      </c>
      <c r="I92" s="1662"/>
      <c r="J92" s="944">
        <v>0</v>
      </c>
      <c r="K92" s="1308"/>
      <c r="L92" s="1308"/>
      <c r="M92" s="1308"/>
      <c r="N92" s="1308"/>
      <c r="O92" s="285"/>
      <c r="P92" s="285"/>
      <c r="Q92" s="285"/>
      <c r="R92" s="285"/>
      <c r="S92" s="285"/>
      <c r="T92" s="285"/>
      <c r="U92" s="285"/>
      <c r="V92" s="285" t="s">
        <v>5294</v>
      </c>
      <c r="W92" s="285"/>
      <c r="X92" s="1308"/>
      <c r="Y92" s="1308"/>
      <c r="Z92" s="1308"/>
      <c r="AA92" s="1308"/>
      <c r="AB92" s="285" t="s">
        <v>5692</v>
      </c>
      <c r="AC92" s="285"/>
      <c r="AD92" s="285"/>
      <c r="AE92" s="285"/>
      <c r="AF92" s="285"/>
      <c r="AG92" s="285"/>
      <c r="AH92" s="285"/>
      <c r="AI92" s="285"/>
      <c r="AJ92" s="285"/>
      <c r="AK92" s="285"/>
      <c r="AL92" s="285"/>
      <c r="AM92" s="285"/>
      <c r="AN92" s="285"/>
      <c r="AO92" s="285"/>
      <c r="AP92" s="285"/>
      <c r="AQ92" s="285"/>
      <c r="AR92" s="285"/>
      <c r="AS92" s="285"/>
      <c r="AT92" s="285"/>
      <c r="AU92" s="285"/>
      <c r="AV92" s="285"/>
      <c r="AW92" s="285"/>
      <c r="AX92" s="285"/>
      <c r="AY92" s="285"/>
      <c r="AZ92" s="285"/>
      <c r="BA92" s="285"/>
      <c r="BB92" s="285"/>
      <c r="BC92" s="285"/>
      <c r="BD92" s="285"/>
      <c r="BE92" s="285"/>
      <c r="BF92" s="285"/>
      <c r="BG92" s="285"/>
      <c r="BH92" s="285"/>
      <c r="BI92" s="285"/>
      <c r="BJ92" s="285"/>
      <c r="BK92" s="285"/>
      <c r="BL92" s="285"/>
      <c r="BM92" s="285"/>
      <c r="BN92" s="285"/>
      <c r="BO92" s="285"/>
      <c r="BP92" s="285"/>
      <c r="BQ92" s="285"/>
      <c r="BR92" s="285"/>
      <c r="BS92" s="285"/>
      <c r="BT92" s="285"/>
      <c r="BU92" s="285"/>
      <c r="BV92" s="285"/>
      <c r="BW92" s="285"/>
      <c r="BX92" s="285"/>
      <c r="BY92" s="285"/>
      <c r="BZ92" s="285"/>
      <c r="CA92" s="285"/>
      <c r="CB92" s="285"/>
      <c r="CC92" s="285"/>
      <c r="CD92" s="285"/>
      <c r="CE92" s="285"/>
      <c r="CF92" s="285"/>
      <c r="CG92" s="285"/>
      <c r="CH92" s="285"/>
      <c r="CI92" s="285"/>
      <c r="CJ92" s="285"/>
      <c r="CK92" s="285"/>
      <c r="CL92" s="285"/>
      <c r="CM92" s="285"/>
      <c r="CN92" s="285"/>
      <c r="CO92" s="285"/>
      <c r="CP92" s="285"/>
      <c r="CQ92" s="285"/>
      <c r="CR92" s="285"/>
      <c r="CS92" s="285"/>
      <c r="CT92" s="285"/>
      <c r="CU92" s="285"/>
      <c r="CV92" s="285"/>
      <c r="CW92" s="285"/>
      <c r="CX92" s="285"/>
      <c r="CY92" s="285"/>
      <c r="CZ92" s="285"/>
      <c r="DA92" s="285"/>
      <c r="DB92" s="285"/>
      <c r="DC92" s="285"/>
      <c r="DD92" s="285"/>
      <c r="DE92" s="285"/>
      <c r="DF92" s="285"/>
      <c r="DG92" s="285"/>
      <c r="DH92" s="285"/>
      <c r="DI92" s="285"/>
      <c r="DJ92" s="285"/>
      <c r="DK92" s="285"/>
      <c r="DL92" s="285"/>
      <c r="DM92" s="285"/>
      <c r="DN92" s="285"/>
      <c r="DO92" s="285"/>
      <c r="DP92" s="285"/>
      <c r="DQ92" s="285"/>
      <c r="DR92" s="285"/>
      <c r="DS92" s="285"/>
      <c r="DT92" s="285"/>
      <c r="DU92" s="285"/>
      <c r="DV92" s="285"/>
      <c r="DW92" s="285"/>
      <c r="DX92" s="285"/>
      <c r="DY92" s="285"/>
      <c r="DZ92" s="285"/>
      <c r="EA92" s="285"/>
      <c r="EB92" s="285"/>
      <c r="EC92" s="285"/>
      <c r="ED92" s="285"/>
      <c r="EE92" s="285"/>
      <c r="EF92" s="285"/>
      <c r="EG92" s="285"/>
      <c r="EH92" s="285"/>
      <c r="EI92" s="285"/>
      <c r="EJ92" s="285"/>
      <c r="EK92" s="285"/>
      <c r="EL92" s="285"/>
      <c r="EM92" s="285"/>
      <c r="EN92" s="285"/>
      <c r="EO92" s="285"/>
      <c r="EP92" s="285"/>
      <c r="EQ92" s="285"/>
      <c r="ER92" s="285"/>
      <c r="ES92" s="285"/>
      <c r="ET92" s="285"/>
      <c r="EU92" s="285"/>
      <c r="EV92" s="285"/>
      <c r="EW92" s="285"/>
      <c r="EX92" s="285"/>
      <c r="EY92" s="285"/>
      <c r="EZ92" s="285"/>
      <c r="FA92" s="285"/>
      <c r="FB92" s="285"/>
      <c r="FC92" s="285"/>
      <c r="FD92" s="285"/>
      <c r="FE92" s="285"/>
      <c r="FF92" s="285"/>
      <c r="FG92" s="285"/>
      <c r="FH92" s="285"/>
      <c r="FI92" s="285"/>
      <c r="FJ92" s="285"/>
      <c r="FK92" s="285"/>
      <c r="FL92" s="285"/>
      <c r="FM92" s="285"/>
      <c r="FN92" s="285"/>
      <c r="FO92" s="285"/>
      <c r="FP92" s="285"/>
      <c r="FQ92" s="285"/>
      <c r="FR92" s="285"/>
      <c r="FS92" s="285"/>
      <c r="FT92" s="285"/>
      <c r="FU92" s="285"/>
      <c r="FV92" s="285"/>
      <c r="FW92" s="285"/>
      <c r="FX92" s="285"/>
      <c r="FY92" s="285"/>
      <c r="FZ92" s="285"/>
      <c r="GA92" s="285"/>
      <c r="GB92" s="285"/>
      <c r="GC92" s="285"/>
      <c r="GD92" s="285"/>
      <c r="GE92" s="285"/>
      <c r="GF92" s="285"/>
      <c r="GG92" s="285"/>
      <c r="GH92" s="285"/>
      <c r="GI92" s="285"/>
      <c r="GJ92" s="285"/>
      <c r="GK92" s="285"/>
      <c r="GL92" s="285"/>
      <c r="GM92" s="285"/>
      <c r="GN92" s="285"/>
      <c r="GO92" s="285"/>
      <c r="GP92" s="285"/>
      <c r="GQ92" s="285"/>
      <c r="GR92" s="285"/>
      <c r="GS92" s="285"/>
      <c r="GT92" s="285"/>
      <c r="GU92" s="285"/>
      <c r="GV92" s="285"/>
      <c r="GW92" s="285"/>
      <c r="GX92" s="285"/>
      <c r="GY92" s="285"/>
      <c r="GZ92" s="285"/>
      <c r="HA92" s="285"/>
      <c r="HB92" s="285"/>
      <c r="HC92" s="285"/>
      <c r="HD92" s="285"/>
      <c r="HE92" s="285"/>
      <c r="HF92" s="285"/>
      <c r="HG92" s="285"/>
      <c r="HH92" s="285"/>
      <c r="HI92" s="285"/>
      <c r="HJ92" s="285"/>
      <c r="HK92" s="285"/>
      <c r="HL92" s="285"/>
      <c r="HM92" s="285"/>
      <c r="HN92" s="285"/>
      <c r="HO92" s="285"/>
      <c r="HP92" s="285"/>
      <c r="HQ92" s="285"/>
      <c r="HR92" s="285"/>
      <c r="HS92" s="285"/>
      <c r="HT92" s="285"/>
      <c r="HU92" s="285"/>
      <c r="HV92" s="285"/>
      <c r="HW92" s="285"/>
      <c r="HX92" s="285"/>
      <c r="HY92" s="285"/>
      <c r="HZ92" s="285"/>
      <c r="IA92" s="285"/>
      <c r="IB92" s="285"/>
      <c r="IC92" s="285"/>
      <c r="ID92" s="285"/>
      <c r="IE92" s="285"/>
      <c r="IF92" s="285"/>
      <c r="IG92" s="285"/>
      <c r="IH92" s="285"/>
      <c r="II92" s="285"/>
      <c r="IJ92" s="285"/>
      <c r="IK92" s="285"/>
      <c r="IL92" s="285"/>
      <c r="IM92" s="285"/>
      <c r="IN92" s="285"/>
      <c r="IO92" s="285"/>
      <c r="IP92" s="285"/>
      <c r="IQ92" s="285"/>
      <c r="IR92" s="285"/>
      <c r="IS92" s="285"/>
      <c r="IT92" s="285"/>
      <c r="IU92" s="285"/>
      <c r="IV92" s="285"/>
      <c r="IW92" s="285"/>
      <c r="IX92" s="285"/>
      <c r="IY92" s="285"/>
      <c r="IZ92" s="285"/>
      <c r="JA92" s="285"/>
      <c r="JB92" s="285"/>
      <c r="JC92" s="285"/>
      <c r="JD92" s="285"/>
      <c r="JE92" s="285"/>
      <c r="JF92" s="285"/>
      <c r="JG92" s="285"/>
      <c r="JH92" s="285"/>
      <c r="JI92" s="285"/>
      <c r="JJ92" s="285"/>
      <c r="JK92" s="285"/>
      <c r="JL92" s="285"/>
      <c r="JM92" s="285"/>
      <c r="JN92" s="285"/>
      <c r="JO92" s="285"/>
      <c r="JP92" s="285"/>
      <c r="JQ92" s="285"/>
      <c r="JR92" s="285"/>
      <c r="JS92" s="285"/>
      <c r="JT92" s="285"/>
      <c r="JU92" s="285"/>
      <c r="JV92" s="285"/>
      <c r="JW92" s="285"/>
      <c r="JX92" s="285"/>
      <c r="JY92" s="285"/>
      <c r="JZ92" s="285"/>
      <c r="KA92" s="285"/>
      <c r="KB92" s="285"/>
      <c r="KC92" s="285"/>
      <c r="KD92" s="285"/>
      <c r="KE92" s="285"/>
      <c r="KF92" s="285"/>
      <c r="KG92" s="285"/>
      <c r="KH92" s="285"/>
      <c r="KI92" s="285"/>
      <c r="KJ92" s="285"/>
      <c r="KK92" s="285"/>
      <c r="KL92" s="285"/>
      <c r="KM92" s="285"/>
      <c r="KN92" s="285"/>
      <c r="KO92" s="285"/>
      <c r="KP92" s="285"/>
      <c r="KQ92" s="285"/>
      <c r="KR92" s="298"/>
      <c r="KS92" s="285"/>
      <c r="KT92" s="285"/>
      <c r="KU92" s="268"/>
      <c r="KV92" s="288"/>
      <c r="KW92" s="288"/>
    </row>
    <row r="93" spans="1:309" ht="16.2" customHeight="1">
      <c r="A93" s="1281" t="s">
        <v>5436</v>
      </c>
      <c r="B93" s="1280" t="s">
        <v>5475</v>
      </c>
      <c r="C93" s="225">
        <v>311391030</v>
      </c>
      <c r="D93" s="906" t="s">
        <v>6925</v>
      </c>
      <c r="E93" s="1329" t="s">
        <v>5604</v>
      </c>
      <c r="F93" s="74"/>
      <c r="G93" s="75"/>
      <c r="H93" s="1662" t="s">
        <v>6806</v>
      </c>
      <c r="I93" s="1662"/>
      <c r="J93" s="944">
        <v>0</v>
      </c>
      <c r="K93" s="1308"/>
      <c r="L93" s="1308"/>
      <c r="M93" s="1308"/>
      <c r="N93" s="1308"/>
      <c r="O93" s="285"/>
      <c r="P93" s="285"/>
      <c r="Q93" s="285"/>
      <c r="R93" s="285"/>
      <c r="S93" s="285"/>
      <c r="T93" s="285"/>
      <c r="U93" s="285"/>
      <c r="V93" s="285" t="s">
        <v>5645</v>
      </c>
      <c r="W93" s="285" t="s">
        <v>5295</v>
      </c>
      <c r="X93" s="1308"/>
      <c r="Y93" s="1308"/>
      <c r="Z93" s="1308"/>
      <c r="AA93" s="1308"/>
      <c r="AB93" s="285" t="s">
        <v>5295</v>
      </c>
      <c r="AC93" s="285"/>
      <c r="AD93" s="285"/>
      <c r="AE93" s="285"/>
      <c r="AF93" s="285"/>
      <c r="AG93" s="285"/>
      <c r="AH93" s="285"/>
      <c r="AI93" s="285"/>
      <c r="AJ93" s="285"/>
      <c r="AK93" s="285"/>
      <c r="AL93" s="285"/>
      <c r="AM93" s="285"/>
      <c r="AN93" s="285"/>
      <c r="AO93" s="285"/>
      <c r="AP93" s="285"/>
      <c r="AQ93" s="285"/>
      <c r="AR93" s="285"/>
      <c r="AS93" s="285"/>
      <c r="AT93" s="285"/>
      <c r="AU93" s="285"/>
      <c r="AV93" s="285"/>
      <c r="AW93" s="285"/>
      <c r="AX93" s="285"/>
      <c r="AY93" s="285"/>
      <c r="AZ93" s="285"/>
      <c r="BA93" s="285"/>
      <c r="BB93" s="285"/>
      <c r="BC93" s="285"/>
      <c r="BD93" s="285"/>
      <c r="BE93" s="285"/>
      <c r="BF93" s="285"/>
      <c r="BG93" s="285"/>
      <c r="BH93" s="285"/>
      <c r="BI93" s="285"/>
      <c r="BJ93" s="285"/>
      <c r="BK93" s="285"/>
      <c r="BL93" s="285"/>
      <c r="BM93" s="285"/>
      <c r="BN93" s="285"/>
      <c r="BO93" s="285"/>
      <c r="BP93" s="285"/>
      <c r="BQ93" s="285"/>
      <c r="BR93" s="285"/>
      <c r="BS93" s="285"/>
      <c r="BT93" s="285"/>
      <c r="BU93" s="285"/>
      <c r="BV93" s="285"/>
      <c r="BW93" s="285"/>
      <c r="BX93" s="285"/>
      <c r="BY93" s="285"/>
      <c r="BZ93" s="285"/>
      <c r="CA93" s="285"/>
      <c r="CB93" s="285"/>
      <c r="CC93" s="285"/>
      <c r="CD93" s="285"/>
      <c r="CE93" s="285"/>
      <c r="CF93" s="285"/>
      <c r="CG93" s="285"/>
      <c r="CH93" s="285"/>
      <c r="CI93" s="285"/>
      <c r="CJ93" s="285"/>
      <c r="CK93" s="285"/>
      <c r="CL93" s="285"/>
      <c r="CM93" s="285"/>
      <c r="CN93" s="285"/>
      <c r="CO93" s="285"/>
      <c r="CP93" s="285"/>
      <c r="CQ93" s="285"/>
      <c r="CR93" s="285"/>
      <c r="CS93" s="285"/>
      <c r="CT93" s="285"/>
      <c r="CU93" s="285"/>
      <c r="CV93" s="285"/>
      <c r="CW93" s="285"/>
      <c r="CX93" s="285"/>
      <c r="CY93" s="285"/>
      <c r="CZ93" s="285"/>
      <c r="DA93" s="285"/>
      <c r="DB93" s="285"/>
      <c r="DC93" s="285"/>
      <c r="DD93" s="285"/>
      <c r="DE93" s="285"/>
      <c r="DF93" s="285"/>
      <c r="DG93" s="285"/>
      <c r="DH93" s="285"/>
      <c r="DI93" s="285"/>
      <c r="DJ93" s="285"/>
      <c r="DK93" s="285"/>
      <c r="DL93" s="285"/>
      <c r="DM93" s="285"/>
      <c r="DN93" s="285"/>
      <c r="DO93" s="285"/>
      <c r="DP93" s="285"/>
      <c r="DQ93" s="285"/>
      <c r="DR93" s="285"/>
      <c r="DS93" s="285"/>
      <c r="DT93" s="285"/>
      <c r="DU93" s="285"/>
      <c r="DV93" s="285"/>
      <c r="DW93" s="285"/>
      <c r="DX93" s="285"/>
      <c r="DY93" s="285"/>
      <c r="DZ93" s="285"/>
      <c r="EA93" s="285"/>
      <c r="EB93" s="285"/>
      <c r="EC93" s="285"/>
      <c r="ED93" s="285"/>
      <c r="EE93" s="285"/>
      <c r="EF93" s="285"/>
      <c r="EG93" s="285"/>
      <c r="EH93" s="285"/>
      <c r="EI93" s="285"/>
      <c r="EJ93" s="285"/>
      <c r="EK93" s="285"/>
      <c r="EL93" s="285"/>
      <c r="EM93" s="285"/>
      <c r="EN93" s="285"/>
      <c r="EO93" s="285"/>
      <c r="EP93" s="285"/>
      <c r="EQ93" s="285"/>
      <c r="ER93" s="285"/>
      <c r="ES93" s="285"/>
      <c r="ET93" s="285"/>
      <c r="EU93" s="285"/>
      <c r="EV93" s="285"/>
      <c r="EW93" s="285"/>
      <c r="EX93" s="285"/>
      <c r="EY93" s="285"/>
      <c r="EZ93" s="285"/>
      <c r="FA93" s="285"/>
      <c r="FB93" s="285"/>
      <c r="FC93" s="285"/>
      <c r="FD93" s="285"/>
      <c r="FE93" s="285"/>
      <c r="FF93" s="285"/>
      <c r="FG93" s="285"/>
      <c r="FH93" s="285"/>
      <c r="FI93" s="285"/>
      <c r="FJ93" s="285"/>
      <c r="FK93" s="285"/>
      <c r="FL93" s="285"/>
      <c r="FM93" s="285"/>
      <c r="FN93" s="285"/>
      <c r="FO93" s="285"/>
      <c r="FP93" s="285"/>
      <c r="FQ93" s="285"/>
      <c r="FR93" s="285"/>
      <c r="FS93" s="285"/>
      <c r="FT93" s="285"/>
      <c r="FU93" s="285"/>
      <c r="FV93" s="285"/>
      <c r="FW93" s="285"/>
      <c r="FX93" s="285"/>
      <c r="FY93" s="285"/>
      <c r="FZ93" s="285"/>
      <c r="GA93" s="285"/>
      <c r="GB93" s="285"/>
      <c r="GC93" s="285"/>
      <c r="GD93" s="285"/>
      <c r="GE93" s="285"/>
      <c r="GF93" s="285"/>
      <c r="GG93" s="285"/>
      <c r="GH93" s="285"/>
      <c r="GI93" s="285"/>
      <c r="GJ93" s="285"/>
      <c r="GK93" s="285"/>
      <c r="GL93" s="285"/>
      <c r="GM93" s="285"/>
      <c r="GN93" s="285"/>
      <c r="GO93" s="285"/>
      <c r="GP93" s="285"/>
      <c r="GQ93" s="285"/>
      <c r="GR93" s="285"/>
      <c r="GS93" s="285"/>
      <c r="GT93" s="285"/>
      <c r="GU93" s="285"/>
      <c r="GV93" s="285"/>
      <c r="GW93" s="285"/>
      <c r="GX93" s="285"/>
      <c r="GY93" s="285"/>
      <c r="GZ93" s="285"/>
      <c r="HA93" s="285"/>
      <c r="HB93" s="285"/>
      <c r="HC93" s="285"/>
      <c r="HD93" s="285"/>
      <c r="HE93" s="285"/>
      <c r="HF93" s="285"/>
      <c r="HG93" s="285"/>
      <c r="HH93" s="285"/>
      <c r="HI93" s="285"/>
      <c r="HJ93" s="285"/>
      <c r="HK93" s="285"/>
      <c r="HL93" s="285"/>
      <c r="HM93" s="285"/>
      <c r="HN93" s="285"/>
      <c r="HO93" s="285"/>
      <c r="HP93" s="285"/>
      <c r="HQ93" s="285"/>
      <c r="HR93" s="285"/>
      <c r="HS93" s="285"/>
      <c r="HT93" s="285"/>
      <c r="HU93" s="285"/>
      <c r="HV93" s="285"/>
      <c r="HW93" s="285"/>
      <c r="HX93" s="285"/>
      <c r="HY93" s="285"/>
      <c r="HZ93" s="285"/>
      <c r="IA93" s="285"/>
      <c r="IB93" s="285"/>
      <c r="IC93" s="285"/>
      <c r="ID93" s="285"/>
      <c r="IE93" s="285"/>
      <c r="IF93" s="285"/>
      <c r="IG93" s="285"/>
      <c r="IH93" s="285"/>
      <c r="II93" s="285"/>
      <c r="IJ93" s="285"/>
      <c r="IK93" s="285"/>
      <c r="IL93" s="285"/>
      <c r="IM93" s="285"/>
      <c r="IN93" s="285"/>
      <c r="IO93" s="285"/>
      <c r="IP93" s="285"/>
      <c r="IQ93" s="285"/>
      <c r="IR93" s="285"/>
      <c r="IS93" s="285"/>
      <c r="IT93" s="285"/>
      <c r="IU93" s="285"/>
      <c r="IV93" s="285"/>
      <c r="IW93" s="285"/>
      <c r="IX93" s="285"/>
      <c r="IY93" s="285"/>
      <c r="IZ93" s="285"/>
      <c r="JA93" s="285"/>
      <c r="JB93" s="285"/>
      <c r="JC93" s="285"/>
      <c r="JD93" s="285"/>
      <c r="JE93" s="285"/>
      <c r="JF93" s="285"/>
      <c r="JG93" s="285"/>
      <c r="JH93" s="285"/>
      <c r="JI93" s="285"/>
      <c r="JJ93" s="285"/>
      <c r="JK93" s="285"/>
      <c r="JL93" s="285"/>
      <c r="JM93" s="285"/>
      <c r="JN93" s="285"/>
      <c r="JO93" s="285"/>
      <c r="JP93" s="285"/>
      <c r="JQ93" s="285"/>
      <c r="JR93" s="285"/>
      <c r="JS93" s="285"/>
      <c r="JT93" s="285"/>
      <c r="JU93" s="285"/>
      <c r="JV93" s="285"/>
      <c r="JW93" s="285"/>
      <c r="JX93" s="285"/>
      <c r="JY93" s="285"/>
      <c r="JZ93" s="285"/>
      <c r="KA93" s="285"/>
      <c r="KB93" s="285"/>
      <c r="KC93" s="285"/>
      <c r="KD93" s="285"/>
      <c r="KE93" s="285"/>
      <c r="KF93" s="285"/>
      <c r="KG93" s="285"/>
      <c r="KH93" s="285"/>
      <c r="KI93" s="285"/>
      <c r="KJ93" s="285"/>
      <c r="KK93" s="285"/>
      <c r="KL93" s="285"/>
      <c r="KM93" s="285"/>
      <c r="KN93" s="285"/>
      <c r="KO93" s="285"/>
      <c r="KP93" s="285"/>
      <c r="KQ93" s="285"/>
      <c r="KR93" s="298"/>
      <c r="KS93" s="285"/>
      <c r="KT93" s="285"/>
      <c r="KU93" s="268"/>
      <c r="KV93" s="288"/>
      <c r="KW93" s="288"/>
    </row>
    <row r="94" spans="1:309" ht="16.2" customHeight="1">
      <c r="A94" s="1302" t="s">
        <v>5533</v>
      </c>
      <c r="B94" s="1396" t="s">
        <v>5548</v>
      </c>
      <c r="C94" s="1243">
        <v>311406190</v>
      </c>
      <c r="D94" s="906" t="s">
        <v>6925</v>
      </c>
      <c r="E94" s="1329" t="s">
        <v>5602</v>
      </c>
      <c r="F94" s="944">
        <v>0</v>
      </c>
      <c r="G94" s="75"/>
      <c r="H94" s="1662" t="s">
        <v>6806</v>
      </c>
      <c r="I94" s="1662"/>
      <c r="J94" s="944">
        <v>0</v>
      </c>
      <c r="K94" s="1308"/>
      <c r="L94" s="1308"/>
      <c r="M94" s="1308"/>
      <c r="N94" s="1308"/>
      <c r="O94" s="1308"/>
      <c r="P94" s="1308"/>
      <c r="Q94" s="1308"/>
      <c r="R94" s="285"/>
      <c r="S94" s="285"/>
      <c r="T94" s="285"/>
      <c r="U94" s="285"/>
      <c r="V94" s="285"/>
      <c r="W94" s="285"/>
      <c r="X94" s="1308"/>
      <c r="Y94" s="1308"/>
      <c r="Z94" s="1308"/>
      <c r="AA94" s="1308"/>
      <c r="AB94" s="285" t="s">
        <v>5692</v>
      </c>
      <c r="AC94" s="285" t="s">
        <v>5263</v>
      </c>
      <c r="AD94" s="285">
        <v>2982</v>
      </c>
      <c r="AE94" s="285"/>
      <c r="AF94" s="285"/>
      <c r="AG94" s="285"/>
      <c r="AH94" s="285"/>
      <c r="AI94" s="285"/>
      <c r="AJ94" s="285"/>
      <c r="AK94" s="285"/>
      <c r="AL94" s="285"/>
      <c r="AM94" s="285"/>
      <c r="AN94" s="285"/>
      <c r="AO94" s="285"/>
      <c r="AP94" s="285"/>
      <c r="AQ94" s="285"/>
      <c r="AR94" s="285"/>
      <c r="AS94" s="285"/>
      <c r="AT94" s="285"/>
      <c r="AU94" s="285"/>
      <c r="AV94" s="285"/>
      <c r="AW94" s="285"/>
      <c r="AX94" s="285"/>
      <c r="AY94" s="285"/>
      <c r="AZ94" s="285"/>
      <c r="BA94" s="285"/>
      <c r="BB94" s="285"/>
      <c r="BC94" s="285"/>
      <c r="BD94" s="285"/>
      <c r="BE94" s="285"/>
      <c r="BF94" s="285"/>
      <c r="BG94" s="285"/>
      <c r="BH94" s="285"/>
      <c r="BI94" s="285"/>
      <c r="BJ94" s="285"/>
      <c r="BK94" s="285"/>
      <c r="BL94" s="285"/>
      <c r="BM94" s="285"/>
      <c r="BN94" s="285"/>
      <c r="BO94" s="285"/>
      <c r="BP94" s="285"/>
      <c r="BQ94" s="285"/>
      <c r="BR94" s="285"/>
      <c r="BS94" s="285"/>
      <c r="BT94" s="285"/>
      <c r="BU94" s="285"/>
      <c r="BV94" s="285"/>
      <c r="BW94" s="285"/>
      <c r="BX94" s="285"/>
      <c r="BY94" s="285"/>
      <c r="BZ94" s="285"/>
      <c r="CA94" s="285"/>
      <c r="CB94" s="285"/>
      <c r="CC94" s="285"/>
      <c r="CD94" s="285"/>
      <c r="CE94" s="285"/>
      <c r="CF94" s="285"/>
      <c r="CG94" s="285"/>
      <c r="CH94" s="285"/>
      <c r="CI94" s="285"/>
      <c r="CJ94" s="285"/>
      <c r="CK94" s="285"/>
      <c r="CL94" s="285"/>
      <c r="CM94" s="285"/>
      <c r="CN94" s="285"/>
      <c r="CO94" s="285"/>
      <c r="CP94" s="285"/>
      <c r="CQ94" s="285"/>
      <c r="CR94" s="285"/>
      <c r="CS94" s="285"/>
      <c r="CT94" s="285"/>
      <c r="CU94" s="285"/>
      <c r="CV94" s="285"/>
      <c r="CW94" s="285"/>
      <c r="CX94" s="285"/>
      <c r="CY94" s="285"/>
      <c r="CZ94" s="285"/>
      <c r="DA94" s="285"/>
      <c r="DB94" s="285"/>
      <c r="DC94" s="285"/>
      <c r="DD94" s="285"/>
      <c r="DE94" s="285"/>
      <c r="DF94" s="285"/>
      <c r="DG94" s="285"/>
      <c r="DH94" s="285"/>
      <c r="DI94" s="285"/>
      <c r="DJ94" s="285"/>
      <c r="DK94" s="285"/>
      <c r="DL94" s="285"/>
      <c r="DM94" s="285"/>
      <c r="DN94" s="285"/>
      <c r="DO94" s="285"/>
      <c r="DP94" s="285"/>
      <c r="DQ94" s="285"/>
      <c r="DR94" s="285"/>
      <c r="DS94" s="285"/>
      <c r="DT94" s="285"/>
      <c r="DU94" s="285"/>
      <c r="DV94" s="285"/>
      <c r="DW94" s="285"/>
      <c r="DX94" s="285"/>
      <c r="DY94" s="285"/>
      <c r="DZ94" s="285"/>
      <c r="EA94" s="285"/>
      <c r="EB94" s="285"/>
      <c r="EC94" s="285"/>
      <c r="ED94" s="285"/>
      <c r="EE94" s="285"/>
      <c r="EF94" s="285"/>
      <c r="EG94" s="285"/>
      <c r="EH94" s="285"/>
      <c r="EI94" s="285"/>
      <c r="EJ94" s="285"/>
      <c r="EK94" s="285"/>
      <c r="EL94" s="285"/>
      <c r="EM94" s="285"/>
      <c r="EN94" s="285"/>
      <c r="EO94" s="285"/>
      <c r="EP94" s="285"/>
      <c r="EQ94" s="285"/>
      <c r="ER94" s="285"/>
      <c r="ES94" s="285"/>
      <c r="ET94" s="285"/>
      <c r="EU94" s="285"/>
      <c r="EV94" s="285"/>
      <c r="EW94" s="285"/>
      <c r="EX94" s="285"/>
      <c r="EY94" s="285"/>
      <c r="EZ94" s="285"/>
      <c r="FA94" s="285"/>
      <c r="FB94" s="285"/>
      <c r="FC94" s="285"/>
      <c r="FD94" s="285"/>
      <c r="FE94" s="285"/>
      <c r="FF94" s="285"/>
      <c r="FG94" s="285"/>
      <c r="FH94" s="285"/>
      <c r="FI94" s="285"/>
      <c r="FJ94" s="285"/>
      <c r="FK94" s="285"/>
      <c r="FL94" s="285"/>
      <c r="FM94" s="285"/>
      <c r="FN94" s="285"/>
      <c r="FO94" s="285"/>
      <c r="FP94" s="285"/>
      <c r="FQ94" s="285"/>
      <c r="FR94" s="285"/>
      <c r="FS94" s="285"/>
      <c r="FT94" s="285"/>
      <c r="FU94" s="285"/>
      <c r="FV94" s="285"/>
      <c r="FW94" s="285"/>
      <c r="FX94" s="285"/>
      <c r="FY94" s="285"/>
      <c r="FZ94" s="285"/>
      <c r="GA94" s="285"/>
      <c r="GB94" s="285"/>
      <c r="GC94" s="285"/>
      <c r="GD94" s="285"/>
      <c r="GE94" s="285"/>
      <c r="GF94" s="285"/>
      <c r="GG94" s="285"/>
      <c r="GH94" s="285"/>
      <c r="GI94" s="285"/>
      <c r="GJ94" s="285"/>
      <c r="GK94" s="285"/>
      <c r="GL94" s="285"/>
      <c r="GM94" s="285"/>
      <c r="GN94" s="285"/>
      <c r="GO94" s="285"/>
      <c r="GP94" s="285"/>
      <c r="GQ94" s="285"/>
      <c r="GR94" s="285"/>
      <c r="GS94" s="285"/>
      <c r="GT94" s="285"/>
      <c r="GU94" s="285"/>
      <c r="GV94" s="285"/>
      <c r="GW94" s="285"/>
      <c r="GX94" s="285"/>
      <c r="GY94" s="285"/>
      <c r="GZ94" s="285"/>
      <c r="HA94" s="285"/>
      <c r="HB94" s="285"/>
      <c r="HC94" s="285"/>
      <c r="HD94" s="285"/>
      <c r="HE94" s="285"/>
      <c r="HF94" s="285"/>
      <c r="HG94" s="285"/>
      <c r="HH94" s="285"/>
      <c r="HI94" s="285"/>
      <c r="HJ94" s="285"/>
      <c r="HK94" s="285"/>
      <c r="HL94" s="285"/>
      <c r="HM94" s="285"/>
      <c r="HN94" s="285"/>
      <c r="HO94" s="285"/>
      <c r="HP94" s="285"/>
      <c r="HQ94" s="285"/>
      <c r="HR94" s="285"/>
      <c r="HS94" s="285"/>
      <c r="HT94" s="285"/>
      <c r="HU94" s="285"/>
      <c r="HV94" s="285"/>
      <c r="HW94" s="285"/>
      <c r="HX94" s="285"/>
      <c r="HY94" s="285"/>
      <c r="HZ94" s="285"/>
      <c r="IA94" s="285"/>
      <c r="IB94" s="285"/>
      <c r="IC94" s="285"/>
      <c r="ID94" s="285"/>
      <c r="IE94" s="285"/>
      <c r="IF94" s="285"/>
      <c r="IG94" s="285"/>
      <c r="IH94" s="285"/>
      <c r="II94" s="285"/>
      <c r="IJ94" s="285"/>
      <c r="IK94" s="285"/>
      <c r="IL94" s="285"/>
      <c r="IM94" s="285"/>
      <c r="IN94" s="285"/>
      <c r="IO94" s="285"/>
      <c r="IP94" s="285"/>
      <c r="IQ94" s="285"/>
      <c r="IR94" s="285"/>
      <c r="IS94" s="285"/>
      <c r="IT94" s="285"/>
      <c r="IU94" s="285"/>
      <c r="IV94" s="285"/>
      <c r="IW94" s="285"/>
      <c r="IX94" s="285"/>
      <c r="IY94" s="285"/>
      <c r="IZ94" s="285"/>
      <c r="JA94" s="285"/>
      <c r="JB94" s="285"/>
      <c r="JC94" s="285"/>
      <c r="JD94" s="285"/>
      <c r="JE94" s="285"/>
      <c r="JF94" s="285"/>
      <c r="JG94" s="285"/>
      <c r="JH94" s="285"/>
      <c r="JI94" s="285"/>
      <c r="JJ94" s="285"/>
      <c r="JK94" s="285"/>
      <c r="JL94" s="285"/>
      <c r="JM94" s="285"/>
      <c r="JN94" s="285"/>
      <c r="JO94" s="285"/>
      <c r="JP94" s="285"/>
      <c r="JQ94" s="285"/>
      <c r="JR94" s="285"/>
      <c r="JS94" s="285"/>
      <c r="JT94" s="285"/>
      <c r="JU94" s="285"/>
      <c r="JV94" s="285"/>
      <c r="JW94" s="285"/>
      <c r="JX94" s="285"/>
      <c r="JY94" s="285"/>
      <c r="JZ94" s="285"/>
      <c r="KA94" s="285"/>
      <c r="KB94" s="285"/>
      <c r="KC94" s="285"/>
      <c r="KD94" s="285"/>
      <c r="KE94" s="285"/>
      <c r="KF94" s="285"/>
      <c r="KG94" s="285"/>
      <c r="KH94" s="285"/>
      <c r="KI94" s="285"/>
      <c r="KJ94" s="285"/>
      <c r="KK94" s="285"/>
      <c r="KL94" s="285"/>
      <c r="KM94" s="285"/>
      <c r="KN94" s="285"/>
      <c r="KO94" s="285"/>
      <c r="KP94" s="285"/>
      <c r="KQ94" s="285"/>
      <c r="KR94" s="298"/>
      <c r="KS94" s="285"/>
      <c r="KT94" s="285"/>
      <c r="KU94" s="268"/>
      <c r="KV94" s="288"/>
      <c r="KW94" s="288"/>
    </row>
    <row r="95" spans="1:309" ht="16.2" customHeight="1">
      <c r="A95" s="1302" t="s">
        <v>5533</v>
      </c>
      <c r="B95" s="1301" t="s">
        <v>5549</v>
      </c>
      <c r="C95" s="1243">
        <v>311406380</v>
      </c>
      <c r="D95" s="906" t="s">
        <v>6925</v>
      </c>
      <c r="E95" s="1353" t="s">
        <v>5623</v>
      </c>
      <c r="F95" s="74"/>
      <c r="G95" s="75"/>
      <c r="H95" s="1662" t="s">
        <v>6806</v>
      </c>
      <c r="I95" s="1662"/>
      <c r="J95" s="944">
        <v>0</v>
      </c>
      <c r="K95" s="1308"/>
      <c r="L95" s="1308"/>
      <c r="M95" s="1308"/>
      <c r="N95" s="1308"/>
      <c r="O95" s="285"/>
      <c r="P95" s="285"/>
      <c r="Q95" s="285"/>
      <c r="R95" s="285"/>
      <c r="S95" s="285"/>
      <c r="T95" s="285"/>
      <c r="U95" s="285"/>
      <c r="V95" s="285"/>
      <c r="W95" s="285"/>
      <c r="X95" s="1308"/>
      <c r="Y95" s="1308"/>
      <c r="Z95" s="1308"/>
      <c r="AA95" s="1308"/>
      <c r="AB95" s="285" t="s">
        <v>5692</v>
      </c>
      <c r="AC95" s="285" t="s">
        <v>5262</v>
      </c>
      <c r="AD95" s="285">
        <v>4568</v>
      </c>
      <c r="AE95" s="285"/>
      <c r="AF95" s="285"/>
      <c r="AG95" s="285"/>
      <c r="AH95" s="285"/>
      <c r="AI95" s="285"/>
      <c r="AJ95" s="285"/>
      <c r="AK95" s="285"/>
      <c r="AL95" s="285"/>
      <c r="AM95" s="285"/>
      <c r="AN95" s="285"/>
      <c r="AO95" s="285"/>
      <c r="AP95" s="285"/>
      <c r="AQ95" s="285"/>
      <c r="AR95" s="285"/>
      <c r="AS95" s="285"/>
      <c r="AT95" s="285"/>
      <c r="AU95" s="285"/>
      <c r="AV95" s="285"/>
      <c r="AW95" s="285"/>
      <c r="AX95" s="285"/>
      <c r="AY95" s="285"/>
      <c r="AZ95" s="285"/>
      <c r="BA95" s="285"/>
      <c r="BB95" s="285"/>
      <c r="BC95" s="285"/>
      <c r="BD95" s="285"/>
      <c r="BE95" s="285"/>
      <c r="BF95" s="285"/>
      <c r="BG95" s="285"/>
      <c r="BH95" s="285"/>
      <c r="BI95" s="285"/>
      <c r="BJ95" s="285"/>
      <c r="BK95" s="285"/>
      <c r="BL95" s="285"/>
      <c r="BM95" s="285"/>
      <c r="BN95" s="285"/>
      <c r="BO95" s="285"/>
      <c r="BP95" s="285"/>
      <c r="BQ95" s="285"/>
      <c r="BR95" s="285"/>
      <c r="BS95" s="285"/>
      <c r="BT95" s="285"/>
      <c r="BU95" s="285"/>
      <c r="BV95" s="285"/>
      <c r="BW95" s="285"/>
      <c r="BX95" s="285"/>
      <c r="BY95" s="285"/>
      <c r="BZ95" s="285"/>
      <c r="CA95" s="285"/>
      <c r="CB95" s="285"/>
      <c r="CC95" s="285"/>
      <c r="CD95" s="285"/>
      <c r="CE95" s="285"/>
      <c r="CF95" s="285"/>
      <c r="CG95" s="285"/>
      <c r="CH95" s="285"/>
      <c r="CI95" s="285"/>
      <c r="CJ95" s="285"/>
      <c r="CK95" s="285"/>
      <c r="CL95" s="285"/>
      <c r="CM95" s="285"/>
      <c r="CN95" s="285"/>
      <c r="CO95" s="285"/>
      <c r="CP95" s="285"/>
      <c r="CQ95" s="285"/>
      <c r="CR95" s="285"/>
      <c r="CS95" s="285"/>
      <c r="CT95" s="285"/>
      <c r="CU95" s="285"/>
      <c r="CV95" s="285"/>
      <c r="CW95" s="285"/>
      <c r="CX95" s="285"/>
      <c r="CY95" s="285"/>
      <c r="CZ95" s="285"/>
      <c r="DA95" s="285"/>
      <c r="DB95" s="285"/>
      <c r="DC95" s="285"/>
      <c r="DD95" s="285"/>
      <c r="DE95" s="285"/>
      <c r="DF95" s="285"/>
      <c r="DG95" s="285"/>
      <c r="DH95" s="285"/>
      <c r="DI95" s="285"/>
      <c r="DJ95" s="285"/>
      <c r="DK95" s="285"/>
      <c r="DL95" s="285"/>
      <c r="DM95" s="285"/>
      <c r="DN95" s="285"/>
      <c r="DO95" s="285"/>
      <c r="DP95" s="285"/>
      <c r="DQ95" s="285"/>
      <c r="DR95" s="285"/>
      <c r="DS95" s="285"/>
      <c r="DT95" s="285"/>
      <c r="DU95" s="285"/>
      <c r="DV95" s="285"/>
      <c r="DW95" s="285"/>
      <c r="DX95" s="285"/>
      <c r="DY95" s="285"/>
      <c r="DZ95" s="285"/>
      <c r="EA95" s="285"/>
      <c r="EB95" s="285"/>
      <c r="EC95" s="285"/>
      <c r="ED95" s="285"/>
      <c r="EE95" s="285"/>
      <c r="EF95" s="285"/>
      <c r="EG95" s="285"/>
      <c r="EH95" s="285"/>
      <c r="EI95" s="285"/>
      <c r="EJ95" s="285"/>
      <c r="EK95" s="285"/>
      <c r="EL95" s="285"/>
      <c r="EM95" s="285"/>
      <c r="EN95" s="285"/>
      <c r="EO95" s="285"/>
      <c r="EP95" s="285"/>
      <c r="EQ95" s="285"/>
      <c r="ER95" s="285"/>
      <c r="ES95" s="285"/>
      <c r="ET95" s="285"/>
      <c r="EU95" s="285"/>
      <c r="EV95" s="285"/>
      <c r="EW95" s="285"/>
      <c r="EX95" s="285"/>
      <c r="EY95" s="285"/>
      <c r="EZ95" s="285"/>
      <c r="FA95" s="285"/>
      <c r="FB95" s="285"/>
      <c r="FC95" s="285"/>
      <c r="FD95" s="285"/>
      <c r="FE95" s="285"/>
      <c r="FF95" s="285"/>
      <c r="FG95" s="285"/>
      <c r="FH95" s="285"/>
      <c r="FI95" s="285"/>
      <c r="FJ95" s="285"/>
      <c r="FK95" s="285"/>
      <c r="FL95" s="285"/>
      <c r="FM95" s="285"/>
      <c r="FN95" s="285"/>
      <c r="FO95" s="285"/>
      <c r="FP95" s="285"/>
      <c r="FQ95" s="285"/>
      <c r="FR95" s="285"/>
      <c r="FS95" s="285"/>
      <c r="FT95" s="285"/>
      <c r="FU95" s="285"/>
      <c r="FV95" s="285"/>
      <c r="FW95" s="285"/>
      <c r="FX95" s="285"/>
      <c r="FY95" s="285"/>
      <c r="FZ95" s="285"/>
      <c r="GA95" s="285"/>
      <c r="GB95" s="285"/>
      <c r="GC95" s="285"/>
      <c r="GD95" s="285"/>
      <c r="GE95" s="285"/>
      <c r="GF95" s="285"/>
      <c r="GG95" s="285"/>
      <c r="GH95" s="285"/>
      <c r="GI95" s="285"/>
      <c r="GJ95" s="285"/>
      <c r="GK95" s="285"/>
      <c r="GL95" s="285"/>
      <c r="GM95" s="285"/>
      <c r="GN95" s="285"/>
      <c r="GO95" s="285"/>
      <c r="GP95" s="285"/>
      <c r="GQ95" s="285"/>
      <c r="GR95" s="285"/>
      <c r="GS95" s="285"/>
      <c r="GT95" s="285"/>
      <c r="GU95" s="285"/>
      <c r="GV95" s="285"/>
      <c r="GW95" s="285"/>
      <c r="GX95" s="285"/>
      <c r="GY95" s="285"/>
      <c r="GZ95" s="285"/>
      <c r="HA95" s="285"/>
      <c r="HB95" s="285"/>
      <c r="HC95" s="285"/>
      <c r="HD95" s="285"/>
      <c r="HE95" s="285"/>
      <c r="HF95" s="285"/>
      <c r="HG95" s="285"/>
      <c r="HH95" s="285"/>
      <c r="HI95" s="285"/>
      <c r="HJ95" s="285"/>
      <c r="HK95" s="285"/>
      <c r="HL95" s="285"/>
      <c r="HM95" s="285"/>
      <c r="HN95" s="285"/>
      <c r="HO95" s="285"/>
      <c r="HP95" s="285"/>
      <c r="HQ95" s="285"/>
      <c r="HR95" s="285"/>
      <c r="HS95" s="285"/>
      <c r="HT95" s="285"/>
      <c r="HU95" s="285"/>
      <c r="HV95" s="285"/>
      <c r="HW95" s="285"/>
      <c r="HX95" s="285"/>
      <c r="HY95" s="285"/>
      <c r="HZ95" s="285"/>
      <c r="IA95" s="285"/>
      <c r="IB95" s="285"/>
      <c r="IC95" s="285"/>
      <c r="ID95" s="285"/>
      <c r="IE95" s="285"/>
      <c r="IF95" s="285"/>
      <c r="IG95" s="285"/>
      <c r="IH95" s="285"/>
      <c r="II95" s="285"/>
      <c r="IJ95" s="285"/>
      <c r="IK95" s="285"/>
      <c r="IL95" s="285"/>
      <c r="IM95" s="285"/>
      <c r="IN95" s="285"/>
      <c r="IO95" s="285"/>
      <c r="IP95" s="285"/>
      <c r="IQ95" s="285"/>
      <c r="IR95" s="285"/>
      <c r="IS95" s="285"/>
      <c r="IT95" s="285"/>
      <c r="IU95" s="285"/>
      <c r="IV95" s="285"/>
      <c r="IW95" s="285"/>
      <c r="IX95" s="285"/>
      <c r="IY95" s="285"/>
      <c r="IZ95" s="285"/>
      <c r="JA95" s="285"/>
      <c r="JB95" s="285"/>
      <c r="JC95" s="285"/>
      <c r="JD95" s="285"/>
      <c r="JE95" s="285"/>
      <c r="JF95" s="285"/>
      <c r="JG95" s="285"/>
      <c r="JH95" s="285"/>
      <c r="JI95" s="285"/>
      <c r="JJ95" s="285"/>
      <c r="JK95" s="285"/>
      <c r="JL95" s="285"/>
      <c r="JM95" s="285"/>
      <c r="JN95" s="285"/>
      <c r="JO95" s="285"/>
      <c r="JP95" s="285"/>
      <c r="JQ95" s="285"/>
      <c r="JR95" s="285"/>
      <c r="JS95" s="285"/>
      <c r="JT95" s="285"/>
      <c r="JU95" s="285"/>
      <c r="JV95" s="285"/>
      <c r="JW95" s="285"/>
      <c r="JX95" s="285"/>
      <c r="JY95" s="285"/>
      <c r="JZ95" s="285"/>
      <c r="KA95" s="285"/>
      <c r="KB95" s="285"/>
      <c r="KC95" s="285"/>
      <c r="KD95" s="285"/>
      <c r="KE95" s="285"/>
      <c r="KF95" s="285"/>
      <c r="KG95" s="285"/>
      <c r="KH95" s="285"/>
      <c r="KI95" s="285"/>
      <c r="KJ95" s="285"/>
      <c r="KK95" s="285"/>
      <c r="KL95" s="285"/>
      <c r="KM95" s="285"/>
      <c r="KN95" s="285"/>
      <c r="KO95" s="285"/>
      <c r="KP95" s="285"/>
      <c r="KQ95" s="285"/>
      <c r="KR95" s="298"/>
      <c r="KS95" s="285"/>
      <c r="KT95" s="285"/>
      <c r="KU95" s="268"/>
      <c r="KV95" s="288"/>
      <c r="KW95" s="288"/>
    </row>
    <row r="96" spans="1:309" s="1304" customFormat="1" ht="16.2" customHeight="1">
      <c r="A96" s="1322" t="s">
        <v>5593</v>
      </c>
      <c r="B96" s="1396" t="s">
        <v>5594</v>
      </c>
      <c r="C96" s="1243">
        <v>311412184</v>
      </c>
      <c r="D96" s="906" t="s">
        <v>6925</v>
      </c>
      <c r="E96" s="1440" t="s">
        <v>5695</v>
      </c>
      <c r="F96" s="944">
        <v>0</v>
      </c>
      <c r="G96" s="75"/>
      <c r="H96" s="1662" t="s">
        <v>6806</v>
      </c>
      <c r="I96" s="1662"/>
      <c r="J96" s="944">
        <v>0</v>
      </c>
      <c r="K96" s="1308"/>
      <c r="L96" s="1308"/>
      <c r="M96" s="1308"/>
      <c r="N96" s="1308"/>
      <c r="O96" s="285"/>
      <c r="P96" s="285"/>
      <c r="Q96" s="285"/>
      <c r="R96" s="285"/>
      <c r="S96" s="285"/>
      <c r="T96" s="285"/>
      <c r="U96" s="285"/>
      <c r="V96" s="285" t="s">
        <v>5645</v>
      </c>
      <c r="W96" s="285" t="s">
        <v>5295</v>
      </c>
      <c r="X96" s="1308"/>
      <c r="Y96" s="1308"/>
      <c r="Z96" s="1308"/>
      <c r="AA96" s="1308"/>
      <c r="AB96" s="285" t="s">
        <v>5295</v>
      </c>
      <c r="AC96" s="285"/>
      <c r="AD96" s="285"/>
      <c r="AE96" s="285"/>
      <c r="AF96" s="285"/>
      <c r="AG96" s="285"/>
      <c r="AH96" s="285"/>
      <c r="AI96" s="285"/>
      <c r="AJ96" s="285"/>
      <c r="AK96" s="285"/>
      <c r="AL96" s="285"/>
      <c r="AM96" s="285"/>
      <c r="AN96" s="285"/>
      <c r="AO96" s="285"/>
      <c r="AP96" s="285"/>
      <c r="AQ96" s="285"/>
      <c r="AR96" s="285"/>
      <c r="AS96" s="285"/>
      <c r="AT96" s="285"/>
      <c r="AU96" s="285"/>
      <c r="AV96" s="285"/>
      <c r="AW96" s="285"/>
      <c r="AX96" s="285"/>
      <c r="AY96" s="285"/>
      <c r="AZ96" s="285"/>
      <c r="BA96" s="285"/>
      <c r="BB96" s="285"/>
      <c r="BC96" s="285"/>
      <c r="BD96" s="285"/>
      <c r="BE96" s="285"/>
      <c r="BF96" s="285"/>
      <c r="BG96" s="285"/>
      <c r="BH96" s="285"/>
      <c r="BI96" s="285"/>
      <c r="BJ96" s="285"/>
      <c r="BK96" s="285"/>
      <c r="BL96" s="285"/>
      <c r="BM96" s="285"/>
      <c r="BN96" s="285"/>
      <c r="BO96" s="285"/>
      <c r="BP96" s="285"/>
      <c r="BQ96" s="285"/>
      <c r="BR96" s="285"/>
      <c r="BS96" s="285"/>
      <c r="BT96" s="285"/>
      <c r="BU96" s="285"/>
      <c r="BV96" s="285"/>
      <c r="BW96" s="285"/>
      <c r="BX96" s="285"/>
      <c r="BY96" s="285"/>
      <c r="BZ96" s="285"/>
      <c r="CA96" s="285"/>
      <c r="CB96" s="285"/>
      <c r="CC96" s="285"/>
      <c r="CD96" s="285"/>
      <c r="CE96" s="285"/>
      <c r="CF96" s="285"/>
      <c r="CG96" s="285"/>
      <c r="CH96" s="285"/>
      <c r="CI96" s="285"/>
      <c r="CJ96" s="285"/>
      <c r="CK96" s="285"/>
      <c r="CL96" s="285"/>
      <c r="CM96" s="285"/>
      <c r="CN96" s="285"/>
      <c r="CO96" s="285"/>
      <c r="CP96" s="285"/>
      <c r="CQ96" s="285"/>
      <c r="CR96" s="285"/>
      <c r="CS96" s="285"/>
      <c r="CT96" s="285"/>
      <c r="CU96" s="285"/>
      <c r="CV96" s="285"/>
      <c r="CW96" s="285"/>
      <c r="CX96" s="285"/>
      <c r="CY96" s="285"/>
      <c r="CZ96" s="285"/>
      <c r="DA96" s="285"/>
      <c r="DB96" s="285"/>
      <c r="DC96" s="285"/>
      <c r="DD96" s="285"/>
      <c r="DE96" s="285"/>
      <c r="DF96" s="285"/>
      <c r="DG96" s="285"/>
      <c r="DH96" s="285"/>
      <c r="DI96" s="285"/>
      <c r="DJ96" s="285"/>
      <c r="DK96" s="285"/>
      <c r="DL96" s="285"/>
      <c r="DM96" s="285"/>
      <c r="DN96" s="285"/>
      <c r="DO96" s="285"/>
      <c r="DP96" s="285"/>
      <c r="DQ96" s="285"/>
      <c r="DR96" s="285"/>
      <c r="DS96" s="285"/>
      <c r="DT96" s="285"/>
      <c r="DU96" s="285"/>
      <c r="DV96" s="285"/>
      <c r="DW96" s="285"/>
      <c r="DX96" s="285"/>
      <c r="DY96" s="285"/>
      <c r="DZ96" s="285"/>
      <c r="EA96" s="285"/>
      <c r="EB96" s="285"/>
      <c r="EC96" s="285"/>
      <c r="ED96" s="285"/>
      <c r="EE96" s="285"/>
      <c r="EF96" s="285"/>
      <c r="EG96" s="285"/>
      <c r="EH96" s="285"/>
      <c r="EI96" s="285"/>
      <c r="EJ96" s="285"/>
      <c r="EK96" s="285"/>
      <c r="EL96" s="285"/>
      <c r="EM96" s="285"/>
      <c r="EN96" s="285"/>
      <c r="EO96" s="285"/>
      <c r="EP96" s="285"/>
      <c r="EQ96" s="285"/>
      <c r="ER96" s="285"/>
      <c r="ES96" s="285"/>
      <c r="ET96" s="285"/>
      <c r="EU96" s="285"/>
      <c r="EV96" s="285"/>
      <c r="EW96" s="285"/>
      <c r="EX96" s="285"/>
      <c r="EY96" s="285"/>
      <c r="EZ96" s="285"/>
      <c r="FA96" s="285"/>
      <c r="FB96" s="285"/>
      <c r="FC96" s="285"/>
      <c r="FD96" s="285"/>
      <c r="FE96" s="285"/>
      <c r="FF96" s="285"/>
      <c r="FG96" s="285"/>
      <c r="FH96" s="285"/>
      <c r="FI96" s="285"/>
      <c r="FJ96" s="285"/>
      <c r="FK96" s="285"/>
      <c r="FL96" s="285"/>
      <c r="FM96" s="285"/>
      <c r="FN96" s="285"/>
      <c r="FO96" s="285"/>
      <c r="FP96" s="285"/>
      <c r="FQ96" s="285"/>
      <c r="FR96" s="285"/>
      <c r="FS96" s="285"/>
      <c r="FT96" s="285"/>
      <c r="FU96" s="285"/>
      <c r="FV96" s="285"/>
      <c r="FW96" s="285"/>
      <c r="FX96" s="285"/>
      <c r="FY96" s="285"/>
      <c r="FZ96" s="285"/>
      <c r="GA96" s="285"/>
      <c r="GB96" s="285"/>
      <c r="GC96" s="285"/>
      <c r="GD96" s="285"/>
      <c r="GE96" s="285"/>
      <c r="GF96" s="285"/>
      <c r="GG96" s="285"/>
      <c r="GH96" s="285"/>
      <c r="GI96" s="285"/>
      <c r="GJ96" s="285"/>
      <c r="GK96" s="285"/>
      <c r="GL96" s="285"/>
      <c r="GM96" s="285"/>
      <c r="GN96" s="285"/>
      <c r="GO96" s="285"/>
      <c r="GP96" s="285"/>
      <c r="GQ96" s="285"/>
      <c r="GR96" s="285"/>
      <c r="GS96" s="285"/>
      <c r="GT96" s="285"/>
      <c r="GU96" s="285"/>
      <c r="GV96" s="285"/>
      <c r="GW96" s="285"/>
      <c r="GX96" s="285"/>
      <c r="GY96" s="285"/>
      <c r="GZ96" s="285"/>
      <c r="HA96" s="285"/>
      <c r="HB96" s="285"/>
      <c r="HC96" s="285"/>
      <c r="HD96" s="285"/>
      <c r="HE96" s="285"/>
      <c r="HF96" s="285"/>
      <c r="HG96" s="285"/>
      <c r="HH96" s="285"/>
      <c r="HI96" s="285"/>
      <c r="HJ96" s="285"/>
      <c r="HK96" s="285"/>
      <c r="HL96" s="285"/>
      <c r="HM96" s="285"/>
      <c r="HN96" s="285"/>
      <c r="HO96" s="285"/>
      <c r="HP96" s="285"/>
      <c r="HQ96" s="285"/>
      <c r="HR96" s="285"/>
      <c r="HS96" s="285"/>
      <c r="HT96" s="285"/>
      <c r="HU96" s="285"/>
      <c r="HV96" s="285"/>
      <c r="HW96" s="285"/>
      <c r="HX96" s="285"/>
      <c r="HY96" s="285"/>
      <c r="HZ96" s="285"/>
      <c r="IA96" s="285"/>
      <c r="IB96" s="285"/>
      <c r="IC96" s="285"/>
      <c r="ID96" s="285"/>
      <c r="IE96" s="285"/>
      <c r="IF96" s="285"/>
      <c r="IG96" s="285"/>
      <c r="IH96" s="285"/>
      <c r="II96" s="285"/>
      <c r="IJ96" s="285"/>
      <c r="IK96" s="285"/>
      <c r="IL96" s="285"/>
      <c r="IM96" s="285"/>
      <c r="IN96" s="285"/>
      <c r="IO96" s="285"/>
      <c r="IP96" s="285"/>
      <c r="IQ96" s="285"/>
      <c r="IR96" s="285"/>
      <c r="IS96" s="285"/>
      <c r="IT96" s="285"/>
      <c r="IU96" s="285"/>
      <c r="IV96" s="285"/>
      <c r="IW96" s="285"/>
      <c r="IX96" s="285"/>
      <c r="IY96" s="285"/>
      <c r="IZ96" s="285"/>
      <c r="JA96" s="285"/>
      <c r="JB96" s="285"/>
      <c r="JC96" s="285"/>
      <c r="JD96" s="285"/>
      <c r="JE96" s="285"/>
      <c r="JF96" s="285"/>
      <c r="JG96" s="285"/>
      <c r="JH96" s="285"/>
      <c r="JI96" s="285"/>
      <c r="JJ96" s="285"/>
      <c r="JK96" s="285"/>
      <c r="JL96" s="285"/>
      <c r="JM96" s="285"/>
      <c r="JN96" s="285"/>
      <c r="JO96" s="285"/>
      <c r="JP96" s="285"/>
      <c r="JQ96" s="285"/>
      <c r="JR96" s="285"/>
      <c r="JS96" s="285"/>
      <c r="JT96" s="285"/>
      <c r="JU96" s="285"/>
      <c r="JV96" s="285"/>
      <c r="JW96" s="285"/>
      <c r="JX96" s="285"/>
      <c r="JY96" s="285"/>
      <c r="JZ96" s="285"/>
      <c r="KA96" s="285"/>
      <c r="KB96" s="285"/>
      <c r="KC96" s="285"/>
      <c r="KD96" s="285"/>
      <c r="KE96" s="285"/>
      <c r="KF96" s="285"/>
      <c r="KG96" s="285"/>
      <c r="KH96" s="285"/>
      <c r="KI96" s="285"/>
      <c r="KJ96" s="285"/>
      <c r="KK96" s="285"/>
      <c r="KL96" s="285"/>
      <c r="KM96" s="285"/>
      <c r="KN96" s="285"/>
      <c r="KO96" s="285"/>
      <c r="KP96" s="285"/>
      <c r="KQ96" s="285"/>
      <c r="KR96" s="298"/>
      <c r="KS96" s="285"/>
      <c r="KT96" s="285"/>
      <c r="KU96" s="1308"/>
      <c r="KV96" s="288"/>
      <c r="KW96" s="288"/>
    </row>
    <row r="97" spans="1:309" s="1304" customFormat="1" ht="16.2" customHeight="1">
      <c r="A97" s="1357" t="s">
        <v>5717</v>
      </c>
      <c r="B97" s="1649" t="s">
        <v>5732</v>
      </c>
      <c r="C97" s="1404" t="s">
        <v>5731</v>
      </c>
      <c r="D97" s="906" t="s">
        <v>6925</v>
      </c>
      <c r="E97" s="1353"/>
      <c r="F97" s="74"/>
      <c r="G97" s="75"/>
      <c r="H97" s="944" t="s">
        <v>6891</v>
      </c>
      <c r="I97" s="944"/>
      <c r="J97" s="944">
        <v>0</v>
      </c>
      <c r="K97" s="1308"/>
      <c r="L97" s="1308"/>
      <c r="M97" s="1308"/>
      <c r="N97" s="1308"/>
      <c r="O97" s="1593" t="s">
        <v>6241</v>
      </c>
      <c r="P97" s="1593"/>
      <c r="Q97" s="1593"/>
      <c r="R97" s="1405" t="s">
        <v>5945</v>
      </c>
      <c r="S97" s="1405"/>
      <c r="T97" s="1405"/>
      <c r="U97" s="1405"/>
      <c r="V97" s="285" t="s">
        <v>5645</v>
      </c>
      <c r="W97" s="1308"/>
      <c r="X97" s="1308"/>
      <c r="Y97" s="1308"/>
      <c r="Z97" s="1308"/>
      <c r="AA97" s="1308"/>
      <c r="AB97" s="285"/>
      <c r="AC97" s="285"/>
      <c r="AD97" s="285"/>
      <c r="AE97" s="285"/>
      <c r="AF97" s="285"/>
      <c r="AG97" s="285"/>
      <c r="AH97" s="285"/>
      <c r="AI97" s="285"/>
      <c r="AJ97" s="285"/>
      <c r="AK97" s="285"/>
      <c r="AL97" s="285"/>
      <c r="AM97" s="285"/>
      <c r="AN97" s="285"/>
      <c r="AO97" s="285"/>
      <c r="AP97" s="285"/>
      <c r="AQ97" s="285"/>
      <c r="AR97" s="285"/>
      <c r="AS97" s="285"/>
      <c r="AT97" s="285"/>
      <c r="AU97" s="285"/>
      <c r="AV97" s="285"/>
      <c r="AW97" s="285"/>
      <c r="AX97" s="285"/>
      <c r="AY97" s="285"/>
      <c r="AZ97" s="285"/>
      <c r="BA97" s="285"/>
      <c r="BB97" s="285"/>
      <c r="BC97" s="285"/>
      <c r="BD97" s="285"/>
      <c r="BE97" s="285"/>
      <c r="BF97" s="285"/>
      <c r="BG97" s="285"/>
      <c r="BH97" s="285"/>
      <c r="BI97" s="285"/>
      <c r="BJ97" s="285"/>
      <c r="BK97" s="285"/>
      <c r="BL97" s="285"/>
      <c r="BM97" s="285"/>
      <c r="BN97" s="285"/>
      <c r="BO97" s="285"/>
      <c r="BP97" s="285"/>
      <c r="BQ97" s="285"/>
      <c r="BR97" s="285"/>
      <c r="BS97" s="285"/>
      <c r="BT97" s="285"/>
      <c r="BU97" s="285"/>
      <c r="BV97" s="285"/>
      <c r="BW97" s="285"/>
      <c r="BX97" s="285"/>
      <c r="BY97" s="285"/>
      <c r="BZ97" s="285"/>
      <c r="CA97" s="285"/>
      <c r="CB97" s="285"/>
      <c r="CC97" s="285"/>
      <c r="CD97" s="285"/>
      <c r="CE97" s="285"/>
      <c r="CF97" s="285"/>
      <c r="CG97" s="285"/>
      <c r="CH97" s="285"/>
      <c r="CI97" s="285"/>
      <c r="CJ97" s="285"/>
      <c r="CK97" s="285"/>
      <c r="CL97" s="285"/>
      <c r="CM97" s="285"/>
      <c r="CN97" s="285"/>
      <c r="CO97" s="285"/>
      <c r="CP97" s="285"/>
      <c r="CQ97" s="285"/>
      <c r="CR97" s="285"/>
      <c r="CS97" s="285"/>
      <c r="CT97" s="285"/>
      <c r="CU97" s="285"/>
      <c r="CV97" s="285"/>
      <c r="CW97" s="285"/>
      <c r="CX97" s="285"/>
      <c r="CY97" s="285"/>
      <c r="CZ97" s="285"/>
      <c r="DA97" s="285"/>
      <c r="DB97" s="285"/>
      <c r="DC97" s="285"/>
      <c r="DD97" s="285"/>
      <c r="DE97" s="285"/>
      <c r="DF97" s="285"/>
      <c r="DG97" s="285"/>
      <c r="DH97" s="285"/>
      <c r="DI97" s="285"/>
      <c r="DJ97" s="285"/>
      <c r="DK97" s="285"/>
      <c r="DL97" s="285"/>
      <c r="DM97" s="285"/>
      <c r="DN97" s="285"/>
      <c r="DO97" s="285"/>
      <c r="DP97" s="285"/>
      <c r="DQ97" s="285"/>
      <c r="DR97" s="285"/>
      <c r="DS97" s="285"/>
      <c r="DT97" s="285"/>
      <c r="DU97" s="285"/>
      <c r="DV97" s="285"/>
      <c r="DW97" s="285"/>
      <c r="DX97" s="285"/>
      <c r="DY97" s="285"/>
      <c r="DZ97" s="285"/>
      <c r="EA97" s="285"/>
      <c r="EB97" s="285"/>
      <c r="EC97" s="285"/>
      <c r="ED97" s="285"/>
      <c r="EE97" s="285"/>
      <c r="EF97" s="285"/>
      <c r="EG97" s="285"/>
      <c r="EH97" s="285"/>
      <c r="EI97" s="285"/>
      <c r="EJ97" s="285"/>
      <c r="EK97" s="285"/>
      <c r="EL97" s="285"/>
      <c r="EM97" s="285"/>
      <c r="EN97" s="285"/>
      <c r="EO97" s="285"/>
      <c r="EP97" s="285"/>
      <c r="EQ97" s="285"/>
      <c r="ER97" s="285"/>
      <c r="ES97" s="285"/>
      <c r="ET97" s="285"/>
      <c r="EU97" s="285"/>
      <c r="EV97" s="285"/>
      <c r="EW97" s="285"/>
      <c r="EX97" s="285"/>
      <c r="EY97" s="285"/>
      <c r="EZ97" s="285"/>
      <c r="FA97" s="285"/>
      <c r="FB97" s="285"/>
      <c r="FC97" s="285"/>
      <c r="FD97" s="285"/>
      <c r="FE97" s="285"/>
      <c r="FF97" s="285"/>
      <c r="FG97" s="285"/>
      <c r="FH97" s="285"/>
      <c r="FI97" s="285"/>
      <c r="FJ97" s="285"/>
      <c r="FK97" s="285"/>
      <c r="FL97" s="285"/>
      <c r="FM97" s="285"/>
      <c r="FN97" s="285"/>
      <c r="FO97" s="285"/>
      <c r="FP97" s="285"/>
      <c r="FQ97" s="285"/>
      <c r="FR97" s="285"/>
      <c r="FS97" s="285"/>
      <c r="FT97" s="285"/>
      <c r="FU97" s="285"/>
      <c r="FV97" s="285"/>
      <c r="FW97" s="285"/>
      <c r="FX97" s="285"/>
      <c r="FY97" s="285"/>
      <c r="FZ97" s="285"/>
      <c r="GA97" s="285"/>
      <c r="GB97" s="285"/>
      <c r="GC97" s="285"/>
      <c r="GD97" s="285"/>
      <c r="GE97" s="285"/>
      <c r="GF97" s="285"/>
      <c r="GG97" s="285"/>
      <c r="GH97" s="285"/>
      <c r="GI97" s="285"/>
      <c r="GJ97" s="285"/>
      <c r="GK97" s="285"/>
      <c r="GL97" s="285"/>
      <c r="GM97" s="285"/>
      <c r="GN97" s="285"/>
      <c r="GO97" s="285"/>
      <c r="GP97" s="285"/>
      <c r="GQ97" s="285"/>
      <c r="GR97" s="285"/>
      <c r="GS97" s="285"/>
      <c r="GT97" s="285"/>
      <c r="GU97" s="285"/>
      <c r="GV97" s="285"/>
      <c r="GW97" s="285"/>
      <c r="GX97" s="285"/>
      <c r="GY97" s="285"/>
      <c r="GZ97" s="285"/>
      <c r="HA97" s="285"/>
      <c r="HB97" s="285"/>
      <c r="HC97" s="285"/>
      <c r="HD97" s="285"/>
      <c r="HE97" s="285"/>
      <c r="HF97" s="285"/>
      <c r="HG97" s="285"/>
      <c r="HH97" s="285"/>
      <c r="HI97" s="285"/>
      <c r="HJ97" s="285"/>
      <c r="HK97" s="285"/>
      <c r="HL97" s="285"/>
      <c r="HM97" s="285"/>
      <c r="HN97" s="285"/>
      <c r="HO97" s="285"/>
      <c r="HP97" s="285"/>
      <c r="HQ97" s="285"/>
      <c r="HR97" s="285"/>
      <c r="HS97" s="285"/>
      <c r="HT97" s="285"/>
      <c r="HU97" s="285"/>
      <c r="HV97" s="285"/>
      <c r="HW97" s="285"/>
      <c r="HX97" s="285"/>
      <c r="HY97" s="285"/>
      <c r="HZ97" s="285"/>
      <c r="IA97" s="285"/>
      <c r="IB97" s="285"/>
      <c r="IC97" s="285"/>
      <c r="ID97" s="285"/>
      <c r="IE97" s="285"/>
      <c r="IF97" s="285"/>
      <c r="IG97" s="285"/>
      <c r="IH97" s="285"/>
      <c r="II97" s="285"/>
      <c r="IJ97" s="285"/>
      <c r="IK97" s="285"/>
      <c r="IL97" s="285"/>
      <c r="IM97" s="285"/>
      <c r="IN97" s="285"/>
      <c r="IO97" s="285"/>
      <c r="IP97" s="285"/>
      <c r="IQ97" s="285"/>
      <c r="IR97" s="285"/>
      <c r="IS97" s="285"/>
      <c r="IT97" s="285"/>
      <c r="IU97" s="285"/>
      <c r="IV97" s="285"/>
      <c r="IW97" s="285"/>
      <c r="IX97" s="285"/>
      <c r="IY97" s="285"/>
      <c r="IZ97" s="285"/>
      <c r="JA97" s="285"/>
      <c r="JB97" s="285"/>
      <c r="JC97" s="285"/>
      <c r="JD97" s="285"/>
      <c r="JE97" s="285"/>
      <c r="JF97" s="285"/>
      <c r="JG97" s="285"/>
      <c r="JH97" s="285"/>
      <c r="JI97" s="285"/>
      <c r="JJ97" s="285"/>
      <c r="JK97" s="285"/>
      <c r="JL97" s="285"/>
      <c r="JM97" s="285"/>
      <c r="JN97" s="285"/>
      <c r="JO97" s="285"/>
      <c r="JP97" s="285"/>
      <c r="JQ97" s="285"/>
      <c r="JR97" s="285"/>
      <c r="JS97" s="285"/>
      <c r="JT97" s="285"/>
      <c r="JU97" s="285"/>
      <c r="JV97" s="285"/>
      <c r="JW97" s="285"/>
      <c r="JX97" s="285"/>
      <c r="JY97" s="285"/>
      <c r="JZ97" s="285"/>
      <c r="KA97" s="285"/>
      <c r="KB97" s="285"/>
      <c r="KC97" s="285"/>
      <c r="KD97" s="285"/>
      <c r="KE97" s="285"/>
      <c r="KF97" s="285"/>
      <c r="KG97" s="285"/>
      <c r="KH97" s="285"/>
      <c r="KI97" s="285"/>
      <c r="KJ97" s="285"/>
      <c r="KK97" s="285"/>
      <c r="KL97" s="285"/>
      <c r="KM97" s="285"/>
      <c r="KN97" s="285"/>
      <c r="KO97" s="285"/>
      <c r="KP97" s="285"/>
      <c r="KQ97" s="285"/>
      <c r="KR97" s="298"/>
      <c r="KS97" s="285"/>
      <c r="KT97" s="285"/>
      <c r="KU97" s="1308"/>
      <c r="KV97" s="288"/>
      <c r="KW97" s="288"/>
    </row>
    <row r="98" spans="1:309" s="1304" customFormat="1" ht="16.2" customHeight="1">
      <c r="A98" s="1357" t="s">
        <v>5717</v>
      </c>
      <c r="B98" s="1413" t="s">
        <v>5716</v>
      </c>
      <c r="C98" s="1358" t="s">
        <v>5718</v>
      </c>
      <c r="D98" s="906" t="s">
        <v>6925</v>
      </c>
      <c r="E98" s="1353">
        <v>5966</v>
      </c>
      <c r="F98" s="944">
        <v>0</v>
      </c>
      <c r="G98" s="75"/>
      <c r="H98" s="944" t="s">
        <v>6891</v>
      </c>
      <c r="I98" s="944"/>
      <c r="J98" s="944">
        <v>0</v>
      </c>
      <c r="K98" s="1308"/>
      <c r="L98" s="1308"/>
      <c r="M98" s="1308"/>
      <c r="N98" s="1308"/>
      <c r="O98" s="1594" t="s">
        <v>6240</v>
      </c>
      <c r="P98" s="1594"/>
      <c r="Q98" s="1594"/>
      <c r="R98" s="1308"/>
      <c r="S98" s="1308"/>
      <c r="T98" s="1308"/>
      <c r="U98" s="1308"/>
      <c r="V98" s="1308" t="s">
        <v>5294</v>
      </c>
      <c r="W98" s="1308"/>
      <c r="X98" s="1308"/>
      <c r="Y98" s="1308"/>
      <c r="Z98" s="1308"/>
      <c r="AA98" s="1308"/>
      <c r="AB98" s="285"/>
      <c r="AC98" s="285"/>
      <c r="AD98" s="285"/>
      <c r="AE98" s="285"/>
      <c r="AF98" s="285"/>
      <c r="AG98" s="285"/>
      <c r="AH98" s="285"/>
      <c r="AI98" s="285"/>
      <c r="AJ98" s="285"/>
      <c r="AK98" s="285"/>
      <c r="AL98" s="285"/>
      <c r="AM98" s="285"/>
      <c r="AN98" s="285"/>
      <c r="AO98" s="285"/>
      <c r="AP98" s="285"/>
      <c r="AQ98" s="285"/>
      <c r="AR98" s="285"/>
      <c r="AS98" s="285"/>
      <c r="AT98" s="285"/>
      <c r="AU98" s="285"/>
      <c r="AV98" s="285"/>
      <c r="AW98" s="285"/>
      <c r="AX98" s="285"/>
      <c r="AY98" s="285"/>
      <c r="AZ98" s="285"/>
      <c r="BA98" s="285"/>
      <c r="BB98" s="285"/>
      <c r="BC98" s="285"/>
      <c r="BD98" s="285"/>
      <c r="BE98" s="285"/>
      <c r="BF98" s="285"/>
      <c r="BG98" s="285"/>
      <c r="BH98" s="285"/>
      <c r="BI98" s="285"/>
      <c r="BJ98" s="285"/>
      <c r="BK98" s="285"/>
      <c r="BL98" s="285"/>
      <c r="BM98" s="285"/>
      <c r="BN98" s="285"/>
      <c r="BO98" s="285"/>
      <c r="BP98" s="285"/>
      <c r="BQ98" s="285"/>
      <c r="BR98" s="285"/>
      <c r="BS98" s="285"/>
      <c r="BT98" s="285"/>
      <c r="BU98" s="285"/>
      <c r="BV98" s="285"/>
      <c r="BW98" s="285"/>
      <c r="BX98" s="285"/>
      <c r="BY98" s="285"/>
      <c r="BZ98" s="285"/>
      <c r="CA98" s="285"/>
      <c r="CB98" s="285"/>
      <c r="CC98" s="285"/>
      <c r="CD98" s="285"/>
      <c r="CE98" s="285"/>
      <c r="CF98" s="285"/>
      <c r="CG98" s="285"/>
      <c r="CH98" s="285"/>
      <c r="CI98" s="285"/>
      <c r="CJ98" s="285"/>
      <c r="CK98" s="285"/>
      <c r="CL98" s="285"/>
      <c r="CM98" s="285"/>
      <c r="CN98" s="285"/>
      <c r="CO98" s="285"/>
      <c r="CP98" s="285"/>
      <c r="CQ98" s="285"/>
      <c r="CR98" s="285"/>
      <c r="CS98" s="285"/>
      <c r="CT98" s="285"/>
      <c r="CU98" s="285"/>
      <c r="CV98" s="285"/>
      <c r="CW98" s="285"/>
      <c r="CX98" s="285"/>
      <c r="CY98" s="285"/>
      <c r="CZ98" s="285"/>
      <c r="DA98" s="285"/>
      <c r="DB98" s="285"/>
      <c r="DC98" s="285"/>
      <c r="DD98" s="285"/>
      <c r="DE98" s="285"/>
      <c r="DF98" s="285"/>
      <c r="DG98" s="285"/>
      <c r="DH98" s="285"/>
      <c r="DI98" s="285"/>
      <c r="DJ98" s="285"/>
      <c r="DK98" s="285"/>
      <c r="DL98" s="285"/>
      <c r="DM98" s="285"/>
      <c r="DN98" s="285"/>
      <c r="DO98" s="285"/>
      <c r="DP98" s="285"/>
      <c r="DQ98" s="285"/>
      <c r="DR98" s="285"/>
      <c r="DS98" s="285"/>
      <c r="DT98" s="285"/>
      <c r="DU98" s="285"/>
      <c r="DV98" s="285"/>
      <c r="DW98" s="285"/>
      <c r="DX98" s="285"/>
      <c r="DY98" s="285"/>
      <c r="DZ98" s="285"/>
      <c r="EA98" s="285"/>
      <c r="EB98" s="285"/>
      <c r="EC98" s="285"/>
      <c r="ED98" s="285"/>
      <c r="EE98" s="285"/>
      <c r="EF98" s="285"/>
      <c r="EG98" s="285"/>
      <c r="EH98" s="285"/>
      <c r="EI98" s="285"/>
      <c r="EJ98" s="285"/>
      <c r="EK98" s="285"/>
      <c r="EL98" s="285"/>
      <c r="EM98" s="285"/>
      <c r="EN98" s="285"/>
      <c r="EO98" s="285"/>
      <c r="EP98" s="285"/>
      <c r="EQ98" s="285"/>
      <c r="ER98" s="285"/>
      <c r="ES98" s="285"/>
      <c r="ET98" s="285"/>
      <c r="EU98" s="285"/>
      <c r="EV98" s="285"/>
      <c r="EW98" s="285"/>
      <c r="EX98" s="285"/>
      <c r="EY98" s="285"/>
      <c r="EZ98" s="285"/>
      <c r="FA98" s="285"/>
      <c r="FB98" s="285"/>
      <c r="FC98" s="285"/>
      <c r="FD98" s="285"/>
      <c r="FE98" s="285"/>
      <c r="FF98" s="285"/>
      <c r="FG98" s="285"/>
      <c r="FH98" s="285"/>
      <c r="FI98" s="285"/>
      <c r="FJ98" s="285"/>
      <c r="FK98" s="285"/>
      <c r="FL98" s="285"/>
      <c r="FM98" s="285"/>
      <c r="FN98" s="285"/>
      <c r="FO98" s="285"/>
      <c r="FP98" s="285"/>
      <c r="FQ98" s="285"/>
      <c r="FR98" s="285"/>
      <c r="FS98" s="285"/>
      <c r="FT98" s="285"/>
      <c r="FU98" s="285"/>
      <c r="FV98" s="285"/>
      <c r="FW98" s="285"/>
      <c r="FX98" s="285"/>
      <c r="FY98" s="285"/>
      <c r="FZ98" s="285"/>
      <c r="GA98" s="285"/>
      <c r="GB98" s="285"/>
      <c r="GC98" s="285"/>
      <c r="GD98" s="285"/>
      <c r="GE98" s="285"/>
      <c r="GF98" s="285"/>
      <c r="GG98" s="285"/>
      <c r="GH98" s="285"/>
      <c r="GI98" s="285"/>
      <c r="GJ98" s="285"/>
      <c r="GK98" s="285"/>
      <c r="GL98" s="285"/>
      <c r="GM98" s="285"/>
      <c r="GN98" s="285"/>
      <c r="GO98" s="285"/>
      <c r="GP98" s="285"/>
      <c r="GQ98" s="285"/>
      <c r="GR98" s="285"/>
      <c r="GS98" s="285"/>
      <c r="GT98" s="285"/>
      <c r="GU98" s="285"/>
      <c r="GV98" s="285"/>
      <c r="GW98" s="285"/>
      <c r="GX98" s="285"/>
      <c r="GY98" s="285"/>
      <c r="GZ98" s="285"/>
      <c r="HA98" s="285"/>
      <c r="HB98" s="285"/>
      <c r="HC98" s="285"/>
      <c r="HD98" s="285"/>
      <c r="HE98" s="285"/>
      <c r="HF98" s="285"/>
      <c r="HG98" s="285"/>
      <c r="HH98" s="285"/>
      <c r="HI98" s="285"/>
      <c r="HJ98" s="285"/>
      <c r="HK98" s="285"/>
      <c r="HL98" s="285"/>
      <c r="HM98" s="285"/>
      <c r="HN98" s="285"/>
      <c r="HO98" s="285"/>
      <c r="HP98" s="285"/>
      <c r="HQ98" s="285"/>
      <c r="HR98" s="285"/>
      <c r="HS98" s="285"/>
      <c r="HT98" s="285"/>
      <c r="HU98" s="285"/>
      <c r="HV98" s="285"/>
      <c r="HW98" s="285"/>
      <c r="HX98" s="285"/>
      <c r="HY98" s="285"/>
      <c r="HZ98" s="285"/>
      <c r="IA98" s="285"/>
      <c r="IB98" s="285"/>
      <c r="IC98" s="285"/>
      <c r="ID98" s="285"/>
      <c r="IE98" s="285"/>
      <c r="IF98" s="285"/>
      <c r="IG98" s="285"/>
      <c r="IH98" s="285"/>
      <c r="II98" s="285"/>
      <c r="IJ98" s="285"/>
      <c r="IK98" s="285"/>
      <c r="IL98" s="285"/>
      <c r="IM98" s="285"/>
      <c r="IN98" s="285"/>
      <c r="IO98" s="285"/>
      <c r="IP98" s="285"/>
      <c r="IQ98" s="285"/>
      <c r="IR98" s="285"/>
      <c r="IS98" s="285"/>
      <c r="IT98" s="285"/>
      <c r="IU98" s="285"/>
      <c r="IV98" s="285"/>
      <c r="IW98" s="285"/>
      <c r="IX98" s="285"/>
      <c r="IY98" s="285"/>
      <c r="IZ98" s="285"/>
      <c r="JA98" s="285"/>
      <c r="JB98" s="285"/>
      <c r="JC98" s="285"/>
      <c r="JD98" s="285"/>
      <c r="JE98" s="285"/>
      <c r="JF98" s="285"/>
      <c r="JG98" s="285"/>
      <c r="JH98" s="285"/>
      <c r="JI98" s="285"/>
      <c r="JJ98" s="285"/>
      <c r="JK98" s="285"/>
      <c r="JL98" s="285"/>
      <c r="JM98" s="285"/>
      <c r="JN98" s="285"/>
      <c r="JO98" s="285"/>
      <c r="JP98" s="285"/>
      <c r="JQ98" s="285"/>
      <c r="JR98" s="285"/>
      <c r="JS98" s="285"/>
      <c r="JT98" s="285"/>
      <c r="JU98" s="285"/>
      <c r="JV98" s="285"/>
      <c r="JW98" s="285"/>
      <c r="JX98" s="285"/>
      <c r="JY98" s="285"/>
      <c r="JZ98" s="285"/>
      <c r="KA98" s="285"/>
      <c r="KB98" s="285"/>
      <c r="KC98" s="285"/>
      <c r="KD98" s="285"/>
      <c r="KE98" s="285"/>
      <c r="KF98" s="285"/>
      <c r="KG98" s="285"/>
      <c r="KH98" s="285"/>
      <c r="KI98" s="285"/>
      <c r="KJ98" s="285"/>
      <c r="KK98" s="285"/>
      <c r="KL98" s="285"/>
      <c r="KM98" s="285"/>
      <c r="KN98" s="285"/>
      <c r="KO98" s="285"/>
      <c r="KP98" s="285"/>
      <c r="KQ98" s="285"/>
      <c r="KR98" s="298"/>
      <c r="KS98" s="285"/>
      <c r="KT98" s="285"/>
      <c r="KU98" s="1308"/>
      <c r="KV98" s="288"/>
      <c r="KW98" s="288"/>
    </row>
    <row r="99" spans="1:309" s="1304" customFormat="1" ht="16.2" customHeight="1">
      <c r="A99" s="1357" t="s">
        <v>5729</v>
      </c>
      <c r="B99" s="1685" t="s">
        <v>5728</v>
      </c>
      <c r="C99" s="1358" t="s">
        <v>5730</v>
      </c>
      <c r="D99" s="906" t="s">
        <v>6926</v>
      </c>
      <c r="E99" s="1372" t="s">
        <v>5763</v>
      </c>
      <c r="F99" s="74">
        <v>0</v>
      </c>
      <c r="G99" s="75"/>
      <c r="H99" s="944" t="s">
        <v>6891</v>
      </c>
      <c r="I99" s="944"/>
      <c r="J99" s="944">
        <v>0</v>
      </c>
      <c r="K99" s="1308"/>
      <c r="L99" s="1308"/>
      <c r="M99" s="1308"/>
      <c r="N99" s="1308"/>
      <c r="O99" s="1390" t="s">
        <v>5900</v>
      </c>
      <c r="P99" s="1390"/>
      <c r="Q99" s="1390"/>
      <c r="R99" s="1308" t="s">
        <v>5901</v>
      </c>
      <c r="S99" s="1308"/>
      <c r="T99" s="1308"/>
      <c r="U99" s="1308"/>
      <c r="V99" s="1308" t="s">
        <v>5294</v>
      </c>
      <c r="W99" s="1308"/>
      <c r="X99" s="1398" t="s">
        <v>5932</v>
      </c>
      <c r="Y99" s="1308"/>
      <c r="Z99" s="1308"/>
      <c r="AA99" s="1398" t="s">
        <v>5932</v>
      </c>
      <c r="AB99" s="285"/>
      <c r="AC99" s="285"/>
      <c r="AD99" s="285"/>
      <c r="AE99" s="285"/>
      <c r="AF99" s="285"/>
      <c r="AG99" s="285"/>
      <c r="AH99" s="285"/>
      <c r="AI99" s="285"/>
      <c r="AJ99" s="285"/>
      <c r="AK99" s="285"/>
      <c r="AL99" s="285"/>
      <c r="AM99" s="285"/>
      <c r="AN99" s="285"/>
      <c r="AO99" s="285"/>
      <c r="AP99" s="285"/>
      <c r="AQ99" s="285"/>
      <c r="AR99" s="285"/>
      <c r="AS99" s="285"/>
      <c r="AT99" s="285"/>
      <c r="AU99" s="285"/>
      <c r="AV99" s="285"/>
      <c r="AW99" s="285"/>
      <c r="AX99" s="285"/>
      <c r="AY99" s="285"/>
      <c r="AZ99" s="285"/>
      <c r="BA99" s="285"/>
      <c r="BB99" s="285"/>
      <c r="BC99" s="285"/>
      <c r="BD99" s="285"/>
      <c r="BE99" s="285"/>
      <c r="BF99" s="285"/>
      <c r="BG99" s="285"/>
      <c r="BH99" s="285"/>
      <c r="BI99" s="285"/>
      <c r="BJ99" s="285"/>
      <c r="BK99" s="285"/>
      <c r="BL99" s="285"/>
      <c r="BM99" s="285"/>
      <c r="BN99" s="285"/>
      <c r="BO99" s="285"/>
      <c r="BP99" s="285"/>
      <c r="BQ99" s="285"/>
      <c r="BR99" s="285"/>
      <c r="BS99" s="285"/>
      <c r="BT99" s="285"/>
      <c r="BU99" s="285"/>
      <c r="BV99" s="285"/>
      <c r="BW99" s="285"/>
      <c r="BX99" s="285"/>
      <c r="BY99" s="285"/>
      <c r="BZ99" s="285"/>
      <c r="CA99" s="285"/>
      <c r="CB99" s="285"/>
      <c r="CC99" s="285"/>
      <c r="CD99" s="285"/>
      <c r="CE99" s="285"/>
      <c r="CF99" s="285"/>
      <c r="CG99" s="285"/>
      <c r="CH99" s="285"/>
      <c r="CI99" s="285"/>
      <c r="CJ99" s="285"/>
      <c r="CK99" s="285"/>
      <c r="CL99" s="285"/>
      <c r="CM99" s="285"/>
      <c r="CN99" s="285"/>
      <c r="CO99" s="285"/>
      <c r="CP99" s="285"/>
      <c r="CQ99" s="285"/>
      <c r="CR99" s="285"/>
      <c r="CS99" s="285"/>
      <c r="CT99" s="285"/>
      <c r="CU99" s="285"/>
      <c r="CV99" s="285"/>
      <c r="CW99" s="285"/>
      <c r="CX99" s="285"/>
      <c r="CY99" s="285"/>
      <c r="CZ99" s="285"/>
      <c r="DA99" s="285"/>
      <c r="DB99" s="285"/>
      <c r="DC99" s="285"/>
      <c r="DD99" s="285"/>
      <c r="DE99" s="285"/>
      <c r="DF99" s="285"/>
      <c r="DG99" s="285"/>
      <c r="DH99" s="285"/>
      <c r="DI99" s="285"/>
      <c r="DJ99" s="285"/>
      <c r="DK99" s="285"/>
      <c r="DL99" s="285"/>
      <c r="DM99" s="285"/>
      <c r="DN99" s="285"/>
      <c r="DO99" s="285"/>
      <c r="DP99" s="285"/>
      <c r="DQ99" s="285"/>
      <c r="DR99" s="285"/>
      <c r="DS99" s="285"/>
      <c r="DT99" s="285"/>
      <c r="DU99" s="285"/>
      <c r="DV99" s="285"/>
      <c r="DW99" s="285"/>
      <c r="DX99" s="285"/>
      <c r="DY99" s="285"/>
      <c r="DZ99" s="285"/>
      <c r="EA99" s="285"/>
      <c r="EB99" s="285"/>
      <c r="EC99" s="285"/>
      <c r="ED99" s="285"/>
      <c r="EE99" s="285"/>
      <c r="EF99" s="285"/>
      <c r="EG99" s="285"/>
      <c r="EH99" s="285"/>
      <c r="EI99" s="285"/>
      <c r="EJ99" s="285"/>
      <c r="EK99" s="285"/>
      <c r="EL99" s="285"/>
      <c r="EM99" s="285"/>
      <c r="EN99" s="285"/>
      <c r="EO99" s="285"/>
      <c r="EP99" s="285"/>
      <c r="EQ99" s="285"/>
      <c r="ER99" s="285"/>
      <c r="ES99" s="285"/>
      <c r="ET99" s="285"/>
      <c r="EU99" s="285"/>
      <c r="EV99" s="285"/>
      <c r="EW99" s="285"/>
      <c r="EX99" s="285"/>
      <c r="EY99" s="285"/>
      <c r="EZ99" s="285"/>
      <c r="FA99" s="285"/>
      <c r="FB99" s="285"/>
      <c r="FC99" s="285"/>
      <c r="FD99" s="285"/>
      <c r="FE99" s="285"/>
      <c r="FF99" s="285"/>
      <c r="FG99" s="285"/>
      <c r="FH99" s="285"/>
      <c r="FI99" s="285"/>
      <c r="FJ99" s="285"/>
      <c r="FK99" s="285"/>
      <c r="FL99" s="285"/>
      <c r="FM99" s="285"/>
      <c r="FN99" s="285"/>
      <c r="FO99" s="285"/>
      <c r="FP99" s="285"/>
      <c r="FQ99" s="285"/>
      <c r="FR99" s="285"/>
      <c r="FS99" s="285"/>
      <c r="FT99" s="285"/>
      <c r="FU99" s="285"/>
      <c r="FV99" s="285"/>
      <c r="FW99" s="285"/>
      <c r="FX99" s="285"/>
      <c r="FY99" s="285"/>
      <c r="FZ99" s="285"/>
      <c r="GA99" s="285"/>
      <c r="GB99" s="285"/>
      <c r="GC99" s="285"/>
      <c r="GD99" s="285"/>
      <c r="GE99" s="285"/>
      <c r="GF99" s="285"/>
      <c r="GG99" s="285"/>
      <c r="GH99" s="285"/>
      <c r="GI99" s="285"/>
      <c r="GJ99" s="285"/>
      <c r="GK99" s="285"/>
      <c r="GL99" s="285"/>
      <c r="GM99" s="285"/>
      <c r="GN99" s="285"/>
      <c r="GO99" s="285"/>
      <c r="GP99" s="285"/>
      <c r="GQ99" s="285"/>
      <c r="GR99" s="285"/>
      <c r="GS99" s="285"/>
      <c r="GT99" s="285"/>
      <c r="GU99" s="285"/>
      <c r="GV99" s="285"/>
      <c r="GW99" s="285"/>
      <c r="GX99" s="285"/>
      <c r="GY99" s="285"/>
      <c r="GZ99" s="285"/>
      <c r="HA99" s="285"/>
      <c r="HB99" s="285"/>
      <c r="HC99" s="285"/>
      <c r="HD99" s="285"/>
      <c r="HE99" s="285"/>
      <c r="HF99" s="285"/>
      <c r="HG99" s="285"/>
      <c r="HH99" s="285"/>
      <c r="HI99" s="285"/>
      <c r="HJ99" s="285"/>
      <c r="HK99" s="285"/>
      <c r="HL99" s="285"/>
      <c r="HM99" s="285"/>
      <c r="HN99" s="285"/>
      <c r="HO99" s="285"/>
      <c r="HP99" s="285"/>
      <c r="HQ99" s="285"/>
      <c r="HR99" s="285"/>
      <c r="HS99" s="285"/>
      <c r="HT99" s="285"/>
      <c r="HU99" s="285"/>
      <c r="HV99" s="285"/>
      <c r="HW99" s="285"/>
      <c r="HX99" s="285"/>
      <c r="HY99" s="285"/>
      <c r="HZ99" s="285"/>
      <c r="IA99" s="285"/>
      <c r="IB99" s="285"/>
      <c r="IC99" s="285"/>
      <c r="ID99" s="285"/>
      <c r="IE99" s="285"/>
      <c r="IF99" s="285"/>
      <c r="IG99" s="285"/>
      <c r="IH99" s="285"/>
      <c r="II99" s="285"/>
      <c r="IJ99" s="285"/>
      <c r="IK99" s="285"/>
      <c r="IL99" s="285"/>
      <c r="IM99" s="285"/>
      <c r="IN99" s="285"/>
      <c r="IO99" s="285"/>
      <c r="IP99" s="285"/>
      <c r="IQ99" s="285"/>
      <c r="IR99" s="285"/>
      <c r="IS99" s="285"/>
      <c r="IT99" s="285"/>
      <c r="IU99" s="285"/>
      <c r="IV99" s="285"/>
      <c r="IW99" s="285"/>
      <c r="IX99" s="285"/>
      <c r="IY99" s="285"/>
      <c r="IZ99" s="285"/>
      <c r="JA99" s="285"/>
      <c r="JB99" s="285"/>
      <c r="JC99" s="285"/>
      <c r="JD99" s="285"/>
      <c r="JE99" s="285"/>
      <c r="JF99" s="285"/>
      <c r="JG99" s="285"/>
      <c r="JH99" s="285"/>
      <c r="JI99" s="285"/>
      <c r="JJ99" s="285"/>
      <c r="JK99" s="285"/>
      <c r="JL99" s="285"/>
      <c r="JM99" s="285"/>
      <c r="JN99" s="285"/>
      <c r="JO99" s="285"/>
      <c r="JP99" s="285"/>
      <c r="JQ99" s="285"/>
      <c r="JR99" s="285"/>
      <c r="JS99" s="285"/>
      <c r="JT99" s="285"/>
      <c r="JU99" s="285"/>
      <c r="JV99" s="285"/>
      <c r="JW99" s="285"/>
      <c r="JX99" s="285"/>
      <c r="JY99" s="285"/>
      <c r="JZ99" s="285"/>
      <c r="KA99" s="285"/>
      <c r="KB99" s="285"/>
      <c r="KC99" s="285"/>
      <c r="KD99" s="285"/>
      <c r="KE99" s="285"/>
      <c r="KF99" s="285"/>
      <c r="KG99" s="285"/>
      <c r="KH99" s="285"/>
      <c r="KI99" s="285"/>
      <c r="KJ99" s="285"/>
      <c r="KK99" s="285"/>
      <c r="KL99" s="285"/>
      <c r="KM99" s="285"/>
      <c r="KN99" s="285"/>
      <c r="KO99" s="285"/>
      <c r="KP99" s="285"/>
      <c r="KQ99" s="285"/>
      <c r="KR99" s="298"/>
      <c r="KS99" s="285"/>
      <c r="KT99" s="285"/>
      <c r="KU99" s="1308"/>
      <c r="KV99" s="288"/>
      <c r="KW99" s="288"/>
    </row>
    <row r="100" spans="1:309" s="1304" customFormat="1" ht="16.2" customHeight="1">
      <c r="A100" s="1369" t="s">
        <v>5745</v>
      </c>
      <c r="B100" s="1592" t="s">
        <v>5756</v>
      </c>
      <c r="C100" s="1358">
        <v>311453009</v>
      </c>
      <c r="D100" s="906" t="s">
        <v>6926</v>
      </c>
      <c r="E100" s="1430" t="s">
        <v>5826</v>
      </c>
      <c r="F100" s="74"/>
      <c r="G100" s="75"/>
      <c r="H100" s="1662" t="s">
        <v>6806</v>
      </c>
      <c r="I100" s="1662"/>
      <c r="J100" s="1570">
        <v>0</v>
      </c>
      <c r="K100" s="1902"/>
      <c r="L100" s="1902"/>
      <c r="M100" s="1902"/>
      <c r="N100" s="1902"/>
      <c r="O100" s="1594" t="s">
        <v>5902</v>
      </c>
      <c r="P100" s="1594"/>
      <c r="Q100" s="1594"/>
      <c r="R100" s="1308" t="s">
        <v>5924</v>
      </c>
      <c r="S100" s="1308"/>
      <c r="T100" s="1308"/>
      <c r="U100" s="1308"/>
      <c r="V100" s="1308" t="s">
        <v>5263</v>
      </c>
      <c r="W100" s="1308"/>
      <c r="X100" s="1308"/>
      <c r="Y100" s="1308"/>
      <c r="Z100" s="1308"/>
      <c r="AA100" s="1308"/>
      <c r="AB100" s="285"/>
      <c r="AC100" s="285"/>
      <c r="AD100" s="285"/>
      <c r="AE100" s="285"/>
      <c r="AF100" s="285"/>
      <c r="AG100" s="285"/>
      <c r="AH100" s="285"/>
      <c r="AI100" s="285"/>
      <c r="AJ100" s="285"/>
      <c r="AK100" s="285"/>
      <c r="AL100" s="285"/>
      <c r="AM100" s="285"/>
      <c r="AN100" s="285"/>
      <c r="AO100" s="285"/>
      <c r="AP100" s="285"/>
      <c r="AQ100" s="285"/>
      <c r="AR100" s="285"/>
      <c r="AS100" s="285"/>
      <c r="AT100" s="285"/>
      <c r="AU100" s="285"/>
      <c r="AV100" s="285"/>
      <c r="AW100" s="285"/>
      <c r="AX100" s="285"/>
      <c r="AY100" s="285"/>
      <c r="AZ100" s="285"/>
      <c r="BA100" s="285"/>
      <c r="BB100" s="285"/>
      <c r="BC100" s="285"/>
      <c r="BD100" s="285"/>
      <c r="BE100" s="285"/>
      <c r="BF100" s="285"/>
      <c r="BG100" s="285"/>
      <c r="BH100" s="285"/>
      <c r="BI100" s="285"/>
      <c r="BJ100" s="285"/>
      <c r="BK100" s="285"/>
      <c r="BL100" s="285"/>
      <c r="BM100" s="285"/>
      <c r="BN100" s="285"/>
      <c r="BO100" s="285"/>
      <c r="BP100" s="285"/>
      <c r="BQ100" s="285"/>
      <c r="BR100" s="285"/>
      <c r="BS100" s="285"/>
      <c r="BT100" s="285"/>
      <c r="BU100" s="285"/>
      <c r="BV100" s="285"/>
      <c r="BW100" s="285"/>
      <c r="BX100" s="285"/>
      <c r="BY100" s="285"/>
      <c r="BZ100" s="285"/>
      <c r="CA100" s="285"/>
      <c r="CB100" s="285"/>
      <c r="CC100" s="285"/>
      <c r="CD100" s="285"/>
      <c r="CE100" s="285"/>
      <c r="CF100" s="285"/>
      <c r="CG100" s="285"/>
      <c r="CH100" s="285"/>
      <c r="CI100" s="285"/>
      <c r="CJ100" s="285"/>
      <c r="CK100" s="285"/>
      <c r="CL100" s="285"/>
      <c r="CM100" s="285"/>
      <c r="CN100" s="285"/>
      <c r="CO100" s="285"/>
      <c r="CP100" s="285"/>
      <c r="CQ100" s="285"/>
      <c r="CR100" s="285"/>
      <c r="CS100" s="285"/>
      <c r="CT100" s="285"/>
      <c r="CU100" s="285"/>
      <c r="CV100" s="285"/>
      <c r="CW100" s="285"/>
      <c r="CX100" s="285"/>
      <c r="CY100" s="285"/>
      <c r="CZ100" s="285"/>
      <c r="DA100" s="285"/>
      <c r="DB100" s="285"/>
      <c r="DC100" s="285"/>
      <c r="DD100" s="285"/>
      <c r="DE100" s="285"/>
      <c r="DF100" s="285"/>
      <c r="DG100" s="285"/>
      <c r="DH100" s="285"/>
      <c r="DI100" s="285"/>
      <c r="DJ100" s="285"/>
      <c r="DK100" s="285"/>
      <c r="DL100" s="285"/>
      <c r="DM100" s="285"/>
      <c r="DN100" s="285"/>
      <c r="DO100" s="285"/>
      <c r="DP100" s="285"/>
      <c r="DQ100" s="285"/>
      <c r="DR100" s="285"/>
      <c r="DS100" s="285"/>
      <c r="DT100" s="285"/>
      <c r="DU100" s="285"/>
      <c r="DV100" s="285"/>
      <c r="DW100" s="285"/>
      <c r="DX100" s="285"/>
      <c r="DY100" s="285"/>
      <c r="DZ100" s="285"/>
      <c r="EA100" s="285"/>
      <c r="EB100" s="285"/>
      <c r="EC100" s="285"/>
      <c r="ED100" s="285"/>
      <c r="EE100" s="285"/>
      <c r="EF100" s="285"/>
      <c r="EG100" s="285"/>
      <c r="EH100" s="285"/>
      <c r="EI100" s="285"/>
      <c r="EJ100" s="285"/>
      <c r="EK100" s="285"/>
      <c r="EL100" s="285"/>
      <c r="EM100" s="285"/>
      <c r="EN100" s="285"/>
      <c r="EO100" s="285"/>
      <c r="EP100" s="285"/>
      <c r="EQ100" s="285"/>
      <c r="ER100" s="285"/>
      <c r="ES100" s="285"/>
      <c r="ET100" s="285"/>
      <c r="EU100" s="285"/>
      <c r="EV100" s="285"/>
      <c r="EW100" s="285"/>
      <c r="EX100" s="285"/>
      <c r="EY100" s="285"/>
      <c r="EZ100" s="285"/>
      <c r="FA100" s="285"/>
      <c r="FB100" s="285"/>
      <c r="FC100" s="285"/>
      <c r="FD100" s="285"/>
      <c r="FE100" s="285"/>
      <c r="FF100" s="285"/>
      <c r="FG100" s="285"/>
      <c r="FH100" s="285"/>
      <c r="FI100" s="285"/>
      <c r="FJ100" s="285"/>
      <c r="FK100" s="285"/>
      <c r="FL100" s="285"/>
      <c r="FM100" s="285"/>
      <c r="FN100" s="285"/>
      <c r="FO100" s="285"/>
      <c r="FP100" s="285"/>
      <c r="FQ100" s="285"/>
      <c r="FR100" s="285"/>
      <c r="FS100" s="285"/>
      <c r="FT100" s="285"/>
      <c r="FU100" s="285"/>
      <c r="FV100" s="285"/>
      <c r="FW100" s="285"/>
      <c r="FX100" s="285"/>
      <c r="FY100" s="285"/>
      <c r="FZ100" s="285"/>
      <c r="GA100" s="285"/>
      <c r="GB100" s="285"/>
      <c r="GC100" s="285"/>
      <c r="GD100" s="285"/>
      <c r="GE100" s="285"/>
      <c r="GF100" s="285"/>
      <c r="GG100" s="285"/>
      <c r="GH100" s="285"/>
      <c r="GI100" s="285"/>
      <c r="GJ100" s="285"/>
      <c r="GK100" s="285"/>
      <c r="GL100" s="285"/>
      <c r="GM100" s="285"/>
      <c r="GN100" s="285"/>
      <c r="GO100" s="285"/>
      <c r="GP100" s="285"/>
      <c r="GQ100" s="285"/>
      <c r="GR100" s="285"/>
      <c r="GS100" s="285"/>
      <c r="GT100" s="285"/>
      <c r="GU100" s="285"/>
      <c r="GV100" s="285"/>
      <c r="GW100" s="285"/>
      <c r="GX100" s="285"/>
      <c r="GY100" s="285"/>
      <c r="GZ100" s="285"/>
      <c r="HA100" s="285"/>
      <c r="HB100" s="285"/>
      <c r="HC100" s="285"/>
      <c r="HD100" s="285"/>
      <c r="HE100" s="285"/>
      <c r="HF100" s="285"/>
      <c r="HG100" s="285"/>
      <c r="HH100" s="285"/>
      <c r="HI100" s="285"/>
      <c r="HJ100" s="285"/>
      <c r="HK100" s="285"/>
      <c r="HL100" s="285"/>
      <c r="HM100" s="285"/>
      <c r="HN100" s="285"/>
      <c r="HO100" s="285"/>
      <c r="HP100" s="285"/>
      <c r="HQ100" s="285"/>
      <c r="HR100" s="285"/>
      <c r="HS100" s="285"/>
      <c r="HT100" s="285"/>
      <c r="HU100" s="285"/>
      <c r="HV100" s="285"/>
      <c r="HW100" s="285"/>
      <c r="HX100" s="285"/>
      <c r="HY100" s="285"/>
      <c r="HZ100" s="285"/>
      <c r="IA100" s="285"/>
      <c r="IB100" s="285"/>
      <c r="IC100" s="285"/>
      <c r="ID100" s="285"/>
      <c r="IE100" s="285"/>
      <c r="IF100" s="285"/>
      <c r="IG100" s="285"/>
      <c r="IH100" s="285"/>
      <c r="II100" s="285"/>
      <c r="IJ100" s="285"/>
      <c r="IK100" s="285"/>
      <c r="IL100" s="285"/>
      <c r="IM100" s="285"/>
      <c r="IN100" s="285"/>
      <c r="IO100" s="285"/>
      <c r="IP100" s="285"/>
      <c r="IQ100" s="285"/>
      <c r="IR100" s="285"/>
      <c r="IS100" s="285"/>
      <c r="IT100" s="285"/>
      <c r="IU100" s="285"/>
      <c r="IV100" s="285"/>
      <c r="IW100" s="285"/>
      <c r="IX100" s="285"/>
      <c r="IY100" s="285"/>
      <c r="IZ100" s="285"/>
      <c r="JA100" s="285"/>
      <c r="JB100" s="285"/>
      <c r="JC100" s="285"/>
      <c r="JD100" s="285"/>
      <c r="JE100" s="285"/>
      <c r="JF100" s="285"/>
      <c r="JG100" s="285"/>
      <c r="JH100" s="285"/>
      <c r="JI100" s="285"/>
      <c r="JJ100" s="285"/>
      <c r="JK100" s="285"/>
      <c r="JL100" s="285"/>
      <c r="JM100" s="285"/>
      <c r="JN100" s="285"/>
      <c r="JO100" s="285"/>
      <c r="JP100" s="285"/>
      <c r="JQ100" s="285"/>
      <c r="JR100" s="285"/>
      <c r="JS100" s="285"/>
      <c r="JT100" s="285"/>
      <c r="JU100" s="285"/>
      <c r="JV100" s="285"/>
      <c r="JW100" s="285"/>
      <c r="JX100" s="285"/>
      <c r="JY100" s="285"/>
      <c r="JZ100" s="285"/>
      <c r="KA100" s="285"/>
      <c r="KB100" s="285"/>
      <c r="KC100" s="285"/>
      <c r="KD100" s="285"/>
      <c r="KE100" s="285"/>
      <c r="KF100" s="285"/>
      <c r="KG100" s="285"/>
      <c r="KH100" s="285"/>
      <c r="KI100" s="285"/>
      <c r="KJ100" s="285"/>
      <c r="KK100" s="285"/>
      <c r="KL100" s="285"/>
      <c r="KM100" s="285"/>
      <c r="KN100" s="285"/>
      <c r="KO100" s="285"/>
      <c r="KP100" s="285"/>
      <c r="KQ100" s="285"/>
      <c r="KR100" s="298"/>
      <c r="KS100" s="285"/>
      <c r="KT100" s="285"/>
      <c r="KU100" s="1308"/>
      <c r="KV100" s="288"/>
      <c r="KW100" s="288"/>
    </row>
    <row r="101" spans="1:309" s="1304" customFormat="1" ht="16.2" customHeight="1">
      <c r="A101" s="1369" t="s">
        <v>5818</v>
      </c>
      <c r="B101" s="1592" t="s">
        <v>5919</v>
      </c>
      <c r="C101" s="1358">
        <v>311466743</v>
      </c>
      <c r="D101" s="906" t="s">
        <v>6926</v>
      </c>
      <c r="E101" s="1431" t="s">
        <v>5854</v>
      </c>
      <c r="F101" s="944">
        <v>0</v>
      </c>
      <c r="G101" s="75"/>
      <c r="H101" s="1662" t="s">
        <v>6806</v>
      </c>
      <c r="I101" s="1662"/>
      <c r="J101" s="1570">
        <v>0</v>
      </c>
      <c r="K101" s="1902"/>
      <c r="L101" s="1902"/>
      <c r="M101" s="1902"/>
      <c r="N101" s="1902"/>
      <c r="O101" s="659">
        <v>71061980</v>
      </c>
      <c r="P101" s="659"/>
      <c r="Q101" s="659"/>
      <c r="R101" s="1308"/>
      <c r="S101" s="1308"/>
      <c r="T101" s="1308"/>
      <c r="U101" s="1308"/>
      <c r="V101" s="1308"/>
      <c r="W101" s="1308"/>
      <c r="X101" s="1308"/>
      <c r="Y101" s="1308"/>
      <c r="Z101" s="1308"/>
      <c r="AA101" s="1308"/>
      <c r="AB101" s="285"/>
      <c r="AC101" s="285"/>
      <c r="AD101" s="285"/>
      <c r="AE101" s="285"/>
      <c r="AF101" s="285"/>
      <c r="AG101" s="285"/>
      <c r="AH101" s="285"/>
      <c r="AI101" s="285"/>
      <c r="AJ101" s="285"/>
      <c r="AK101" s="285"/>
      <c r="AL101" s="285"/>
      <c r="AM101" s="285"/>
      <c r="AN101" s="285"/>
      <c r="AO101" s="285"/>
      <c r="AP101" s="285"/>
      <c r="AQ101" s="285"/>
      <c r="AR101" s="285"/>
      <c r="AS101" s="285"/>
      <c r="AT101" s="285"/>
      <c r="AU101" s="285"/>
      <c r="AV101" s="285"/>
      <c r="AW101" s="285"/>
      <c r="AX101" s="285"/>
      <c r="AY101" s="285"/>
      <c r="AZ101" s="285"/>
      <c r="BA101" s="285"/>
      <c r="BB101" s="285"/>
      <c r="BC101" s="285"/>
      <c r="BD101" s="285"/>
      <c r="BE101" s="285"/>
      <c r="BF101" s="285"/>
      <c r="BG101" s="285"/>
      <c r="BH101" s="285"/>
      <c r="BI101" s="285"/>
      <c r="BJ101" s="285"/>
      <c r="BK101" s="285"/>
      <c r="BL101" s="285"/>
      <c r="BM101" s="285"/>
      <c r="BN101" s="285"/>
      <c r="BO101" s="285"/>
      <c r="BP101" s="285"/>
      <c r="BQ101" s="285"/>
      <c r="BR101" s="285"/>
      <c r="BS101" s="285"/>
      <c r="BT101" s="285"/>
      <c r="BU101" s="285"/>
      <c r="BV101" s="285"/>
      <c r="BW101" s="285"/>
      <c r="BX101" s="285"/>
      <c r="BY101" s="285"/>
      <c r="BZ101" s="285"/>
      <c r="CA101" s="285"/>
      <c r="CB101" s="285"/>
      <c r="CC101" s="285"/>
      <c r="CD101" s="285"/>
      <c r="CE101" s="285"/>
      <c r="CF101" s="285"/>
      <c r="CG101" s="285"/>
      <c r="CH101" s="285"/>
      <c r="CI101" s="285"/>
      <c r="CJ101" s="285"/>
      <c r="CK101" s="285"/>
      <c r="CL101" s="285"/>
      <c r="CM101" s="285"/>
      <c r="CN101" s="285"/>
      <c r="CO101" s="285"/>
      <c r="CP101" s="285"/>
      <c r="CQ101" s="285"/>
      <c r="CR101" s="285"/>
      <c r="CS101" s="285"/>
      <c r="CT101" s="285"/>
      <c r="CU101" s="285"/>
      <c r="CV101" s="285"/>
      <c r="CW101" s="285"/>
      <c r="CX101" s="285"/>
      <c r="CY101" s="285"/>
      <c r="CZ101" s="285"/>
      <c r="DA101" s="285"/>
      <c r="DB101" s="285"/>
      <c r="DC101" s="285"/>
      <c r="DD101" s="285"/>
      <c r="DE101" s="285"/>
      <c r="DF101" s="285"/>
      <c r="DG101" s="285"/>
      <c r="DH101" s="285"/>
      <c r="DI101" s="285"/>
      <c r="DJ101" s="285"/>
      <c r="DK101" s="285"/>
      <c r="DL101" s="285"/>
      <c r="DM101" s="285"/>
      <c r="DN101" s="285"/>
      <c r="DO101" s="285"/>
      <c r="DP101" s="285"/>
      <c r="DQ101" s="285"/>
      <c r="DR101" s="285"/>
      <c r="DS101" s="285"/>
      <c r="DT101" s="285"/>
      <c r="DU101" s="285"/>
      <c r="DV101" s="285"/>
      <c r="DW101" s="285"/>
      <c r="DX101" s="285"/>
      <c r="DY101" s="285"/>
      <c r="DZ101" s="285"/>
      <c r="EA101" s="285"/>
      <c r="EB101" s="285"/>
      <c r="EC101" s="285"/>
      <c r="ED101" s="285"/>
      <c r="EE101" s="285"/>
      <c r="EF101" s="285"/>
      <c r="EG101" s="285"/>
      <c r="EH101" s="285"/>
      <c r="EI101" s="285"/>
      <c r="EJ101" s="285"/>
      <c r="EK101" s="285"/>
      <c r="EL101" s="285"/>
      <c r="EM101" s="285"/>
      <c r="EN101" s="285"/>
      <c r="EO101" s="285"/>
      <c r="EP101" s="285"/>
      <c r="EQ101" s="285"/>
      <c r="ER101" s="285"/>
      <c r="ES101" s="285"/>
      <c r="ET101" s="285"/>
      <c r="EU101" s="285"/>
      <c r="EV101" s="285"/>
      <c r="EW101" s="285"/>
      <c r="EX101" s="285"/>
      <c r="EY101" s="285"/>
      <c r="EZ101" s="285"/>
      <c r="FA101" s="285"/>
      <c r="FB101" s="285"/>
      <c r="FC101" s="285"/>
      <c r="FD101" s="285"/>
      <c r="FE101" s="285"/>
      <c r="FF101" s="285"/>
      <c r="FG101" s="285"/>
      <c r="FH101" s="285"/>
      <c r="FI101" s="285"/>
      <c r="FJ101" s="285"/>
      <c r="FK101" s="285"/>
      <c r="FL101" s="285"/>
      <c r="FM101" s="285"/>
      <c r="FN101" s="285"/>
      <c r="FO101" s="285"/>
      <c r="FP101" s="285"/>
      <c r="FQ101" s="285"/>
      <c r="FR101" s="285"/>
      <c r="FS101" s="285"/>
      <c r="FT101" s="285"/>
      <c r="FU101" s="285"/>
      <c r="FV101" s="285"/>
      <c r="FW101" s="285"/>
      <c r="FX101" s="285"/>
      <c r="FY101" s="285"/>
      <c r="FZ101" s="285"/>
      <c r="GA101" s="285"/>
      <c r="GB101" s="285"/>
      <c r="GC101" s="285"/>
      <c r="GD101" s="285"/>
      <c r="GE101" s="285"/>
      <c r="GF101" s="285"/>
      <c r="GG101" s="285"/>
      <c r="GH101" s="285"/>
      <c r="GI101" s="285"/>
      <c r="GJ101" s="285"/>
      <c r="GK101" s="285"/>
      <c r="GL101" s="285"/>
      <c r="GM101" s="285"/>
      <c r="GN101" s="285"/>
      <c r="GO101" s="285"/>
      <c r="GP101" s="285"/>
      <c r="GQ101" s="285"/>
      <c r="GR101" s="285"/>
      <c r="GS101" s="285"/>
      <c r="GT101" s="285"/>
      <c r="GU101" s="285"/>
      <c r="GV101" s="285"/>
      <c r="GW101" s="285"/>
      <c r="GX101" s="285"/>
      <c r="GY101" s="285"/>
      <c r="GZ101" s="285"/>
      <c r="HA101" s="285"/>
      <c r="HB101" s="285"/>
      <c r="HC101" s="285"/>
      <c r="HD101" s="285"/>
      <c r="HE101" s="285"/>
      <c r="HF101" s="285"/>
      <c r="HG101" s="285"/>
      <c r="HH101" s="285"/>
      <c r="HI101" s="285"/>
      <c r="HJ101" s="285"/>
      <c r="HK101" s="285"/>
      <c r="HL101" s="285"/>
      <c r="HM101" s="285"/>
      <c r="HN101" s="285"/>
      <c r="HO101" s="285"/>
      <c r="HP101" s="285"/>
      <c r="HQ101" s="285"/>
      <c r="HR101" s="285"/>
      <c r="HS101" s="285"/>
      <c r="HT101" s="285"/>
      <c r="HU101" s="285"/>
      <c r="HV101" s="285"/>
      <c r="HW101" s="285"/>
      <c r="HX101" s="285"/>
      <c r="HY101" s="285"/>
      <c r="HZ101" s="285"/>
      <c r="IA101" s="285"/>
      <c r="IB101" s="285"/>
      <c r="IC101" s="285"/>
      <c r="ID101" s="285"/>
      <c r="IE101" s="285"/>
      <c r="IF101" s="285"/>
      <c r="IG101" s="285"/>
      <c r="IH101" s="285"/>
      <c r="II101" s="285"/>
      <c r="IJ101" s="285"/>
      <c r="IK101" s="285"/>
      <c r="IL101" s="285"/>
      <c r="IM101" s="285"/>
      <c r="IN101" s="285"/>
      <c r="IO101" s="285"/>
      <c r="IP101" s="285"/>
      <c r="IQ101" s="285"/>
      <c r="IR101" s="285"/>
      <c r="IS101" s="285"/>
      <c r="IT101" s="285"/>
      <c r="IU101" s="285"/>
      <c r="IV101" s="285"/>
      <c r="IW101" s="285"/>
      <c r="IX101" s="285"/>
      <c r="IY101" s="285"/>
      <c r="IZ101" s="285"/>
      <c r="JA101" s="285"/>
      <c r="JB101" s="285"/>
      <c r="JC101" s="285"/>
      <c r="JD101" s="285"/>
      <c r="JE101" s="285"/>
      <c r="JF101" s="285"/>
      <c r="JG101" s="285"/>
      <c r="JH101" s="285"/>
      <c r="JI101" s="285"/>
      <c r="JJ101" s="285"/>
      <c r="JK101" s="285"/>
      <c r="JL101" s="285"/>
      <c r="JM101" s="285"/>
      <c r="JN101" s="285"/>
      <c r="JO101" s="285"/>
      <c r="JP101" s="285"/>
      <c r="JQ101" s="285"/>
      <c r="JR101" s="285"/>
      <c r="JS101" s="285"/>
      <c r="JT101" s="285"/>
      <c r="JU101" s="285"/>
      <c r="JV101" s="285"/>
      <c r="JW101" s="285"/>
      <c r="JX101" s="285"/>
      <c r="JY101" s="285"/>
      <c r="JZ101" s="285"/>
      <c r="KA101" s="285"/>
      <c r="KB101" s="285"/>
      <c r="KC101" s="285"/>
      <c r="KD101" s="285"/>
      <c r="KE101" s="285"/>
      <c r="KF101" s="285"/>
      <c r="KG101" s="285"/>
      <c r="KH101" s="285"/>
      <c r="KI101" s="285"/>
      <c r="KJ101" s="285"/>
      <c r="KK101" s="285"/>
      <c r="KL101" s="285"/>
      <c r="KM101" s="285"/>
      <c r="KN101" s="285"/>
      <c r="KO101" s="285"/>
      <c r="KP101" s="285"/>
      <c r="KQ101" s="285"/>
      <c r="KR101" s="298"/>
      <c r="KS101" s="285"/>
      <c r="KT101" s="285"/>
      <c r="KU101" s="1308"/>
      <c r="KV101" s="288"/>
      <c r="KW101" s="288"/>
    </row>
    <row r="102" spans="1:309" s="1304" customFormat="1" ht="16.2" customHeight="1">
      <c r="A102" s="1369" t="s">
        <v>5830</v>
      </c>
      <c r="B102" s="1592" t="s">
        <v>5920</v>
      </c>
      <c r="C102" s="1358">
        <v>311469288</v>
      </c>
      <c r="D102" s="906" t="s">
        <v>6926</v>
      </c>
      <c r="E102" s="1432" t="s">
        <v>5884</v>
      </c>
      <c r="F102" s="74"/>
      <c r="G102" s="75"/>
      <c r="H102" s="1662" t="s">
        <v>6806</v>
      </c>
      <c r="I102" s="1662"/>
      <c r="J102" s="1570"/>
      <c r="K102" s="1902"/>
      <c r="L102" s="1902"/>
      <c r="M102" s="1902"/>
      <c r="N102" s="1902"/>
      <c r="O102" s="659">
        <v>71067260</v>
      </c>
      <c r="P102" s="659"/>
      <c r="Q102" s="659"/>
      <c r="R102" s="1308" t="s">
        <v>6066</v>
      </c>
      <c r="S102" s="1308"/>
      <c r="T102" s="1308"/>
      <c r="U102" s="1308"/>
      <c r="V102" s="1308"/>
      <c r="W102" s="1308"/>
      <c r="X102" s="1308"/>
      <c r="Y102" s="1308"/>
      <c r="Z102" s="1308"/>
      <c r="AA102" s="1308"/>
      <c r="AB102" s="285"/>
      <c r="AC102" s="285"/>
      <c r="AD102" s="285"/>
      <c r="AE102" s="285"/>
      <c r="AF102" s="285"/>
      <c r="AG102" s="285"/>
      <c r="AH102" s="285"/>
      <c r="AI102" s="285"/>
      <c r="AJ102" s="285"/>
      <c r="AK102" s="285"/>
      <c r="AL102" s="285"/>
      <c r="AM102" s="285"/>
      <c r="AN102" s="285"/>
      <c r="AO102" s="285"/>
      <c r="AP102" s="285"/>
      <c r="AQ102" s="285"/>
      <c r="AR102" s="285"/>
      <c r="AS102" s="285"/>
      <c r="AT102" s="285"/>
      <c r="AU102" s="285"/>
      <c r="AV102" s="285"/>
      <c r="AW102" s="285"/>
      <c r="AX102" s="285"/>
      <c r="AY102" s="285"/>
      <c r="AZ102" s="285"/>
      <c r="BA102" s="285"/>
      <c r="BB102" s="285"/>
      <c r="BC102" s="285"/>
      <c r="BD102" s="285"/>
      <c r="BE102" s="285"/>
      <c r="BF102" s="285"/>
      <c r="BG102" s="285"/>
      <c r="BH102" s="285"/>
      <c r="BI102" s="285"/>
      <c r="BJ102" s="285"/>
      <c r="BK102" s="285"/>
      <c r="BL102" s="285"/>
      <c r="BM102" s="285"/>
      <c r="BN102" s="285"/>
      <c r="BO102" s="285"/>
      <c r="BP102" s="285"/>
      <c r="BQ102" s="285"/>
      <c r="BR102" s="285"/>
      <c r="BS102" s="285"/>
      <c r="BT102" s="285"/>
      <c r="BU102" s="285"/>
      <c r="BV102" s="285"/>
      <c r="BW102" s="285"/>
      <c r="BX102" s="285"/>
      <c r="BY102" s="285"/>
      <c r="BZ102" s="285"/>
      <c r="CA102" s="285"/>
      <c r="CB102" s="285"/>
      <c r="CC102" s="285"/>
      <c r="CD102" s="285"/>
      <c r="CE102" s="285"/>
      <c r="CF102" s="285"/>
      <c r="CG102" s="285"/>
      <c r="CH102" s="285"/>
      <c r="CI102" s="285"/>
      <c r="CJ102" s="285"/>
      <c r="CK102" s="285"/>
      <c r="CL102" s="285"/>
      <c r="CM102" s="285"/>
      <c r="CN102" s="285"/>
      <c r="CO102" s="285"/>
      <c r="CP102" s="285"/>
      <c r="CQ102" s="285"/>
      <c r="CR102" s="285"/>
      <c r="CS102" s="285"/>
      <c r="CT102" s="285"/>
      <c r="CU102" s="285"/>
      <c r="CV102" s="285"/>
      <c r="CW102" s="285"/>
      <c r="CX102" s="285"/>
      <c r="CY102" s="285"/>
      <c r="CZ102" s="285"/>
      <c r="DA102" s="285"/>
      <c r="DB102" s="285"/>
      <c r="DC102" s="285"/>
      <c r="DD102" s="285"/>
      <c r="DE102" s="285"/>
      <c r="DF102" s="285"/>
      <c r="DG102" s="285"/>
      <c r="DH102" s="285"/>
      <c r="DI102" s="285"/>
      <c r="DJ102" s="285"/>
      <c r="DK102" s="285"/>
      <c r="DL102" s="285"/>
      <c r="DM102" s="285"/>
      <c r="DN102" s="285"/>
      <c r="DO102" s="285"/>
      <c r="DP102" s="285"/>
      <c r="DQ102" s="285"/>
      <c r="DR102" s="285"/>
      <c r="DS102" s="285"/>
      <c r="DT102" s="285"/>
      <c r="DU102" s="285"/>
      <c r="DV102" s="285"/>
      <c r="DW102" s="285"/>
      <c r="DX102" s="285"/>
      <c r="DY102" s="285"/>
      <c r="DZ102" s="285"/>
      <c r="EA102" s="285"/>
      <c r="EB102" s="285"/>
      <c r="EC102" s="285"/>
      <c r="ED102" s="285"/>
      <c r="EE102" s="285"/>
      <c r="EF102" s="285"/>
      <c r="EG102" s="285"/>
      <c r="EH102" s="285"/>
      <c r="EI102" s="285"/>
      <c r="EJ102" s="285"/>
      <c r="EK102" s="285"/>
      <c r="EL102" s="285"/>
      <c r="EM102" s="285"/>
      <c r="EN102" s="285"/>
      <c r="EO102" s="285"/>
      <c r="EP102" s="285"/>
      <c r="EQ102" s="285"/>
      <c r="ER102" s="285"/>
      <c r="ES102" s="285"/>
      <c r="ET102" s="285"/>
      <c r="EU102" s="285"/>
      <c r="EV102" s="285"/>
      <c r="EW102" s="285"/>
      <c r="EX102" s="285"/>
      <c r="EY102" s="285"/>
      <c r="EZ102" s="285"/>
      <c r="FA102" s="285"/>
      <c r="FB102" s="285"/>
      <c r="FC102" s="285"/>
      <c r="FD102" s="285"/>
      <c r="FE102" s="285"/>
      <c r="FF102" s="285"/>
      <c r="FG102" s="285"/>
      <c r="FH102" s="285"/>
      <c r="FI102" s="285"/>
      <c r="FJ102" s="285"/>
      <c r="FK102" s="285"/>
      <c r="FL102" s="285"/>
      <c r="FM102" s="285"/>
      <c r="FN102" s="285"/>
      <c r="FO102" s="285"/>
      <c r="FP102" s="285"/>
      <c r="FQ102" s="285"/>
      <c r="FR102" s="285"/>
      <c r="FS102" s="285"/>
      <c r="FT102" s="285"/>
      <c r="FU102" s="285"/>
      <c r="FV102" s="285"/>
      <c r="FW102" s="285"/>
      <c r="FX102" s="285"/>
      <c r="FY102" s="285"/>
      <c r="FZ102" s="285"/>
      <c r="GA102" s="285"/>
      <c r="GB102" s="285"/>
      <c r="GC102" s="285"/>
      <c r="GD102" s="285"/>
      <c r="GE102" s="285"/>
      <c r="GF102" s="285"/>
      <c r="GG102" s="285"/>
      <c r="GH102" s="285"/>
      <c r="GI102" s="285"/>
      <c r="GJ102" s="285"/>
      <c r="GK102" s="285"/>
      <c r="GL102" s="285"/>
      <c r="GM102" s="285"/>
      <c r="GN102" s="285"/>
      <c r="GO102" s="285"/>
      <c r="GP102" s="285"/>
      <c r="GQ102" s="285"/>
      <c r="GR102" s="285"/>
      <c r="GS102" s="285"/>
      <c r="GT102" s="285"/>
      <c r="GU102" s="285"/>
      <c r="GV102" s="285"/>
      <c r="GW102" s="285"/>
      <c r="GX102" s="285"/>
      <c r="GY102" s="285"/>
      <c r="GZ102" s="285"/>
      <c r="HA102" s="285"/>
      <c r="HB102" s="285"/>
      <c r="HC102" s="285"/>
      <c r="HD102" s="285"/>
      <c r="HE102" s="285"/>
      <c r="HF102" s="285"/>
      <c r="HG102" s="285"/>
      <c r="HH102" s="285"/>
      <c r="HI102" s="285"/>
      <c r="HJ102" s="285"/>
      <c r="HK102" s="285"/>
      <c r="HL102" s="285"/>
      <c r="HM102" s="285"/>
      <c r="HN102" s="285"/>
      <c r="HO102" s="285"/>
      <c r="HP102" s="285"/>
      <c r="HQ102" s="285"/>
      <c r="HR102" s="285"/>
      <c r="HS102" s="285"/>
      <c r="HT102" s="285"/>
      <c r="HU102" s="285"/>
      <c r="HV102" s="285"/>
      <c r="HW102" s="285"/>
      <c r="HX102" s="285"/>
      <c r="HY102" s="285"/>
      <c r="HZ102" s="285"/>
      <c r="IA102" s="285"/>
      <c r="IB102" s="285"/>
      <c r="IC102" s="285"/>
      <c r="ID102" s="285"/>
      <c r="IE102" s="285"/>
      <c r="IF102" s="285"/>
      <c r="IG102" s="285"/>
      <c r="IH102" s="285"/>
      <c r="II102" s="285"/>
      <c r="IJ102" s="285"/>
      <c r="IK102" s="285"/>
      <c r="IL102" s="285"/>
      <c r="IM102" s="285"/>
      <c r="IN102" s="285"/>
      <c r="IO102" s="285"/>
      <c r="IP102" s="285"/>
      <c r="IQ102" s="285"/>
      <c r="IR102" s="285"/>
      <c r="IS102" s="285"/>
      <c r="IT102" s="285"/>
      <c r="IU102" s="285"/>
      <c r="IV102" s="285"/>
      <c r="IW102" s="285"/>
      <c r="IX102" s="285"/>
      <c r="IY102" s="285"/>
      <c r="IZ102" s="285"/>
      <c r="JA102" s="285"/>
      <c r="JB102" s="285"/>
      <c r="JC102" s="285"/>
      <c r="JD102" s="285"/>
      <c r="JE102" s="285"/>
      <c r="JF102" s="285"/>
      <c r="JG102" s="285"/>
      <c r="JH102" s="285"/>
      <c r="JI102" s="285"/>
      <c r="JJ102" s="285"/>
      <c r="JK102" s="285"/>
      <c r="JL102" s="285"/>
      <c r="JM102" s="285"/>
      <c r="JN102" s="285"/>
      <c r="JO102" s="285"/>
      <c r="JP102" s="285"/>
      <c r="JQ102" s="285"/>
      <c r="JR102" s="285"/>
      <c r="JS102" s="285"/>
      <c r="JT102" s="285"/>
      <c r="JU102" s="285"/>
      <c r="JV102" s="285"/>
      <c r="JW102" s="285"/>
      <c r="JX102" s="285"/>
      <c r="JY102" s="285"/>
      <c r="JZ102" s="285"/>
      <c r="KA102" s="285"/>
      <c r="KB102" s="285"/>
      <c r="KC102" s="285"/>
      <c r="KD102" s="285"/>
      <c r="KE102" s="285"/>
      <c r="KF102" s="285"/>
      <c r="KG102" s="285"/>
      <c r="KH102" s="285"/>
      <c r="KI102" s="285"/>
      <c r="KJ102" s="285"/>
      <c r="KK102" s="285"/>
      <c r="KL102" s="285"/>
      <c r="KM102" s="285"/>
      <c r="KN102" s="285"/>
      <c r="KO102" s="285"/>
      <c r="KP102" s="285"/>
      <c r="KQ102" s="285"/>
      <c r="KR102" s="298"/>
      <c r="KS102" s="285"/>
      <c r="KT102" s="285"/>
      <c r="KU102" s="1308"/>
      <c r="KV102" s="288"/>
      <c r="KW102" s="288"/>
    </row>
    <row r="103" spans="1:309" s="1304" customFormat="1" ht="16.2" customHeight="1">
      <c r="A103" s="1369" t="s">
        <v>5830</v>
      </c>
      <c r="B103" s="1676" t="s">
        <v>5921</v>
      </c>
      <c r="C103" s="1358">
        <v>311473514</v>
      </c>
      <c r="D103" s="1358"/>
      <c r="E103" s="1430" t="s">
        <v>5948</v>
      </c>
      <c r="F103" s="74"/>
      <c r="G103" s="75"/>
      <c r="H103" s="1662" t="s">
        <v>6806</v>
      </c>
      <c r="I103" s="1662"/>
      <c r="J103" s="1570"/>
      <c r="K103" s="1902"/>
      <c r="L103" s="1902"/>
      <c r="M103" s="1902"/>
      <c r="N103" s="1902"/>
      <c r="O103" s="1308"/>
      <c r="P103" s="1308"/>
      <c r="Q103" s="1308"/>
      <c r="R103" s="1308"/>
      <c r="S103" s="1308"/>
      <c r="T103" s="1308"/>
      <c r="U103" s="1308"/>
      <c r="V103" s="1308"/>
      <c r="W103" s="659"/>
      <c r="X103" s="1308"/>
      <c r="Y103" s="1308"/>
      <c r="Z103" s="1308"/>
      <c r="AA103" s="1308"/>
      <c r="AB103" s="285"/>
      <c r="AC103" s="285"/>
      <c r="AD103" s="285"/>
      <c r="AE103" s="285"/>
      <c r="AF103" s="285"/>
      <c r="AG103" s="285"/>
      <c r="AH103" s="285"/>
      <c r="AI103" s="285"/>
      <c r="AJ103" s="285"/>
      <c r="AK103" s="285"/>
      <c r="AL103" s="285"/>
      <c r="AM103" s="285"/>
      <c r="AN103" s="285"/>
      <c r="AO103" s="285"/>
      <c r="AP103" s="285"/>
      <c r="AQ103" s="285"/>
      <c r="AR103" s="285"/>
      <c r="AS103" s="285"/>
      <c r="AT103" s="285"/>
      <c r="AU103" s="285"/>
      <c r="AV103" s="285"/>
      <c r="AW103" s="285"/>
      <c r="AX103" s="285"/>
      <c r="AY103" s="285"/>
      <c r="AZ103" s="285"/>
      <c r="BA103" s="285"/>
      <c r="BB103" s="285"/>
      <c r="BC103" s="285"/>
      <c r="BD103" s="285"/>
      <c r="BE103" s="285"/>
      <c r="BF103" s="285"/>
      <c r="BG103" s="285"/>
      <c r="BH103" s="285"/>
      <c r="BI103" s="285"/>
      <c r="BJ103" s="285"/>
      <c r="BK103" s="285"/>
      <c r="BL103" s="285"/>
      <c r="BM103" s="285"/>
      <c r="BN103" s="285"/>
      <c r="BO103" s="285"/>
      <c r="BP103" s="285"/>
      <c r="BQ103" s="285"/>
      <c r="BR103" s="285"/>
      <c r="BS103" s="285"/>
      <c r="BT103" s="285"/>
      <c r="BU103" s="285"/>
      <c r="BV103" s="285"/>
      <c r="BW103" s="285"/>
      <c r="BX103" s="285"/>
      <c r="BY103" s="285"/>
      <c r="BZ103" s="285"/>
      <c r="CA103" s="285"/>
      <c r="CB103" s="285"/>
      <c r="CC103" s="285"/>
      <c r="CD103" s="285"/>
      <c r="CE103" s="285"/>
      <c r="CF103" s="285"/>
      <c r="CG103" s="285"/>
      <c r="CH103" s="285"/>
      <c r="CI103" s="285"/>
      <c r="CJ103" s="285"/>
      <c r="CK103" s="285"/>
      <c r="CL103" s="285"/>
      <c r="CM103" s="285"/>
      <c r="CN103" s="285"/>
      <c r="CO103" s="285"/>
      <c r="CP103" s="285"/>
      <c r="CQ103" s="285"/>
      <c r="CR103" s="285"/>
      <c r="CS103" s="285"/>
      <c r="CT103" s="285"/>
      <c r="CU103" s="285"/>
      <c r="CV103" s="285"/>
      <c r="CW103" s="285"/>
      <c r="CX103" s="285"/>
      <c r="CY103" s="285"/>
      <c r="CZ103" s="285"/>
      <c r="DA103" s="285"/>
      <c r="DB103" s="285"/>
      <c r="DC103" s="285"/>
      <c r="DD103" s="285"/>
      <c r="DE103" s="285"/>
      <c r="DF103" s="285"/>
      <c r="DG103" s="285"/>
      <c r="DH103" s="285"/>
      <c r="DI103" s="285"/>
      <c r="DJ103" s="285"/>
      <c r="DK103" s="285"/>
      <c r="DL103" s="285"/>
      <c r="DM103" s="285"/>
      <c r="DN103" s="285"/>
      <c r="DO103" s="285"/>
      <c r="DP103" s="285"/>
      <c r="DQ103" s="285"/>
      <c r="DR103" s="285"/>
      <c r="DS103" s="285"/>
      <c r="DT103" s="285"/>
      <c r="DU103" s="285"/>
      <c r="DV103" s="285"/>
      <c r="DW103" s="285"/>
      <c r="DX103" s="285"/>
      <c r="DY103" s="285"/>
      <c r="DZ103" s="285"/>
      <c r="EA103" s="285"/>
      <c r="EB103" s="285"/>
      <c r="EC103" s="285"/>
      <c r="ED103" s="285"/>
      <c r="EE103" s="285"/>
      <c r="EF103" s="285"/>
      <c r="EG103" s="285"/>
      <c r="EH103" s="285"/>
      <c r="EI103" s="285"/>
      <c r="EJ103" s="285"/>
      <c r="EK103" s="285"/>
      <c r="EL103" s="285"/>
      <c r="EM103" s="285"/>
      <c r="EN103" s="285"/>
      <c r="EO103" s="285"/>
      <c r="EP103" s="285"/>
      <c r="EQ103" s="285"/>
      <c r="ER103" s="285"/>
      <c r="ES103" s="285"/>
      <c r="ET103" s="285"/>
      <c r="EU103" s="285"/>
      <c r="EV103" s="285"/>
      <c r="EW103" s="285"/>
      <c r="EX103" s="285"/>
      <c r="EY103" s="285"/>
      <c r="EZ103" s="285"/>
      <c r="FA103" s="285"/>
      <c r="FB103" s="285"/>
      <c r="FC103" s="285"/>
      <c r="FD103" s="285"/>
      <c r="FE103" s="285"/>
      <c r="FF103" s="285"/>
      <c r="FG103" s="285"/>
      <c r="FH103" s="285"/>
      <c r="FI103" s="285"/>
      <c r="FJ103" s="285"/>
      <c r="FK103" s="285"/>
      <c r="FL103" s="285"/>
      <c r="FM103" s="285"/>
      <c r="FN103" s="285"/>
      <c r="FO103" s="285"/>
      <c r="FP103" s="285"/>
      <c r="FQ103" s="285"/>
      <c r="FR103" s="285"/>
      <c r="FS103" s="285"/>
      <c r="FT103" s="285"/>
      <c r="FU103" s="285"/>
      <c r="FV103" s="285"/>
      <c r="FW103" s="285"/>
      <c r="FX103" s="285"/>
      <c r="FY103" s="285"/>
      <c r="FZ103" s="285"/>
      <c r="GA103" s="285"/>
      <c r="GB103" s="285"/>
      <c r="GC103" s="285"/>
      <c r="GD103" s="285"/>
      <c r="GE103" s="285"/>
      <c r="GF103" s="285"/>
      <c r="GG103" s="285"/>
      <c r="GH103" s="285"/>
      <c r="GI103" s="285"/>
      <c r="GJ103" s="285"/>
      <c r="GK103" s="285"/>
      <c r="GL103" s="285"/>
      <c r="GM103" s="285"/>
      <c r="GN103" s="285"/>
      <c r="GO103" s="285"/>
      <c r="GP103" s="285"/>
      <c r="GQ103" s="285"/>
      <c r="GR103" s="285"/>
      <c r="GS103" s="285"/>
      <c r="GT103" s="285"/>
      <c r="GU103" s="285"/>
      <c r="GV103" s="285"/>
      <c r="GW103" s="285"/>
      <c r="GX103" s="285"/>
      <c r="GY103" s="285"/>
      <c r="GZ103" s="285"/>
      <c r="HA103" s="285"/>
      <c r="HB103" s="285"/>
      <c r="HC103" s="285"/>
      <c r="HD103" s="285"/>
      <c r="HE103" s="285"/>
      <c r="HF103" s="285"/>
      <c r="HG103" s="285"/>
      <c r="HH103" s="285"/>
      <c r="HI103" s="285"/>
      <c r="HJ103" s="285"/>
      <c r="HK103" s="285"/>
      <c r="HL103" s="285"/>
      <c r="HM103" s="285"/>
      <c r="HN103" s="285"/>
      <c r="HO103" s="285"/>
      <c r="HP103" s="285"/>
      <c r="HQ103" s="285"/>
      <c r="HR103" s="285"/>
      <c r="HS103" s="285"/>
      <c r="HT103" s="285"/>
      <c r="HU103" s="285"/>
      <c r="HV103" s="285"/>
      <c r="HW103" s="285"/>
      <c r="HX103" s="285"/>
      <c r="HY103" s="285"/>
      <c r="HZ103" s="285"/>
      <c r="IA103" s="285"/>
      <c r="IB103" s="285"/>
      <c r="IC103" s="285"/>
      <c r="ID103" s="285"/>
      <c r="IE103" s="285"/>
      <c r="IF103" s="285"/>
      <c r="IG103" s="285"/>
      <c r="IH103" s="285"/>
      <c r="II103" s="285"/>
      <c r="IJ103" s="285"/>
      <c r="IK103" s="285"/>
      <c r="IL103" s="285"/>
      <c r="IM103" s="285"/>
      <c r="IN103" s="285"/>
      <c r="IO103" s="285"/>
      <c r="IP103" s="285"/>
      <c r="IQ103" s="285"/>
      <c r="IR103" s="285"/>
      <c r="IS103" s="285"/>
      <c r="IT103" s="285"/>
      <c r="IU103" s="285"/>
      <c r="IV103" s="285"/>
      <c r="IW103" s="285"/>
      <c r="IX103" s="285"/>
      <c r="IY103" s="285"/>
      <c r="IZ103" s="285"/>
      <c r="JA103" s="285"/>
      <c r="JB103" s="285"/>
      <c r="JC103" s="285"/>
      <c r="JD103" s="285"/>
      <c r="JE103" s="285"/>
      <c r="JF103" s="285"/>
      <c r="JG103" s="285"/>
      <c r="JH103" s="285"/>
      <c r="JI103" s="285"/>
      <c r="JJ103" s="285"/>
      <c r="JK103" s="285"/>
      <c r="JL103" s="285"/>
      <c r="JM103" s="285"/>
      <c r="JN103" s="285"/>
      <c r="JO103" s="285"/>
      <c r="JP103" s="285"/>
      <c r="JQ103" s="285"/>
      <c r="JR103" s="285"/>
      <c r="JS103" s="285"/>
      <c r="JT103" s="285"/>
      <c r="JU103" s="285"/>
      <c r="JV103" s="285"/>
      <c r="JW103" s="285"/>
      <c r="JX103" s="285"/>
      <c r="JY103" s="285"/>
      <c r="JZ103" s="285"/>
      <c r="KA103" s="285"/>
      <c r="KB103" s="285"/>
      <c r="KC103" s="285"/>
      <c r="KD103" s="285"/>
      <c r="KE103" s="285"/>
      <c r="KF103" s="285"/>
      <c r="KG103" s="285"/>
      <c r="KH103" s="285"/>
      <c r="KI103" s="285"/>
      <c r="KJ103" s="285"/>
      <c r="KK103" s="285"/>
      <c r="KL103" s="285"/>
      <c r="KM103" s="285"/>
      <c r="KN103" s="285"/>
      <c r="KO103" s="285"/>
      <c r="KP103" s="285"/>
      <c r="KQ103" s="285"/>
      <c r="KR103" s="298"/>
      <c r="KS103" s="285"/>
      <c r="KT103" s="285"/>
      <c r="KU103" s="1308"/>
      <c r="KV103" s="288"/>
      <c r="KW103" s="288"/>
    </row>
    <row r="104" spans="1:309" s="1304" customFormat="1" ht="16.2" customHeight="1">
      <c r="A104" s="1369" t="s">
        <v>5830</v>
      </c>
      <c r="B104" s="1396" t="s">
        <v>5918</v>
      </c>
      <c r="C104" s="1358">
        <v>311472490</v>
      </c>
      <c r="D104" s="906" t="s">
        <v>6926</v>
      </c>
      <c r="E104" s="1430" t="s">
        <v>5943</v>
      </c>
      <c r="F104" s="74">
        <v>0</v>
      </c>
      <c r="G104" s="75"/>
      <c r="H104" s="1662" t="s">
        <v>6806</v>
      </c>
      <c r="I104" s="1662"/>
      <c r="J104" s="1662">
        <v>0</v>
      </c>
      <c r="K104" s="1671"/>
      <c r="L104" s="1671"/>
      <c r="M104" s="1671"/>
      <c r="N104" s="1671"/>
      <c r="O104" s="1308"/>
      <c r="P104" s="1308"/>
      <c r="Q104" s="1308"/>
      <c r="R104" s="1308"/>
      <c r="S104" s="1308"/>
      <c r="T104" s="1308"/>
      <c r="U104" s="1308"/>
      <c r="V104" s="1308"/>
      <c r="W104" s="1308"/>
      <c r="X104" s="1308"/>
      <c r="Y104" s="1308"/>
      <c r="Z104" s="1308"/>
      <c r="AA104" s="1308"/>
      <c r="AB104" s="285"/>
      <c r="AC104" s="285"/>
      <c r="AD104" s="285"/>
      <c r="AE104" s="285"/>
      <c r="AF104" s="285"/>
      <c r="AG104" s="285"/>
      <c r="AH104" s="285"/>
      <c r="AI104" s="285"/>
      <c r="AJ104" s="285"/>
      <c r="AK104" s="285"/>
      <c r="AL104" s="285"/>
      <c r="AM104" s="285"/>
      <c r="AN104" s="285"/>
      <c r="AO104" s="285"/>
      <c r="AP104" s="285"/>
      <c r="AQ104" s="285"/>
      <c r="AR104" s="285"/>
      <c r="AS104" s="285"/>
      <c r="AT104" s="285"/>
      <c r="AU104" s="285"/>
      <c r="AV104" s="285"/>
      <c r="AW104" s="285"/>
      <c r="AX104" s="285"/>
      <c r="AY104" s="285"/>
      <c r="AZ104" s="285"/>
      <c r="BA104" s="285"/>
      <c r="BB104" s="285"/>
      <c r="BC104" s="285"/>
      <c r="BD104" s="285"/>
      <c r="BE104" s="285"/>
      <c r="BF104" s="285"/>
      <c r="BG104" s="285"/>
      <c r="BH104" s="285"/>
      <c r="BI104" s="285"/>
      <c r="BJ104" s="285"/>
      <c r="BK104" s="285"/>
      <c r="BL104" s="285"/>
      <c r="BM104" s="285"/>
      <c r="BN104" s="285"/>
      <c r="BO104" s="285"/>
      <c r="BP104" s="285"/>
      <c r="BQ104" s="285"/>
      <c r="BR104" s="285"/>
      <c r="BS104" s="285"/>
      <c r="BT104" s="285"/>
      <c r="BU104" s="285"/>
      <c r="BV104" s="285"/>
      <c r="BW104" s="285"/>
      <c r="BX104" s="285"/>
      <c r="BY104" s="285"/>
      <c r="BZ104" s="285"/>
      <c r="CA104" s="285"/>
      <c r="CB104" s="285"/>
      <c r="CC104" s="285"/>
      <c r="CD104" s="285"/>
      <c r="CE104" s="285"/>
      <c r="CF104" s="285"/>
      <c r="CG104" s="285"/>
      <c r="CH104" s="285"/>
      <c r="CI104" s="285"/>
      <c r="CJ104" s="285"/>
      <c r="CK104" s="285"/>
      <c r="CL104" s="285"/>
      <c r="CM104" s="285"/>
      <c r="CN104" s="285"/>
      <c r="CO104" s="285"/>
      <c r="CP104" s="285"/>
      <c r="CQ104" s="285"/>
      <c r="CR104" s="285"/>
      <c r="CS104" s="285"/>
      <c r="CT104" s="285"/>
      <c r="CU104" s="285"/>
      <c r="CV104" s="285"/>
      <c r="CW104" s="285"/>
      <c r="CX104" s="285"/>
      <c r="CY104" s="285"/>
      <c r="CZ104" s="285"/>
      <c r="DA104" s="285"/>
      <c r="DB104" s="285"/>
      <c r="DC104" s="285"/>
      <c r="DD104" s="285"/>
      <c r="DE104" s="285"/>
      <c r="DF104" s="285"/>
      <c r="DG104" s="285"/>
      <c r="DH104" s="285"/>
      <c r="DI104" s="285"/>
      <c r="DJ104" s="285"/>
      <c r="DK104" s="285"/>
      <c r="DL104" s="285"/>
      <c r="DM104" s="285"/>
      <c r="DN104" s="285"/>
      <c r="DO104" s="285"/>
      <c r="DP104" s="285"/>
      <c r="DQ104" s="285"/>
      <c r="DR104" s="285"/>
      <c r="DS104" s="285"/>
      <c r="DT104" s="285"/>
      <c r="DU104" s="285"/>
      <c r="DV104" s="285"/>
      <c r="DW104" s="285"/>
      <c r="DX104" s="285"/>
      <c r="DY104" s="285"/>
      <c r="DZ104" s="285"/>
      <c r="EA104" s="285"/>
      <c r="EB104" s="285"/>
      <c r="EC104" s="285"/>
      <c r="ED104" s="285"/>
      <c r="EE104" s="285"/>
      <c r="EF104" s="285"/>
      <c r="EG104" s="285"/>
      <c r="EH104" s="285"/>
      <c r="EI104" s="285"/>
      <c r="EJ104" s="285"/>
      <c r="EK104" s="285"/>
      <c r="EL104" s="285"/>
      <c r="EM104" s="285"/>
      <c r="EN104" s="285"/>
      <c r="EO104" s="285"/>
      <c r="EP104" s="285"/>
      <c r="EQ104" s="285"/>
      <c r="ER104" s="285"/>
      <c r="ES104" s="285"/>
      <c r="ET104" s="285"/>
      <c r="EU104" s="285"/>
      <c r="EV104" s="285"/>
      <c r="EW104" s="285"/>
      <c r="EX104" s="285"/>
      <c r="EY104" s="285"/>
      <c r="EZ104" s="285"/>
      <c r="FA104" s="285"/>
      <c r="FB104" s="285"/>
      <c r="FC104" s="285"/>
      <c r="FD104" s="285"/>
      <c r="FE104" s="285"/>
      <c r="FF104" s="285"/>
      <c r="FG104" s="285"/>
      <c r="FH104" s="285"/>
      <c r="FI104" s="285"/>
      <c r="FJ104" s="285"/>
      <c r="FK104" s="285"/>
      <c r="FL104" s="285"/>
      <c r="FM104" s="285"/>
      <c r="FN104" s="285"/>
      <c r="FO104" s="285"/>
      <c r="FP104" s="285"/>
      <c r="FQ104" s="285"/>
      <c r="FR104" s="285"/>
      <c r="FS104" s="285"/>
      <c r="FT104" s="285"/>
      <c r="FU104" s="285"/>
      <c r="FV104" s="285"/>
      <c r="FW104" s="285"/>
      <c r="FX104" s="285"/>
      <c r="FY104" s="285"/>
      <c r="FZ104" s="285"/>
      <c r="GA104" s="285"/>
      <c r="GB104" s="285"/>
      <c r="GC104" s="285"/>
      <c r="GD104" s="285"/>
      <c r="GE104" s="285"/>
      <c r="GF104" s="285"/>
      <c r="GG104" s="285"/>
      <c r="GH104" s="285"/>
      <c r="GI104" s="285"/>
      <c r="GJ104" s="285"/>
      <c r="GK104" s="285"/>
      <c r="GL104" s="285"/>
      <c r="GM104" s="285"/>
      <c r="GN104" s="285"/>
      <c r="GO104" s="285"/>
      <c r="GP104" s="285"/>
      <c r="GQ104" s="285"/>
      <c r="GR104" s="285"/>
      <c r="GS104" s="285"/>
      <c r="GT104" s="285"/>
      <c r="GU104" s="285"/>
      <c r="GV104" s="285"/>
      <c r="GW104" s="285"/>
      <c r="GX104" s="285"/>
      <c r="GY104" s="285"/>
      <c r="GZ104" s="285"/>
      <c r="HA104" s="285"/>
      <c r="HB104" s="285"/>
      <c r="HC104" s="285"/>
      <c r="HD104" s="285"/>
      <c r="HE104" s="285"/>
      <c r="HF104" s="285"/>
      <c r="HG104" s="285"/>
      <c r="HH104" s="285"/>
      <c r="HI104" s="285"/>
      <c r="HJ104" s="285"/>
      <c r="HK104" s="285"/>
      <c r="HL104" s="285"/>
      <c r="HM104" s="285"/>
      <c r="HN104" s="285"/>
      <c r="HO104" s="285"/>
      <c r="HP104" s="285"/>
      <c r="HQ104" s="285"/>
      <c r="HR104" s="285"/>
      <c r="HS104" s="285"/>
      <c r="HT104" s="285"/>
      <c r="HU104" s="285"/>
      <c r="HV104" s="285"/>
      <c r="HW104" s="285"/>
      <c r="HX104" s="285"/>
      <c r="HY104" s="285"/>
      <c r="HZ104" s="285"/>
      <c r="IA104" s="285"/>
      <c r="IB104" s="285"/>
      <c r="IC104" s="285"/>
      <c r="ID104" s="285"/>
      <c r="IE104" s="285"/>
      <c r="IF104" s="285"/>
      <c r="IG104" s="285"/>
      <c r="IH104" s="285"/>
      <c r="II104" s="285"/>
      <c r="IJ104" s="285"/>
      <c r="IK104" s="285"/>
      <c r="IL104" s="285"/>
      <c r="IM104" s="285"/>
      <c r="IN104" s="285"/>
      <c r="IO104" s="285"/>
      <c r="IP104" s="285"/>
      <c r="IQ104" s="285"/>
      <c r="IR104" s="285"/>
      <c r="IS104" s="285"/>
      <c r="IT104" s="285"/>
      <c r="IU104" s="285"/>
      <c r="IV104" s="285"/>
      <c r="IW104" s="285"/>
      <c r="IX104" s="285"/>
      <c r="IY104" s="285"/>
      <c r="IZ104" s="285"/>
      <c r="JA104" s="285"/>
      <c r="JB104" s="285"/>
      <c r="JC104" s="285"/>
      <c r="JD104" s="285"/>
      <c r="JE104" s="285"/>
      <c r="JF104" s="285"/>
      <c r="JG104" s="285"/>
      <c r="JH104" s="285"/>
      <c r="JI104" s="285"/>
      <c r="JJ104" s="285"/>
      <c r="JK104" s="285"/>
      <c r="JL104" s="285"/>
      <c r="JM104" s="285"/>
      <c r="JN104" s="285"/>
      <c r="JO104" s="285"/>
      <c r="JP104" s="285"/>
      <c r="JQ104" s="285"/>
      <c r="JR104" s="285"/>
      <c r="JS104" s="285"/>
      <c r="JT104" s="285"/>
      <c r="JU104" s="285"/>
      <c r="JV104" s="285"/>
      <c r="JW104" s="285"/>
      <c r="JX104" s="285"/>
      <c r="JY104" s="285"/>
      <c r="JZ104" s="285"/>
      <c r="KA104" s="285"/>
      <c r="KB104" s="285"/>
      <c r="KC104" s="285"/>
      <c r="KD104" s="285"/>
      <c r="KE104" s="285"/>
      <c r="KF104" s="285"/>
      <c r="KG104" s="285"/>
      <c r="KH104" s="285"/>
      <c r="KI104" s="285"/>
      <c r="KJ104" s="285"/>
      <c r="KK104" s="285"/>
      <c r="KL104" s="285"/>
      <c r="KM104" s="285"/>
      <c r="KN104" s="285"/>
      <c r="KO104" s="285"/>
      <c r="KP104" s="285"/>
      <c r="KQ104" s="285"/>
      <c r="KR104" s="298"/>
      <c r="KS104" s="285"/>
      <c r="KT104" s="285"/>
      <c r="KU104" s="1308"/>
      <c r="KV104" s="288"/>
      <c r="KW104" s="288"/>
    </row>
    <row r="105" spans="1:309" s="1304" customFormat="1" ht="16.2" customHeight="1">
      <c r="A105" s="1385" t="s">
        <v>5877</v>
      </c>
      <c r="B105" s="1519" t="s">
        <v>5922</v>
      </c>
      <c r="C105" s="1358">
        <v>311475147</v>
      </c>
      <c r="D105" s="906" t="s">
        <v>6926</v>
      </c>
      <c r="E105" s="1430" t="s">
        <v>5947</v>
      </c>
      <c r="F105" s="74"/>
      <c r="G105" s="75"/>
      <c r="H105" s="1662" t="s">
        <v>6806</v>
      </c>
      <c r="I105" s="1662"/>
      <c r="J105" s="1570">
        <v>0</v>
      </c>
      <c r="K105" s="1902"/>
      <c r="L105" s="1902"/>
      <c r="M105" s="1902"/>
      <c r="N105" s="1902"/>
      <c r="O105" s="1308"/>
      <c r="P105" s="1308"/>
      <c r="Q105" s="1308"/>
      <c r="R105" s="1308"/>
      <c r="S105" s="1308"/>
      <c r="T105" s="1308"/>
      <c r="U105" s="1308"/>
      <c r="V105" s="1308"/>
      <c r="W105" s="659"/>
      <c r="X105" s="1308"/>
      <c r="Y105" s="1308"/>
      <c r="Z105" s="1308"/>
      <c r="AA105" s="1308"/>
      <c r="AB105" s="285"/>
      <c r="AC105" s="285"/>
      <c r="AD105" s="285"/>
      <c r="AE105" s="285"/>
      <c r="AF105" s="285"/>
      <c r="AG105" s="285"/>
      <c r="AH105" s="285"/>
      <c r="AI105" s="285"/>
      <c r="AJ105" s="285"/>
      <c r="AK105" s="285"/>
      <c r="AL105" s="285"/>
      <c r="AM105" s="285"/>
      <c r="AN105" s="285"/>
      <c r="AO105" s="285"/>
      <c r="AP105" s="285"/>
      <c r="AQ105" s="285"/>
      <c r="AR105" s="285"/>
      <c r="AS105" s="285"/>
      <c r="AT105" s="285"/>
      <c r="AU105" s="285"/>
      <c r="AV105" s="285"/>
      <c r="AW105" s="285"/>
      <c r="AX105" s="285"/>
      <c r="AY105" s="285"/>
      <c r="AZ105" s="285"/>
      <c r="BA105" s="285"/>
      <c r="BB105" s="285"/>
      <c r="BC105" s="285"/>
      <c r="BD105" s="285"/>
      <c r="BE105" s="285"/>
      <c r="BF105" s="285"/>
      <c r="BG105" s="285"/>
      <c r="BH105" s="285"/>
      <c r="BI105" s="285"/>
      <c r="BJ105" s="285"/>
      <c r="BK105" s="285"/>
      <c r="BL105" s="285"/>
      <c r="BM105" s="285"/>
      <c r="BN105" s="285"/>
      <c r="BO105" s="285"/>
      <c r="BP105" s="285"/>
      <c r="BQ105" s="285"/>
      <c r="BR105" s="285"/>
      <c r="BS105" s="285"/>
      <c r="BT105" s="285"/>
      <c r="BU105" s="285"/>
      <c r="BV105" s="285"/>
      <c r="BW105" s="285"/>
      <c r="BX105" s="285"/>
      <c r="BY105" s="285"/>
      <c r="BZ105" s="285"/>
      <c r="CA105" s="285"/>
      <c r="CB105" s="285"/>
      <c r="CC105" s="285"/>
      <c r="CD105" s="285"/>
      <c r="CE105" s="285"/>
      <c r="CF105" s="285"/>
      <c r="CG105" s="285"/>
      <c r="CH105" s="285"/>
      <c r="CI105" s="285"/>
      <c r="CJ105" s="285"/>
      <c r="CK105" s="285"/>
      <c r="CL105" s="285"/>
      <c r="CM105" s="285"/>
      <c r="CN105" s="285"/>
      <c r="CO105" s="285"/>
      <c r="CP105" s="285"/>
      <c r="CQ105" s="285"/>
      <c r="CR105" s="285"/>
      <c r="CS105" s="285"/>
      <c r="CT105" s="285"/>
      <c r="CU105" s="285"/>
      <c r="CV105" s="285"/>
      <c r="CW105" s="285"/>
      <c r="CX105" s="285"/>
      <c r="CY105" s="285"/>
      <c r="CZ105" s="285"/>
      <c r="DA105" s="285"/>
      <c r="DB105" s="285"/>
      <c r="DC105" s="285"/>
      <c r="DD105" s="285"/>
      <c r="DE105" s="285"/>
      <c r="DF105" s="285"/>
      <c r="DG105" s="285"/>
      <c r="DH105" s="285"/>
      <c r="DI105" s="285"/>
      <c r="DJ105" s="285"/>
      <c r="DK105" s="285"/>
      <c r="DL105" s="285"/>
      <c r="DM105" s="285"/>
      <c r="DN105" s="285"/>
      <c r="DO105" s="285"/>
      <c r="DP105" s="285"/>
      <c r="DQ105" s="285"/>
      <c r="DR105" s="285"/>
      <c r="DS105" s="285"/>
      <c r="DT105" s="285"/>
      <c r="DU105" s="285"/>
      <c r="DV105" s="285"/>
      <c r="DW105" s="285"/>
      <c r="DX105" s="285"/>
      <c r="DY105" s="285"/>
      <c r="DZ105" s="285"/>
      <c r="EA105" s="285"/>
      <c r="EB105" s="285"/>
      <c r="EC105" s="285"/>
      <c r="ED105" s="285"/>
      <c r="EE105" s="285"/>
      <c r="EF105" s="285"/>
      <c r="EG105" s="285"/>
      <c r="EH105" s="285"/>
      <c r="EI105" s="285"/>
      <c r="EJ105" s="285"/>
      <c r="EK105" s="285"/>
      <c r="EL105" s="285"/>
      <c r="EM105" s="285"/>
      <c r="EN105" s="285"/>
      <c r="EO105" s="285"/>
      <c r="EP105" s="285"/>
      <c r="EQ105" s="285"/>
      <c r="ER105" s="285"/>
      <c r="ES105" s="285"/>
      <c r="ET105" s="285"/>
      <c r="EU105" s="285"/>
      <c r="EV105" s="285"/>
      <c r="EW105" s="285"/>
      <c r="EX105" s="285"/>
      <c r="EY105" s="285"/>
      <c r="EZ105" s="285"/>
      <c r="FA105" s="285"/>
      <c r="FB105" s="285"/>
      <c r="FC105" s="285"/>
      <c r="FD105" s="285"/>
      <c r="FE105" s="285"/>
      <c r="FF105" s="285"/>
      <c r="FG105" s="285"/>
      <c r="FH105" s="285"/>
      <c r="FI105" s="285"/>
      <c r="FJ105" s="285"/>
      <c r="FK105" s="285"/>
      <c r="FL105" s="285"/>
      <c r="FM105" s="285"/>
      <c r="FN105" s="285"/>
      <c r="FO105" s="285"/>
      <c r="FP105" s="285"/>
      <c r="FQ105" s="285"/>
      <c r="FR105" s="285"/>
      <c r="FS105" s="285"/>
      <c r="FT105" s="285"/>
      <c r="FU105" s="285"/>
      <c r="FV105" s="285"/>
      <c r="FW105" s="285"/>
      <c r="FX105" s="285"/>
      <c r="FY105" s="285"/>
      <c r="FZ105" s="285"/>
      <c r="GA105" s="285"/>
      <c r="GB105" s="285"/>
      <c r="GC105" s="285"/>
      <c r="GD105" s="285"/>
      <c r="GE105" s="285"/>
      <c r="GF105" s="285"/>
      <c r="GG105" s="285"/>
      <c r="GH105" s="285"/>
      <c r="GI105" s="285"/>
      <c r="GJ105" s="285"/>
      <c r="GK105" s="285"/>
      <c r="GL105" s="285"/>
      <c r="GM105" s="285"/>
      <c r="GN105" s="285"/>
      <c r="GO105" s="285"/>
      <c r="GP105" s="285"/>
      <c r="GQ105" s="285"/>
      <c r="GR105" s="285"/>
      <c r="GS105" s="285"/>
      <c r="GT105" s="285"/>
      <c r="GU105" s="285"/>
      <c r="GV105" s="285"/>
      <c r="GW105" s="285"/>
      <c r="GX105" s="285"/>
      <c r="GY105" s="285"/>
      <c r="GZ105" s="285"/>
      <c r="HA105" s="285"/>
      <c r="HB105" s="285"/>
      <c r="HC105" s="285"/>
      <c r="HD105" s="285"/>
      <c r="HE105" s="285"/>
      <c r="HF105" s="285"/>
      <c r="HG105" s="285"/>
      <c r="HH105" s="285"/>
      <c r="HI105" s="285"/>
      <c r="HJ105" s="285"/>
      <c r="HK105" s="285"/>
      <c r="HL105" s="285"/>
      <c r="HM105" s="285"/>
      <c r="HN105" s="285"/>
      <c r="HO105" s="285"/>
      <c r="HP105" s="285"/>
      <c r="HQ105" s="285"/>
      <c r="HR105" s="285"/>
      <c r="HS105" s="285"/>
      <c r="HT105" s="285"/>
      <c r="HU105" s="285"/>
      <c r="HV105" s="285"/>
      <c r="HW105" s="285"/>
      <c r="HX105" s="285"/>
      <c r="HY105" s="285"/>
      <c r="HZ105" s="285"/>
      <c r="IA105" s="285"/>
      <c r="IB105" s="285"/>
      <c r="IC105" s="285"/>
      <c r="ID105" s="285"/>
      <c r="IE105" s="285"/>
      <c r="IF105" s="285"/>
      <c r="IG105" s="285"/>
      <c r="IH105" s="285"/>
      <c r="II105" s="285"/>
      <c r="IJ105" s="285"/>
      <c r="IK105" s="285"/>
      <c r="IL105" s="285"/>
      <c r="IM105" s="285"/>
      <c r="IN105" s="285"/>
      <c r="IO105" s="285"/>
      <c r="IP105" s="285"/>
      <c r="IQ105" s="285"/>
      <c r="IR105" s="285"/>
      <c r="IS105" s="285"/>
      <c r="IT105" s="285"/>
      <c r="IU105" s="285"/>
      <c r="IV105" s="285"/>
      <c r="IW105" s="285"/>
      <c r="IX105" s="285"/>
      <c r="IY105" s="285"/>
      <c r="IZ105" s="285"/>
      <c r="JA105" s="285"/>
      <c r="JB105" s="285"/>
      <c r="JC105" s="285"/>
      <c r="JD105" s="285"/>
      <c r="JE105" s="285"/>
      <c r="JF105" s="285"/>
      <c r="JG105" s="285"/>
      <c r="JH105" s="285"/>
      <c r="JI105" s="285"/>
      <c r="JJ105" s="285"/>
      <c r="JK105" s="285"/>
      <c r="JL105" s="285"/>
      <c r="JM105" s="285"/>
      <c r="JN105" s="285"/>
      <c r="JO105" s="285"/>
      <c r="JP105" s="285"/>
      <c r="JQ105" s="285"/>
      <c r="JR105" s="285"/>
      <c r="JS105" s="285"/>
      <c r="JT105" s="285"/>
      <c r="JU105" s="285"/>
      <c r="JV105" s="285"/>
      <c r="JW105" s="285"/>
      <c r="JX105" s="285"/>
      <c r="JY105" s="285"/>
      <c r="JZ105" s="285"/>
      <c r="KA105" s="285"/>
      <c r="KB105" s="285"/>
      <c r="KC105" s="285"/>
      <c r="KD105" s="285"/>
      <c r="KE105" s="285"/>
      <c r="KF105" s="285"/>
      <c r="KG105" s="285"/>
      <c r="KH105" s="285"/>
      <c r="KI105" s="285"/>
      <c r="KJ105" s="285"/>
      <c r="KK105" s="285"/>
      <c r="KL105" s="285"/>
      <c r="KM105" s="285"/>
      <c r="KN105" s="285"/>
      <c r="KO105" s="285"/>
      <c r="KP105" s="285"/>
      <c r="KQ105" s="285"/>
      <c r="KR105" s="298"/>
      <c r="KS105" s="285"/>
      <c r="KT105" s="285"/>
      <c r="KU105" s="1308"/>
      <c r="KV105" s="288"/>
      <c r="KW105" s="288"/>
    </row>
    <row r="106" spans="1:309" s="1304" customFormat="1" ht="16.2" customHeight="1">
      <c r="A106" s="1385" t="s">
        <v>5877</v>
      </c>
      <c r="B106" s="1537" t="s">
        <v>5923</v>
      </c>
      <c r="C106" s="1358">
        <v>311476407</v>
      </c>
      <c r="D106" s="906" t="s">
        <v>6926</v>
      </c>
      <c r="E106" s="1507" t="s">
        <v>5944</v>
      </c>
      <c r="F106" s="74">
        <v>0</v>
      </c>
      <c r="G106" s="75"/>
      <c r="H106" s="1662" t="s">
        <v>6806</v>
      </c>
      <c r="I106" s="1662"/>
      <c r="J106" s="1570">
        <v>0</v>
      </c>
      <c r="K106" s="1902"/>
      <c r="L106" s="1902"/>
      <c r="M106" s="1902"/>
      <c r="N106" s="1902"/>
      <c r="O106" s="1308"/>
      <c r="P106" s="1308"/>
      <c r="Q106" s="1308"/>
      <c r="R106" s="1308"/>
      <c r="S106" s="1308"/>
      <c r="T106" s="1308"/>
      <c r="U106" s="1308"/>
      <c r="V106" s="1308"/>
      <c r="W106" s="1308"/>
      <c r="X106" s="1308"/>
      <c r="Y106" s="1308"/>
      <c r="Z106" s="1308"/>
      <c r="AA106" s="1308"/>
      <c r="AB106" s="285"/>
      <c r="AC106" s="285"/>
      <c r="AD106" s="285"/>
      <c r="AE106" s="285"/>
      <c r="AF106" s="285"/>
      <c r="AG106" s="285"/>
      <c r="AH106" s="285"/>
      <c r="AI106" s="285"/>
      <c r="AJ106" s="285"/>
      <c r="AK106" s="285"/>
      <c r="AL106" s="285"/>
      <c r="AM106" s="285"/>
      <c r="AN106" s="285"/>
      <c r="AO106" s="285"/>
      <c r="AP106" s="285"/>
      <c r="AQ106" s="285"/>
      <c r="AR106" s="285"/>
      <c r="AS106" s="285"/>
      <c r="AT106" s="285"/>
      <c r="AU106" s="285"/>
      <c r="AV106" s="285"/>
      <c r="AW106" s="285"/>
      <c r="AX106" s="285"/>
      <c r="AY106" s="285"/>
      <c r="AZ106" s="285"/>
      <c r="BA106" s="285"/>
      <c r="BB106" s="285"/>
      <c r="BC106" s="285"/>
      <c r="BD106" s="285"/>
      <c r="BE106" s="285"/>
      <c r="BF106" s="285"/>
      <c r="BG106" s="285"/>
      <c r="BH106" s="285"/>
      <c r="BI106" s="285"/>
      <c r="BJ106" s="285"/>
      <c r="BK106" s="285"/>
      <c r="BL106" s="285"/>
      <c r="BM106" s="285"/>
      <c r="BN106" s="285"/>
      <c r="BO106" s="285"/>
      <c r="BP106" s="285"/>
      <c r="BQ106" s="285"/>
      <c r="BR106" s="285"/>
      <c r="BS106" s="285"/>
      <c r="BT106" s="285"/>
      <c r="BU106" s="285"/>
      <c r="BV106" s="285"/>
      <c r="BW106" s="285"/>
      <c r="BX106" s="285"/>
      <c r="BY106" s="285"/>
      <c r="BZ106" s="285"/>
      <c r="CA106" s="285"/>
      <c r="CB106" s="285"/>
      <c r="CC106" s="285"/>
      <c r="CD106" s="285"/>
      <c r="CE106" s="285"/>
      <c r="CF106" s="285"/>
      <c r="CG106" s="285"/>
      <c r="CH106" s="285"/>
      <c r="CI106" s="285"/>
      <c r="CJ106" s="285"/>
      <c r="CK106" s="285"/>
      <c r="CL106" s="285"/>
      <c r="CM106" s="285"/>
      <c r="CN106" s="285"/>
      <c r="CO106" s="285"/>
      <c r="CP106" s="285"/>
      <c r="CQ106" s="285"/>
      <c r="CR106" s="285"/>
      <c r="CS106" s="285"/>
      <c r="CT106" s="285"/>
      <c r="CU106" s="285"/>
      <c r="CV106" s="285"/>
      <c r="CW106" s="285"/>
      <c r="CX106" s="285"/>
      <c r="CY106" s="285"/>
      <c r="CZ106" s="285"/>
      <c r="DA106" s="285"/>
      <c r="DB106" s="285"/>
      <c r="DC106" s="285"/>
      <c r="DD106" s="285"/>
      <c r="DE106" s="285"/>
      <c r="DF106" s="285"/>
      <c r="DG106" s="285"/>
      <c r="DH106" s="285"/>
      <c r="DI106" s="285"/>
      <c r="DJ106" s="285"/>
      <c r="DK106" s="285"/>
      <c r="DL106" s="285"/>
      <c r="DM106" s="285"/>
      <c r="DN106" s="285"/>
      <c r="DO106" s="285"/>
      <c r="DP106" s="285"/>
      <c r="DQ106" s="285"/>
      <c r="DR106" s="285"/>
      <c r="DS106" s="285"/>
      <c r="DT106" s="285"/>
      <c r="DU106" s="285"/>
      <c r="DV106" s="285"/>
      <c r="DW106" s="285"/>
      <c r="DX106" s="285"/>
      <c r="DY106" s="285"/>
      <c r="DZ106" s="285"/>
      <c r="EA106" s="285"/>
      <c r="EB106" s="285"/>
      <c r="EC106" s="285"/>
      <c r="ED106" s="285"/>
      <c r="EE106" s="285"/>
      <c r="EF106" s="285"/>
      <c r="EG106" s="285"/>
      <c r="EH106" s="285"/>
      <c r="EI106" s="285"/>
      <c r="EJ106" s="285"/>
      <c r="EK106" s="285"/>
      <c r="EL106" s="285"/>
      <c r="EM106" s="285"/>
      <c r="EN106" s="285"/>
      <c r="EO106" s="285"/>
      <c r="EP106" s="285"/>
      <c r="EQ106" s="285"/>
      <c r="ER106" s="285"/>
      <c r="ES106" s="285"/>
      <c r="ET106" s="285"/>
      <c r="EU106" s="285"/>
      <c r="EV106" s="285"/>
      <c r="EW106" s="285"/>
      <c r="EX106" s="285"/>
      <c r="EY106" s="285"/>
      <c r="EZ106" s="285"/>
      <c r="FA106" s="285"/>
      <c r="FB106" s="285"/>
      <c r="FC106" s="285"/>
      <c r="FD106" s="285"/>
      <c r="FE106" s="285"/>
      <c r="FF106" s="285"/>
      <c r="FG106" s="285"/>
      <c r="FH106" s="285"/>
      <c r="FI106" s="285"/>
      <c r="FJ106" s="285"/>
      <c r="FK106" s="285"/>
      <c r="FL106" s="285"/>
      <c r="FM106" s="285"/>
      <c r="FN106" s="285"/>
      <c r="FO106" s="285"/>
      <c r="FP106" s="285"/>
      <c r="FQ106" s="285"/>
      <c r="FR106" s="285"/>
      <c r="FS106" s="285"/>
      <c r="FT106" s="285"/>
      <c r="FU106" s="285"/>
      <c r="FV106" s="285"/>
      <c r="FW106" s="285"/>
      <c r="FX106" s="285"/>
      <c r="FY106" s="285"/>
      <c r="FZ106" s="285"/>
      <c r="GA106" s="285"/>
      <c r="GB106" s="285"/>
      <c r="GC106" s="285"/>
      <c r="GD106" s="285"/>
      <c r="GE106" s="285"/>
      <c r="GF106" s="285"/>
      <c r="GG106" s="285"/>
      <c r="GH106" s="285"/>
      <c r="GI106" s="285"/>
      <c r="GJ106" s="285"/>
      <c r="GK106" s="285"/>
      <c r="GL106" s="285"/>
      <c r="GM106" s="285"/>
      <c r="GN106" s="285"/>
      <c r="GO106" s="285"/>
      <c r="GP106" s="285"/>
      <c r="GQ106" s="285"/>
      <c r="GR106" s="285"/>
      <c r="GS106" s="285"/>
      <c r="GT106" s="285"/>
      <c r="GU106" s="285"/>
      <c r="GV106" s="285"/>
      <c r="GW106" s="285"/>
      <c r="GX106" s="285"/>
      <c r="GY106" s="285"/>
      <c r="GZ106" s="285"/>
      <c r="HA106" s="285"/>
      <c r="HB106" s="285"/>
      <c r="HC106" s="285"/>
      <c r="HD106" s="285"/>
      <c r="HE106" s="285"/>
      <c r="HF106" s="285"/>
      <c r="HG106" s="285"/>
      <c r="HH106" s="285"/>
      <c r="HI106" s="285"/>
      <c r="HJ106" s="285"/>
      <c r="HK106" s="285"/>
      <c r="HL106" s="285"/>
      <c r="HM106" s="285"/>
      <c r="HN106" s="285"/>
      <c r="HO106" s="285"/>
      <c r="HP106" s="285"/>
      <c r="HQ106" s="285"/>
      <c r="HR106" s="285"/>
      <c r="HS106" s="285"/>
      <c r="HT106" s="285"/>
      <c r="HU106" s="285"/>
      <c r="HV106" s="285"/>
      <c r="HW106" s="285"/>
      <c r="HX106" s="285"/>
      <c r="HY106" s="285"/>
      <c r="HZ106" s="285"/>
      <c r="IA106" s="285"/>
      <c r="IB106" s="285"/>
      <c r="IC106" s="285"/>
      <c r="ID106" s="285"/>
      <c r="IE106" s="285"/>
      <c r="IF106" s="285"/>
      <c r="IG106" s="285"/>
      <c r="IH106" s="285"/>
      <c r="II106" s="285"/>
      <c r="IJ106" s="285"/>
      <c r="IK106" s="285"/>
      <c r="IL106" s="285"/>
      <c r="IM106" s="285"/>
      <c r="IN106" s="285"/>
      <c r="IO106" s="285"/>
      <c r="IP106" s="285"/>
      <c r="IQ106" s="285"/>
      <c r="IR106" s="285"/>
      <c r="IS106" s="285"/>
      <c r="IT106" s="285"/>
      <c r="IU106" s="285"/>
      <c r="IV106" s="285"/>
      <c r="IW106" s="285"/>
      <c r="IX106" s="285"/>
      <c r="IY106" s="285"/>
      <c r="IZ106" s="285"/>
      <c r="JA106" s="285"/>
      <c r="JB106" s="285"/>
      <c r="JC106" s="285"/>
      <c r="JD106" s="285"/>
      <c r="JE106" s="285"/>
      <c r="JF106" s="285"/>
      <c r="JG106" s="285"/>
      <c r="JH106" s="285"/>
      <c r="JI106" s="285"/>
      <c r="JJ106" s="285"/>
      <c r="JK106" s="285"/>
      <c r="JL106" s="285"/>
      <c r="JM106" s="285"/>
      <c r="JN106" s="285"/>
      <c r="JO106" s="285"/>
      <c r="JP106" s="285"/>
      <c r="JQ106" s="285"/>
      <c r="JR106" s="285"/>
      <c r="JS106" s="285"/>
      <c r="JT106" s="285"/>
      <c r="JU106" s="285"/>
      <c r="JV106" s="285"/>
      <c r="JW106" s="285"/>
      <c r="JX106" s="285"/>
      <c r="JY106" s="285"/>
      <c r="JZ106" s="285"/>
      <c r="KA106" s="285"/>
      <c r="KB106" s="285"/>
      <c r="KC106" s="285"/>
      <c r="KD106" s="285"/>
      <c r="KE106" s="285"/>
      <c r="KF106" s="285"/>
      <c r="KG106" s="285"/>
      <c r="KH106" s="285"/>
      <c r="KI106" s="285"/>
      <c r="KJ106" s="285"/>
      <c r="KK106" s="285"/>
      <c r="KL106" s="285"/>
      <c r="KM106" s="285"/>
      <c r="KN106" s="285"/>
      <c r="KO106" s="285"/>
      <c r="KP106" s="285"/>
      <c r="KQ106" s="285"/>
      <c r="KR106" s="298"/>
      <c r="KS106" s="285"/>
      <c r="KT106" s="285"/>
      <c r="KU106" s="1308"/>
      <c r="KV106" s="288"/>
      <c r="KW106" s="288"/>
    </row>
    <row r="107" spans="1:309" s="1304" customFormat="1" ht="16.2" customHeight="1">
      <c r="A107" s="1412" t="s">
        <v>5963</v>
      </c>
      <c r="B107" s="1651" t="s">
        <v>6003</v>
      </c>
      <c r="C107" s="1358">
        <v>311518226</v>
      </c>
      <c r="D107" s="906" t="s">
        <v>6925</v>
      </c>
      <c r="E107" s="1471" t="s">
        <v>6128</v>
      </c>
      <c r="F107" s="74"/>
      <c r="G107" s="75" t="s">
        <v>6224</v>
      </c>
      <c r="H107" s="1662" t="s">
        <v>6806</v>
      </c>
      <c r="I107" s="1662"/>
      <c r="J107" s="1570">
        <v>0</v>
      </c>
      <c r="K107" s="1902"/>
      <c r="L107" s="1902"/>
      <c r="M107" s="1902"/>
      <c r="N107" s="1902"/>
      <c r="O107" s="1308"/>
      <c r="P107" s="1308"/>
      <c r="Q107" s="1308"/>
      <c r="R107" s="1308"/>
      <c r="S107" s="1308"/>
      <c r="T107" s="1308"/>
      <c r="U107" s="1308"/>
      <c r="V107" s="1308"/>
      <c r="W107" s="1308"/>
      <c r="X107" s="1308"/>
      <c r="Y107" s="1308"/>
      <c r="Z107" s="1308"/>
      <c r="AA107" s="1308"/>
      <c r="AB107" s="285"/>
      <c r="AC107" s="285"/>
      <c r="AD107" s="285"/>
      <c r="AE107" s="285"/>
      <c r="AF107" s="285"/>
      <c r="AG107" s="285"/>
      <c r="AH107" s="285"/>
      <c r="AI107" s="285"/>
      <c r="AJ107" s="285"/>
      <c r="AK107" s="285"/>
      <c r="AL107" s="285"/>
      <c r="AM107" s="285"/>
      <c r="AN107" s="285"/>
      <c r="AO107" s="285"/>
      <c r="AP107" s="285"/>
      <c r="AQ107" s="285"/>
      <c r="AR107" s="285"/>
      <c r="AS107" s="285"/>
      <c r="AT107" s="285"/>
      <c r="AU107" s="285"/>
      <c r="AV107" s="285"/>
      <c r="AW107" s="285"/>
      <c r="AX107" s="285"/>
      <c r="AY107" s="285"/>
      <c r="AZ107" s="285"/>
      <c r="BA107" s="285"/>
      <c r="BB107" s="285"/>
      <c r="BC107" s="285"/>
      <c r="BD107" s="285"/>
      <c r="BE107" s="285"/>
      <c r="BF107" s="285"/>
      <c r="BG107" s="285"/>
      <c r="BH107" s="285"/>
      <c r="BI107" s="285"/>
      <c r="BJ107" s="285"/>
      <c r="BK107" s="285"/>
      <c r="BL107" s="285"/>
      <c r="BM107" s="285"/>
      <c r="BN107" s="285"/>
      <c r="BO107" s="285"/>
      <c r="BP107" s="285"/>
      <c r="BQ107" s="285"/>
      <c r="BR107" s="285"/>
      <c r="BS107" s="285"/>
      <c r="BT107" s="285"/>
      <c r="BU107" s="285"/>
      <c r="BV107" s="285"/>
      <c r="BW107" s="285"/>
      <c r="BX107" s="285"/>
      <c r="BY107" s="285"/>
      <c r="BZ107" s="285"/>
      <c r="CA107" s="285"/>
      <c r="CB107" s="285"/>
      <c r="CC107" s="285"/>
      <c r="CD107" s="285"/>
      <c r="CE107" s="285"/>
      <c r="CF107" s="285"/>
      <c r="CG107" s="285"/>
      <c r="CH107" s="285"/>
      <c r="CI107" s="285"/>
      <c r="CJ107" s="285"/>
      <c r="CK107" s="285"/>
      <c r="CL107" s="285"/>
      <c r="CM107" s="285"/>
      <c r="CN107" s="285"/>
      <c r="CO107" s="285"/>
      <c r="CP107" s="285"/>
      <c r="CQ107" s="285"/>
      <c r="CR107" s="285"/>
      <c r="CS107" s="285"/>
      <c r="CT107" s="285"/>
      <c r="CU107" s="285"/>
      <c r="CV107" s="285"/>
      <c r="CW107" s="285"/>
      <c r="CX107" s="285"/>
      <c r="CY107" s="285"/>
      <c r="CZ107" s="285"/>
      <c r="DA107" s="285"/>
      <c r="DB107" s="285"/>
      <c r="DC107" s="285"/>
      <c r="DD107" s="285"/>
      <c r="DE107" s="285"/>
      <c r="DF107" s="285"/>
      <c r="DG107" s="285"/>
      <c r="DH107" s="285"/>
      <c r="DI107" s="285"/>
      <c r="DJ107" s="285"/>
      <c r="DK107" s="285"/>
      <c r="DL107" s="285"/>
      <c r="DM107" s="285"/>
      <c r="DN107" s="285"/>
      <c r="DO107" s="285"/>
      <c r="DP107" s="285"/>
      <c r="DQ107" s="285"/>
      <c r="DR107" s="285"/>
      <c r="DS107" s="285"/>
      <c r="DT107" s="285"/>
      <c r="DU107" s="285"/>
      <c r="DV107" s="285"/>
      <c r="DW107" s="285"/>
      <c r="DX107" s="285"/>
      <c r="DY107" s="285"/>
      <c r="DZ107" s="285"/>
      <c r="EA107" s="285"/>
      <c r="EB107" s="285"/>
      <c r="EC107" s="285"/>
      <c r="ED107" s="285"/>
      <c r="EE107" s="285"/>
      <c r="EF107" s="285"/>
      <c r="EG107" s="285"/>
      <c r="EH107" s="285"/>
      <c r="EI107" s="285"/>
      <c r="EJ107" s="285"/>
      <c r="EK107" s="285"/>
      <c r="EL107" s="285"/>
      <c r="EM107" s="285"/>
      <c r="EN107" s="285"/>
      <c r="EO107" s="285"/>
      <c r="EP107" s="285"/>
      <c r="EQ107" s="285"/>
      <c r="ER107" s="285"/>
      <c r="ES107" s="285"/>
      <c r="ET107" s="285"/>
      <c r="EU107" s="285"/>
      <c r="EV107" s="285"/>
      <c r="EW107" s="285"/>
      <c r="EX107" s="285"/>
      <c r="EY107" s="285"/>
      <c r="EZ107" s="285"/>
      <c r="FA107" s="285"/>
      <c r="FB107" s="285"/>
      <c r="FC107" s="285"/>
      <c r="FD107" s="285"/>
      <c r="FE107" s="285"/>
      <c r="FF107" s="285"/>
      <c r="FG107" s="285"/>
      <c r="FH107" s="285"/>
      <c r="FI107" s="285"/>
      <c r="FJ107" s="285"/>
      <c r="FK107" s="285"/>
      <c r="FL107" s="285"/>
      <c r="FM107" s="285"/>
      <c r="FN107" s="285"/>
      <c r="FO107" s="285"/>
      <c r="FP107" s="285"/>
      <c r="FQ107" s="285"/>
      <c r="FR107" s="285"/>
      <c r="FS107" s="285"/>
      <c r="FT107" s="285"/>
      <c r="FU107" s="285"/>
      <c r="FV107" s="285"/>
      <c r="FW107" s="285"/>
      <c r="FX107" s="285"/>
      <c r="FY107" s="285"/>
      <c r="FZ107" s="285"/>
      <c r="GA107" s="285"/>
      <c r="GB107" s="285"/>
      <c r="GC107" s="285"/>
      <c r="GD107" s="285"/>
      <c r="GE107" s="285"/>
      <c r="GF107" s="285"/>
      <c r="GG107" s="285"/>
      <c r="GH107" s="285"/>
      <c r="GI107" s="285"/>
      <c r="GJ107" s="285"/>
      <c r="GK107" s="285"/>
      <c r="GL107" s="285"/>
      <c r="GM107" s="285"/>
      <c r="GN107" s="285"/>
      <c r="GO107" s="285"/>
      <c r="GP107" s="285"/>
      <c r="GQ107" s="285"/>
      <c r="GR107" s="285"/>
      <c r="GS107" s="285"/>
      <c r="GT107" s="285"/>
      <c r="GU107" s="285"/>
      <c r="GV107" s="285"/>
      <c r="GW107" s="285"/>
      <c r="GX107" s="285"/>
      <c r="GY107" s="285"/>
      <c r="GZ107" s="285"/>
      <c r="HA107" s="285"/>
      <c r="HB107" s="285"/>
      <c r="HC107" s="285"/>
      <c r="HD107" s="285"/>
      <c r="HE107" s="285"/>
      <c r="HF107" s="285"/>
      <c r="HG107" s="285"/>
      <c r="HH107" s="285"/>
      <c r="HI107" s="285"/>
      <c r="HJ107" s="285"/>
      <c r="HK107" s="285"/>
      <c r="HL107" s="285"/>
      <c r="HM107" s="285"/>
      <c r="HN107" s="285"/>
      <c r="HO107" s="285"/>
      <c r="HP107" s="285"/>
      <c r="HQ107" s="285"/>
      <c r="HR107" s="285"/>
      <c r="HS107" s="285"/>
      <c r="HT107" s="285"/>
      <c r="HU107" s="285"/>
      <c r="HV107" s="285"/>
      <c r="HW107" s="285"/>
      <c r="HX107" s="285"/>
      <c r="HY107" s="285"/>
      <c r="HZ107" s="285"/>
      <c r="IA107" s="285"/>
      <c r="IB107" s="285"/>
      <c r="IC107" s="285"/>
      <c r="ID107" s="285"/>
      <c r="IE107" s="285"/>
      <c r="IF107" s="285"/>
      <c r="IG107" s="285"/>
      <c r="IH107" s="285"/>
      <c r="II107" s="285"/>
      <c r="IJ107" s="285"/>
      <c r="IK107" s="285"/>
      <c r="IL107" s="285"/>
      <c r="IM107" s="285"/>
      <c r="IN107" s="285"/>
      <c r="IO107" s="285"/>
      <c r="IP107" s="285"/>
      <c r="IQ107" s="285"/>
      <c r="IR107" s="285"/>
      <c r="IS107" s="285"/>
      <c r="IT107" s="285"/>
      <c r="IU107" s="285"/>
      <c r="IV107" s="285"/>
      <c r="IW107" s="285"/>
      <c r="IX107" s="285"/>
      <c r="IY107" s="285"/>
      <c r="IZ107" s="285"/>
      <c r="JA107" s="285"/>
      <c r="JB107" s="285"/>
      <c r="JC107" s="285"/>
      <c r="JD107" s="285"/>
      <c r="JE107" s="285"/>
      <c r="JF107" s="285"/>
      <c r="JG107" s="285"/>
      <c r="JH107" s="285"/>
      <c r="JI107" s="285"/>
      <c r="JJ107" s="285"/>
      <c r="JK107" s="285"/>
      <c r="JL107" s="285"/>
      <c r="JM107" s="285"/>
      <c r="JN107" s="285"/>
      <c r="JO107" s="285"/>
      <c r="JP107" s="285"/>
      <c r="JQ107" s="285"/>
      <c r="JR107" s="285"/>
      <c r="JS107" s="285"/>
      <c r="JT107" s="285"/>
      <c r="JU107" s="285"/>
      <c r="JV107" s="285"/>
      <c r="JW107" s="285"/>
      <c r="JX107" s="285"/>
      <c r="JY107" s="285"/>
      <c r="JZ107" s="285"/>
      <c r="KA107" s="285"/>
      <c r="KB107" s="285"/>
      <c r="KC107" s="285"/>
      <c r="KD107" s="285"/>
      <c r="KE107" s="285"/>
      <c r="KF107" s="285"/>
      <c r="KG107" s="285"/>
      <c r="KH107" s="285"/>
      <c r="KI107" s="285"/>
      <c r="KJ107" s="285"/>
      <c r="KK107" s="285"/>
      <c r="KL107" s="285"/>
      <c r="KM107" s="285"/>
      <c r="KN107" s="285"/>
      <c r="KO107" s="285"/>
      <c r="KP107" s="285"/>
      <c r="KQ107" s="285"/>
      <c r="KR107" s="298"/>
      <c r="KS107" s="285"/>
      <c r="KT107" s="285"/>
      <c r="KU107" s="1308"/>
      <c r="KV107" s="288"/>
      <c r="KW107" s="288"/>
    </row>
    <row r="108" spans="1:309" s="1304" customFormat="1" ht="16.2" customHeight="1">
      <c r="A108" s="1412" t="s">
        <v>5963</v>
      </c>
      <c r="B108" s="1650" t="s">
        <v>6004</v>
      </c>
      <c r="C108" s="1358">
        <v>311518448</v>
      </c>
      <c r="D108" s="906" t="s">
        <v>6925</v>
      </c>
      <c r="E108" s="1444" t="s">
        <v>6070</v>
      </c>
      <c r="F108" s="944">
        <v>0</v>
      </c>
      <c r="G108" s="75" t="s">
        <v>5320</v>
      </c>
      <c r="H108" s="1662" t="s">
        <v>6806</v>
      </c>
      <c r="I108" s="1662"/>
      <c r="J108" s="1570">
        <v>0</v>
      </c>
      <c r="K108" s="1902"/>
      <c r="L108" s="1902"/>
      <c r="M108" s="1902"/>
      <c r="N108" s="1902"/>
      <c r="O108" s="1308"/>
      <c r="P108" s="1308"/>
      <c r="Q108" s="1308"/>
      <c r="R108" s="1308"/>
      <c r="S108" s="1308"/>
      <c r="T108" s="1308"/>
      <c r="U108" s="1308"/>
      <c r="V108" s="1308"/>
      <c r="W108" s="1308"/>
      <c r="X108" s="1308"/>
      <c r="Y108" s="1308"/>
      <c r="Z108" s="1308"/>
      <c r="AA108" s="1308"/>
      <c r="AB108" s="285"/>
      <c r="AC108" s="285"/>
      <c r="AD108" s="285"/>
      <c r="AE108" s="285"/>
      <c r="AF108" s="285"/>
      <c r="AG108" s="285"/>
      <c r="AH108" s="285"/>
      <c r="AI108" s="285"/>
      <c r="AJ108" s="285"/>
      <c r="AK108" s="285"/>
      <c r="AL108" s="285"/>
      <c r="AM108" s="285"/>
      <c r="AN108" s="285"/>
      <c r="AO108" s="285"/>
      <c r="AP108" s="285"/>
      <c r="AQ108" s="285"/>
      <c r="AR108" s="285"/>
      <c r="AS108" s="285"/>
      <c r="AT108" s="285"/>
      <c r="AU108" s="285"/>
      <c r="AV108" s="285"/>
      <c r="AW108" s="285"/>
      <c r="AX108" s="285"/>
      <c r="AY108" s="285"/>
      <c r="AZ108" s="285"/>
      <c r="BA108" s="285"/>
      <c r="BB108" s="285"/>
      <c r="BC108" s="285"/>
      <c r="BD108" s="285"/>
      <c r="BE108" s="285"/>
      <c r="BF108" s="285"/>
      <c r="BG108" s="285"/>
      <c r="BH108" s="285"/>
      <c r="BI108" s="285"/>
      <c r="BJ108" s="285"/>
      <c r="BK108" s="285"/>
      <c r="BL108" s="285"/>
      <c r="BM108" s="285"/>
      <c r="BN108" s="285"/>
      <c r="BO108" s="285"/>
      <c r="BP108" s="285"/>
      <c r="BQ108" s="285"/>
      <c r="BR108" s="285"/>
      <c r="BS108" s="285"/>
      <c r="BT108" s="285"/>
      <c r="BU108" s="285"/>
      <c r="BV108" s="285"/>
      <c r="BW108" s="285"/>
      <c r="BX108" s="285"/>
      <c r="BY108" s="285"/>
      <c r="BZ108" s="285"/>
      <c r="CA108" s="285"/>
      <c r="CB108" s="285"/>
      <c r="CC108" s="285"/>
      <c r="CD108" s="285"/>
      <c r="CE108" s="285"/>
      <c r="CF108" s="285"/>
      <c r="CG108" s="285"/>
      <c r="CH108" s="285"/>
      <c r="CI108" s="285"/>
      <c r="CJ108" s="285"/>
      <c r="CK108" s="285"/>
      <c r="CL108" s="285"/>
      <c r="CM108" s="285"/>
      <c r="CN108" s="285"/>
      <c r="CO108" s="285"/>
      <c r="CP108" s="285"/>
      <c r="CQ108" s="285"/>
      <c r="CR108" s="285"/>
      <c r="CS108" s="285"/>
      <c r="CT108" s="285"/>
      <c r="CU108" s="285"/>
      <c r="CV108" s="285"/>
      <c r="CW108" s="285"/>
      <c r="CX108" s="285"/>
      <c r="CY108" s="285"/>
      <c r="CZ108" s="285"/>
      <c r="DA108" s="285"/>
      <c r="DB108" s="285"/>
      <c r="DC108" s="285"/>
      <c r="DD108" s="285"/>
      <c r="DE108" s="285"/>
      <c r="DF108" s="285"/>
      <c r="DG108" s="285"/>
      <c r="DH108" s="285"/>
      <c r="DI108" s="285"/>
      <c r="DJ108" s="285"/>
      <c r="DK108" s="285"/>
      <c r="DL108" s="285"/>
      <c r="DM108" s="285"/>
      <c r="DN108" s="285"/>
      <c r="DO108" s="285"/>
      <c r="DP108" s="285"/>
      <c r="DQ108" s="285"/>
      <c r="DR108" s="285"/>
      <c r="DS108" s="285"/>
      <c r="DT108" s="285"/>
      <c r="DU108" s="285"/>
      <c r="DV108" s="285"/>
      <c r="DW108" s="285"/>
      <c r="DX108" s="285"/>
      <c r="DY108" s="285"/>
      <c r="DZ108" s="285"/>
      <c r="EA108" s="285"/>
      <c r="EB108" s="285"/>
      <c r="EC108" s="285"/>
      <c r="ED108" s="285"/>
      <c r="EE108" s="285"/>
      <c r="EF108" s="285"/>
      <c r="EG108" s="285"/>
      <c r="EH108" s="285"/>
      <c r="EI108" s="285"/>
      <c r="EJ108" s="285"/>
      <c r="EK108" s="285"/>
      <c r="EL108" s="285"/>
      <c r="EM108" s="285"/>
      <c r="EN108" s="285"/>
      <c r="EO108" s="285"/>
      <c r="EP108" s="285"/>
      <c r="EQ108" s="285"/>
      <c r="ER108" s="285"/>
      <c r="ES108" s="285"/>
      <c r="ET108" s="285"/>
      <c r="EU108" s="285"/>
      <c r="EV108" s="285"/>
      <c r="EW108" s="285"/>
      <c r="EX108" s="285"/>
      <c r="EY108" s="285"/>
      <c r="EZ108" s="285"/>
      <c r="FA108" s="285"/>
      <c r="FB108" s="285"/>
      <c r="FC108" s="285"/>
      <c r="FD108" s="285"/>
      <c r="FE108" s="285"/>
      <c r="FF108" s="285"/>
      <c r="FG108" s="285"/>
      <c r="FH108" s="285"/>
      <c r="FI108" s="285"/>
      <c r="FJ108" s="285"/>
      <c r="FK108" s="285"/>
      <c r="FL108" s="285"/>
      <c r="FM108" s="285"/>
      <c r="FN108" s="285"/>
      <c r="FO108" s="285"/>
      <c r="FP108" s="285"/>
      <c r="FQ108" s="285"/>
      <c r="FR108" s="285"/>
      <c r="FS108" s="285"/>
      <c r="FT108" s="285"/>
      <c r="FU108" s="285"/>
      <c r="FV108" s="285"/>
      <c r="FW108" s="285"/>
      <c r="FX108" s="285"/>
      <c r="FY108" s="285"/>
      <c r="FZ108" s="285"/>
      <c r="GA108" s="285"/>
      <c r="GB108" s="285"/>
      <c r="GC108" s="285"/>
      <c r="GD108" s="285"/>
      <c r="GE108" s="285"/>
      <c r="GF108" s="285"/>
      <c r="GG108" s="285"/>
      <c r="GH108" s="285"/>
      <c r="GI108" s="285"/>
      <c r="GJ108" s="285"/>
      <c r="GK108" s="285"/>
      <c r="GL108" s="285"/>
      <c r="GM108" s="285"/>
      <c r="GN108" s="285"/>
      <c r="GO108" s="285"/>
      <c r="GP108" s="285"/>
      <c r="GQ108" s="285"/>
      <c r="GR108" s="285"/>
      <c r="GS108" s="285"/>
      <c r="GT108" s="285"/>
      <c r="GU108" s="285"/>
      <c r="GV108" s="285"/>
      <c r="GW108" s="285"/>
      <c r="GX108" s="285"/>
      <c r="GY108" s="285"/>
      <c r="GZ108" s="285"/>
      <c r="HA108" s="285"/>
      <c r="HB108" s="285"/>
      <c r="HC108" s="285"/>
      <c r="HD108" s="285"/>
      <c r="HE108" s="285"/>
      <c r="HF108" s="285"/>
      <c r="HG108" s="285"/>
      <c r="HH108" s="285"/>
      <c r="HI108" s="285"/>
      <c r="HJ108" s="285"/>
      <c r="HK108" s="285"/>
      <c r="HL108" s="285"/>
      <c r="HM108" s="285"/>
      <c r="HN108" s="285"/>
      <c r="HO108" s="285"/>
      <c r="HP108" s="285"/>
      <c r="HQ108" s="285"/>
      <c r="HR108" s="285"/>
      <c r="HS108" s="285"/>
      <c r="HT108" s="285"/>
      <c r="HU108" s="285"/>
      <c r="HV108" s="285"/>
      <c r="HW108" s="285"/>
      <c r="HX108" s="285"/>
      <c r="HY108" s="285"/>
      <c r="HZ108" s="285"/>
      <c r="IA108" s="285"/>
      <c r="IB108" s="285"/>
      <c r="IC108" s="285"/>
      <c r="ID108" s="285"/>
      <c r="IE108" s="285"/>
      <c r="IF108" s="285"/>
      <c r="IG108" s="285"/>
      <c r="IH108" s="285"/>
      <c r="II108" s="285"/>
      <c r="IJ108" s="285"/>
      <c r="IK108" s="285"/>
      <c r="IL108" s="285"/>
      <c r="IM108" s="285"/>
      <c r="IN108" s="285"/>
      <c r="IO108" s="285"/>
      <c r="IP108" s="285"/>
      <c r="IQ108" s="285"/>
      <c r="IR108" s="285"/>
      <c r="IS108" s="285"/>
      <c r="IT108" s="285"/>
      <c r="IU108" s="285"/>
      <c r="IV108" s="285"/>
      <c r="IW108" s="285"/>
      <c r="IX108" s="285"/>
      <c r="IY108" s="285"/>
      <c r="IZ108" s="285"/>
      <c r="JA108" s="285"/>
      <c r="JB108" s="285"/>
      <c r="JC108" s="285"/>
      <c r="JD108" s="285"/>
      <c r="JE108" s="285"/>
      <c r="JF108" s="285"/>
      <c r="JG108" s="285"/>
      <c r="JH108" s="285"/>
      <c r="JI108" s="285"/>
      <c r="JJ108" s="285"/>
      <c r="JK108" s="285"/>
      <c r="JL108" s="285"/>
      <c r="JM108" s="285"/>
      <c r="JN108" s="285"/>
      <c r="JO108" s="285"/>
      <c r="JP108" s="285"/>
      <c r="JQ108" s="285"/>
      <c r="JR108" s="285"/>
      <c r="JS108" s="285"/>
      <c r="JT108" s="285"/>
      <c r="JU108" s="285"/>
      <c r="JV108" s="285"/>
      <c r="JW108" s="285"/>
      <c r="JX108" s="285"/>
      <c r="JY108" s="285"/>
      <c r="JZ108" s="285"/>
      <c r="KA108" s="285"/>
      <c r="KB108" s="285"/>
      <c r="KC108" s="285"/>
      <c r="KD108" s="285"/>
      <c r="KE108" s="285"/>
      <c r="KF108" s="285"/>
      <c r="KG108" s="285"/>
      <c r="KH108" s="285"/>
      <c r="KI108" s="285"/>
      <c r="KJ108" s="285"/>
      <c r="KK108" s="285"/>
      <c r="KL108" s="285"/>
      <c r="KM108" s="285"/>
      <c r="KN108" s="285"/>
      <c r="KO108" s="285"/>
      <c r="KP108" s="285"/>
      <c r="KQ108" s="285"/>
      <c r="KR108" s="298"/>
      <c r="KS108" s="285"/>
      <c r="KT108" s="285"/>
      <c r="KU108" s="1308"/>
      <c r="KV108" s="288"/>
      <c r="KW108" s="288"/>
    </row>
    <row r="109" spans="1:309" s="1304" customFormat="1" ht="16.2" customHeight="1">
      <c r="A109" s="1423" t="s">
        <v>5986</v>
      </c>
      <c r="B109" s="1652" t="s">
        <v>6045</v>
      </c>
      <c r="C109" s="1358">
        <v>311541484</v>
      </c>
      <c r="D109" s="906" t="s">
        <v>6925</v>
      </c>
      <c r="E109" s="1488" t="s">
        <v>6226</v>
      </c>
      <c r="F109" s="944">
        <v>0</v>
      </c>
      <c r="G109" s="75" t="s">
        <v>5320</v>
      </c>
      <c r="H109" s="1662" t="s">
        <v>6806</v>
      </c>
      <c r="I109" s="1662"/>
      <c r="J109" s="1570">
        <v>0</v>
      </c>
      <c r="K109" s="1902"/>
      <c r="L109" s="1902"/>
      <c r="M109" s="1902"/>
      <c r="N109" s="1902"/>
      <c r="O109" s="659">
        <v>71257840</v>
      </c>
      <c r="P109" s="659"/>
      <c r="Q109" s="659"/>
      <c r="R109" s="1308"/>
      <c r="S109" s="1308"/>
      <c r="T109" s="1308"/>
      <c r="U109" s="1308"/>
      <c r="V109" s="1308"/>
      <c r="W109" s="1308"/>
      <c r="X109" s="1308"/>
      <c r="Y109" s="1308"/>
      <c r="Z109" s="1308"/>
      <c r="AA109" s="1308"/>
      <c r="AB109" s="285"/>
      <c r="AC109" s="285"/>
      <c r="AD109" s="285"/>
      <c r="AE109" s="285"/>
      <c r="AF109" s="285"/>
      <c r="AG109" s="285"/>
      <c r="AH109" s="285"/>
      <c r="AI109" s="285"/>
      <c r="AJ109" s="285"/>
      <c r="AK109" s="285"/>
      <c r="AL109" s="285"/>
      <c r="AM109" s="285"/>
      <c r="AN109" s="285"/>
      <c r="AO109" s="285"/>
      <c r="AP109" s="285"/>
      <c r="AQ109" s="285"/>
      <c r="AR109" s="285"/>
      <c r="AS109" s="285"/>
      <c r="AT109" s="285"/>
      <c r="AU109" s="285"/>
      <c r="AV109" s="285"/>
      <c r="AW109" s="285"/>
      <c r="AX109" s="285"/>
      <c r="AY109" s="285"/>
      <c r="AZ109" s="285"/>
      <c r="BA109" s="285"/>
      <c r="BB109" s="285"/>
      <c r="BC109" s="285"/>
      <c r="BD109" s="285"/>
      <c r="BE109" s="285"/>
      <c r="BF109" s="285"/>
      <c r="BG109" s="285"/>
      <c r="BH109" s="285"/>
      <c r="BI109" s="285"/>
      <c r="BJ109" s="285"/>
      <c r="BK109" s="285"/>
      <c r="BL109" s="285"/>
      <c r="BM109" s="285"/>
      <c r="BN109" s="285"/>
      <c r="BO109" s="285"/>
      <c r="BP109" s="285"/>
      <c r="BQ109" s="285"/>
      <c r="BR109" s="285"/>
      <c r="BS109" s="285"/>
      <c r="BT109" s="285"/>
      <c r="BU109" s="285"/>
      <c r="BV109" s="285"/>
      <c r="BW109" s="285"/>
      <c r="BX109" s="285"/>
      <c r="BY109" s="285"/>
      <c r="BZ109" s="285"/>
      <c r="CA109" s="285"/>
      <c r="CB109" s="285"/>
      <c r="CC109" s="285"/>
      <c r="CD109" s="285"/>
      <c r="CE109" s="285"/>
      <c r="CF109" s="285"/>
      <c r="CG109" s="285"/>
      <c r="CH109" s="285"/>
      <c r="CI109" s="285"/>
      <c r="CJ109" s="285"/>
      <c r="CK109" s="285"/>
      <c r="CL109" s="285"/>
      <c r="CM109" s="285"/>
      <c r="CN109" s="285"/>
      <c r="CO109" s="285"/>
      <c r="CP109" s="285"/>
      <c r="CQ109" s="285"/>
      <c r="CR109" s="285"/>
      <c r="CS109" s="285"/>
      <c r="CT109" s="285"/>
      <c r="CU109" s="285"/>
      <c r="CV109" s="285"/>
      <c r="CW109" s="285"/>
      <c r="CX109" s="285"/>
      <c r="CY109" s="285"/>
      <c r="CZ109" s="285"/>
      <c r="DA109" s="285"/>
      <c r="DB109" s="285"/>
      <c r="DC109" s="285"/>
      <c r="DD109" s="285"/>
      <c r="DE109" s="285"/>
      <c r="DF109" s="285"/>
      <c r="DG109" s="285"/>
      <c r="DH109" s="285"/>
      <c r="DI109" s="285"/>
      <c r="DJ109" s="285"/>
      <c r="DK109" s="285"/>
      <c r="DL109" s="285"/>
      <c r="DM109" s="285"/>
      <c r="DN109" s="285"/>
      <c r="DO109" s="285"/>
      <c r="DP109" s="285"/>
      <c r="DQ109" s="285"/>
      <c r="DR109" s="285"/>
      <c r="DS109" s="285"/>
      <c r="DT109" s="285"/>
      <c r="DU109" s="285"/>
      <c r="DV109" s="285"/>
      <c r="DW109" s="285"/>
      <c r="DX109" s="285"/>
      <c r="DY109" s="285"/>
      <c r="DZ109" s="285"/>
      <c r="EA109" s="285"/>
      <c r="EB109" s="285"/>
      <c r="EC109" s="285"/>
      <c r="ED109" s="285"/>
      <c r="EE109" s="285"/>
      <c r="EF109" s="285"/>
      <c r="EG109" s="285"/>
      <c r="EH109" s="285"/>
      <c r="EI109" s="285"/>
      <c r="EJ109" s="285"/>
      <c r="EK109" s="285"/>
      <c r="EL109" s="285"/>
      <c r="EM109" s="285"/>
      <c r="EN109" s="285"/>
      <c r="EO109" s="285"/>
      <c r="EP109" s="285"/>
      <c r="EQ109" s="285"/>
      <c r="ER109" s="285"/>
      <c r="ES109" s="285"/>
      <c r="ET109" s="285"/>
      <c r="EU109" s="285"/>
      <c r="EV109" s="285"/>
      <c r="EW109" s="285"/>
      <c r="EX109" s="285"/>
      <c r="EY109" s="285"/>
      <c r="EZ109" s="285"/>
      <c r="FA109" s="285"/>
      <c r="FB109" s="285"/>
      <c r="FC109" s="285"/>
      <c r="FD109" s="285"/>
      <c r="FE109" s="285"/>
      <c r="FF109" s="285"/>
      <c r="FG109" s="285"/>
      <c r="FH109" s="285"/>
      <c r="FI109" s="285"/>
      <c r="FJ109" s="285"/>
      <c r="FK109" s="285"/>
      <c r="FL109" s="285"/>
      <c r="FM109" s="285"/>
      <c r="FN109" s="285"/>
      <c r="FO109" s="285"/>
      <c r="FP109" s="285"/>
      <c r="FQ109" s="285"/>
      <c r="FR109" s="285"/>
      <c r="FS109" s="285"/>
      <c r="FT109" s="285"/>
      <c r="FU109" s="285"/>
      <c r="FV109" s="285"/>
      <c r="FW109" s="285"/>
      <c r="FX109" s="285"/>
      <c r="FY109" s="285"/>
      <c r="FZ109" s="285"/>
      <c r="GA109" s="285"/>
      <c r="GB109" s="285"/>
      <c r="GC109" s="285"/>
      <c r="GD109" s="285"/>
      <c r="GE109" s="285"/>
      <c r="GF109" s="285"/>
      <c r="GG109" s="285"/>
      <c r="GH109" s="285"/>
      <c r="GI109" s="285"/>
      <c r="GJ109" s="285"/>
      <c r="GK109" s="285"/>
      <c r="GL109" s="285"/>
      <c r="GM109" s="285"/>
      <c r="GN109" s="285"/>
      <c r="GO109" s="285"/>
      <c r="GP109" s="285"/>
      <c r="GQ109" s="285"/>
      <c r="GR109" s="285"/>
      <c r="GS109" s="285"/>
      <c r="GT109" s="285"/>
      <c r="GU109" s="285"/>
      <c r="GV109" s="285"/>
      <c r="GW109" s="285"/>
      <c r="GX109" s="285"/>
      <c r="GY109" s="285"/>
      <c r="GZ109" s="285"/>
      <c r="HA109" s="285"/>
      <c r="HB109" s="285"/>
      <c r="HC109" s="285"/>
      <c r="HD109" s="285"/>
      <c r="HE109" s="285"/>
      <c r="HF109" s="285"/>
      <c r="HG109" s="285"/>
      <c r="HH109" s="285"/>
      <c r="HI109" s="285"/>
      <c r="HJ109" s="285"/>
      <c r="HK109" s="285"/>
      <c r="HL109" s="285"/>
      <c r="HM109" s="285"/>
      <c r="HN109" s="285"/>
      <c r="HO109" s="285"/>
      <c r="HP109" s="285"/>
      <c r="HQ109" s="285"/>
      <c r="HR109" s="285"/>
      <c r="HS109" s="285"/>
      <c r="HT109" s="285"/>
      <c r="HU109" s="285"/>
      <c r="HV109" s="285"/>
      <c r="HW109" s="285"/>
      <c r="HX109" s="285"/>
      <c r="HY109" s="285"/>
      <c r="HZ109" s="285"/>
      <c r="IA109" s="285"/>
      <c r="IB109" s="285"/>
      <c r="IC109" s="285"/>
      <c r="ID109" s="285"/>
      <c r="IE109" s="285"/>
      <c r="IF109" s="285"/>
      <c r="IG109" s="285"/>
      <c r="IH109" s="285"/>
      <c r="II109" s="285"/>
      <c r="IJ109" s="285"/>
      <c r="IK109" s="285"/>
      <c r="IL109" s="285"/>
      <c r="IM109" s="285"/>
      <c r="IN109" s="285"/>
      <c r="IO109" s="285"/>
      <c r="IP109" s="285"/>
      <c r="IQ109" s="285"/>
      <c r="IR109" s="285"/>
      <c r="IS109" s="285"/>
      <c r="IT109" s="285"/>
      <c r="IU109" s="285"/>
      <c r="IV109" s="285"/>
      <c r="IW109" s="285"/>
      <c r="IX109" s="285"/>
      <c r="IY109" s="285"/>
      <c r="IZ109" s="285"/>
      <c r="JA109" s="285"/>
      <c r="JB109" s="285"/>
      <c r="JC109" s="285"/>
      <c r="JD109" s="285"/>
      <c r="JE109" s="285"/>
      <c r="JF109" s="285"/>
      <c r="JG109" s="285"/>
      <c r="JH109" s="285"/>
      <c r="JI109" s="285"/>
      <c r="JJ109" s="285"/>
      <c r="JK109" s="285"/>
      <c r="JL109" s="285"/>
      <c r="JM109" s="285"/>
      <c r="JN109" s="285"/>
      <c r="JO109" s="285"/>
      <c r="JP109" s="285"/>
      <c r="JQ109" s="285"/>
      <c r="JR109" s="285"/>
      <c r="JS109" s="285"/>
      <c r="JT109" s="285"/>
      <c r="JU109" s="285"/>
      <c r="JV109" s="285"/>
      <c r="JW109" s="285"/>
      <c r="JX109" s="285"/>
      <c r="JY109" s="285"/>
      <c r="JZ109" s="285"/>
      <c r="KA109" s="285"/>
      <c r="KB109" s="285"/>
      <c r="KC109" s="285"/>
      <c r="KD109" s="285"/>
      <c r="KE109" s="285"/>
      <c r="KF109" s="285"/>
      <c r="KG109" s="285"/>
      <c r="KH109" s="285"/>
      <c r="KI109" s="285"/>
      <c r="KJ109" s="285"/>
      <c r="KK109" s="285"/>
      <c r="KL109" s="285"/>
      <c r="KM109" s="285"/>
      <c r="KN109" s="285"/>
      <c r="KO109" s="285"/>
      <c r="KP109" s="285"/>
      <c r="KQ109" s="285"/>
      <c r="KR109" s="298"/>
      <c r="KS109" s="285"/>
      <c r="KT109" s="285"/>
      <c r="KU109" s="1308"/>
      <c r="KV109" s="288"/>
      <c r="KW109" s="288"/>
    </row>
    <row r="110" spans="1:309" s="1304" customFormat="1" ht="16.2" customHeight="1">
      <c r="A110" s="1423" t="s">
        <v>5986</v>
      </c>
      <c r="B110" s="1681" t="s">
        <v>6046</v>
      </c>
      <c r="C110" s="1358">
        <v>311535854</v>
      </c>
      <c r="D110" s="906" t="s">
        <v>6925</v>
      </c>
      <c r="E110" s="1439" t="s">
        <v>6059</v>
      </c>
      <c r="F110" s="74"/>
      <c r="G110" s="75" t="s">
        <v>5294</v>
      </c>
      <c r="H110" s="1662" t="s">
        <v>6806</v>
      </c>
      <c r="I110" s="1662"/>
      <c r="J110" s="1570">
        <v>0.1</v>
      </c>
      <c r="K110" s="1902"/>
      <c r="L110" s="1902"/>
      <c r="M110" s="1902"/>
      <c r="N110" s="1902"/>
      <c r="O110" s="659">
        <v>71257980</v>
      </c>
      <c r="P110" s="659"/>
      <c r="Q110" s="659"/>
      <c r="R110" s="1308"/>
      <c r="S110" s="1308"/>
      <c r="T110" s="1308"/>
      <c r="U110" s="1308"/>
      <c r="V110" s="659">
        <v>100</v>
      </c>
      <c r="W110" s="1308"/>
      <c r="X110" s="1308"/>
      <c r="Y110" s="1308"/>
      <c r="Z110" s="1308"/>
      <c r="AA110" s="1308"/>
      <c r="AB110" s="285"/>
      <c r="AC110" s="285"/>
      <c r="AD110" s="285"/>
      <c r="AE110" s="285"/>
      <c r="AF110" s="285"/>
      <c r="AG110" s="285"/>
      <c r="AH110" s="285"/>
      <c r="AI110" s="285"/>
      <c r="AJ110" s="285"/>
      <c r="AK110" s="285"/>
      <c r="AL110" s="285"/>
      <c r="AM110" s="285"/>
      <c r="AN110" s="285"/>
      <c r="AO110" s="285"/>
      <c r="AP110" s="285"/>
      <c r="AQ110" s="285"/>
      <c r="AR110" s="285"/>
      <c r="AS110" s="285"/>
      <c r="AT110" s="285"/>
      <c r="AU110" s="285"/>
      <c r="AV110" s="285"/>
      <c r="AW110" s="285"/>
      <c r="AX110" s="285"/>
      <c r="AY110" s="285"/>
      <c r="AZ110" s="285"/>
      <c r="BA110" s="285"/>
      <c r="BB110" s="285"/>
      <c r="BC110" s="285"/>
      <c r="BD110" s="285"/>
      <c r="BE110" s="285"/>
      <c r="BF110" s="285"/>
      <c r="BG110" s="285"/>
      <c r="BH110" s="285"/>
      <c r="BI110" s="285"/>
      <c r="BJ110" s="285"/>
      <c r="BK110" s="285"/>
      <c r="BL110" s="285"/>
      <c r="BM110" s="285"/>
      <c r="BN110" s="285"/>
      <c r="BO110" s="285"/>
      <c r="BP110" s="285"/>
      <c r="BQ110" s="285"/>
      <c r="BR110" s="285"/>
      <c r="BS110" s="285"/>
      <c r="BT110" s="285"/>
      <c r="BU110" s="285"/>
      <c r="BV110" s="285"/>
      <c r="BW110" s="285"/>
      <c r="BX110" s="285"/>
      <c r="BY110" s="285"/>
      <c r="BZ110" s="285"/>
      <c r="CA110" s="285"/>
      <c r="CB110" s="285"/>
      <c r="CC110" s="285"/>
      <c r="CD110" s="285"/>
      <c r="CE110" s="285"/>
      <c r="CF110" s="285"/>
      <c r="CG110" s="285"/>
      <c r="CH110" s="285"/>
      <c r="CI110" s="285"/>
      <c r="CJ110" s="285"/>
      <c r="CK110" s="285"/>
      <c r="CL110" s="285"/>
      <c r="CM110" s="285"/>
      <c r="CN110" s="285"/>
      <c r="CO110" s="285"/>
      <c r="CP110" s="285"/>
      <c r="CQ110" s="285"/>
      <c r="CR110" s="285"/>
      <c r="CS110" s="285"/>
      <c r="CT110" s="285"/>
      <c r="CU110" s="285"/>
      <c r="CV110" s="285"/>
      <c r="CW110" s="285"/>
      <c r="CX110" s="285"/>
      <c r="CY110" s="285"/>
      <c r="CZ110" s="285"/>
      <c r="DA110" s="285"/>
      <c r="DB110" s="285"/>
      <c r="DC110" s="285"/>
      <c r="DD110" s="285"/>
      <c r="DE110" s="285"/>
      <c r="DF110" s="285"/>
      <c r="DG110" s="285"/>
      <c r="DH110" s="285"/>
      <c r="DI110" s="285"/>
      <c r="DJ110" s="285"/>
      <c r="DK110" s="285"/>
      <c r="DL110" s="285"/>
      <c r="DM110" s="285"/>
      <c r="DN110" s="285"/>
      <c r="DO110" s="285"/>
      <c r="DP110" s="285"/>
      <c r="DQ110" s="285"/>
      <c r="DR110" s="285"/>
      <c r="DS110" s="285"/>
      <c r="DT110" s="285"/>
      <c r="DU110" s="285"/>
      <c r="DV110" s="285"/>
      <c r="DW110" s="285"/>
      <c r="DX110" s="285"/>
      <c r="DY110" s="285"/>
      <c r="DZ110" s="285"/>
      <c r="EA110" s="285"/>
      <c r="EB110" s="285"/>
      <c r="EC110" s="285"/>
      <c r="ED110" s="285"/>
      <c r="EE110" s="285"/>
      <c r="EF110" s="285"/>
      <c r="EG110" s="285"/>
      <c r="EH110" s="285"/>
      <c r="EI110" s="285"/>
      <c r="EJ110" s="285"/>
      <c r="EK110" s="285"/>
      <c r="EL110" s="285"/>
      <c r="EM110" s="285"/>
      <c r="EN110" s="285"/>
      <c r="EO110" s="285"/>
      <c r="EP110" s="285"/>
      <c r="EQ110" s="285"/>
      <c r="ER110" s="285"/>
      <c r="ES110" s="285"/>
      <c r="ET110" s="285"/>
      <c r="EU110" s="285"/>
      <c r="EV110" s="285"/>
      <c r="EW110" s="285"/>
      <c r="EX110" s="285"/>
      <c r="EY110" s="285"/>
      <c r="EZ110" s="285"/>
      <c r="FA110" s="285"/>
      <c r="FB110" s="285"/>
      <c r="FC110" s="285"/>
      <c r="FD110" s="285"/>
      <c r="FE110" s="285"/>
      <c r="FF110" s="285"/>
      <c r="FG110" s="285"/>
      <c r="FH110" s="285"/>
      <c r="FI110" s="285"/>
      <c r="FJ110" s="285"/>
      <c r="FK110" s="285"/>
      <c r="FL110" s="285"/>
      <c r="FM110" s="285"/>
      <c r="FN110" s="285"/>
      <c r="FO110" s="285"/>
      <c r="FP110" s="285"/>
      <c r="FQ110" s="285"/>
      <c r="FR110" s="285"/>
      <c r="FS110" s="285"/>
      <c r="FT110" s="285"/>
      <c r="FU110" s="285"/>
      <c r="FV110" s="285"/>
      <c r="FW110" s="285"/>
      <c r="FX110" s="285"/>
      <c r="FY110" s="285"/>
      <c r="FZ110" s="285"/>
      <c r="GA110" s="285"/>
      <c r="GB110" s="285"/>
      <c r="GC110" s="285"/>
      <c r="GD110" s="285"/>
      <c r="GE110" s="285"/>
      <c r="GF110" s="285"/>
      <c r="GG110" s="285"/>
      <c r="GH110" s="285"/>
      <c r="GI110" s="285"/>
      <c r="GJ110" s="285"/>
      <c r="GK110" s="285"/>
      <c r="GL110" s="285"/>
      <c r="GM110" s="285"/>
      <c r="GN110" s="285"/>
      <c r="GO110" s="285"/>
      <c r="GP110" s="285"/>
      <c r="GQ110" s="285"/>
      <c r="GR110" s="285"/>
      <c r="GS110" s="285"/>
      <c r="GT110" s="285"/>
      <c r="GU110" s="285"/>
      <c r="GV110" s="285"/>
      <c r="GW110" s="285"/>
      <c r="GX110" s="285"/>
      <c r="GY110" s="285"/>
      <c r="GZ110" s="285"/>
      <c r="HA110" s="285"/>
      <c r="HB110" s="285"/>
      <c r="HC110" s="285"/>
      <c r="HD110" s="285"/>
      <c r="HE110" s="285"/>
      <c r="HF110" s="285"/>
      <c r="HG110" s="285"/>
      <c r="HH110" s="285"/>
      <c r="HI110" s="285"/>
      <c r="HJ110" s="285"/>
      <c r="HK110" s="285"/>
      <c r="HL110" s="285"/>
      <c r="HM110" s="285"/>
      <c r="HN110" s="285"/>
      <c r="HO110" s="285"/>
      <c r="HP110" s="285"/>
      <c r="HQ110" s="285"/>
      <c r="HR110" s="285"/>
      <c r="HS110" s="285"/>
      <c r="HT110" s="285"/>
      <c r="HU110" s="285"/>
      <c r="HV110" s="285"/>
      <c r="HW110" s="285"/>
      <c r="HX110" s="285"/>
      <c r="HY110" s="285"/>
      <c r="HZ110" s="285"/>
      <c r="IA110" s="285"/>
      <c r="IB110" s="285"/>
      <c r="IC110" s="285"/>
      <c r="ID110" s="285"/>
      <c r="IE110" s="285"/>
      <c r="IF110" s="285"/>
      <c r="IG110" s="285"/>
      <c r="IH110" s="285"/>
      <c r="II110" s="285"/>
      <c r="IJ110" s="285"/>
      <c r="IK110" s="285"/>
      <c r="IL110" s="285"/>
      <c r="IM110" s="285"/>
      <c r="IN110" s="285"/>
      <c r="IO110" s="285"/>
      <c r="IP110" s="285"/>
      <c r="IQ110" s="285"/>
      <c r="IR110" s="285"/>
      <c r="IS110" s="285"/>
      <c r="IT110" s="285"/>
      <c r="IU110" s="285"/>
      <c r="IV110" s="285"/>
      <c r="IW110" s="285"/>
      <c r="IX110" s="285"/>
      <c r="IY110" s="285"/>
      <c r="IZ110" s="285"/>
      <c r="JA110" s="285"/>
      <c r="JB110" s="285"/>
      <c r="JC110" s="285"/>
      <c r="JD110" s="285"/>
      <c r="JE110" s="285"/>
      <c r="JF110" s="285"/>
      <c r="JG110" s="285"/>
      <c r="JH110" s="285"/>
      <c r="JI110" s="285"/>
      <c r="JJ110" s="285"/>
      <c r="JK110" s="285"/>
      <c r="JL110" s="285"/>
      <c r="JM110" s="285"/>
      <c r="JN110" s="285"/>
      <c r="JO110" s="285"/>
      <c r="JP110" s="285"/>
      <c r="JQ110" s="285"/>
      <c r="JR110" s="285"/>
      <c r="JS110" s="285"/>
      <c r="JT110" s="285"/>
      <c r="JU110" s="285"/>
      <c r="JV110" s="285"/>
      <c r="JW110" s="285"/>
      <c r="JX110" s="285"/>
      <c r="JY110" s="285"/>
      <c r="JZ110" s="285"/>
      <c r="KA110" s="285"/>
      <c r="KB110" s="285"/>
      <c r="KC110" s="285"/>
      <c r="KD110" s="285"/>
      <c r="KE110" s="285"/>
      <c r="KF110" s="285"/>
      <c r="KG110" s="285"/>
      <c r="KH110" s="285"/>
      <c r="KI110" s="285"/>
      <c r="KJ110" s="285"/>
      <c r="KK110" s="285"/>
      <c r="KL110" s="285"/>
      <c r="KM110" s="285"/>
      <c r="KN110" s="285"/>
      <c r="KO110" s="285"/>
      <c r="KP110" s="285"/>
      <c r="KQ110" s="285"/>
      <c r="KR110" s="298"/>
      <c r="KS110" s="285"/>
      <c r="KT110" s="285"/>
      <c r="KU110" s="1308"/>
      <c r="KV110" s="288"/>
      <c r="KW110" s="288"/>
    </row>
    <row r="111" spans="1:309" s="1304" customFormat="1" ht="16.2" customHeight="1">
      <c r="A111" s="1489" t="s">
        <v>6139</v>
      </c>
      <c r="B111" s="1653" t="s">
        <v>6165</v>
      </c>
      <c r="C111" s="1358">
        <v>311579056</v>
      </c>
      <c r="D111" s="906" t="s">
        <v>6925</v>
      </c>
      <c r="E111" s="1500" t="s">
        <v>6293</v>
      </c>
      <c r="F111" s="74">
        <v>0</v>
      </c>
      <c r="G111" s="75" t="s">
        <v>6225</v>
      </c>
      <c r="H111" s="1662" t="s">
        <v>6806</v>
      </c>
      <c r="I111" s="1662"/>
      <c r="J111" s="1570">
        <v>0</v>
      </c>
      <c r="K111" s="1902"/>
      <c r="L111" s="1902"/>
      <c r="M111" s="1902"/>
      <c r="N111" s="1902"/>
      <c r="O111" s="1308"/>
      <c r="P111" s="1308"/>
      <c r="Q111" s="1308"/>
      <c r="R111" s="1308"/>
      <c r="S111" s="1308"/>
      <c r="T111" s="1308"/>
      <c r="U111" s="1308"/>
      <c r="V111" s="1308"/>
      <c r="W111" s="1308"/>
      <c r="X111" s="1308"/>
      <c r="Y111" s="1308"/>
      <c r="Z111" s="1308"/>
      <c r="AA111" s="1308"/>
      <c r="AB111" s="285"/>
      <c r="AC111" s="285"/>
      <c r="AD111" s="285"/>
      <c r="AE111" s="285"/>
      <c r="AF111" s="285"/>
      <c r="AG111" s="285"/>
      <c r="AH111" s="285"/>
      <c r="AI111" s="285"/>
      <c r="AJ111" s="285"/>
      <c r="AK111" s="285"/>
      <c r="AL111" s="285"/>
      <c r="AM111" s="285"/>
      <c r="AN111" s="285"/>
      <c r="AO111" s="285"/>
      <c r="AP111" s="285"/>
      <c r="AQ111" s="285"/>
      <c r="AR111" s="285"/>
      <c r="AS111" s="285"/>
      <c r="AT111" s="285"/>
      <c r="AU111" s="285"/>
      <c r="AV111" s="285"/>
      <c r="AW111" s="285"/>
      <c r="AX111" s="285"/>
      <c r="AY111" s="285"/>
      <c r="AZ111" s="285"/>
      <c r="BA111" s="285"/>
      <c r="BB111" s="285"/>
      <c r="BC111" s="285"/>
      <c r="BD111" s="285"/>
      <c r="BE111" s="285"/>
      <c r="BF111" s="285"/>
      <c r="BG111" s="285"/>
      <c r="BH111" s="285"/>
      <c r="BI111" s="285"/>
      <c r="BJ111" s="285"/>
      <c r="BK111" s="285"/>
      <c r="BL111" s="285"/>
      <c r="BM111" s="285"/>
      <c r="BN111" s="285"/>
      <c r="BO111" s="285"/>
      <c r="BP111" s="285"/>
      <c r="BQ111" s="285"/>
      <c r="BR111" s="285"/>
      <c r="BS111" s="285"/>
      <c r="BT111" s="285"/>
      <c r="BU111" s="285"/>
      <c r="BV111" s="285"/>
      <c r="BW111" s="285"/>
      <c r="BX111" s="285"/>
      <c r="BY111" s="285"/>
      <c r="BZ111" s="285"/>
      <c r="CA111" s="285"/>
      <c r="CB111" s="285"/>
      <c r="CC111" s="285"/>
      <c r="CD111" s="285"/>
      <c r="CE111" s="285"/>
      <c r="CF111" s="285"/>
      <c r="CG111" s="285"/>
      <c r="CH111" s="285"/>
      <c r="CI111" s="285"/>
      <c r="CJ111" s="285"/>
      <c r="CK111" s="285"/>
      <c r="CL111" s="285"/>
      <c r="CM111" s="285"/>
      <c r="CN111" s="285"/>
      <c r="CO111" s="285"/>
      <c r="CP111" s="285"/>
      <c r="CQ111" s="285"/>
      <c r="CR111" s="285"/>
      <c r="CS111" s="285"/>
      <c r="CT111" s="285"/>
      <c r="CU111" s="285"/>
      <c r="CV111" s="285"/>
      <c r="CW111" s="285"/>
      <c r="CX111" s="285"/>
      <c r="CY111" s="285"/>
      <c r="CZ111" s="285"/>
      <c r="DA111" s="285"/>
      <c r="DB111" s="285"/>
      <c r="DC111" s="285"/>
      <c r="DD111" s="285"/>
      <c r="DE111" s="285"/>
      <c r="DF111" s="285"/>
      <c r="DG111" s="285"/>
      <c r="DH111" s="285"/>
      <c r="DI111" s="285"/>
      <c r="DJ111" s="285"/>
      <c r="DK111" s="285"/>
      <c r="DL111" s="285"/>
      <c r="DM111" s="285"/>
      <c r="DN111" s="285"/>
      <c r="DO111" s="285"/>
      <c r="DP111" s="285"/>
      <c r="DQ111" s="285"/>
      <c r="DR111" s="285"/>
      <c r="DS111" s="285"/>
      <c r="DT111" s="285"/>
      <c r="DU111" s="285"/>
      <c r="DV111" s="285"/>
      <c r="DW111" s="285"/>
      <c r="DX111" s="285"/>
      <c r="DY111" s="285"/>
      <c r="DZ111" s="285"/>
      <c r="EA111" s="285"/>
      <c r="EB111" s="285"/>
      <c r="EC111" s="285"/>
      <c r="ED111" s="285"/>
      <c r="EE111" s="285"/>
      <c r="EF111" s="285"/>
      <c r="EG111" s="285"/>
      <c r="EH111" s="285"/>
      <c r="EI111" s="285"/>
      <c r="EJ111" s="285"/>
      <c r="EK111" s="285"/>
      <c r="EL111" s="285"/>
      <c r="EM111" s="285"/>
      <c r="EN111" s="285"/>
      <c r="EO111" s="285"/>
      <c r="EP111" s="285"/>
      <c r="EQ111" s="285"/>
      <c r="ER111" s="285"/>
      <c r="ES111" s="285"/>
      <c r="ET111" s="285"/>
      <c r="EU111" s="285"/>
      <c r="EV111" s="285"/>
      <c r="EW111" s="285"/>
      <c r="EX111" s="285"/>
      <c r="EY111" s="285"/>
      <c r="EZ111" s="285"/>
      <c r="FA111" s="285"/>
      <c r="FB111" s="285"/>
      <c r="FC111" s="285"/>
      <c r="FD111" s="285"/>
      <c r="FE111" s="285"/>
      <c r="FF111" s="285"/>
      <c r="FG111" s="285"/>
      <c r="FH111" s="285"/>
      <c r="FI111" s="285"/>
      <c r="FJ111" s="285"/>
      <c r="FK111" s="285"/>
      <c r="FL111" s="285"/>
      <c r="FM111" s="285"/>
      <c r="FN111" s="285"/>
      <c r="FO111" s="285"/>
      <c r="FP111" s="285"/>
      <c r="FQ111" s="285"/>
      <c r="FR111" s="285"/>
      <c r="FS111" s="285"/>
      <c r="FT111" s="285"/>
      <c r="FU111" s="285"/>
      <c r="FV111" s="285"/>
      <c r="FW111" s="285"/>
      <c r="FX111" s="285"/>
      <c r="FY111" s="285"/>
      <c r="FZ111" s="285"/>
      <c r="GA111" s="285"/>
      <c r="GB111" s="285"/>
      <c r="GC111" s="285"/>
      <c r="GD111" s="285"/>
      <c r="GE111" s="285"/>
      <c r="GF111" s="285"/>
      <c r="GG111" s="285"/>
      <c r="GH111" s="285"/>
      <c r="GI111" s="285"/>
      <c r="GJ111" s="285"/>
      <c r="GK111" s="285"/>
      <c r="GL111" s="285"/>
      <c r="GM111" s="285"/>
      <c r="GN111" s="285"/>
      <c r="GO111" s="285"/>
      <c r="GP111" s="285"/>
      <c r="GQ111" s="285"/>
      <c r="GR111" s="285"/>
      <c r="GS111" s="285"/>
      <c r="GT111" s="285"/>
      <c r="GU111" s="285"/>
      <c r="GV111" s="285"/>
      <c r="GW111" s="285"/>
      <c r="GX111" s="285"/>
      <c r="GY111" s="285"/>
      <c r="GZ111" s="285"/>
      <c r="HA111" s="285"/>
      <c r="HB111" s="285"/>
      <c r="HC111" s="285"/>
      <c r="HD111" s="285"/>
      <c r="HE111" s="285"/>
      <c r="HF111" s="285"/>
      <c r="HG111" s="285"/>
      <c r="HH111" s="285"/>
      <c r="HI111" s="285"/>
      <c r="HJ111" s="285"/>
      <c r="HK111" s="285"/>
      <c r="HL111" s="285"/>
      <c r="HM111" s="285"/>
      <c r="HN111" s="285"/>
      <c r="HO111" s="285"/>
      <c r="HP111" s="285"/>
      <c r="HQ111" s="285"/>
      <c r="HR111" s="285"/>
      <c r="HS111" s="285"/>
      <c r="HT111" s="285"/>
      <c r="HU111" s="285"/>
      <c r="HV111" s="285"/>
      <c r="HW111" s="285"/>
      <c r="HX111" s="285"/>
      <c r="HY111" s="285"/>
      <c r="HZ111" s="285"/>
      <c r="IA111" s="285"/>
      <c r="IB111" s="285"/>
      <c r="IC111" s="285"/>
      <c r="ID111" s="285"/>
      <c r="IE111" s="285"/>
      <c r="IF111" s="285"/>
      <c r="IG111" s="285"/>
      <c r="IH111" s="285"/>
      <c r="II111" s="285"/>
      <c r="IJ111" s="285"/>
      <c r="IK111" s="285"/>
      <c r="IL111" s="285"/>
      <c r="IM111" s="285"/>
      <c r="IN111" s="285"/>
      <c r="IO111" s="285"/>
      <c r="IP111" s="285"/>
      <c r="IQ111" s="285"/>
      <c r="IR111" s="285"/>
      <c r="IS111" s="285"/>
      <c r="IT111" s="285"/>
      <c r="IU111" s="285"/>
      <c r="IV111" s="285"/>
      <c r="IW111" s="285"/>
      <c r="IX111" s="285"/>
      <c r="IY111" s="285"/>
      <c r="IZ111" s="285"/>
      <c r="JA111" s="285"/>
      <c r="JB111" s="285"/>
      <c r="JC111" s="285"/>
      <c r="JD111" s="285"/>
      <c r="JE111" s="285"/>
      <c r="JF111" s="285"/>
      <c r="JG111" s="285"/>
      <c r="JH111" s="285"/>
      <c r="JI111" s="285"/>
      <c r="JJ111" s="285"/>
      <c r="JK111" s="285"/>
      <c r="JL111" s="285"/>
      <c r="JM111" s="285"/>
      <c r="JN111" s="285"/>
      <c r="JO111" s="285"/>
      <c r="JP111" s="285"/>
      <c r="JQ111" s="285"/>
      <c r="JR111" s="285"/>
      <c r="JS111" s="285"/>
      <c r="JT111" s="285"/>
      <c r="JU111" s="285"/>
      <c r="JV111" s="285"/>
      <c r="JW111" s="285"/>
      <c r="JX111" s="285"/>
      <c r="JY111" s="285"/>
      <c r="JZ111" s="285"/>
      <c r="KA111" s="285"/>
      <c r="KB111" s="285"/>
      <c r="KC111" s="285"/>
      <c r="KD111" s="285"/>
      <c r="KE111" s="285"/>
      <c r="KF111" s="285"/>
      <c r="KG111" s="285"/>
      <c r="KH111" s="285"/>
      <c r="KI111" s="285"/>
      <c r="KJ111" s="285"/>
      <c r="KK111" s="285"/>
      <c r="KL111" s="285"/>
      <c r="KM111" s="285"/>
      <c r="KN111" s="285"/>
      <c r="KO111" s="285"/>
      <c r="KP111" s="285"/>
      <c r="KQ111" s="285"/>
      <c r="KR111" s="298"/>
      <c r="KS111" s="285"/>
      <c r="KT111" s="285"/>
      <c r="KU111" s="1308"/>
      <c r="KV111" s="288"/>
      <c r="KW111" s="288"/>
    </row>
    <row r="112" spans="1:309" s="1304" customFormat="1" ht="16.2" customHeight="1">
      <c r="A112" s="1489" t="s">
        <v>6139</v>
      </c>
      <c r="B112" s="1677" t="s">
        <v>6237</v>
      </c>
      <c r="C112" s="1358">
        <v>311578825</v>
      </c>
      <c r="D112" s="1358"/>
      <c r="E112" s="1471">
        <v>2660</v>
      </c>
      <c r="F112" s="74"/>
      <c r="G112" s="75" t="s">
        <v>6224</v>
      </c>
      <c r="H112" s="1570">
        <v>0.5</v>
      </c>
      <c r="I112" s="1570"/>
      <c r="J112" s="1570">
        <v>0</v>
      </c>
      <c r="K112" s="1902"/>
      <c r="L112" s="1902"/>
      <c r="M112" s="1902"/>
      <c r="N112" s="1902"/>
      <c r="O112" s="1308"/>
      <c r="P112" s="1308"/>
      <c r="Q112" s="1308"/>
      <c r="R112" s="1308"/>
      <c r="S112" s="1308"/>
      <c r="T112" s="1308"/>
      <c r="U112" s="1308"/>
      <c r="V112" s="1308"/>
      <c r="W112" s="1308"/>
      <c r="X112" s="1308"/>
      <c r="Y112" s="1308"/>
      <c r="Z112" s="1308"/>
      <c r="AA112" s="1308"/>
      <c r="AB112" s="285"/>
      <c r="AC112" s="285"/>
      <c r="AD112" s="285"/>
      <c r="AE112" s="285"/>
      <c r="AF112" s="285"/>
      <c r="AG112" s="285"/>
      <c r="AH112" s="285"/>
      <c r="AI112" s="285"/>
      <c r="AJ112" s="285"/>
      <c r="AK112" s="285"/>
      <c r="AL112" s="285"/>
      <c r="AM112" s="285"/>
      <c r="AN112" s="285"/>
      <c r="AO112" s="285"/>
      <c r="AP112" s="285"/>
      <c r="AQ112" s="285"/>
      <c r="AR112" s="285"/>
      <c r="AS112" s="285"/>
      <c r="AT112" s="285"/>
      <c r="AU112" s="285"/>
      <c r="AV112" s="285"/>
      <c r="AW112" s="285"/>
      <c r="AX112" s="285"/>
      <c r="AY112" s="285"/>
      <c r="AZ112" s="285"/>
      <c r="BA112" s="285"/>
      <c r="BB112" s="285"/>
      <c r="BC112" s="285"/>
      <c r="BD112" s="285"/>
      <c r="BE112" s="285"/>
      <c r="BF112" s="285"/>
      <c r="BG112" s="285"/>
      <c r="BH112" s="285"/>
      <c r="BI112" s="285"/>
      <c r="BJ112" s="285"/>
      <c r="BK112" s="285"/>
      <c r="BL112" s="285"/>
      <c r="BM112" s="285"/>
      <c r="BN112" s="285"/>
      <c r="BO112" s="285"/>
      <c r="BP112" s="285"/>
      <c r="BQ112" s="285"/>
      <c r="BR112" s="285"/>
      <c r="BS112" s="285"/>
      <c r="BT112" s="285"/>
      <c r="BU112" s="285"/>
      <c r="BV112" s="285"/>
      <c r="BW112" s="285"/>
      <c r="BX112" s="285"/>
      <c r="BY112" s="285"/>
      <c r="BZ112" s="285"/>
      <c r="CA112" s="285"/>
      <c r="CB112" s="285"/>
      <c r="CC112" s="285"/>
      <c r="CD112" s="285"/>
      <c r="CE112" s="285"/>
      <c r="CF112" s="285"/>
      <c r="CG112" s="285"/>
      <c r="CH112" s="285"/>
      <c r="CI112" s="285"/>
      <c r="CJ112" s="285"/>
      <c r="CK112" s="285"/>
      <c r="CL112" s="285"/>
      <c r="CM112" s="285"/>
      <c r="CN112" s="285"/>
      <c r="CO112" s="285"/>
      <c r="CP112" s="285"/>
      <c r="CQ112" s="285"/>
      <c r="CR112" s="285"/>
      <c r="CS112" s="285"/>
      <c r="CT112" s="285"/>
      <c r="CU112" s="285"/>
      <c r="CV112" s="285"/>
      <c r="CW112" s="285"/>
      <c r="CX112" s="285"/>
      <c r="CY112" s="285"/>
      <c r="CZ112" s="285"/>
      <c r="DA112" s="285"/>
      <c r="DB112" s="285"/>
      <c r="DC112" s="285"/>
      <c r="DD112" s="285"/>
      <c r="DE112" s="285"/>
      <c r="DF112" s="285"/>
      <c r="DG112" s="285"/>
      <c r="DH112" s="285"/>
      <c r="DI112" s="285"/>
      <c r="DJ112" s="285"/>
      <c r="DK112" s="285"/>
      <c r="DL112" s="285"/>
      <c r="DM112" s="285"/>
      <c r="DN112" s="285"/>
      <c r="DO112" s="285"/>
      <c r="DP112" s="285"/>
      <c r="DQ112" s="285"/>
      <c r="DR112" s="285"/>
      <c r="DS112" s="285"/>
      <c r="DT112" s="285"/>
      <c r="DU112" s="285"/>
      <c r="DV112" s="285"/>
      <c r="DW112" s="285"/>
      <c r="DX112" s="285"/>
      <c r="DY112" s="285"/>
      <c r="DZ112" s="285"/>
      <c r="EA112" s="285"/>
      <c r="EB112" s="285"/>
      <c r="EC112" s="285"/>
      <c r="ED112" s="285"/>
      <c r="EE112" s="285"/>
      <c r="EF112" s="285"/>
      <c r="EG112" s="285"/>
      <c r="EH112" s="285"/>
      <c r="EI112" s="285"/>
      <c r="EJ112" s="285"/>
      <c r="EK112" s="285"/>
      <c r="EL112" s="285"/>
      <c r="EM112" s="285"/>
      <c r="EN112" s="285"/>
      <c r="EO112" s="285"/>
      <c r="EP112" s="285"/>
      <c r="EQ112" s="285"/>
      <c r="ER112" s="285"/>
      <c r="ES112" s="285"/>
      <c r="ET112" s="285"/>
      <c r="EU112" s="285"/>
      <c r="EV112" s="285"/>
      <c r="EW112" s="285"/>
      <c r="EX112" s="285"/>
      <c r="EY112" s="285"/>
      <c r="EZ112" s="285"/>
      <c r="FA112" s="285"/>
      <c r="FB112" s="285"/>
      <c r="FC112" s="285"/>
      <c r="FD112" s="285"/>
      <c r="FE112" s="285"/>
      <c r="FF112" s="285"/>
      <c r="FG112" s="285"/>
      <c r="FH112" s="285"/>
      <c r="FI112" s="285"/>
      <c r="FJ112" s="285"/>
      <c r="FK112" s="285"/>
      <c r="FL112" s="285"/>
      <c r="FM112" s="285"/>
      <c r="FN112" s="285"/>
      <c r="FO112" s="285"/>
      <c r="FP112" s="285"/>
      <c r="FQ112" s="285"/>
      <c r="FR112" s="285"/>
      <c r="FS112" s="285"/>
      <c r="FT112" s="285"/>
      <c r="FU112" s="285"/>
      <c r="FV112" s="285"/>
      <c r="FW112" s="285"/>
      <c r="FX112" s="285"/>
      <c r="FY112" s="285"/>
      <c r="FZ112" s="285"/>
      <c r="GA112" s="285"/>
      <c r="GB112" s="285"/>
      <c r="GC112" s="285"/>
      <c r="GD112" s="285"/>
      <c r="GE112" s="285"/>
      <c r="GF112" s="285"/>
      <c r="GG112" s="285"/>
      <c r="GH112" s="285"/>
      <c r="GI112" s="285"/>
      <c r="GJ112" s="285"/>
      <c r="GK112" s="285"/>
      <c r="GL112" s="285"/>
      <c r="GM112" s="285"/>
      <c r="GN112" s="285"/>
      <c r="GO112" s="285"/>
      <c r="GP112" s="285"/>
      <c r="GQ112" s="285"/>
      <c r="GR112" s="285"/>
      <c r="GS112" s="285"/>
      <c r="GT112" s="285"/>
      <c r="GU112" s="285"/>
      <c r="GV112" s="285"/>
      <c r="GW112" s="285"/>
      <c r="GX112" s="285"/>
      <c r="GY112" s="285"/>
      <c r="GZ112" s="285"/>
      <c r="HA112" s="285"/>
      <c r="HB112" s="285"/>
      <c r="HC112" s="285"/>
      <c r="HD112" s="285"/>
      <c r="HE112" s="285"/>
      <c r="HF112" s="285"/>
      <c r="HG112" s="285"/>
      <c r="HH112" s="285"/>
      <c r="HI112" s="285"/>
      <c r="HJ112" s="285"/>
      <c r="HK112" s="285"/>
      <c r="HL112" s="285"/>
      <c r="HM112" s="285"/>
      <c r="HN112" s="285"/>
      <c r="HO112" s="285"/>
      <c r="HP112" s="285"/>
      <c r="HQ112" s="285"/>
      <c r="HR112" s="285"/>
      <c r="HS112" s="285"/>
      <c r="HT112" s="285"/>
      <c r="HU112" s="285"/>
      <c r="HV112" s="285"/>
      <c r="HW112" s="285"/>
      <c r="HX112" s="285"/>
      <c r="HY112" s="285"/>
      <c r="HZ112" s="285"/>
      <c r="IA112" s="285"/>
      <c r="IB112" s="285"/>
      <c r="IC112" s="285"/>
      <c r="ID112" s="285"/>
      <c r="IE112" s="285"/>
      <c r="IF112" s="285"/>
      <c r="IG112" s="285"/>
      <c r="IH112" s="285"/>
      <c r="II112" s="285"/>
      <c r="IJ112" s="285"/>
      <c r="IK112" s="285"/>
      <c r="IL112" s="285"/>
      <c r="IM112" s="285"/>
      <c r="IN112" s="285"/>
      <c r="IO112" s="285"/>
      <c r="IP112" s="285"/>
      <c r="IQ112" s="285"/>
      <c r="IR112" s="285"/>
      <c r="IS112" s="285"/>
      <c r="IT112" s="285"/>
      <c r="IU112" s="285"/>
      <c r="IV112" s="285"/>
      <c r="IW112" s="285"/>
      <c r="IX112" s="285"/>
      <c r="IY112" s="285"/>
      <c r="IZ112" s="285"/>
      <c r="JA112" s="285"/>
      <c r="JB112" s="285"/>
      <c r="JC112" s="285"/>
      <c r="JD112" s="285"/>
      <c r="JE112" s="285"/>
      <c r="JF112" s="285"/>
      <c r="JG112" s="285"/>
      <c r="JH112" s="285"/>
      <c r="JI112" s="285"/>
      <c r="JJ112" s="285"/>
      <c r="JK112" s="285"/>
      <c r="JL112" s="285"/>
      <c r="JM112" s="285"/>
      <c r="JN112" s="285"/>
      <c r="JO112" s="285"/>
      <c r="JP112" s="285"/>
      <c r="JQ112" s="285"/>
      <c r="JR112" s="285"/>
      <c r="JS112" s="285"/>
      <c r="JT112" s="285"/>
      <c r="JU112" s="285"/>
      <c r="JV112" s="285"/>
      <c r="JW112" s="285"/>
      <c r="JX112" s="285"/>
      <c r="JY112" s="285"/>
      <c r="JZ112" s="285"/>
      <c r="KA112" s="285"/>
      <c r="KB112" s="285"/>
      <c r="KC112" s="285"/>
      <c r="KD112" s="285"/>
      <c r="KE112" s="285"/>
      <c r="KF112" s="285"/>
      <c r="KG112" s="285"/>
      <c r="KH112" s="285"/>
      <c r="KI112" s="285"/>
      <c r="KJ112" s="285"/>
      <c r="KK112" s="285"/>
      <c r="KL112" s="285"/>
      <c r="KM112" s="285"/>
      <c r="KN112" s="285"/>
      <c r="KO112" s="285"/>
      <c r="KP112" s="285"/>
      <c r="KQ112" s="285"/>
      <c r="KR112" s="298"/>
      <c r="KS112" s="285"/>
      <c r="KT112" s="285"/>
      <c r="KU112" s="1308"/>
      <c r="KV112" s="288"/>
      <c r="KW112" s="288"/>
    </row>
    <row r="113" spans="1:964" s="1304" customFormat="1" ht="16.2" customHeight="1">
      <c r="A113" s="1489" t="s">
        <v>6198</v>
      </c>
      <c r="B113" s="1844" t="s">
        <v>6229</v>
      </c>
      <c r="C113" s="1358" t="s">
        <v>6230</v>
      </c>
      <c r="D113" s="906" t="s">
        <v>6925</v>
      </c>
      <c r="E113" s="1471">
        <v>600877</v>
      </c>
      <c r="F113" s="74">
        <v>0</v>
      </c>
      <c r="G113" s="75" t="s">
        <v>6225</v>
      </c>
      <c r="H113" s="1662" t="s">
        <v>6806</v>
      </c>
      <c r="I113" s="1662"/>
      <c r="J113" s="1662">
        <v>0</v>
      </c>
      <c r="K113" s="1671"/>
      <c r="L113" s="1671"/>
      <c r="M113" s="1671"/>
      <c r="N113" s="1671"/>
      <c r="O113" s="1308"/>
      <c r="P113" s="1308"/>
      <c r="Q113" s="1308"/>
      <c r="R113" s="1308"/>
      <c r="S113" s="1308"/>
      <c r="T113" s="1308"/>
      <c r="U113" s="1308"/>
      <c r="V113" s="1308"/>
      <c r="W113" s="1308"/>
      <c r="X113" s="1308"/>
      <c r="Y113" s="1308"/>
      <c r="Z113" s="1308"/>
      <c r="AA113" s="1308"/>
      <c r="AB113" s="285"/>
      <c r="AC113" s="285"/>
      <c r="AD113" s="285"/>
      <c r="AE113" s="285"/>
      <c r="AF113" s="285"/>
      <c r="AG113" s="285"/>
      <c r="AH113" s="285"/>
      <c r="AI113" s="285"/>
      <c r="AJ113" s="285"/>
      <c r="AK113" s="285"/>
      <c r="AL113" s="285"/>
      <c r="AM113" s="285"/>
      <c r="AN113" s="285"/>
      <c r="AO113" s="285"/>
      <c r="AP113" s="285"/>
      <c r="AQ113" s="285"/>
      <c r="AR113" s="285"/>
      <c r="AS113" s="285"/>
      <c r="AT113" s="285"/>
      <c r="AU113" s="285"/>
      <c r="AV113" s="285"/>
      <c r="AW113" s="285"/>
      <c r="AX113" s="285"/>
      <c r="AY113" s="285"/>
      <c r="AZ113" s="285"/>
      <c r="BA113" s="285"/>
      <c r="BB113" s="285"/>
      <c r="BC113" s="285"/>
      <c r="BD113" s="285"/>
      <c r="BE113" s="285"/>
      <c r="BF113" s="285"/>
      <c r="BG113" s="285"/>
      <c r="BH113" s="285"/>
      <c r="BI113" s="285"/>
      <c r="BJ113" s="285"/>
      <c r="BK113" s="285"/>
      <c r="BL113" s="285"/>
      <c r="BM113" s="285"/>
      <c r="BN113" s="285"/>
      <c r="BO113" s="285"/>
      <c r="BP113" s="285"/>
      <c r="BQ113" s="285"/>
      <c r="BR113" s="285"/>
      <c r="BS113" s="285"/>
      <c r="BT113" s="285"/>
      <c r="BU113" s="285"/>
      <c r="BV113" s="285"/>
      <c r="BW113" s="285"/>
      <c r="BX113" s="285"/>
      <c r="BY113" s="285"/>
      <c r="BZ113" s="285"/>
      <c r="CA113" s="285"/>
      <c r="CB113" s="285"/>
      <c r="CC113" s="285"/>
      <c r="CD113" s="285"/>
      <c r="CE113" s="285"/>
      <c r="CF113" s="285"/>
      <c r="CG113" s="285"/>
      <c r="CH113" s="285"/>
      <c r="CI113" s="285"/>
      <c r="CJ113" s="285"/>
      <c r="CK113" s="285"/>
      <c r="CL113" s="285"/>
      <c r="CM113" s="285"/>
      <c r="CN113" s="285"/>
      <c r="CO113" s="285"/>
      <c r="CP113" s="285"/>
      <c r="CQ113" s="285"/>
      <c r="CR113" s="285"/>
      <c r="CS113" s="285"/>
      <c r="CT113" s="285"/>
      <c r="CU113" s="285"/>
      <c r="CV113" s="285"/>
      <c r="CW113" s="285"/>
      <c r="CX113" s="285"/>
      <c r="CY113" s="285"/>
      <c r="CZ113" s="285"/>
      <c r="DA113" s="285"/>
      <c r="DB113" s="285"/>
      <c r="DC113" s="285"/>
      <c r="DD113" s="285"/>
      <c r="DE113" s="285"/>
      <c r="DF113" s="285"/>
      <c r="DG113" s="285"/>
      <c r="DH113" s="285"/>
      <c r="DI113" s="285"/>
      <c r="DJ113" s="285"/>
      <c r="DK113" s="285"/>
      <c r="DL113" s="285"/>
      <c r="DM113" s="285"/>
      <c r="DN113" s="285"/>
      <c r="DO113" s="285"/>
      <c r="DP113" s="285"/>
      <c r="DQ113" s="285"/>
      <c r="DR113" s="285"/>
      <c r="DS113" s="285"/>
      <c r="DT113" s="285"/>
      <c r="DU113" s="285"/>
      <c r="DV113" s="285"/>
      <c r="DW113" s="285"/>
      <c r="DX113" s="285"/>
      <c r="DY113" s="285"/>
      <c r="DZ113" s="285"/>
      <c r="EA113" s="285"/>
      <c r="EB113" s="285"/>
      <c r="EC113" s="285"/>
      <c r="ED113" s="285"/>
      <c r="EE113" s="285"/>
      <c r="EF113" s="285"/>
      <c r="EG113" s="285"/>
      <c r="EH113" s="285"/>
      <c r="EI113" s="285"/>
      <c r="EJ113" s="285"/>
      <c r="EK113" s="285"/>
      <c r="EL113" s="285"/>
      <c r="EM113" s="285"/>
      <c r="EN113" s="285"/>
      <c r="EO113" s="285"/>
      <c r="EP113" s="285"/>
      <c r="EQ113" s="285"/>
      <c r="ER113" s="285"/>
      <c r="ES113" s="285"/>
      <c r="ET113" s="285"/>
      <c r="EU113" s="285"/>
      <c r="EV113" s="285"/>
      <c r="EW113" s="285"/>
      <c r="EX113" s="285"/>
      <c r="EY113" s="285"/>
      <c r="EZ113" s="285"/>
      <c r="FA113" s="285"/>
      <c r="FB113" s="285"/>
      <c r="FC113" s="285"/>
      <c r="FD113" s="285"/>
      <c r="FE113" s="285"/>
      <c r="FF113" s="285"/>
      <c r="FG113" s="285"/>
      <c r="FH113" s="285"/>
      <c r="FI113" s="285"/>
      <c r="FJ113" s="285"/>
      <c r="FK113" s="285"/>
      <c r="FL113" s="285"/>
      <c r="FM113" s="285"/>
      <c r="FN113" s="285"/>
      <c r="FO113" s="285"/>
      <c r="FP113" s="285"/>
      <c r="FQ113" s="285"/>
      <c r="FR113" s="285"/>
      <c r="FS113" s="285"/>
      <c r="FT113" s="285"/>
      <c r="FU113" s="285"/>
      <c r="FV113" s="285"/>
      <c r="FW113" s="285"/>
      <c r="FX113" s="285"/>
      <c r="FY113" s="285"/>
      <c r="FZ113" s="285"/>
      <c r="GA113" s="285"/>
      <c r="GB113" s="285"/>
      <c r="GC113" s="285"/>
      <c r="GD113" s="285"/>
      <c r="GE113" s="285"/>
      <c r="GF113" s="285"/>
      <c r="GG113" s="285"/>
      <c r="GH113" s="285"/>
      <c r="GI113" s="285"/>
      <c r="GJ113" s="285"/>
      <c r="GK113" s="285"/>
      <c r="GL113" s="285"/>
      <c r="GM113" s="285"/>
      <c r="GN113" s="285"/>
      <c r="GO113" s="285"/>
      <c r="GP113" s="285"/>
      <c r="GQ113" s="285"/>
      <c r="GR113" s="285"/>
      <c r="GS113" s="285"/>
      <c r="GT113" s="285"/>
      <c r="GU113" s="285"/>
      <c r="GV113" s="285"/>
      <c r="GW113" s="285"/>
      <c r="GX113" s="285"/>
      <c r="GY113" s="285"/>
      <c r="GZ113" s="285"/>
      <c r="HA113" s="285"/>
      <c r="HB113" s="285"/>
      <c r="HC113" s="285"/>
      <c r="HD113" s="285"/>
      <c r="HE113" s="285"/>
      <c r="HF113" s="285"/>
      <c r="HG113" s="285"/>
      <c r="HH113" s="285"/>
      <c r="HI113" s="285"/>
      <c r="HJ113" s="285"/>
      <c r="HK113" s="285"/>
      <c r="HL113" s="285"/>
      <c r="HM113" s="285"/>
      <c r="HN113" s="285"/>
      <c r="HO113" s="285"/>
      <c r="HP113" s="285"/>
      <c r="HQ113" s="285"/>
      <c r="HR113" s="285"/>
      <c r="HS113" s="285"/>
      <c r="HT113" s="285"/>
      <c r="HU113" s="285"/>
      <c r="HV113" s="285"/>
      <c r="HW113" s="285"/>
      <c r="HX113" s="285"/>
      <c r="HY113" s="285"/>
      <c r="HZ113" s="285"/>
      <c r="IA113" s="285"/>
      <c r="IB113" s="285"/>
      <c r="IC113" s="285"/>
      <c r="ID113" s="285"/>
      <c r="IE113" s="285"/>
      <c r="IF113" s="285"/>
      <c r="IG113" s="285"/>
      <c r="IH113" s="285"/>
      <c r="II113" s="285"/>
      <c r="IJ113" s="285"/>
      <c r="IK113" s="285"/>
      <c r="IL113" s="285"/>
      <c r="IM113" s="285"/>
      <c r="IN113" s="285"/>
      <c r="IO113" s="285"/>
      <c r="IP113" s="285"/>
      <c r="IQ113" s="285"/>
      <c r="IR113" s="285"/>
      <c r="IS113" s="285"/>
      <c r="IT113" s="285"/>
      <c r="IU113" s="285"/>
      <c r="IV113" s="285"/>
      <c r="IW113" s="285"/>
      <c r="IX113" s="285"/>
      <c r="IY113" s="285"/>
      <c r="IZ113" s="285"/>
      <c r="JA113" s="285"/>
      <c r="JB113" s="285"/>
      <c r="JC113" s="285"/>
      <c r="JD113" s="285"/>
      <c r="JE113" s="285"/>
      <c r="JF113" s="285"/>
      <c r="JG113" s="285"/>
      <c r="JH113" s="285"/>
      <c r="JI113" s="285"/>
      <c r="JJ113" s="285"/>
      <c r="JK113" s="285"/>
      <c r="JL113" s="285"/>
      <c r="JM113" s="285"/>
      <c r="JN113" s="285"/>
      <c r="JO113" s="285"/>
      <c r="JP113" s="285"/>
      <c r="JQ113" s="285"/>
      <c r="JR113" s="285"/>
      <c r="JS113" s="285"/>
      <c r="JT113" s="285"/>
      <c r="JU113" s="285"/>
      <c r="JV113" s="285"/>
      <c r="JW113" s="285"/>
      <c r="JX113" s="285"/>
      <c r="JY113" s="285"/>
      <c r="JZ113" s="285"/>
      <c r="KA113" s="285"/>
      <c r="KB113" s="285"/>
      <c r="KC113" s="285"/>
      <c r="KD113" s="285"/>
      <c r="KE113" s="285"/>
      <c r="KF113" s="285"/>
      <c r="KG113" s="285"/>
      <c r="KH113" s="285"/>
      <c r="KI113" s="285"/>
      <c r="KJ113" s="285"/>
      <c r="KK113" s="285"/>
      <c r="KL113" s="285"/>
      <c r="KM113" s="285"/>
      <c r="KN113" s="285"/>
      <c r="KO113" s="285"/>
      <c r="KP113" s="285"/>
      <c r="KQ113" s="285"/>
      <c r="KR113" s="298"/>
      <c r="KS113" s="285"/>
      <c r="KT113" s="285"/>
      <c r="KU113" s="1308"/>
      <c r="KV113" s="288"/>
      <c r="KW113" s="288"/>
    </row>
    <row r="114" spans="1:964" s="1304" customFormat="1" ht="16.2" customHeight="1">
      <c r="A114" s="1489" t="s">
        <v>6198</v>
      </c>
      <c r="B114" s="1617" t="s">
        <v>6238</v>
      </c>
      <c r="C114" s="1358">
        <v>311589828</v>
      </c>
      <c r="D114" s="906" t="s">
        <v>6925</v>
      </c>
      <c r="E114" s="1513" t="s">
        <v>6373</v>
      </c>
      <c r="F114" s="74">
        <v>0</v>
      </c>
      <c r="G114" s="75" t="s">
        <v>6239</v>
      </c>
      <c r="H114" s="1662" t="s">
        <v>6806</v>
      </c>
      <c r="I114" s="1662"/>
      <c r="J114" s="1662">
        <v>0</v>
      </c>
      <c r="K114" s="1671"/>
      <c r="L114" s="1671"/>
      <c r="M114" s="1671"/>
      <c r="N114" s="1671"/>
      <c r="O114" s="1308" t="s">
        <v>6471</v>
      </c>
      <c r="P114" s="1308"/>
      <c r="Q114" s="1308"/>
      <c r="R114" s="1308"/>
      <c r="S114" s="1308"/>
      <c r="T114" s="1308"/>
      <c r="U114" s="1308"/>
      <c r="V114" s="1308"/>
      <c r="W114" s="1564"/>
      <c r="X114" s="1308"/>
      <c r="Y114" s="1308"/>
      <c r="Z114" s="1308"/>
      <c r="AA114" s="1308"/>
      <c r="AB114" s="285"/>
      <c r="AC114" s="285"/>
      <c r="AD114" s="285"/>
      <c r="AE114" s="285"/>
      <c r="AF114" s="285"/>
      <c r="AG114" s="285"/>
      <c r="AH114" s="285"/>
      <c r="AI114" s="285"/>
      <c r="AJ114" s="285"/>
      <c r="AK114" s="285"/>
      <c r="AL114" s="285"/>
      <c r="AM114" s="285"/>
      <c r="AN114" s="285"/>
      <c r="AO114" s="285"/>
      <c r="AP114" s="285"/>
      <c r="AQ114" s="285"/>
      <c r="AR114" s="285"/>
      <c r="AS114" s="285"/>
      <c r="AT114" s="285"/>
      <c r="AU114" s="285"/>
      <c r="AV114" s="285"/>
      <c r="AW114" s="285"/>
      <c r="AX114" s="285"/>
      <c r="AY114" s="285"/>
      <c r="AZ114" s="285"/>
      <c r="BA114" s="285"/>
      <c r="BB114" s="285"/>
      <c r="BC114" s="285"/>
      <c r="BD114" s="285"/>
      <c r="BE114" s="285"/>
      <c r="BF114" s="285"/>
      <c r="BG114" s="285"/>
      <c r="BH114" s="285"/>
      <c r="BI114" s="285"/>
      <c r="BJ114" s="285"/>
      <c r="BK114" s="285"/>
      <c r="BL114" s="285"/>
      <c r="BM114" s="285"/>
      <c r="BN114" s="285"/>
      <c r="BO114" s="285"/>
      <c r="BP114" s="285"/>
      <c r="BQ114" s="285"/>
      <c r="BR114" s="285"/>
      <c r="BS114" s="285"/>
      <c r="BT114" s="285"/>
      <c r="BU114" s="285"/>
      <c r="BV114" s="285"/>
      <c r="BW114" s="285"/>
      <c r="BX114" s="285"/>
      <c r="BY114" s="285"/>
      <c r="BZ114" s="285"/>
      <c r="CA114" s="285"/>
      <c r="CB114" s="285"/>
      <c r="CC114" s="285"/>
      <c r="CD114" s="285"/>
      <c r="CE114" s="285"/>
      <c r="CF114" s="285"/>
      <c r="CG114" s="285"/>
      <c r="CH114" s="285"/>
      <c r="CI114" s="285"/>
      <c r="CJ114" s="285"/>
      <c r="CK114" s="285"/>
      <c r="CL114" s="285"/>
      <c r="CM114" s="285"/>
      <c r="CN114" s="285"/>
      <c r="CO114" s="285"/>
      <c r="CP114" s="285"/>
      <c r="CQ114" s="285"/>
      <c r="CR114" s="285"/>
      <c r="CS114" s="285"/>
      <c r="CT114" s="285"/>
      <c r="CU114" s="285"/>
      <c r="CV114" s="285"/>
      <c r="CW114" s="285"/>
      <c r="CX114" s="285"/>
      <c r="CY114" s="285"/>
      <c r="CZ114" s="285"/>
      <c r="DA114" s="285"/>
      <c r="DB114" s="285"/>
      <c r="DC114" s="285"/>
      <c r="DD114" s="285"/>
      <c r="DE114" s="285"/>
      <c r="DF114" s="285"/>
      <c r="DG114" s="285"/>
      <c r="DH114" s="285"/>
      <c r="DI114" s="285"/>
      <c r="DJ114" s="285"/>
      <c r="DK114" s="285"/>
      <c r="DL114" s="285"/>
      <c r="DM114" s="285"/>
      <c r="DN114" s="285"/>
      <c r="DO114" s="285"/>
      <c r="DP114" s="285"/>
      <c r="DQ114" s="285"/>
      <c r="DR114" s="285"/>
      <c r="DS114" s="285"/>
      <c r="DT114" s="285"/>
      <c r="DU114" s="285"/>
      <c r="DV114" s="285"/>
      <c r="DW114" s="285"/>
      <c r="DX114" s="285"/>
      <c r="DY114" s="285"/>
      <c r="DZ114" s="285"/>
      <c r="EA114" s="285"/>
      <c r="EB114" s="285"/>
      <c r="EC114" s="285"/>
      <c r="ED114" s="285"/>
      <c r="EE114" s="285"/>
      <c r="EF114" s="285"/>
      <c r="EG114" s="285"/>
      <c r="EH114" s="285"/>
      <c r="EI114" s="285"/>
      <c r="EJ114" s="285"/>
      <c r="EK114" s="285"/>
      <c r="EL114" s="285"/>
      <c r="EM114" s="285"/>
      <c r="EN114" s="285"/>
      <c r="EO114" s="285"/>
      <c r="EP114" s="285"/>
      <c r="EQ114" s="285"/>
      <c r="ER114" s="285"/>
      <c r="ES114" s="285"/>
      <c r="ET114" s="285"/>
      <c r="EU114" s="285"/>
      <c r="EV114" s="285"/>
      <c r="EW114" s="285"/>
      <c r="EX114" s="285"/>
      <c r="EY114" s="285"/>
      <c r="EZ114" s="285"/>
      <c r="FA114" s="285"/>
      <c r="FB114" s="285"/>
      <c r="FC114" s="285"/>
      <c r="FD114" s="285"/>
      <c r="FE114" s="285"/>
      <c r="FF114" s="285"/>
      <c r="FG114" s="285"/>
      <c r="FH114" s="285"/>
      <c r="FI114" s="285"/>
      <c r="FJ114" s="285"/>
      <c r="FK114" s="285"/>
      <c r="FL114" s="285"/>
      <c r="FM114" s="285"/>
      <c r="FN114" s="285"/>
      <c r="FO114" s="285"/>
      <c r="FP114" s="285"/>
      <c r="FQ114" s="285"/>
      <c r="FR114" s="285"/>
      <c r="FS114" s="285"/>
      <c r="FT114" s="285"/>
      <c r="FU114" s="285"/>
      <c r="FV114" s="285"/>
      <c r="FW114" s="285"/>
      <c r="FX114" s="285"/>
      <c r="FY114" s="285"/>
      <c r="FZ114" s="285"/>
      <c r="GA114" s="285"/>
      <c r="GB114" s="285"/>
      <c r="GC114" s="285"/>
      <c r="GD114" s="285"/>
      <c r="GE114" s="285"/>
      <c r="GF114" s="285"/>
      <c r="GG114" s="285"/>
      <c r="GH114" s="285"/>
      <c r="GI114" s="285"/>
      <c r="GJ114" s="285"/>
      <c r="GK114" s="285"/>
      <c r="GL114" s="285"/>
      <c r="GM114" s="285"/>
      <c r="GN114" s="285"/>
      <c r="GO114" s="285"/>
      <c r="GP114" s="285"/>
      <c r="GQ114" s="285"/>
      <c r="GR114" s="285"/>
      <c r="GS114" s="285"/>
      <c r="GT114" s="285"/>
      <c r="GU114" s="285"/>
      <c r="GV114" s="285"/>
      <c r="GW114" s="285"/>
      <c r="GX114" s="285"/>
      <c r="GY114" s="285"/>
      <c r="GZ114" s="285"/>
      <c r="HA114" s="285"/>
      <c r="HB114" s="285"/>
      <c r="HC114" s="285"/>
      <c r="HD114" s="285"/>
      <c r="HE114" s="285"/>
      <c r="HF114" s="285"/>
      <c r="HG114" s="285"/>
      <c r="HH114" s="285"/>
      <c r="HI114" s="285"/>
      <c r="HJ114" s="285"/>
      <c r="HK114" s="285"/>
      <c r="HL114" s="285"/>
      <c r="HM114" s="285"/>
      <c r="HN114" s="285"/>
      <c r="HO114" s="285"/>
      <c r="HP114" s="285"/>
      <c r="HQ114" s="285"/>
      <c r="HR114" s="285"/>
      <c r="HS114" s="285"/>
      <c r="HT114" s="285"/>
      <c r="HU114" s="285"/>
      <c r="HV114" s="285"/>
      <c r="HW114" s="285"/>
      <c r="HX114" s="285"/>
      <c r="HY114" s="285"/>
      <c r="HZ114" s="285"/>
      <c r="IA114" s="285"/>
      <c r="IB114" s="285"/>
      <c r="IC114" s="285"/>
      <c r="ID114" s="285"/>
      <c r="IE114" s="285"/>
      <c r="IF114" s="285"/>
      <c r="IG114" s="285"/>
      <c r="IH114" s="285"/>
      <c r="II114" s="285"/>
      <c r="IJ114" s="285"/>
      <c r="IK114" s="285"/>
      <c r="IL114" s="285"/>
      <c r="IM114" s="285"/>
      <c r="IN114" s="285"/>
      <c r="IO114" s="285"/>
      <c r="IP114" s="285"/>
      <c r="IQ114" s="285"/>
      <c r="IR114" s="285"/>
      <c r="IS114" s="285"/>
      <c r="IT114" s="285"/>
      <c r="IU114" s="285"/>
      <c r="IV114" s="285"/>
      <c r="IW114" s="285"/>
      <c r="IX114" s="285"/>
      <c r="IY114" s="285"/>
      <c r="IZ114" s="285"/>
      <c r="JA114" s="285"/>
      <c r="JB114" s="285"/>
      <c r="JC114" s="285"/>
      <c r="JD114" s="285"/>
      <c r="JE114" s="285"/>
      <c r="JF114" s="285"/>
      <c r="JG114" s="285"/>
      <c r="JH114" s="285"/>
      <c r="JI114" s="285"/>
      <c r="JJ114" s="285"/>
      <c r="JK114" s="285"/>
      <c r="JL114" s="285"/>
      <c r="JM114" s="285"/>
      <c r="JN114" s="285"/>
      <c r="JO114" s="285"/>
      <c r="JP114" s="285"/>
      <c r="JQ114" s="285"/>
      <c r="JR114" s="285"/>
      <c r="JS114" s="285"/>
      <c r="JT114" s="285"/>
      <c r="JU114" s="285"/>
      <c r="JV114" s="285"/>
      <c r="JW114" s="285"/>
      <c r="JX114" s="285"/>
      <c r="JY114" s="285"/>
      <c r="JZ114" s="285"/>
      <c r="KA114" s="285"/>
      <c r="KB114" s="285"/>
      <c r="KC114" s="285"/>
      <c r="KD114" s="285"/>
      <c r="KE114" s="285"/>
      <c r="KF114" s="285"/>
      <c r="KG114" s="285"/>
      <c r="KH114" s="285"/>
      <c r="KI114" s="285"/>
      <c r="KJ114" s="285"/>
      <c r="KK114" s="285"/>
      <c r="KL114" s="285"/>
      <c r="KM114" s="285"/>
      <c r="KN114" s="285"/>
      <c r="KO114" s="285"/>
      <c r="KP114" s="285"/>
      <c r="KQ114" s="285"/>
      <c r="KR114" s="298"/>
      <c r="KS114" s="285"/>
      <c r="KT114" s="285"/>
      <c r="KU114" s="1308"/>
      <c r="KV114" s="288"/>
      <c r="KW114" s="288"/>
    </row>
    <row r="115" spans="1:964" s="1304" customFormat="1" ht="16.2" customHeight="1">
      <c r="A115" s="1499" t="s">
        <v>6198</v>
      </c>
      <c r="B115" s="1837" t="s">
        <v>6292</v>
      </c>
      <c r="C115" s="1358">
        <v>311604752</v>
      </c>
      <c r="D115" s="906" t="s">
        <v>6925</v>
      </c>
      <c r="E115" s="1471">
        <v>600878</v>
      </c>
      <c r="F115" s="74">
        <v>0</v>
      </c>
      <c r="G115" s="75"/>
      <c r="H115" s="1662" t="s">
        <v>6806</v>
      </c>
      <c r="I115" s="1662"/>
      <c r="J115" s="1570">
        <v>0</v>
      </c>
      <c r="K115" s="1902"/>
      <c r="L115" s="1902"/>
      <c r="M115" s="1902"/>
      <c r="N115" s="1902"/>
      <c r="O115" s="1594" t="s">
        <v>6381</v>
      </c>
      <c r="P115" s="1594"/>
      <c r="Q115" s="1594"/>
      <c r="R115" s="1308"/>
      <c r="S115" s="1308"/>
      <c r="T115" s="1308"/>
      <c r="U115" s="1308"/>
      <c r="V115" s="1308"/>
      <c r="W115" s="1308"/>
      <c r="X115" s="1308"/>
      <c r="Y115" s="1308"/>
      <c r="Z115" s="1308"/>
      <c r="AA115" s="1308">
        <v>1327</v>
      </c>
      <c r="AB115" s="285"/>
      <c r="AC115" s="285"/>
      <c r="AD115" s="285"/>
      <c r="AE115" s="285"/>
      <c r="AF115" s="285"/>
      <c r="AG115" s="285"/>
      <c r="AH115" s="285"/>
      <c r="AI115" s="285"/>
      <c r="AJ115" s="285"/>
      <c r="AK115" s="285"/>
      <c r="AL115" s="285"/>
      <c r="AM115" s="285"/>
      <c r="AN115" s="285"/>
      <c r="AO115" s="285"/>
      <c r="AP115" s="285"/>
      <c r="AQ115" s="285"/>
      <c r="AR115" s="285"/>
      <c r="AS115" s="285"/>
      <c r="AT115" s="285"/>
      <c r="AU115" s="285"/>
      <c r="AV115" s="285"/>
      <c r="AW115" s="285"/>
      <c r="AX115" s="285"/>
      <c r="AY115" s="285"/>
      <c r="AZ115" s="285"/>
      <c r="BA115" s="285"/>
      <c r="BB115" s="285"/>
      <c r="BC115" s="285"/>
      <c r="BD115" s="285"/>
      <c r="BE115" s="285"/>
      <c r="BF115" s="285"/>
      <c r="BG115" s="285"/>
      <c r="BH115" s="285"/>
      <c r="BI115" s="285"/>
      <c r="BJ115" s="285"/>
      <c r="BK115" s="285"/>
      <c r="BL115" s="285"/>
      <c r="BM115" s="285"/>
      <c r="BN115" s="285"/>
      <c r="BO115" s="285"/>
      <c r="BP115" s="285"/>
      <c r="BQ115" s="285"/>
      <c r="BR115" s="285"/>
      <c r="BS115" s="285"/>
      <c r="BT115" s="285"/>
      <c r="BU115" s="285"/>
      <c r="BV115" s="285"/>
      <c r="BW115" s="285"/>
      <c r="BX115" s="285"/>
      <c r="BY115" s="285"/>
      <c r="BZ115" s="285"/>
      <c r="CA115" s="285"/>
      <c r="CB115" s="285"/>
      <c r="CC115" s="285"/>
      <c r="CD115" s="285"/>
      <c r="CE115" s="285"/>
      <c r="CF115" s="285"/>
      <c r="CG115" s="285"/>
      <c r="CH115" s="285"/>
      <c r="CI115" s="285"/>
      <c r="CJ115" s="285"/>
      <c r="CK115" s="285"/>
      <c r="CL115" s="285"/>
      <c r="CM115" s="285"/>
      <c r="CN115" s="285"/>
      <c r="CO115" s="285"/>
      <c r="CP115" s="285"/>
      <c r="CQ115" s="285"/>
      <c r="CR115" s="285"/>
      <c r="CS115" s="285"/>
      <c r="CT115" s="285"/>
      <c r="CU115" s="285"/>
      <c r="CV115" s="285"/>
      <c r="CW115" s="285"/>
      <c r="CX115" s="285"/>
      <c r="CY115" s="285"/>
      <c r="CZ115" s="285"/>
      <c r="DA115" s="285"/>
      <c r="DB115" s="285"/>
      <c r="DC115" s="285"/>
      <c r="DD115" s="285"/>
      <c r="DE115" s="285"/>
      <c r="DF115" s="285"/>
      <c r="DG115" s="285"/>
      <c r="DH115" s="285"/>
      <c r="DI115" s="285"/>
      <c r="DJ115" s="285"/>
      <c r="DK115" s="285"/>
      <c r="DL115" s="285"/>
      <c r="DM115" s="285"/>
      <c r="DN115" s="285"/>
      <c r="DO115" s="285"/>
      <c r="DP115" s="285"/>
      <c r="DQ115" s="285"/>
      <c r="DR115" s="285"/>
      <c r="DS115" s="285"/>
      <c r="DT115" s="285"/>
      <c r="DU115" s="285"/>
      <c r="DV115" s="285"/>
      <c r="DW115" s="285"/>
      <c r="DX115" s="285"/>
      <c r="DY115" s="285"/>
      <c r="DZ115" s="285"/>
      <c r="EA115" s="285"/>
      <c r="EB115" s="285"/>
      <c r="EC115" s="285"/>
      <c r="ED115" s="285"/>
      <c r="EE115" s="285"/>
      <c r="EF115" s="285"/>
      <c r="EG115" s="285"/>
      <c r="EH115" s="285"/>
      <c r="EI115" s="285"/>
      <c r="EJ115" s="285"/>
      <c r="EK115" s="285"/>
      <c r="EL115" s="285"/>
      <c r="EM115" s="285"/>
      <c r="EN115" s="285"/>
      <c r="EO115" s="285"/>
      <c r="EP115" s="285"/>
      <c r="EQ115" s="285"/>
      <c r="ER115" s="285"/>
      <c r="ES115" s="285"/>
      <c r="ET115" s="285"/>
      <c r="EU115" s="285"/>
      <c r="EV115" s="285"/>
      <c r="EW115" s="285"/>
      <c r="EX115" s="285"/>
      <c r="EY115" s="285"/>
      <c r="EZ115" s="285"/>
      <c r="FA115" s="285"/>
      <c r="FB115" s="285"/>
      <c r="FC115" s="285"/>
      <c r="FD115" s="285"/>
      <c r="FE115" s="285"/>
      <c r="FF115" s="285"/>
      <c r="FG115" s="285"/>
      <c r="FH115" s="285"/>
      <c r="FI115" s="285"/>
      <c r="FJ115" s="285"/>
      <c r="FK115" s="285"/>
      <c r="FL115" s="285"/>
      <c r="FM115" s="285"/>
      <c r="FN115" s="285"/>
      <c r="FO115" s="285"/>
      <c r="FP115" s="285"/>
      <c r="FQ115" s="285"/>
      <c r="FR115" s="285"/>
      <c r="FS115" s="285"/>
      <c r="FT115" s="285"/>
      <c r="FU115" s="285"/>
      <c r="FV115" s="285"/>
      <c r="FW115" s="285"/>
      <c r="FX115" s="285"/>
      <c r="FY115" s="285"/>
      <c r="FZ115" s="285"/>
      <c r="GA115" s="285"/>
      <c r="GB115" s="285"/>
      <c r="GC115" s="285"/>
      <c r="GD115" s="285"/>
      <c r="GE115" s="285"/>
      <c r="GF115" s="285"/>
      <c r="GG115" s="285"/>
      <c r="GH115" s="285"/>
      <c r="GI115" s="285"/>
      <c r="GJ115" s="285"/>
      <c r="GK115" s="285"/>
      <c r="GL115" s="285"/>
      <c r="GM115" s="285"/>
      <c r="GN115" s="285"/>
      <c r="GO115" s="285"/>
      <c r="GP115" s="285"/>
      <c r="GQ115" s="285"/>
      <c r="GR115" s="285"/>
      <c r="GS115" s="285"/>
      <c r="GT115" s="285"/>
      <c r="GU115" s="285"/>
      <c r="GV115" s="285"/>
      <c r="GW115" s="285"/>
      <c r="GX115" s="285"/>
      <c r="GY115" s="285"/>
      <c r="GZ115" s="285"/>
      <c r="HA115" s="285"/>
      <c r="HB115" s="285"/>
      <c r="HC115" s="285"/>
      <c r="HD115" s="285"/>
      <c r="HE115" s="285"/>
      <c r="HF115" s="285"/>
      <c r="HG115" s="285"/>
      <c r="HH115" s="285"/>
      <c r="HI115" s="285"/>
      <c r="HJ115" s="285"/>
      <c r="HK115" s="285"/>
      <c r="HL115" s="285"/>
      <c r="HM115" s="285"/>
      <c r="HN115" s="285"/>
      <c r="HO115" s="285"/>
      <c r="HP115" s="285"/>
      <c r="HQ115" s="285"/>
      <c r="HR115" s="285"/>
      <c r="HS115" s="285"/>
      <c r="HT115" s="285"/>
      <c r="HU115" s="285"/>
      <c r="HV115" s="285"/>
      <c r="HW115" s="285"/>
      <c r="HX115" s="285"/>
      <c r="HY115" s="285"/>
      <c r="HZ115" s="285"/>
      <c r="IA115" s="285"/>
      <c r="IB115" s="285"/>
      <c r="IC115" s="285"/>
      <c r="ID115" s="285"/>
      <c r="IE115" s="285"/>
      <c r="IF115" s="285"/>
      <c r="IG115" s="285"/>
      <c r="IH115" s="285"/>
      <c r="II115" s="285"/>
      <c r="IJ115" s="285"/>
      <c r="IK115" s="285"/>
      <c r="IL115" s="285"/>
      <c r="IM115" s="285"/>
      <c r="IN115" s="285"/>
      <c r="IO115" s="285"/>
      <c r="IP115" s="285"/>
      <c r="IQ115" s="285"/>
      <c r="IR115" s="285"/>
      <c r="IS115" s="285"/>
      <c r="IT115" s="285"/>
      <c r="IU115" s="285"/>
      <c r="IV115" s="285"/>
      <c r="IW115" s="285"/>
      <c r="IX115" s="285"/>
      <c r="IY115" s="285"/>
      <c r="IZ115" s="285"/>
      <c r="JA115" s="285"/>
      <c r="JB115" s="285"/>
      <c r="JC115" s="285"/>
      <c r="JD115" s="285"/>
      <c r="JE115" s="285"/>
      <c r="JF115" s="285"/>
      <c r="JG115" s="285"/>
      <c r="JH115" s="285"/>
      <c r="JI115" s="285"/>
      <c r="JJ115" s="285"/>
      <c r="JK115" s="285"/>
      <c r="JL115" s="285"/>
      <c r="JM115" s="285"/>
      <c r="JN115" s="285"/>
      <c r="JO115" s="285"/>
      <c r="JP115" s="285"/>
      <c r="JQ115" s="285"/>
      <c r="JR115" s="285"/>
      <c r="JS115" s="285"/>
      <c r="JT115" s="285"/>
      <c r="JU115" s="285"/>
      <c r="JV115" s="285"/>
      <c r="JW115" s="285"/>
      <c r="JX115" s="285"/>
      <c r="JY115" s="285"/>
      <c r="JZ115" s="285"/>
      <c r="KA115" s="285"/>
      <c r="KB115" s="285"/>
      <c r="KC115" s="285"/>
      <c r="KD115" s="285"/>
      <c r="KE115" s="285"/>
      <c r="KF115" s="285"/>
      <c r="KG115" s="285"/>
      <c r="KH115" s="285"/>
      <c r="KI115" s="285"/>
      <c r="KJ115" s="285"/>
      <c r="KK115" s="285"/>
      <c r="KL115" s="285"/>
      <c r="KM115" s="285"/>
      <c r="KN115" s="285"/>
      <c r="KO115" s="285"/>
      <c r="KP115" s="285"/>
      <c r="KQ115" s="285"/>
      <c r="KR115" s="298"/>
      <c r="KS115" s="285"/>
      <c r="KT115" s="285"/>
      <c r="KU115" s="1308"/>
      <c r="KV115" s="288"/>
      <c r="KW115" s="288"/>
    </row>
    <row r="116" spans="1:964" s="1304" customFormat="1" ht="16.2" customHeight="1">
      <c r="A116" s="1506" t="s">
        <v>6198</v>
      </c>
      <c r="B116" s="1847" t="s">
        <v>6339</v>
      </c>
      <c r="C116" s="1358">
        <v>311600513</v>
      </c>
      <c r="D116" s="906" t="s">
        <v>6925</v>
      </c>
      <c r="E116" s="1553" t="s">
        <v>6340</v>
      </c>
      <c r="F116" s="944"/>
      <c r="G116" s="75"/>
      <c r="H116" s="1662" t="s">
        <v>6806</v>
      </c>
      <c r="I116" s="1662"/>
      <c r="J116" s="1570">
        <v>0</v>
      </c>
      <c r="K116" s="1902"/>
      <c r="L116" s="1902"/>
      <c r="M116" s="1902"/>
      <c r="N116" s="1902"/>
      <c r="O116" s="1594" t="s">
        <v>6380</v>
      </c>
      <c r="P116" s="1594"/>
      <c r="Q116" s="1594"/>
      <c r="R116" s="1308"/>
      <c r="S116" s="1308"/>
      <c r="T116" s="1308"/>
      <c r="U116" s="1308"/>
      <c r="V116" s="1308"/>
      <c r="W116" s="1308"/>
      <c r="X116" s="1308"/>
      <c r="Y116" s="1308"/>
      <c r="Z116" s="1308"/>
      <c r="AA116" s="1308">
        <v>1</v>
      </c>
      <c r="AB116" s="285"/>
      <c r="AC116" s="285"/>
      <c r="AD116" s="285"/>
      <c r="AE116" s="285"/>
      <c r="AF116" s="285"/>
      <c r="AG116" s="285"/>
      <c r="AH116" s="285"/>
      <c r="AI116" s="285"/>
      <c r="AJ116" s="285"/>
      <c r="AK116" s="285"/>
      <c r="AL116" s="285"/>
      <c r="AM116" s="285"/>
      <c r="AN116" s="285"/>
      <c r="AO116" s="285"/>
      <c r="AP116" s="285"/>
      <c r="AQ116" s="285"/>
      <c r="AR116" s="285"/>
      <c r="AS116" s="285"/>
      <c r="AT116" s="285"/>
      <c r="AU116" s="285"/>
      <c r="AV116" s="285"/>
      <c r="AW116" s="285"/>
      <c r="AX116" s="285"/>
      <c r="AY116" s="285"/>
      <c r="AZ116" s="285"/>
      <c r="BA116" s="285"/>
      <c r="BB116" s="285"/>
      <c r="BC116" s="285"/>
      <c r="BD116" s="285"/>
      <c r="BE116" s="285"/>
      <c r="BF116" s="285"/>
      <c r="BG116" s="285"/>
      <c r="BH116" s="285"/>
      <c r="BI116" s="285"/>
      <c r="BJ116" s="285"/>
      <c r="BK116" s="285"/>
      <c r="BL116" s="285"/>
      <c r="BM116" s="285"/>
      <c r="BN116" s="285"/>
      <c r="BO116" s="285"/>
      <c r="BP116" s="285"/>
      <c r="BQ116" s="285"/>
      <c r="BR116" s="285"/>
      <c r="BS116" s="285"/>
      <c r="BT116" s="285"/>
      <c r="BU116" s="285"/>
      <c r="BV116" s="285"/>
      <c r="BW116" s="285"/>
      <c r="BX116" s="285"/>
      <c r="BY116" s="285"/>
      <c r="BZ116" s="285"/>
      <c r="CA116" s="285"/>
      <c r="CB116" s="285"/>
      <c r="CC116" s="285"/>
      <c r="CD116" s="285"/>
      <c r="CE116" s="285"/>
      <c r="CF116" s="285"/>
      <c r="CG116" s="285"/>
      <c r="CH116" s="285"/>
      <c r="CI116" s="285"/>
      <c r="CJ116" s="285"/>
      <c r="CK116" s="285"/>
      <c r="CL116" s="285"/>
      <c r="CM116" s="285"/>
      <c r="CN116" s="285"/>
      <c r="CO116" s="285"/>
      <c r="CP116" s="285"/>
      <c r="CQ116" s="285"/>
      <c r="CR116" s="285"/>
      <c r="CS116" s="285"/>
      <c r="CT116" s="285"/>
      <c r="CU116" s="285"/>
      <c r="CV116" s="285"/>
      <c r="CW116" s="285"/>
      <c r="CX116" s="285"/>
      <c r="CY116" s="285"/>
      <c r="CZ116" s="285"/>
      <c r="DA116" s="285"/>
      <c r="DB116" s="285"/>
      <c r="DC116" s="285"/>
      <c r="DD116" s="285"/>
      <c r="DE116" s="285"/>
      <c r="DF116" s="285"/>
      <c r="DG116" s="285"/>
      <c r="DH116" s="285"/>
      <c r="DI116" s="285"/>
      <c r="DJ116" s="285"/>
      <c r="DK116" s="285"/>
      <c r="DL116" s="285"/>
      <c r="DM116" s="285"/>
      <c r="DN116" s="285"/>
      <c r="DO116" s="285"/>
      <c r="DP116" s="285"/>
      <c r="DQ116" s="285"/>
      <c r="DR116" s="285"/>
      <c r="DS116" s="285"/>
      <c r="DT116" s="285"/>
      <c r="DU116" s="285"/>
      <c r="DV116" s="285"/>
      <c r="DW116" s="285"/>
      <c r="DX116" s="285"/>
      <c r="DY116" s="285"/>
      <c r="DZ116" s="285"/>
      <c r="EA116" s="285"/>
      <c r="EB116" s="285"/>
      <c r="EC116" s="285"/>
      <c r="ED116" s="285"/>
      <c r="EE116" s="285"/>
      <c r="EF116" s="285"/>
      <c r="EG116" s="285"/>
      <c r="EH116" s="285"/>
      <c r="EI116" s="285"/>
      <c r="EJ116" s="285"/>
      <c r="EK116" s="285"/>
      <c r="EL116" s="285"/>
      <c r="EM116" s="285"/>
      <c r="EN116" s="285"/>
      <c r="EO116" s="285"/>
      <c r="EP116" s="285"/>
      <c r="EQ116" s="285"/>
      <c r="ER116" s="285"/>
      <c r="ES116" s="285"/>
      <c r="ET116" s="285"/>
      <c r="EU116" s="285"/>
      <c r="EV116" s="285"/>
      <c r="EW116" s="285"/>
      <c r="EX116" s="285"/>
      <c r="EY116" s="285"/>
      <c r="EZ116" s="285"/>
      <c r="FA116" s="285"/>
      <c r="FB116" s="285"/>
      <c r="FC116" s="285"/>
      <c r="FD116" s="285"/>
      <c r="FE116" s="285"/>
      <c r="FF116" s="285"/>
      <c r="FG116" s="285"/>
      <c r="FH116" s="285"/>
      <c r="FI116" s="285"/>
      <c r="FJ116" s="285"/>
      <c r="FK116" s="285"/>
      <c r="FL116" s="285"/>
      <c r="FM116" s="285"/>
      <c r="FN116" s="285"/>
      <c r="FO116" s="285"/>
      <c r="FP116" s="285"/>
      <c r="FQ116" s="285"/>
      <c r="FR116" s="285"/>
      <c r="FS116" s="285"/>
      <c r="FT116" s="285"/>
      <c r="FU116" s="285"/>
      <c r="FV116" s="285"/>
      <c r="FW116" s="285"/>
      <c r="FX116" s="285"/>
      <c r="FY116" s="285"/>
      <c r="FZ116" s="285"/>
      <c r="GA116" s="285"/>
      <c r="GB116" s="285"/>
      <c r="GC116" s="285"/>
      <c r="GD116" s="285"/>
      <c r="GE116" s="285"/>
      <c r="GF116" s="285"/>
      <c r="GG116" s="285"/>
      <c r="GH116" s="285"/>
      <c r="GI116" s="285"/>
      <c r="GJ116" s="285"/>
      <c r="GK116" s="285"/>
      <c r="GL116" s="285"/>
      <c r="GM116" s="285"/>
      <c r="GN116" s="285"/>
      <c r="GO116" s="285"/>
      <c r="GP116" s="285"/>
      <c r="GQ116" s="285"/>
      <c r="GR116" s="285"/>
      <c r="GS116" s="285"/>
      <c r="GT116" s="285"/>
      <c r="GU116" s="285"/>
      <c r="GV116" s="285"/>
      <c r="GW116" s="285"/>
      <c r="GX116" s="285"/>
      <c r="GY116" s="285"/>
      <c r="GZ116" s="285"/>
      <c r="HA116" s="285"/>
      <c r="HB116" s="285"/>
      <c r="HC116" s="285"/>
      <c r="HD116" s="285"/>
      <c r="HE116" s="285"/>
      <c r="HF116" s="285"/>
      <c r="HG116" s="285"/>
      <c r="HH116" s="285"/>
      <c r="HI116" s="285"/>
      <c r="HJ116" s="285"/>
      <c r="HK116" s="285"/>
      <c r="HL116" s="285"/>
      <c r="HM116" s="285"/>
      <c r="HN116" s="285"/>
      <c r="HO116" s="285"/>
      <c r="HP116" s="285"/>
      <c r="HQ116" s="285"/>
      <c r="HR116" s="285"/>
      <c r="HS116" s="285"/>
      <c r="HT116" s="285"/>
      <c r="HU116" s="285"/>
      <c r="HV116" s="285"/>
      <c r="HW116" s="285"/>
      <c r="HX116" s="285"/>
      <c r="HY116" s="285"/>
      <c r="HZ116" s="285"/>
      <c r="IA116" s="285"/>
      <c r="IB116" s="285"/>
      <c r="IC116" s="285"/>
      <c r="ID116" s="285"/>
      <c r="IE116" s="285"/>
      <c r="IF116" s="285"/>
      <c r="IG116" s="285"/>
      <c r="IH116" s="285"/>
      <c r="II116" s="285"/>
      <c r="IJ116" s="285"/>
      <c r="IK116" s="285"/>
      <c r="IL116" s="285"/>
      <c r="IM116" s="285"/>
      <c r="IN116" s="285"/>
      <c r="IO116" s="285"/>
      <c r="IP116" s="285"/>
      <c r="IQ116" s="285"/>
      <c r="IR116" s="285"/>
      <c r="IS116" s="285"/>
      <c r="IT116" s="285"/>
      <c r="IU116" s="285"/>
      <c r="IV116" s="285"/>
      <c r="IW116" s="285"/>
      <c r="IX116" s="285"/>
      <c r="IY116" s="285"/>
      <c r="IZ116" s="285"/>
      <c r="JA116" s="285"/>
      <c r="JB116" s="285"/>
      <c r="JC116" s="285"/>
      <c r="JD116" s="285"/>
      <c r="JE116" s="285"/>
      <c r="JF116" s="285"/>
      <c r="JG116" s="285"/>
      <c r="JH116" s="285"/>
      <c r="JI116" s="285"/>
      <c r="JJ116" s="285"/>
      <c r="JK116" s="285"/>
      <c r="JL116" s="285"/>
      <c r="JM116" s="285"/>
      <c r="JN116" s="285"/>
      <c r="JO116" s="285"/>
      <c r="JP116" s="285"/>
      <c r="JQ116" s="285"/>
      <c r="JR116" s="285"/>
      <c r="JS116" s="285"/>
      <c r="JT116" s="285"/>
      <c r="JU116" s="285"/>
      <c r="JV116" s="285"/>
      <c r="JW116" s="285"/>
      <c r="JX116" s="285"/>
      <c r="JY116" s="285"/>
      <c r="JZ116" s="285"/>
      <c r="KA116" s="285"/>
      <c r="KB116" s="285"/>
      <c r="KC116" s="285"/>
      <c r="KD116" s="285"/>
      <c r="KE116" s="285"/>
      <c r="KF116" s="285"/>
      <c r="KG116" s="285"/>
      <c r="KH116" s="285"/>
      <c r="KI116" s="285"/>
      <c r="KJ116" s="285"/>
      <c r="KK116" s="285"/>
      <c r="KL116" s="285"/>
      <c r="KM116" s="285"/>
      <c r="KN116" s="285"/>
      <c r="KO116" s="285"/>
      <c r="KP116" s="285"/>
      <c r="KQ116" s="285"/>
      <c r="KR116" s="298"/>
      <c r="KS116" s="285"/>
      <c r="KT116" s="285"/>
      <c r="KU116" s="1308"/>
      <c r="KV116" s="288"/>
      <c r="KW116" s="288"/>
    </row>
    <row r="117" spans="1:964" s="1304" customFormat="1" ht="16.2" customHeight="1">
      <c r="A117" s="1518" t="s">
        <v>6297</v>
      </c>
      <c r="B117" s="1674" t="s">
        <v>6387</v>
      </c>
      <c r="C117" s="1358">
        <v>311623279</v>
      </c>
      <c r="D117" s="906" t="s">
        <v>6925</v>
      </c>
      <c r="E117" s="1513" t="s">
        <v>6388</v>
      </c>
      <c r="F117" s="74"/>
      <c r="G117" s="75"/>
      <c r="H117" s="1662" t="s">
        <v>6806</v>
      </c>
      <c r="I117" s="1662"/>
      <c r="J117" s="1662"/>
      <c r="K117" s="1671"/>
      <c r="L117" s="1671"/>
      <c r="M117" s="1671"/>
      <c r="N117" s="1671"/>
      <c r="O117" s="1308" t="s">
        <v>6471</v>
      </c>
      <c r="P117" s="1308"/>
      <c r="Q117" s="1308"/>
      <c r="R117" s="1308"/>
      <c r="S117" s="1308"/>
      <c r="T117" s="1308"/>
      <c r="U117" s="1308"/>
      <c r="V117" s="1308">
        <v>69.2</v>
      </c>
      <c r="W117" s="1308"/>
      <c r="X117" s="1308"/>
      <c r="Y117" s="1308"/>
      <c r="Z117" s="1308"/>
      <c r="AA117" s="1308">
        <v>284</v>
      </c>
      <c r="AB117" s="285"/>
      <c r="AC117" s="285"/>
      <c r="AD117" s="285"/>
      <c r="AE117" s="285"/>
      <c r="AF117" s="285"/>
      <c r="AG117" s="285"/>
      <c r="AH117" s="285"/>
      <c r="AI117" s="285"/>
      <c r="AJ117" s="285"/>
      <c r="AK117" s="285"/>
      <c r="AL117" s="285"/>
      <c r="AM117" s="285"/>
      <c r="AN117" s="285"/>
      <c r="AO117" s="285"/>
      <c r="AP117" s="285"/>
      <c r="AQ117" s="285"/>
      <c r="AR117" s="285"/>
      <c r="AS117" s="285"/>
      <c r="AT117" s="285"/>
      <c r="AU117" s="285"/>
      <c r="AV117" s="285"/>
      <c r="AW117" s="285"/>
      <c r="AX117" s="285"/>
      <c r="AY117" s="285"/>
      <c r="AZ117" s="285"/>
      <c r="BA117" s="285"/>
      <c r="BB117" s="285"/>
      <c r="BC117" s="285"/>
      <c r="BD117" s="285"/>
      <c r="BE117" s="285"/>
      <c r="BF117" s="285"/>
      <c r="BG117" s="285"/>
      <c r="BH117" s="285"/>
      <c r="BI117" s="285"/>
      <c r="BJ117" s="285"/>
      <c r="BK117" s="285"/>
      <c r="BL117" s="285"/>
      <c r="BM117" s="285"/>
      <c r="BN117" s="285"/>
      <c r="BO117" s="285"/>
      <c r="BP117" s="285"/>
      <c r="BQ117" s="285"/>
      <c r="BR117" s="285"/>
      <c r="BS117" s="285"/>
      <c r="BT117" s="285"/>
      <c r="BU117" s="285"/>
      <c r="BV117" s="285"/>
      <c r="BW117" s="285"/>
      <c r="BX117" s="285"/>
      <c r="BY117" s="285"/>
      <c r="BZ117" s="285"/>
      <c r="CA117" s="285"/>
      <c r="CB117" s="285"/>
      <c r="CC117" s="285"/>
      <c r="CD117" s="285"/>
      <c r="CE117" s="285"/>
      <c r="CF117" s="285"/>
      <c r="CG117" s="285"/>
      <c r="CH117" s="285"/>
      <c r="CI117" s="285"/>
      <c r="CJ117" s="285"/>
      <c r="CK117" s="285"/>
      <c r="CL117" s="285"/>
      <c r="CM117" s="285"/>
      <c r="CN117" s="285"/>
      <c r="CO117" s="285"/>
      <c r="CP117" s="285"/>
      <c r="CQ117" s="285"/>
      <c r="CR117" s="285"/>
      <c r="CS117" s="285"/>
      <c r="CT117" s="285"/>
      <c r="CU117" s="285"/>
      <c r="CV117" s="285"/>
      <c r="CW117" s="285"/>
      <c r="CX117" s="285"/>
      <c r="CY117" s="285"/>
      <c r="CZ117" s="285"/>
      <c r="DA117" s="285"/>
      <c r="DB117" s="285"/>
      <c r="DC117" s="285"/>
      <c r="DD117" s="285"/>
      <c r="DE117" s="285"/>
      <c r="DF117" s="285"/>
      <c r="DG117" s="285"/>
      <c r="DH117" s="285"/>
      <c r="DI117" s="285"/>
      <c r="DJ117" s="285"/>
      <c r="DK117" s="285"/>
      <c r="DL117" s="285"/>
      <c r="DM117" s="285"/>
      <c r="DN117" s="285"/>
      <c r="DO117" s="285"/>
      <c r="DP117" s="285"/>
      <c r="DQ117" s="285"/>
      <c r="DR117" s="285"/>
      <c r="DS117" s="285"/>
      <c r="DT117" s="285"/>
      <c r="DU117" s="285"/>
      <c r="DV117" s="285"/>
      <c r="DW117" s="285"/>
      <c r="DX117" s="285"/>
      <c r="DY117" s="285"/>
      <c r="DZ117" s="285"/>
      <c r="EA117" s="285"/>
      <c r="EB117" s="285"/>
      <c r="EC117" s="285"/>
      <c r="ED117" s="285"/>
      <c r="EE117" s="285"/>
      <c r="EF117" s="285"/>
      <c r="EG117" s="285"/>
      <c r="EH117" s="285"/>
      <c r="EI117" s="285"/>
      <c r="EJ117" s="285"/>
      <c r="EK117" s="285"/>
      <c r="EL117" s="285"/>
      <c r="EM117" s="285"/>
      <c r="EN117" s="285"/>
      <c r="EO117" s="285"/>
      <c r="EP117" s="285"/>
      <c r="EQ117" s="285"/>
      <c r="ER117" s="285"/>
      <c r="ES117" s="285"/>
      <c r="ET117" s="285"/>
      <c r="EU117" s="285"/>
      <c r="EV117" s="285"/>
      <c r="EW117" s="285"/>
      <c r="EX117" s="285"/>
      <c r="EY117" s="285"/>
      <c r="EZ117" s="285"/>
      <c r="FA117" s="285"/>
      <c r="FB117" s="285"/>
      <c r="FC117" s="285"/>
      <c r="FD117" s="285"/>
      <c r="FE117" s="285"/>
      <c r="FF117" s="285"/>
      <c r="FG117" s="285"/>
      <c r="FH117" s="285"/>
      <c r="FI117" s="285"/>
      <c r="FJ117" s="285"/>
      <c r="FK117" s="285"/>
      <c r="FL117" s="285"/>
      <c r="FM117" s="285"/>
      <c r="FN117" s="285"/>
      <c r="FO117" s="285"/>
      <c r="FP117" s="285"/>
      <c r="FQ117" s="285"/>
      <c r="FR117" s="285"/>
      <c r="FS117" s="285"/>
      <c r="FT117" s="285"/>
      <c r="FU117" s="285"/>
      <c r="FV117" s="285"/>
      <c r="FW117" s="285"/>
      <c r="FX117" s="285"/>
      <c r="FY117" s="285"/>
      <c r="FZ117" s="285"/>
      <c r="GA117" s="285"/>
      <c r="GB117" s="285"/>
      <c r="GC117" s="285"/>
      <c r="GD117" s="285"/>
      <c r="GE117" s="285"/>
      <c r="GF117" s="285"/>
      <c r="GG117" s="285"/>
      <c r="GH117" s="285"/>
      <c r="GI117" s="285"/>
      <c r="GJ117" s="285"/>
      <c r="GK117" s="285"/>
      <c r="GL117" s="285"/>
      <c r="GM117" s="285"/>
      <c r="GN117" s="285"/>
      <c r="GO117" s="285"/>
      <c r="GP117" s="285"/>
      <c r="GQ117" s="285"/>
      <c r="GR117" s="285"/>
      <c r="GS117" s="285"/>
      <c r="GT117" s="285"/>
      <c r="GU117" s="285"/>
      <c r="GV117" s="285"/>
      <c r="GW117" s="285"/>
      <c r="GX117" s="285"/>
      <c r="GY117" s="285"/>
      <c r="GZ117" s="285"/>
      <c r="HA117" s="285"/>
      <c r="HB117" s="285"/>
      <c r="HC117" s="285"/>
      <c r="HD117" s="285"/>
      <c r="HE117" s="285"/>
      <c r="HF117" s="285"/>
      <c r="HG117" s="285"/>
      <c r="HH117" s="285"/>
      <c r="HI117" s="285"/>
      <c r="HJ117" s="285"/>
      <c r="HK117" s="285"/>
      <c r="HL117" s="285"/>
      <c r="HM117" s="285"/>
      <c r="HN117" s="285"/>
      <c r="HO117" s="285"/>
      <c r="HP117" s="285"/>
      <c r="HQ117" s="285"/>
      <c r="HR117" s="285"/>
      <c r="HS117" s="285"/>
      <c r="HT117" s="285"/>
      <c r="HU117" s="285"/>
      <c r="HV117" s="285"/>
      <c r="HW117" s="285"/>
      <c r="HX117" s="285"/>
      <c r="HY117" s="285"/>
      <c r="HZ117" s="285"/>
      <c r="IA117" s="285"/>
      <c r="IB117" s="285"/>
      <c r="IC117" s="285"/>
      <c r="ID117" s="285"/>
      <c r="IE117" s="285"/>
      <c r="IF117" s="285"/>
      <c r="IG117" s="285"/>
      <c r="IH117" s="285"/>
      <c r="II117" s="285"/>
      <c r="IJ117" s="285"/>
      <c r="IK117" s="285"/>
      <c r="IL117" s="285"/>
      <c r="IM117" s="285"/>
      <c r="IN117" s="285"/>
      <c r="IO117" s="285"/>
      <c r="IP117" s="285"/>
      <c r="IQ117" s="285"/>
      <c r="IR117" s="285"/>
      <c r="IS117" s="285"/>
      <c r="IT117" s="285"/>
      <c r="IU117" s="285"/>
      <c r="IV117" s="285"/>
      <c r="IW117" s="285"/>
      <c r="IX117" s="285"/>
      <c r="IY117" s="285"/>
      <c r="IZ117" s="285"/>
      <c r="JA117" s="285"/>
      <c r="JB117" s="285"/>
      <c r="JC117" s="285"/>
      <c r="JD117" s="285"/>
      <c r="JE117" s="285"/>
      <c r="JF117" s="285"/>
      <c r="JG117" s="285"/>
      <c r="JH117" s="285"/>
      <c r="JI117" s="285"/>
      <c r="JJ117" s="285"/>
      <c r="JK117" s="285"/>
      <c r="JL117" s="285"/>
      <c r="JM117" s="285"/>
      <c r="JN117" s="285"/>
      <c r="JO117" s="285"/>
      <c r="JP117" s="285"/>
      <c r="JQ117" s="285"/>
      <c r="JR117" s="285"/>
      <c r="JS117" s="285"/>
      <c r="JT117" s="285"/>
      <c r="JU117" s="285"/>
      <c r="JV117" s="285"/>
      <c r="JW117" s="285"/>
      <c r="JX117" s="285"/>
      <c r="JY117" s="285"/>
      <c r="JZ117" s="285"/>
      <c r="KA117" s="285"/>
      <c r="KB117" s="285"/>
      <c r="KC117" s="285"/>
      <c r="KD117" s="285"/>
      <c r="KE117" s="285"/>
      <c r="KF117" s="285"/>
      <c r="KG117" s="285"/>
      <c r="KH117" s="285"/>
      <c r="KI117" s="285"/>
      <c r="KJ117" s="285"/>
      <c r="KK117" s="285"/>
      <c r="KL117" s="285"/>
      <c r="KM117" s="285"/>
      <c r="KN117" s="285"/>
      <c r="KO117" s="285"/>
      <c r="KP117" s="285"/>
      <c r="KQ117" s="285"/>
      <c r="KR117" s="298"/>
      <c r="KS117" s="285"/>
      <c r="KT117" s="285"/>
      <c r="KU117" s="1308"/>
      <c r="KV117" s="288"/>
      <c r="KW117" s="288"/>
    </row>
    <row r="118" spans="1:964" s="1304" customFormat="1" ht="16.2" customHeight="1">
      <c r="A118" s="1527" t="s">
        <v>6297</v>
      </c>
      <c r="B118" s="1654" t="s">
        <v>6394</v>
      </c>
      <c r="C118" s="1358" t="s">
        <v>6395</v>
      </c>
      <c r="D118" s="906" t="s">
        <v>6925</v>
      </c>
      <c r="E118" s="1508">
        <v>6254</v>
      </c>
      <c r="F118" s="74"/>
      <c r="G118" s="75"/>
      <c r="H118" s="1662" t="s">
        <v>6806</v>
      </c>
      <c r="I118" s="1662"/>
      <c r="J118" s="1570">
        <v>0</v>
      </c>
      <c r="K118" s="1902"/>
      <c r="L118" s="1902"/>
      <c r="M118" s="1902"/>
      <c r="N118" s="1902"/>
      <c r="O118" s="1308" t="s">
        <v>6471</v>
      </c>
      <c r="P118" s="1308"/>
      <c r="Q118" s="1308"/>
      <c r="R118" s="1308"/>
      <c r="S118" s="1308"/>
      <c r="T118" s="1308"/>
      <c r="U118" s="1308"/>
      <c r="V118" s="1308"/>
      <c r="W118" s="1308"/>
      <c r="X118" s="1308"/>
      <c r="Y118" s="1308"/>
      <c r="Z118" s="1308"/>
      <c r="AA118" s="1308"/>
      <c r="AB118" s="285"/>
      <c r="AC118" s="285"/>
      <c r="AD118" s="285"/>
      <c r="AE118" s="285"/>
      <c r="AF118" s="285"/>
      <c r="AG118" s="285"/>
      <c r="AH118" s="285"/>
      <c r="AI118" s="285"/>
      <c r="AJ118" s="285"/>
      <c r="AK118" s="285"/>
      <c r="AL118" s="285"/>
      <c r="AM118" s="285"/>
      <c r="AN118" s="285"/>
      <c r="AO118" s="285"/>
      <c r="AP118" s="285"/>
      <c r="AQ118" s="285"/>
      <c r="AR118" s="285"/>
      <c r="AS118" s="285"/>
      <c r="AT118" s="285"/>
      <c r="AU118" s="285"/>
      <c r="AV118" s="285"/>
      <c r="AW118" s="285"/>
      <c r="AX118" s="285"/>
      <c r="AY118" s="285"/>
      <c r="AZ118" s="285"/>
      <c r="BA118" s="285"/>
      <c r="BB118" s="285"/>
      <c r="BC118" s="285"/>
      <c r="BD118" s="285"/>
      <c r="BE118" s="285"/>
      <c r="BF118" s="285"/>
      <c r="BG118" s="285"/>
      <c r="BH118" s="285"/>
      <c r="BI118" s="285"/>
      <c r="BJ118" s="285"/>
      <c r="BK118" s="285"/>
      <c r="BL118" s="285"/>
      <c r="BM118" s="285"/>
      <c r="BN118" s="285"/>
      <c r="BO118" s="285"/>
      <c r="BP118" s="285"/>
      <c r="BQ118" s="285"/>
      <c r="BR118" s="285"/>
      <c r="BS118" s="285"/>
      <c r="BT118" s="285"/>
      <c r="BU118" s="285"/>
      <c r="BV118" s="285"/>
      <c r="BW118" s="285"/>
      <c r="BX118" s="285"/>
      <c r="BY118" s="285"/>
      <c r="BZ118" s="285"/>
      <c r="CA118" s="285"/>
      <c r="CB118" s="285"/>
      <c r="CC118" s="285"/>
      <c r="CD118" s="285"/>
      <c r="CE118" s="285"/>
      <c r="CF118" s="285"/>
      <c r="CG118" s="285"/>
      <c r="CH118" s="285"/>
      <c r="CI118" s="285"/>
      <c r="CJ118" s="285"/>
      <c r="CK118" s="285"/>
      <c r="CL118" s="285"/>
      <c r="CM118" s="285"/>
      <c r="CN118" s="285"/>
      <c r="CO118" s="285"/>
      <c r="CP118" s="285"/>
      <c r="CQ118" s="285"/>
      <c r="CR118" s="285"/>
      <c r="CS118" s="285"/>
      <c r="CT118" s="285"/>
      <c r="CU118" s="285"/>
      <c r="CV118" s="285"/>
      <c r="CW118" s="285"/>
      <c r="CX118" s="285"/>
      <c r="CY118" s="285"/>
      <c r="CZ118" s="285"/>
      <c r="DA118" s="285"/>
      <c r="DB118" s="285"/>
      <c r="DC118" s="285"/>
      <c r="DD118" s="285"/>
      <c r="DE118" s="285"/>
      <c r="DF118" s="285"/>
      <c r="DG118" s="285"/>
      <c r="DH118" s="285"/>
      <c r="DI118" s="285"/>
      <c r="DJ118" s="285"/>
      <c r="DK118" s="285"/>
      <c r="DL118" s="285"/>
      <c r="DM118" s="285"/>
      <c r="DN118" s="285"/>
      <c r="DO118" s="285"/>
      <c r="DP118" s="285"/>
      <c r="DQ118" s="285"/>
      <c r="DR118" s="285"/>
      <c r="DS118" s="285"/>
      <c r="DT118" s="285"/>
      <c r="DU118" s="285"/>
      <c r="DV118" s="285"/>
      <c r="DW118" s="285"/>
      <c r="DX118" s="285"/>
      <c r="DY118" s="285"/>
      <c r="DZ118" s="285"/>
      <c r="EA118" s="285"/>
      <c r="EB118" s="285"/>
      <c r="EC118" s="285"/>
      <c r="ED118" s="285"/>
      <c r="EE118" s="285"/>
      <c r="EF118" s="285"/>
      <c r="EG118" s="285"/>
      <c r="EH118" s="285"/>
      <c r="EI118" s="285"/>
      <c r="EJ118" s="285"/>
      <c r="EK118" s="285"/>
      <c r="EL118" s="285"/>
      <c r="EM118" s="285"/>
      <c r="EN118" s="285"/>
      <c r="EO118" s="285"/>
      <c r="EP118" s="285"/>
      <c r="EQ118" s="285"/>
      <c r="ER118" s="285"/>
      <c r="ES118" s="285"/>
      <c r="ET118" s="285"/>
      <c r="EU118" s="285"/>
      <c r="EV118" s="285"/>
      <c r="EW118" s="285"/>
      <c r="EX118" s="285"/>
      <c r="EY118" s="285"/>
      <c r="EZ118" s="285"/>
      <c r="FA118" s="285"/>
      <c r="FB118" s="285"/>
      <c r="FC118" s="285"/>
      <c r="FD118" s="285"/>
      <c r="FE118" s="285"/>
      <c r="FF118" s="285"/>
      <c r="FG118" s="285"/>
      <c r="FH118" s="285"/>
      <c r="FI118" s="285"/>
      <c r="FJ118" s="285"/>
      <c r="FK118" s="285"/>
      <c r="FL118" s="285"/>
      <c r="FM118" s="285"/>
      <c r="FN118" s="285"/>
      <c r="FO118" s="285"/>
      <c r="FP118" s="285"/>
      <c r="FQ118" s="285"/>
      <c r="FR118" s="285"/>
      <c r="FS118" s="285"/>
      <c r="FT118" s="285"/>
      <c r="FU118" s="285"/>
      <c r="FV118" s="285"/>
      <c r="FW118" s="285"/>
      <c r="FX118" s="285"/>
      <c r="FY118" s="285"/>
      <c r="FZ118" s="285"/>
      <c r="GA118" s="285"/>
      <c r="GB118" s="285"/>
      <c r="GC118" s="285"/>
      <c r="GD118" s="285"/>
      <c r="GE118" s="285"/>
      <c r="GF118" s="285"/>
      <c r="GG118" s="285"/>
      <c r="GH118" s="285"/>
      <c r="GI118" s="285"/>
      <c r="GJ118" s="285"/>
      <c r="GK118" s="285"/>
      <c r="GL118" s="285"/>
      <c r="GM118" s="285"/>
      <c r="GN118" s="285"/>
      <c r="GO118" s="285"/>
      <c r="GP118" s="285"/>
      <c r="GQ118" s="285"/>
      <c r="GR118" s="285"/>
      <c r="GS118" s="285"/>
      <c r="GT118" s="285"/>
      <c r="GU118" s="285"/>
      <c r="GV118" s="285"/>
      <c r="GW118" s="285"/>
      <c r="GX118" s="285"/>
      <c r="GY118" s="285"/>
      <c r="GZ118" s="285"/>
      <c r="HA118" s="285"/>
      <c r="HB118" s="285"/>
      <c r="HC118" s="285"/>
      <c r="HD118" s="285"/>
      <c r="HE118" s="285"/>
      <c r="HF118" s="285"/>
      <c r="HG118" s="285"/>
      <c r="HH118" s="285"/>
      <c r="HI118" s="285"/>
      <c r="HJ118" s="285"/>
      <c r="HK118" s="285"/>
      <c r="HL118" s="285"/>
      <c r="HM118" s="285"/>
      <c r="HN118" s="285"/>
      <c r="HO118" s="285"/>
      <c r="HP118" s="285"/>
      <c r="HQ118" s="285"/>
      <c r="HR118" s="285"/>
      <c r="HS118" s="285"/>
      <c r="HT118" s="285"/>
      <c r="HU118" s="285"/>
      <c r="HV118" s="285"/>
      <c r="HW118" s="285"/>
      <c r="HX118" s="285"/>
      <c r="HY118" s="285"/>
      <c r="HZ118" s="285"/>
      <c r="IA118" s="285"/>
      <c r="IB118" s="285"/>
      <c r="IC118" s="285"/>
      <c r="ID118" s="285"/>
      <c r="IE118" s="285"/>
      <c r="IF118" s="285"/>
      <c r="IG118" s="285"/>
      <c r="IH118" s="285"/>
      <c r="II118" s="285"/>
      <c r="IJ118" s="285"/>
      <c r="IK118" s="285"/>
      <c r="IL118" s="285"/>
      <c r="IM118" s="285"/>
      <c r="IN118" s="285"/>
      <c r="IO118" s="285"/>
      <c r="IP118" s="285"/>
      <c r="IQ118" s="285"/>
      <c r="IR118" s="285"/>
      <c r="IS118" s="285"/>
      <c r="IT118" s="285"/>
      <c r="IU118" s="285"/>
      <c r="IV118" s="285"/>
      <c r="IW118" s="285"/>
      <c r="IX118" s="285"/>
      <c r="IY118" s="285"/>
      <c r="IZ118" s="285"/>
      <c r="JA118" s="285"/>
      <c r="JB118" s="285"/>
      <c r="JC118" s="285"/>
      <c r="JD118" s="285"/>
      <c r="JE118" s="285"/>
      <c r="JF118" s="285"/>
      <c r="JG118" s="285"/>
      <c r="JH118" s="285"/>
      <c r="JI118" s="285"/>
      <c r="JJ118" s="285"/>
      <c r="JK118" s="285"/>
      <c r="JL118" s="285"/>
      <c r="JM118" s="285"/>
      <c r="JN118" s="285"/>
      <c r="JO118" s="285"/>
      <c r="JP118" s="285"/>
      <c r="JQ118" s="285"/>
      <c r="JR118" s="285"/>
      <c r="JS118" s="285"/>
      <c r="JT118" s="285"/>
      <c r="JU118" s="285"/>
      <c r="JV118" s="285"/>
      <c r="JW118" s="285"/>
      <c r="JX118" s="285"/>
      <c r="JY118" s="285"/>
      <c r="JZ118" s="285"/>
      <c r="KA118" s="285"/>
      <c r="KB118" s="285"/>
      <c r="KC118" s="285"/>
      <c r="KD118" s="285"/>
      <c r="KE118" s="285"/>
      <c r="KF118" s="285"/>
      <c r="KG118" s="285"/>
      <c r="KH118" s="285"/>
      <c r="KI118" s="285"/>
      <c r="KJ118" s="285"/>
      <c r="KK118" s="285"/>
      <c r="KL118" s="285"/>
      <c r="KM118" s="285"/>
      <c r="KN118" s="285"/>
      <c r="KO118" s="285"/>
      <c r="KP118" s="285"/>
      <c r="KQ118" s="285"/>
      <c r="KR118" s="298"/>
      <c r="KS118" s="285"/>
      <c r="KT118" s="285"/>
      <c r="KU118" s="1308"/>
      <c r="KV118" s="288"/>
      <c r="KW118" s="288"/>
    </row>
    <row r="119" spans="1:964" s="1304" customFormat="1" ht="16.2" customHeight="1">
      <c r="A119" s="1542" t="s">
        <v>6431</v>
      </c>
      <c r="B119" s="1673" t="s">
        <v>6436</v>
      </c>
      <c r="C119" s="1358">
        <v>311635216</v>
      </c>
      <c r="D119" s="906" t="s">
        <v>6925</v>
      </c>
      <c r="E119" s="1597" t="s">
        <v>6465</v>
      </c>
      <c r="F119" s="74"/>
      <c r="G119" s="75"/>
      <c r="H119" s="1662" t="s">
        <v>6806</v>
      </c>
      <c r="I119" s="1662"/>
      <c r="J119" s="1662"/>
      <c r="K119" s="1671"/>
      <c r="L119" s="1671"/>
      <c r="M119" s="1671"/>
      <c r="N119" s="1671"/>
      <c r="O119" s="1390" t="s">
        <v>6474</v>
      </c>
      <c r="P119" s="1390"/>
      <c r="Q119" s="1390"/>
      <c r="R119" s="1308" t="s">
        <v>5696</v>
      </c>
      <c r="S119" s="1308"/>
      <c r="T119" s="1308"/>
      <c r="U119" s="1308"/>
      <c r="V119" s="1308"/>
      <c r="W119" s="1308"/>
      <c r="X119" s="1308"/>
      <c r="Y119" s="1308"/>
      <c r="Z119" s="1308"/>
      <c r="AA119" s="1308"/>
      <c r="AB119" s="285"/>
      <c r="AC119" s="285"/>
      <c r="AD119" s="285"/>
      <c r="AE119" s="285"/>
      <c r="AF119" s="285"/>
      <c r="AG119" s="285"/>
      <c r="AH119" s="285"/>
      <c r="AI119" s="285"/>
      <c r="AJ119" s="285"/>
      <c r="AK119" s="285"/>
      <c r="AL119" s="285"/>
      <c r="AM119" s="285"/>
      <c r="AN119" s="285"/>
      <c r="AO119" s="285"/>
      <c r="AP119" s="285"/>
      <c r="AQ119" s="285"/>
      <c r="AR119" s="285"/>
      <c r="AS119" s="285"/>
      <c r="AT119" s="285"/>
      <c r="AU119" s="285"/>
      <c r="AV119" s="285"/>
      <c r="AW119" s="285"/>
      <c r="AX119" s="285"/>
      <c r="AY119" s="285"/>
      <c r="AZ119" s="285"/>
      <c r="BA119" s="285"/>
      <c r="BB119" s="285"/>
      <c r="BC119" s="285"/>
      <c r="BD119" s="285"/>
      <c r="BE119" s="285"/>
      <c r="BF119" s="285"/>
      <c r="BG119" s="285"/>
      <c r="BH119" s="285"/>
      <c r="BI119" s="285"/>
      <c r="BJ119" s="285"/>
      <c r="BK119" s="285"/>
      <c r="BL119" s="285"/>
      <c r="BM119" s="285"/>
      <c r="BN119" s="285"/>
      <c r="BO119" s="285"/>
      <c r="BP119" s="285"/>
      <c r="BQ119" s="285"/>
      <c r="BR119" s="285"/>
      <c r="BS119" s="285"/>
      <c r="BT119" s="285"/>
      <c r="BU119" s="285"/>
      <c r="BV119" s="285"/>
      <c r="BW119" s="285"/>
      <c r="BX119" s="285"/>
      <c r="BY119" s="285"/>
      <c r="BZ119" s="285"/>
      <c r="CA119" s="285"/>
      <c r="CB119" s="285"/>
      <c r="CC119" s="285"/>
      <c r="CD119" s="285"/>
      <c r="CE119" s="285"/>
      <c r="CF119" s="285"/>
      <c r="CG119" s="285"/>
      <c r="CH119" s="285"/>
      <c r="CI119" s="285"/>
      <c r="CJ119" s="285"/>
      <c r="CK119" s="285"/>
      <c r="CL119" s="285"/>
      <c r="CM119" s="285"/>
      <c r="CN119" s="285"/>
      <c r="CO119" s="285"/>
      <c r="CP119" s="285"/>
      <c r="CQ119" s="285"/>
      <c r="CR119" s="285"/>
      <c r="CS119" s="285"/>
      <c r="CT119" s="285"/>
      <c r="CU119" s="285"/>
      <c r="CV119" s="285"/>
      <c r="CW119" s="285"/>
      <c r="CX119" s="285"/>
      <c r="CY119" s="285"/>
      <c r="CZ119" s="285"/>
      <c r="DA119" s="285"/>
      <c r="DB119" s="285"/>
      <c r="DC119" s="285"/>
      <c r="DD119" s="285"/>
      <c r="DE119" s="285"/>
      <c r="DF119" s="285"/>
      <c r="DG119" s="285"/>
      <c r="DH119" s="285"/>
      <c r="DI119" s="285"/>
      <c r="DJ119" s="285"/>
      <c r="DK119" s="285"/>
      <c r="DL119" s="285"/>
      <c r="DM119" s="285"/>
      <c r="DN119" s="285"/>
      <c r="DO119" s="285"/>
      <c r="DP119" s="285"/>
      <c r="DQ119" s="285"/>
      <c r="DR119" s="285"/>
      <c r="DS119" s="285"/>
      <c r="DT119" s="285"/>
      <c r="DU119" s="285"/>
      <c r="DV119" s="285"/>
      <c r="DW119" s="285"/>
      <c r="DX119" s="285"/>
      <c r="DY119" s="285"/>
      <c r="DZ119" s="285"/>
      <c r="EA119" s="285"/>
      <c r="EB119" s="285"/>
      <c r="EC119" s="285"/>
      <c r="ED119" s="285"/>
      <c r="EE119" s="285"/>
      <c r="EF119" s="285"/>
      <c r="EG119" s="285"/>
      <c r="EH119" s="285"/>
      <c r="EI119" s="285"/>
      <c r="EJ119" s="285"/>
      <c r="EK119" s="285"/>
      <c r="EL119" s="285"/>
      <c r="EM119" s="285"/>
      <c r="EN119" s="285"/>
      <c r="EO119" s="285"/>
      <c r="EP119" s="285"/>
      <c r="EQ119" s="285"/>
      <c r="ER119" s="285"/>
      <c r="ES119" s="285"/>
      <c r="ET119" s="285"/>
      <c r="EU119" s="285"/>
      <c r="EV119" s="285"/>
      <c r="EW119" s="285"/>
      <c r="EX119" s="285"/>
      <c r="EY119" s="285"/>
      <c r="EZ119" s="285"/>
      <c r="FA119" s="285"/>
      <c r="FB119" s="285"/>
      <c r="FC119" s="285"/>
      <c r="FD119" s="285"/>
      <c r="FE119" s="285"/>
      <c r="FF119" s="285"/>
      <c r="FG119" s="285"/>
      <c r="FH119" s="285"/>
      <c r="FI119" s="285"/>
      <c r="FJ119" s="285"/>
      <c r="FK119" s="285"/>
      <c r="FL119" s="285"/>
      <c r="FM119" s="285"/>
      <c r="FN119" s="285"/>
      <c r="FO119" s="285"/>
      <c r="FP119" s="285"/>
      <c r="FQ119" s="285"/>
      <c r="FR119" s="285"/>
      <c r="FS119" s="285"/>
      <c r="FT119" s="285"/>
      <c r="FU119" s="285"/>
      <c r="FV119" s="285"/>
      <c r="FW119" s="285"/>
      <c r="FX119" s="285"/>
      <c r="FY119" s="285"/>
      <c r="FZ119" s="285"/>
      <c r="GA119" s="285"/>
      <c r="GB119" s="285"/>
      <c r="GC119" s="285"/>
      <c r="GD119" s="285"/>
      <c r="GE119" s="285"/>
      <c r="GF119" s="285"/>
      <c r="GG119" s="285"/>
      <c r="GH119" s="285"/>
      <c r="GI119" s="285"/>
      <c r="GJ119" s="285"/>
      <c r="GK119" s="285"/>
      <c r="GL119" s="285"/>
      <c r="GM119" s="285"/>
      <c r="GN119" s="285"/>
      <c r="GO119" s="285"/>
      <c r="GP119" s="285"/>
      <c r="GQ119" s="285"/>
      <c r="GR119" s="285"/>
      <c r="GS119" s="285"/>
      <c r="GT119" s="285"/>
      <c r="GU119" s="285"/>
      <c r="GV119" s="285"/>
      <c r="GW119" s="285"/>
      <c r="GX119" s="285"/>
      <c r="GY119" s="285"/>
      <c r="GZ119" s="285"/>
      <c r="HA119" s="285"/>
      <c r="HB119" s="285"/>
      <c r="HC119" s="285"/>
      <c r="HD119" s="285"/>
      <c r="HE119" s="285"/>
      <c r="HF119" s="285"/>
      <c r="HG119" s="285"/>
      <c r="HH119" s="285"/>
      <c r="HI119" s="285"/>
      <c r="HJ119" s="285"/>
      <c r="HK119" s="285"/>
      <c r="HL119" s="285"/>
      <c r="HM119" s="285"/>
      <c r="HN119" s="285"/>
      <c r="HO119" s="285"/>
      <c r="HP119" s="285"/>
      <c r="HQ119" s="285"/>
      <c r="HR119" s="285"/>
      <c r="HS119" s="285"/>
      <c r="HT119" s="285"/>
      <c r="HU119" s="285"/>
      <c r="HV119" s="285"/>
      <c r="HW119" s="285"/>
      <c r="HX119" s="285"/>
      <c r="HY119" s="285"/>
      <c r="HZ119" s="285"/>
      <c r="IA119" s="285"/>
      <c r="IB119" s="285"/>
      <c r="IC119" s="285"/>
      <c r="ID119" s="285"/>
      <c r="IE119" s="285"/>
      <c r="IF119" s="285"/>
      <c r="IG119" s="285"/>
      <c r="IH119" s="285"/>
      <c r="II119" s="285"/>
      <c r="IJ119" s="285"/>
      <c r="IK119" s="285"/>
      <c r="IL119" s="285"/>
      <c r="IM119" s="285"/>
      <c r="IN119" s="285"/>
      <c r="IO119" s="285"/>
      <c r="IP119" s="285"/>
      <c r="IQ119" s="285"/>
      <c r="IR119" s="285"/>
      <c r="IS119" s="285"/>
      <c r="IT119" s="285"/>
      <c r="IU119" s="285"/>
      <c r="IV119" s="285"/>
      <c r="IW119" s="285"/>
      <c r="IX119" s="285"/>
      <c r="IY119" s="285"/>
      <c r="IZ119" s="285"/>
      <c r="JA119" s="285"/>
      <c r="JB119" s="285"/>
      <c r="JC119" s="285"/>
      <c r="JD119" s="285"/>
      <c r="JE119" s="285"/>
      <c r="JF119" s="285"/>
      <c r="JG119" s="285"/>
      <c r="JH119" s="285"/>
      <c r="JI119" s="285"/>
      <c r="JJ119" s="285"/>
      <c r="JK119" s="285"/>
      <c r="JL119" s="285"/>
      <c r="JM119" s="285"/>
      <c r="JN119" s="285"/>
      <c r="JO119" s="285"/>
      <c r="JP119" s="285"/>
      <c r="JQ119" s="285"/>
      <c r="JR119" s="285"/>
      <c r="JS119" s="285"/>
      <c r="JT119" s="285"/>
      <c r="JU119" s="285"/>
      <c r="JV119" s="285"/>
      <c r="JW119" s="285"/>
      <c r="JX119" s="285"/>
      <c r="JY119" s="285"/>
      <c r="JZ119" s="285"/>
      <c r="KA119" s="285"/>
      <c r="KB119" s="285"/>
      <c r="KC119" s="285"/>
      <c r="KD119" s="285"/>
      <c r="KE119" s="285"/>
      <c r="KF119" s="285"/>
      <c r="KG119" s="285"/>
      <c r="KH119" s="285"/>
      <c r="KI119" s="285"/>
      <c r="KJ119" s="285"/>
      <c r="KK119" s="285"/>
      <c r="KL119" s="285"/>
      <c r="KM119" s="285"/>
      <c r="KN119" s="285"/>
      <c r="KO119" s="285"/>
      <c r="KP119" s="285"/>
      <c r="KQ119" s="285"/>
      <c r="KR119" s="298"/>
      <c r="KS119" s="285"/>
      <c r="KT119" s="285"/>
      <c r="KU119" s="1308"/>
      <c r="KV119" s="288"/>
      <c r="KW119" s="288"/>
    </row>
    <row r="120" spans="1:964" s="1304" customFormat="1" ht="16.2" customHeight="1">
      <c r="A120" s="1551" t="s">
        <v>6449</v>
      </c>
      <c r="B120" s="1664" t="s">
        <v>6455</v>
      </c>
      <c r="C120" s="1358">
        <v>311655452</v>
      </c>
      <c r="D120" s="906" t="s">
        <v>6926</v>
      </c>
      <c r="E120" s="1508">
        <v>6254</v>
      </c>
      <c r="F120" s="74">
        <v>0</v>
      </c>
      <c r="G120" s="75"/>
      <c r="H120" s="1662" t="s">
        <v>6806</v>
      </c>
      <c r="I120" s="1662"/>
      <c r="J120" s="1570">
        <v>0</v>
      </c>
      <c r="K120" s="1902"/>
      <c r="L120" s="1902"/>
      <c r="M120" s="1902"/>
      <c r="N120" s="1902"/>
      <c r="O120" s="1594" t="s">
        <v>6478</v>
      </c>
      <c r="P120" s="1594"/>
      <c r="Q120" s="1594"/>
      <c r="R120" s="1308"/>
      <c r="S120" s="1308"/>
      <c r="T120" s="1308"/>
      <c r="U120" s="1308"/>
      <c r="V120" s="1308"/>
      <c r="W120" s="1308"/>
      <c r="X120" s="1308"/>
      <c r="Y120" s="1308"/>
      <c r="Z120" s="1308"/>
      <c r="AA120" s="1308"/>
      <c r="AB120" s="285"/>
      <c r="AC120" s="285"/>
      <c r="AD120" s="285"/>
      <c r="AE120" s="285"/>
      <c r="AF120" s="285"/>
      <c r="AG120" s="285"/>
      <c r="AH120" s="285"/>
      <c r="AI120" s="285"/>
      <c r="AJ120" s="285"/>
      <c r="AK120" s="285"/>
      <c r="AL120" s="285"/>
      <c r="AM120" s="285"/>
      <c r="AN120" s="285"/>
      <c r="AO120" s="285"/>
      <c r="AP120" s="285"/>
      <c r="AQ120" s="285"/>
      <c r="AR120" s="285"/>
      <c r="AS120" s="285"/>
      <c r="AT120" s="285"/>
      <c r="AU120" s="285"/>
      <c r="AV120" s="285"/>
      <c r="AW120" s="285"/>
      <c r="AX120" s="285"/>
      <c r="AY120" s="285"/>
      <c r="AZ120" s="285"/>
      <c r="BA120" s="285"/>
      <c r="BB120" s="285"/>
      <c r="BC120" s="285"/>
      <c r="BD120" s="285"/>
      <c r="BE120" s="285"/>
      <c r="BF120" s="285"/>
      <c r="BG120" s="285"/>
      <c r="BH120" s="285"/>
      <c r="BI120" s="285"/>
      <c r="BJ120" s="285"/>
      <c r="BK120" s="285"/>
      <c r="BL120" s="285"/>
      <c r="BM120" s="285"/>
      <c r="BN120" s="285"/>
      <c r="BO120" s="285"/>
      <c r="BP120" s="285"/>
      <c r="BQ120" s="285"/>
      <c r="BR120" s="285"/>
      <c r="BS120" s="285"/>
      <c r="BT120" s="285"/>
      <c r="BU120" s="285"/>
      <c r="BV120" s="285"/>
      <c r="BW120" s="285"/>
      <c r="BX120" s="285"/>
      <c r="BY120" s="285"/>
      <c r="BZ120" s="285"/>
      <c r="CA120" s="285"/>
      <c r="CB120" s="285"/>
      <c r="CC120" s="285"/>
      <c r="CD120" s="285"/>
      <c r="CE120" s="285"/>
      <c r="CF120" s="285"/>
      <c r="CG120" s="285"/>
      <c r="CH120" s="285"/>
      <c r="CI120" s="285"/>
      <c r="CJ120" s="285"/>
      <c r="CK120" s="285"/>
      <c r="CL120" s="285"/>
      <c r="CM120" s="285"/>
      <c r="CN120" s="285"/>
      <c r="CO120" s="285"/>
      <c r="CP120" s="285"/>
      <c r="CQ120" s="285"/>
      <c r="CR120" s="285"/>
      <c r="CS120" s="285"/>
      <c r="CT120" s="285"/>
      <c r="CU120" s="285"/>
      <c r="CV120" s="285"/>
      <c r="CW120" s="285"/>
      <c r="CX120" s="285"/>
      <c r="CY120" s="285"/>
      <c r="CZ120" s="285"/>
      <c r="DA120" s="285"/>
      <c r="DB120" s="285"/>
      <c r="DC120" s="285"/>
      <c r="DD120" s="285"/>
      <c r="DE120" s="285"/>
      <c r="DF120" s="285"/>
      <c r="DG120" s="285"/>
      <c r="DH120" s="285"/>
      <c r="DI120" s="285"/>
      <c r="DJ120" s="285"/>
      <c r="DK120" s="285"/>
      <c r="DL120" s="285"/>
      <c r="DM120" s="285"/>
      <c r="DN120" s="285"/>
      <c r="DO120" s="285"/>
      <c r="DP120" s="285"/>
      <c r="DQ120" s="285"/>
      <c r="DR120" s="285"/>
      <c r="DS120" s="285"/>
      <c r="DT120" s="285"/>
      <c r="DU120" s="285"/>
      <c r="DV120" s="285"/>
      <c r="DW120" s="285"/>
      <c r="DX120" s="285"/>
      <c r="DY120" s="285"/>
      <c r="DZ120" s="285"/>
      <c r="EA120" s="285"/>
      <c r="EB120" s="285"/>
      <c r="EC120" s="285"/>
      <c r="ED120" s="285"/>
      <c r="EE120" s="285"/>
      <c r="EF120" s="285"/>
      <c r="EG120" s="285"/>
      <c r="EH120" s="285"/>
      <c r="EI120" s="285"/>
      <c r="EJ120" s="285"/>
      <c r="EK120" s="285"/>
      <c r="EL120" s="285"/>
      <c r="EM120" s="285"/>
      <c r="EN120" s="285"/>
      <c r="EO120" s="285"/>
      <c r="EP120" s="285"/>
      <c r="EQ120" s="285"/>
      <c r="ER120" s="285"/>
      <c r="ES120" s="285"/>
      <c r="ET120" s="285"/>
      <c r="EU120" s="285"/>
      <c r="EV120" s="285"/>
      <c r="EW120" s="285"/>
      <c r="EX120" s="285"/>
      <c r="EY120" s="285"/>
      <c r="EZ120" s="285"/>
      <c r="FA120" s="285"/>
      <c r="FB120" s="285"/>
      <c r="FC120" s="285"/>
      <c r="FD120" s="285"/>
      <c r="FE120" s="285"/>
      <c r="FF120" s="285"/>
      <c r="FG120" s="285"/>
      <c r="FH120" s="285"/>
      <c r="FI120" s="285"/>
      <c r="FJ120" s="285"/>
      <c r="FK120" s="285"/>
      <c r="FL120" s="285"/>
      <c r="FM120" s="285"/>
      <c r="FN120" s="285"/>
      <c r="FO120" s="285"/>
      <c r="FP120" s="285"/>
      <c r="FQ120" s="285"/>
      <c r="FR120" s="285"/>
      <c r="FS120" s="285"/>
      <c r="FT120" s="285"/>
      <c r="FU120" s="285"/>
      <c r="FV120" s="285"/>
      <c r="FW120" s="285"/>
      <c r="FX120" s="285"/>
      <c r="FY120" s="285"/>
      <c r="FZ120" s="285"/>
      <c r="GA120" s="285"/>
      <c r="GB120" s="285"/>
      <c r="GC120" s="285"/>
      <c r="GD120" s="285"/>
      <c r="GE120" s="285"/>
      <c r="GF120" s="285"/>
      <c r="GG120" s="285"/>
      <c r="GH120" s="285"/>
      <c r="GI120" s="285"/>
      <c r="GJ120" s="285"/>
      <c r="GK120" s="285"/>
      <c r="GL120" s="285"/>
      <c r="GM120" s="285"/>
      <c r="GN120" s="285"/>
      <c r="GO120" s="285"/>
      <c r="GP120" s="285"/>
      <c r="GQ120" s="285"/>
      <c r="GR120" s="285"/>
      <c r="GS120" s="285"/>
      <c r="GT120" s="285"/>
      <c r="GU120" s="285"/>
      <c r="GV120" s="285"/>
      <c r="GW120" s="285"/>
      <c r="GX120" s="285"/>
      <c r="GY120" s="285"/>
      <c r="GZ120" s="285"/>
      <c r="HA120" s="285"/>
      <c r="HB120" s="285"/>
      <c r="HC120" s="285"/>
      <c r="HD120" s="285"/>
      <c r="HE120" s="285"/>
      <c r="HF120" s="285"/>
      <c r="HG120" s="285"/>
      <c r="HH120" s="285"/>
      <c r="HI120" s="285"/>
      <c r="HJ120" s="285"/>
      <c r="HK120" s="285"/>
      <c r="HL120" s="285"/>
      <c r="HM120" s="285"/>
      <c r="HN120" s="285"/>
      <c r="HO120" s="285"/>
      <c r="HP120" s="285"/>
      <c r="HQ120" s="285"/>
      <c r="HR120" s="285"/>
      <c r="HS120" s="285"/>
      <c r="HT120" s="285"/>
      <c r="HU120" s="285"/>
      <c r="HV120" s="285"/>
      <c r="HW120" s="285"/>
      <c r="HX120" s="285"/>
      <c r="HY120" s="285"/>
      <c r="HZ120" s="285"/>
      <c r="IA120" s="285"/>
      <c r="IB120" s="285"/>
      <c r="IC120" s="285"/>
      <c r="ID120" s="285"/>
      <c r="IE120" s="285"/>
      <c r="IF120" s="285"/>
      <c r="IG120" s="285"/>
      <c r="IH120" s="285"/>
      <c r="II120" s="285"/>
      <c r="IJ120" s="285"/>
      <c r="IK120" s="285"/>
      <c r="IL120" s="285"/>
      <c r="IM120" s="285"/>
      <c r="IN120" s="285"/>
      <c r="IO120" s="285"/>
      <c r="IP120" s="285"/>
      <c r="IQ120" s="285"/>
      <c r="IR120" s="285"/>
      <c r="IS120" s="285"/>
      <c r="IT120" s="285"/>
      <c r="IU120" s="285"/>
      <c r="IV120" s="285"/>
      <c r="IW120" s="285"/>
      <c r="IX120" s="285"/>
      <c r="IY120" s="285"/>
      <c r="IZ120" s="285"/>
      <c r="JA120" s="285"/>
      <c r="JB120" s="285"/>
      <c r="JC120" s="285"/>
      <c r="JD120" s="285"/>
      <c r="JE120" s="285"/>
      <c r="JF120" s="285"/>
      <c r="JG120" s="285"/>
      <c r="JH120" s="285"/>
      <c r="JI120" s="285"/>
      <c r="JJ120" s="285"/>
      <c r="JK120" s="285"/>
      <c r="JL120" s="285"/>
      <c r="JM120" s="285"/>
      <c r="JN120" s="285"/>
      <c r="JO120" s="285"/>
      <c r="JP120" s="285"/>
      <c r="JQ120" s="285"/>
      <c r="JR120" s="285"/>
      <c r="JS120" s="285"/>
      <c r="JT120" s="285"/>
      <c r="JU120" s="285"/>
      <c r="JV120" s="285"/>
      <c r="JW120" s="285"/>
      <c r="JX120" s="285"/>
      <c r="JY120" s="285"/>
      <c r="JZ120" s="285"/>
      <c r="KA120" s="285"/>
      <c r="KB120" s="285"/>
      <c r="KC120" s="285"/>
      <c r="KD120" s="285"/>
      <c r="KE120" s="285"/>
      <c r="KF120" s="285"/>
      <c r="KG120" s="285"/>
      <c r="KH120" s="285"/>
      <c r="KI120" s="285"/>
      <c r="KJ120" s="285"/>
      <c r="KK120" s="285"/>
      <c r="KL120" s="285"/>
      <c r="KM120" s="285"/>
      <c r="KN120" s="285"/>
      <c r="KO120" s="285"/>
      <c r="KP120" s="285"/>
      <c r="KQ120" s="285"/>
      <c r="KR120" s="298"/>
      <c r="KS120" s="285"/>
      <c r="KT120" s="285"/>
      <c r="KU120" s="1308"/>
      <c r="KV120" s="288"/>
      <c r="KW120" s="288"/>
    </row>
    <row r="121" spans="1:964" s="1304" customFormat="1" ht="16.2" customHeight="1">
      <c r="A121" s="1616" t="s">
        <v>6462</v>
      </c>
      <c r="B121" s="1841" t="s">
        <v>6470</v>
      </c>
      <c r="C121" s="1358">
        <v>311655484</v>
      </c>
      <c r="D121" s="906" t="s">
        <v>6925</v>
      </c>
      <c r="E121" s="1508">
        <v>1859</v>
      </c>
      <c r="F121" s="74"/>
      <c r="G121" s="75" t="s">
        <v>6224</v>
      </c>
      <c r="H121" s="1662" t="s">
        <v>6806</v>
      </c>
      <c r="I121" s="1662"/>
      <c r="J121" s="1662"/>
      <c r="K121" s="1662"/>
      <c r="L121" s="1662"/>
      <c r="M121" s="1662"/>
      <c r="N121" s="1662"/>
      <c r="O121" s="1595" t="s">
        <v>6546</v>
      </c>
      <c r="P121" s="1595"/>
      <c r="Q121" s="1595"/>
      <c r="R121" s="944"/>
      <c r="S121" s="944"/>
      <c r="T121" s="944"/>
      <c r="U121" s="944"/>
      <c r="V121" s="944"/>
      <c r="W121" s="944"/>
      <c r="X121" s="944"/>
      <c r="Y121" s="944"/>
      <c r="Z121" s="944"/>
      <c r="AA121" s="288"/>
      <c r="AB121" s="285"/>
      <c r="AC121" s="285"/>
      <c r="AD121" s="285"/>
      <c r="AE121" s="285"/>
      <c r="AF121" s="285"/>
      <c r="AG121" s="285"/>
      <c r="AH121" s="285"/>
      <c r="AI121" s="285"/>
      <c r="AJ121" s="285"/>
      <c r="AK121" s="285"/>
      <c r="AL121" s="285"/>
      <c r="AM121" s="285"/>
      <c r="AN121" s="285"/>
      <c r="AO121" s="285"/>
      <c r="AP121" s="285"/>
      <c r="AQ121" s="285"/>
      <c r="AR121" s="285"/>
      <c r="AS121" s="285"/>
      <c r="AT121" s="285"/>
      <c r="AU121" s="285"/>
      <c r="AV121" s="285"/>
      <c r="AW121" s="285"/>
      <c r="AX121" s="285"/>
      <c r="AY121" s="285"/>
      <c r="AZ121" s="285"/>
      <c r="BA121" s="285"/>
      <c r="BB121" s="285"/>
      <c r="BC121" s="285"/>
      <c r="BD121" s="285"/>
      <c r="BE121" s="285"/>
      <c r="BF121" s="285"/>
      <c r="BG121" s="285"/>
      <c r="BH121" s="285"/>
      <c r="BI121" s="285"/>
      <c r="BJ121" s="285"/>
      <c r="BK121" s="285"/>
      <c r="BL121" s="285"/>
      <c r="BM121" s="285"/>
      <c r="BN121" s="285"/>
      <c r="BO121" s="285"/>
      <c r="BP121" s="285"/>
      <c r="BQ121" s="285"/>
      <c r="BR121" s="285"/>
      <c r="BS121" s="285"/>
      <c r="BT121" s="285"/>
      <c r="BU121" s="285"/>
      <c r="BV121" s="285"/>
      <c r="BW121" s="285"/>
      <c r="BX121" s="285"/>
      <c r="BY121" s="285"/>
      <c r="BZ121" s="285"/>
      <c r="CA121" s="285"/>
      <c r="CB121" s="285"/>
      <c r="CC121" s="285"/>
      <c r="CD121" s="285"/>
      <c r="CE121" s="285"/>
      <c r="CF121" s="285"/>
      <c r="CG121" s="285"/>
      <c r="CH121" s="285"/>
      <c r="CI121" s="285"/>
      <c r="CJ121" s="285"/>
      <c r="CK121" s="285"/>
      <c r="CL121" s="285"/>
      <c r="CM121" s="285"/>
      <c r="CN121" s="285"/>
      <c r="CO121" s="285"/>
      <c r="CP121" s="285"/>
      <c r="CQ121" s="285"/>
      <c r="CR121" s="285"/>
      <c r="CS121" s="285"/>
      <c r="CT121" s="285"/>
      <c r="CU121" s="285"/>
      <c r="CV121" s="285"/>
      <c r="CW121" s="285"/>
      <c r="CX121" s="285"/>
      <c r="CY121" s="285"/>
      <c r="CZ121" s="285"/>
      <c r="DA121" s="285"/>
      <c r="DB121" s="285"/>
      <c r="DC121" s="285"/>
      <c r="DD121" s="285"/>
      <c r="DE121" s="285"/>
      <c r="DF121" s="285"/>
      <c r="DG121" s="285"/>
      <c r="DH121" s="285"/>
      <c r="DI121" s="285"/>
      <c r="DJ121" s="285"/>
      <c r="DK121" s="285"/>
      <c r="DL121" s="285"/>
      <c r="DM121" s="285"/>
      <c r="DN121" s="285"/>
      <c r="DO121" s="285"/>
      <c r="DP121" s="285"/>
      <c r="DQ121" s="285"/>
      <c r="DR121" s="285"/>
      <c r="DS121" s="285"/>
      <c r="DT121" s="285"/>
      <c r="DU121" s="285"/>
      <c r="DV121" s="285"/>
      <c r="DW121" s="285"/>
      <c r="DX121" s="285"/>
      <c r="DY121" s="285"/>
      <c r="DZ121" s="285"/>
      <c r="EA121" s="285"/>
      <c r="EB121" s="285"/>
      <c r="EC121" s="285"/>
      <c r="ED121" s="285"/>
      <c r="EE121" s="285"/>
      <c r="EF121" s="285"/>
      <c r="EG121" s="285"/>
      <c r="EH121" s="285"/>
      <c r="EI121" s="285"/>
      <c r="EJ121" s="285"/>
      <c r="EK121" s="285"/>
      <c r="EL121" s="285"/>
      <c r="EM121" s="285"/>
      <c r="EN121" s="285"/>
      <c r="EO121" s="285"/>
      <c r="EP121" s="285"/>
      <c r="EQ121" s="285"/>
      <c r="ER121" s="285"/>
      <c r="ES121" s="285"/>
      <c r="ET121" s="285"/>
      <c r="EU121" s="285"/>
      <c r="EV121" s="285"/>
      <c r="EW121" s="285"/>
      <c r="EX121" s="285"/>
      <c r="EY121" s="285"/>
      <c r="EZ121" s="285"/>
      <c r="FA121" s="285"/>
      <c r="FB121" s="285"/>
      <c r="FC121" s="285"/>
      <c r="FD121" s="285"/>
      <c r="FE121" s="285"/>
      <c r="FF121" s="285"/>
      <c r="FG121" s="285"/>
      <c r="FH121" s="285"/>
      <c r="FI121" s="285"/>
      <c r="FJ121" s="285"/>
      <c r="FK121" s="285"/>
      <c r="FL121" s="285"/>
      <c r="FM121" s="285"/>
      <c r="FN121" s="285"/>
      <c r="FO121" s="285"/>
      <c r="FP121" s="285"/>
      <c r="FQ121" s="285"/>
      <c r="FR121" s="285"/>
      <c r="FS121" s="285"/>
      <c r="FT121" s="285"/>
      <c r="FU121" s="285"/>
      <c r="FV121" s="285"/>
      <c r="FW121" s="285"/>
      <c r="FX121" s="285"/>
      <c r="FY121" s="285"/>
      <c r="FZ121" s="285"/>
      <c r="GA121" s="285"/>
      <c r="GB121" s="285"/>
      <c r="GC121" s="285"/>
      <c r="GD121" s="285"/>
      <c r="GE121" s="285"/>
      <c r="GF121" s="285"/>
      <c r="GG121" s="285"/>
      <c r="GH121" s="285"/>
      <c r="GI121" s="285"/>
      <c r="GJ121" s="285"/>
      <c r="GK121" s="285"/>
      <c r="GL121" s="285"/>
      <c r="GM121" s="285"/>
      <c r="GN121" s="285"/>
      <c r="GO121" s="285"/>
      <c r="GP121" s="285"/>
      <c r="GQ121" s="285"/>
      <c r="GR121" s="285"/>
      <c r="GS121" s="285"/>
      <c r="GT121" s="285"/>
      <c r="GU121" s="285"/>
      <c r="GV121" s="285"/>
      <c r="GW121" s="285"/>
      <c r="GX121" s="285"/>
      <c r="GY121" s="285"/>
      <c r="GZ121" s="285"/>
      <c r="HA121" s="285"/>
      <c r="HB121" s="285"/>
      <c r="HC121" s="285"/>
      <c r="HD121" s="285"/>
      <c r="HE121" s="285"/>
      <c r="HF121" s="285"/>
      <c r="HG121" s="285"/>
      <c r="HH121" s="285"/>
      <c r="HI121" s="285"/>
      <c r="HJ121" s="285"/>
      <c r="HK121" s="285"/>
      <c r="HL121" s="285"/>
      <c r="HM121" s="285"/>
      <c r="HN121" s="285"/>
      <c r="HO121" s="285"/>
      <c r="HP121" s="285"/>
      <c r="HQ121" s="285"/>
      <c r="HR121" s="285"/>
      <c r="HS121" s="285"/>
      <c r="HT121" s="285"/>
      <c r="HU121" s="285"/>
      <c r="HV121" s="285"/>
      <c r="HW121" s="285"/>
      <c r="HX121" s="285"/>
      <c r="HY121" s="285"/>
      <c r="HZ121" s="285"/>
      <c r="IA121" s="285"/>
      <c r="IB121" s="285"/>
      <c r="IC121" s="285"/>
      <c r="ID121" s="285"/>
      <c r="IE121" s="285"/>
      <c r="IF121" s="285"/>
      <c r="IG121" s="285"/>
      <c r="IH121" s="285"/>
      <c r="II121" s="285"/>
      <c r="IJ121" s="285"/>
      <c r="IK121" s="285"/>
      <c r="IL121" s="285"/>
      <c r="IM121" s="285"/>
      <c r="IN121" s="285"/>
      <c r="IO121" s="285"/>
      <c r="IP121" s="285"/>
      <c r="IQ121" s="285"/>
      <c r="IR121" s="285"/>
      <c r="IS121" s="285"/>
      <c r="IT121" s="285"/>
      <c r="IU121" s="285"/>
      <c r="IV121" s="285"/>
      <c r="IW121" s="285"/>
      <c r="IX121" s="285"/>
      <c r="IY121" s="285"/>
      <c r="IZ121" s="285"/>
      <c r="JA121" s="285"/>
      <c r="JB121" s="285"/>
      <c r="JC121" s="285"/>
      <c r="JD121" s="285"/>
      <c r="JE121" s="285"/>
      <c r="JF121" s="285"/>
      <c r="JG121" s="285"/>
      <c r="JH121" s="285"/>
      <c r="JI121" s="285"/>
      <c r="JJ121" s="285"/>
      <c r="JK121" s="285"/>
      <c r="JL121" s="285"/>
      <c r="JM121" s="285"/>
      <c r="JN121" s="285"/>
      <c r="JO121" s="285"/>
      <c r="JP121" s="285"/>
      <c r="JQ121" s="285"/>
      <c r="JR121" s="285"/>
      <c r="JS121" s="285"/>
      <c r="JT121" s="285"/>
      <c r="JU121" s="285"/>
      <c r="JV121" s="285"/>
      <c r="JW121" s="285"/>
      <c r="JX121" s="285"/>
      <c r="JY121" s="285"/>
      <c r="JZ121" s="285"/>
      <c r="KA121" s="285"/>
      <c r="KB121" s="285"/>
      <c r="KC121" s="285"/>
      <c r="KD121" s="285"/>
      <c r="KE121" s="285"/>
      <c r="KF121" s="285"/>
      <c r="KG121" s="285"/>
      <c r="KH121" s="285"/>
      <c r="KI121" s="285"/>
      <c r="KJ121" s="285"/>
      <c r="KK121" s="285"/>
      <c r="KL121" s="285"/>
      <c r="KM121" s="285"/>
      <c r="KN121" s="285"/>
      <c r="KO121" s="285"/>
      <c r="KP121" s="285"/>
      <c r="KQ121" s="285"/>
      <c r="KR121" s="298"/>
      <c r="KS121" s="285"/>
      <c r="KT121" s="285"/>
      <c r="KU121" s="1308"/>
      <c r="KV121" s="288"/>
      <c r="KW121" s="288"/>
    </row>
    <row r="122" spans="1:964" s="1304" customFormat="1">
      <c r="A122" s="1569" t="s">
        <v>6515</v>
      </c>
      <c r="B122" s="1842" t="s">
        <v>6518</v>
      </c>
      <c r="C122" s="1243">
        <v>311680794</v>
      </c>
      <c r="D122" s="906" t="s">
        <v>6926</v>
      </c>
      <c r="E122" s="74" t="s">
        <v>6519</v>
      </c>
      <c r="F122" s="74"/>
      <c r="G122" s="75" t="s">
        <v>6622</v>
      </c>
      <c r="H122" s="1662" t="s">
        <v>6806</v>
      </c>
      <c r="I122" s="1662"/>
      <c r="J122" s="944">
        <v>0</v>
      </c>
      <c r="K122" s="944"/>
      <c r="L122" s="944"/>
      <c r="M122" s="944"/>
      <c r="N122" s="944"/>
      <c r="O122" s="1595" t="s">
        <v>6566</v>
      </c>
      <c r="P122" s="1595"/>
      <c r="Q122" s="1595"/>
      <c r="R122" s="74">
        <v>70927282</v>
      </c>
      <c r="S122" s="74"/>
      <c r="T122" s="74"/>
      <c r="U122" s="74"/>
      <c r="V122" s="74">
        <v>17113081</v>
      </c>
      <c r="W122" s="944"/>
      <c r="X122" s="944"/>
      <c r="Y122" s="74"/>
      <c r="Z122" s="74"/>
      <c r="EK122" s="285"/>
      <c r="LA122" s="1304">
        <v>1.74</v>
      </c>
      <c r="LB122" s="1304">
        <v>0.9</v>
      </c>
      <c r="LC122" s="1304">
        <v>75</v>
      </c>
      <c r="LD122" s="1304">
        <v>75</v>
      </c>
      <c r="LE122" s="1304">
        <v>72.5</v>
      </c>
      <c r="LF122" s="1304">
        <v>0</v>
      </c>
      <c r="LG122" s="1304">
        <v>0</v>
      </c>
      <c r="LJ122" s="1304">
        <v>4.5</v>
      </c>
      <c r="LK122" s="1304">
        <v>4.5</v>
      </c>
      <c r="LL122" s="1304">
        <v>4.5</v>
      </c>
      <c r="LM122" s="1304">
        <v>4.5</v>
      </c>
      <c r="LN122" s="1304">
        <v>4.5</v>
      </c>
      <c r="LS122" s="1304">
        <v>0.9</v>
      </c>
      <c r="LT122" s="1304">
        <v>0.9</v>
      </c>
      <c r="LU122" s="1304">
        <v>0.9</v>
      </c>
      <c r="LV122" s="1304">
        <v>0.9</v>
      </c>
      <c r="LW122" s="1304">
        <v>0.9</v>
      </c>
      <c r="LX122" s="1304">
        <v>0.9</v>
      </c>
      <c r="LY122" s="1304">
        <v>0.9</v>
      </c>
      <c r="LZ122" s="1304">
        <v>0.9</v>
      </c>
      <c r="MA122" s="1304">
        <v>0.9</v>
      </c>
      <c r="MB122" s="1304">
        <v>0.9</v>
      </c>
      <c r="MC122" s="1304">
        <v>0.9</v>
      </c>
      <c r="MD122" s="1304">
        <v>0.9</v>
      </c>
      <c r="ME122" s="1304">
        <v>0.9</v>
      </c>
      <c r="MF122" s="1304">
        <v>0.9</v>
      </c>
      <c r="MG122" s="1304">
        <v>0.9</v>
      </c>
      <c r="MH122" s="1304">
        <v>0.9</v>
      </c>
      <c r="MI122" s="1304">
        <v>0.9</v>
      </c>
      <c r="MJ122" s="1304">
        <v>0.9</v>
      </c>
      <c r="MK122" s="1304">
        <v>0.9</v>
      </c>
      <c r="ML122" s="1304">
        <v>0.9</v>
      </c>
      <c r="MM122" s="1304">
        <v>0.9</v>
      </c>
      <c r="MN122" s="1304">
        <v>0.9</v>
      </c>
      <c r="MO122" s="1304">
        <v>0.9</v>
      </c>
      <c r="MP122" s="1304">
        <v>0.9</v>
      </c>
      <c r="MQ122" s="1304">
        <v>0.9</v>
      </c>
      <c r="MR122" s="1304">
        <v>0.9</v>
      </c>
      <c r="MS122" s="1304">
        <v>0.9</v>
      </c>
      <c r="MT122" s="1304">
        <v>0.9</v>
      </c>
      <c r="MU122" s="1304">
        <v>0.9</v>
      </c>
      <c r="MV122" s="1304">
        <v>0.9</v>
      </c>
      <c r="MW122" s="1304">
        <v>0.9</v>
      </c>
      <c r="MX122" s="1304">
        <v>0.9</v>
      </c>
      <c r="MY122" s="1304">
        <v>0.9</v>
      </c>
      <c r="MZ122" s="1304">
        <v>0.9</v>
      </c>
      <c r="NA122" s="1304">
        <v>0.9</v>
      </c>
      <c r="NB122" s="1304">
        <v>0.9</v>
      </c>
      <c r="NC122" s="1304">
        <v>0.9</v>
      </c>
      <c r="ND122" s="1304">
        <v>0.9</v>
      </c>
      <c r="NE122" s="1304">
        <v>0.9</v>
      </c>
      <c r="NF122" s="1304">
        <v>0.9</v>
      </c>
      <c r="NG122" s="1304">
        <v>0.9</v>
      </c>
      <c r="NH122" s="1304">
        <v>0.9</v>
      </c>
      <c r="NI122" s="1304">
        <v>0.9</v>
      </c>
      <c r="NJ122" s="1304">
        <v>0.9</v>
      </c>
      <c r="NK122" s="1304">
        <v>0.9</v>
      </c>
      <c r="NL122" s="1304">
        <v>0.9</v>
      </c>
      <c r="NM122" s="1304">
        <v>0.9</v>
      </c>
      <c r="NN122" s="1304">
        <v>0.9</v>
      </c>
      <c r="NO122" s="1304">
        <v>0.9</v>
      </c>
      <c r="NP122" s="1304">
        <v>0.9</v>
      </c>
      <c r="NQ122" s="1304">
        <v>0.9</v>
      </c>
      <c r="NR122" s="1304">
        <v>0.9</v>
      </c>
      <c r="NS122" s="1304">
        <v>0.9</v>
      </c>
      <c r="NT122" s="1304">
        <v>0.9</v>
      </c>
      <c r="NU122" s="1304">
        <v>0.9</v>
      </c>
      <c r="NV122" s="1304">
        <v>0.9</v>
      </c>
      <c r="NW122" s="1304">
        <v>0.9</v>
      </c>
      <c r="NX122" s="1304">
        <v>0.9</v>
      </c>
      <c r="NY122" s="1304">
        <v>0.9</v>
      </c>
      <c r="NZ122" s="1304">
        <v>0.74</v>
      </c>
      <c r="OA122" s="1304">
        <v>0.74</v>
      </c>
      <c r="OB122" s="1304">
        <v>0.74</v>
      </c>
      <c r="OC122" s="1304">
        <v>0.74</v>
      </c>
      <c r="OD122" s="1304">
        <v>0.74</v>
      </c>
      <c r="OE122" s="1304">
        <v>0.74</v>
      </c>
      <c r="OP122" s="1304">
        <v>1</v>
      </c>
      <c r="OQ122" s="1304">
        <v>1</v>
      </c>
      <c r="OR122" s="1304">
        <v>1</v>
      </c>
      <c r="OS122" s="1304">
        <v>1</v>
      </c>
      <c r="OT122" s="1304">
        <v>1</v>
      </c>
      <c r="RQ122" s="1304">
        <v>4.5</v>
      </c>
      <c r="RR122" s="1304">
        <v>4.5</v>
      </c>
      <c r="RS122" s="1304">
        <v>4.5</v>
      </c>
      <c r="RT122" s="1304">
        <v>4.5</v>
      </c>
      <c r="RU122" s="1304">
        <v>4.5</v>
      </c>
      <c r="RV122" s="1304">
        <v>4.5</v>
      </c>
      <c r="RW122" s="1304">
        <v>4.5</v>
      </c>
      <c r="RX122" s="1304">
        <v>4.5</v>
      </c>
      <c r="RY122" s="1304">
        <v>4.5</v>
      </c>
      <c r="RZ122" s="1304">
        <v>4.5</v>
      </c>
      <c r="SA122" s="1304">
        <v>4.5</v>
      </c>
      <c r="SB122" s="1304">
        <v>4.5</v>
      </c>
      <c r="SC122" s="1304">
        <v>4.5</v>
      </c>
      <c r="SD122" s="1304">
        <v>4.5</v>
      </c>
      <c r="SE122" s="1304">
        <v>4.5</v>
      </c>
      <c r="SF122" s="1304">
        <v>4.5</v>
      </c>
      <c r="SG122" s="1304">
        <v>4.5</v>
      </c>
      <c r="SH122" s="1304">
        <v>4.5</v>
      </c>
      <c r="SI122" s="1304">
        <v>4.5</v>
      </c>
      <c r="SJ122" s="1304">
        <v>4.5</v>
      </c>
      <c r="SK122" s="1304">
        <v>4.5</v>
      </c>
      <c r="SL122" s="1304">
        <v>4.5</v>
      </c>
      <c r="SM122" s="1304">
        <v>4.5</v>
      </c>
      <c r="SN122" s="1304">
        <v>4.5</v>
      </c>
      <c r="SO122" s="1304">
        <v>4.5</v>
      </c>
      <c r="SP122" s="1304">
        <v>4.5</v>
      </c>
      <c r="SQ122" s="1304">
        <v>4.5</v>
      </c>
      <c r="SR122" s="1304">
        <v>4.5</v>
      </c>
      <c r="SS122" s="1304">
        <v>4.5</v>
      </c>
      <c r="ST122" s="1304">
        <v>4.5</v>
      </c>
      <c r="AJT122" s="1304">
        <v>4.5</v>
      </c>
      <c r="AJU122" s="1304">
        <v>4.5</v>
      </c>
      <c r="AJV122" s="1304">
        <v>4.5</v>
      </c>
      <c r="AJW122" s="1304">
        <v>4.5</v>
      </c>
      <c r="AJX122" s="1304">
        <v>4.5</v>
      </c>
      <c r="AJY122" s="1304">
        <v>4.5</v>
      </c>
      <c r="AJZ122" s="1304">
        <v>4.5</v>
      </c>
      <c r="AKA122" s="1304">
        <v>4.5</v>
      </c>
      <c r="AKB122" s="1304">
        <v>4.5</v>
      </c>
    </row>
    <row r="123" spans="1:964" s="1304" customFormat="1">
      <c r="A123" s="1577" t="s">
        <v>6515</v>
      </c>
      <c r="B123" s="1846" t="s">
        <v>6557</v>
      </c>
      <c r="C123" s="1602">
        <v>311692503</v>
      </c>
      <c r="D123" s="906" t="s">
        <v>6925</v>
      </c>
      <c r="E123" s="74">
        <v>6254</v>
      </c>
      <c r="F123" s="74"/>
      <c r="G123" s="75"/>
      <c r="H123" s="1662" t="s">
        <v>6806</v>
      </c>
      <c r="I123" s="1662"/>
      <c r="J123" s="944">
        <v>0</v>
      </c>
      <c r="K123" s="1308"/>
      <c r="L123" s="1308"/>
      <c r="M123" s="1308"/>
      <c r="N123" s="1308"/>
      <c r="O123" s="285"/>
      <c r="P123" s="285"/>
      <c r="Q123" s="285"/>
      <c r="R123" s="285"/>
      <c r="S123" s="285"/>
      <c r="T123" s="285"/>
      <c r="U123" s="285"/>
      <c r="V123" s="285"/>
      <c r="W123" s="1308"/>
      <c r="X123" s="1308"/>
      <c r="Y123" s="285"/>
      <c r="Z123" s="285"/>
      <c r="EK123" s="285"/>
    </row>
    <row r="124" spans="1:964" s="1304" customFormat="1">
      <c r="A124" s="1577" t="s">
        <v>6515</v>
      </c>
      <c r="B124" s="1845" t="s">
        <v>6558</v>
      </c>
      <c r="C124" s="1602">
        <v>311692534</v>
      </c>
      <c r="D124" s="906" t="s">
        <v>6926</v>
      </c>
      <c r="E124" s="74">
        <v>6254</v>
      </c>
      <c r="F124" s="74"/>
      <c r="G124" s="75"/>
      <c r="H124" s="1662" t="s">
        <v>6806</v>
      </c>
      <c r="I124" s="1662"/>
      <c r="J124" s="944">
        <v>0</v>
      </c>
      <c r="K124" s="1308"/>
      <c r="L124" s="1308"/>
      <c r="M124" s="1308"/>
      <c r="N124" s="1308"/>
      <c r="O124" s="285"/>
      <c r="P124" s="285"/>
      <c r="Q124" s="285"/>
      <c r="R124" s="1308"/>
      <c r="S124" s="1308"/>
      <c r="T124" s="1308"/>
      <c r="U124" s="1308"/>
      <c r="V124" s="1308"/>
      <c r="W124" s="1308"/>
      <c r="X124" s="285"/>
      <c r="Y124" s="285"/>
      <c r="Z124" s="285"/>
      <c r="EK124" s="285"/>
    </row>
    <row r="125" spans="1:964" s="1304" customFormat="1">
      <c r="A125" s="1588" t="s">
        <v>6614</v>
      </c>
      <c r="B125" s="1840" t="s">
        <v>6613</v>
      </c>
      <c r="C125" s="1602">
        <v>311703939</v>
      </c>
      <c r="D125" s="906" t="s">
        <v>6926</v>
      </c>
      <c r="E125" s="74" t="s">
        <v>6623</v>
      </c>
      <c r="F125" s="74"/>
      <c r="G125" s="75"/>
      <c r="H125" s="1662" t="s">
        <v>6806</v>
      </c>
      <c r="I125" s="1662"/>
      <c r="J125" s="944">
        <v>0</v>
      </c>
      <c r="K125" s="1308"/>
      <c r="L125" s="1308"/>
      <c r="M125" s="1308"/>
      <c r="N125" s="1308"/>
      <c r="O125" s="285"/>
      <c r="P125" s="285"/>
      <c r="Q125" s="285"/>
      <c r="R125" s="1308"/>
      <c r="S125" s="1308"/>
      <c r="T125" s="1308"/>
      <c r="U125" s="1308"/>
      <c r="V125" s="1308"/>
      <c r="W125" s="1308"/>
      <c r="X125" s="285"/>
      <c r="Y125" s="285"/>
      <c r="Z125" s="285"/>
      <c r="EK125" s="285"/>
    </row>
    <row r="126" spans="1:964" s="1304" customFormat="1" ht="16.2" customHeight="1">
      <c r="A126" s="1601" t="s">
        <v>6626</v>
      </c>
      <c r="B126" s="1843" t="s">
        <v>6652</v>
      </c>
      <c r="C126" s="1144">
        <v>311716028</v>
      </c>
      <c r="D126" s="906" t="s">
        <v>6926</v>
      </c>
      <c r="E126" s="74" t="s">
        <v>6665</v>
      </c>
      <c r="F126" s="74">
        <v>0.6</v>
      </c>
      <c r="G126" s="75"/>
      <c r="H126" s="1662" t="s">
        <v>6806</v>
      </c>
      <c r="I126" s="1662"/>
      <c r="J126" s="944">
        <v>0</v>
      </c>
      <c r="K126" s="1308"/>
      <c r="L126" s="1308"/>
      <c r="M126" s="1308"/>
      <c r="N126" s="1308"/>
      <c r="O126" s="285"/>
      <c r="P126" s="284"/>
      <c r="Q126" s="284"/>
      <c r="R126" s="7"/>
      <c r="S126" s="7"/>
      <c r="T126" s="7"/>
      <c r="U126" s="7"/>
      <c r="V126" s="1308"/>
      <c r="W126" s="1308"/>
      <c r="X126" s="285"/>
      <c r="Y126" s="285"/>
      <c r="Z126" s="285"/>
      <c r="EK126" s="285"/>
    </row>
    <row r="127" spans="1:964" s="1304" customFormat="1">
      <c r="A127" s="1601" t="s">
        <v>6626</v>
      </c>
      <c r="B127" s="1844" t="s">
        <v>6653</v>
      </c>
      <c r="C127" s="1602">
        <v>311715868</v>
      </c>
      <c r="D127" s="906" t="s">
        <v>6925</v>
      </c>
      <c r="E127" s="74" t="s">
        <v>6666</v>
      </c>
      <c r="F127" s="74">
        <v>0</v>
      </c>
      <c r="G127" s="75"/>
      <c r="H127" s="1662" t="s">
        <v>6806</v>
      </c>
      <c r="I127" s="1662"/>
      <c r="J127" s="1662">
        <v>0</v>
      </c>
      <c r="K127" s="1671"/>
      <c r="L127" s="1671"/>
      <c r="M127" s="1671"/>
      <c r="N127" s="1671"/>
      <c r="O127" s="285"/>
      <c r="P127" s="285"/>
      <c r="Q127" s="285"/>
      <c r="R127" s="1308"/>
      <c r="S127" s="1308"/>
      <c r="T127" s="1308"/>
      <c r="U127" s="1308"/>
      <c r="V127" s="1308"/>
      <c r="W127" s="1671"/>
      <c r="X127" s="285"/>
      <c r="Y127" s="285"/>
      <c r="Z127" s="285"/>
      <c r="EK127" s="285"/>
    </row>
    <row r="128" spans="1:964" s="1304" customFormat="1">
      <c r="A128" s="1609" t="s">
        <v>6626</v>
      </c>
      <c r="B128" s="1840" t="s">
        <v>6677</v>
      </c>
      <c r="C128" s="1602">
        <v>311730390</v>
      </c>
      <c r="D128" s="1602" t="s">
        <v>122</v>
      </c>
      <c r="E128" s="74" t="s">
        <v>6704</v>
      </c>
      <c r="F128" s="74">
        <v>0</v>
      </c>
      <c r="G128" s="75"/>
      <c r="H128" s="1662" t="s">
        <v>6806</v>
      </c>
      <c r="I128" s="1662"/>
      <c r="J128" s="944">
        <v>0</v>
      </c>
      <c r="K128" s="1308"/>
      <c r="L128" s="1308"/>
      <c r="M128" s="1308"/>
      <c r="N128" s="1308"/>
      <c r="O128" s="285"/>
      <c r="P128" s="285"/>
      <c r="Q128" s="285"/>
      <c r="R128" s="1308"/>
      <c r="S128" s="1308"/>
      <c r="T128" s="1308"/>
      <c r="U128" s="1308"/>
      <c r="V128" s="1308"/>
      <c r="W128" s="1671"/>
      <c r="X128" s="285"/>
      <c r="Y128" s="285"/>
      <c r="Z128" s="285"/>
      <c r="EK128" s="285"/>
    </row>
    <row r="129" spans="1:141" s="1304" customFormat="1" ht="17.399999999999999" customHeight="1">
      <c r="A129" s="1609" t="s">
        <v>6626</v>
      </c>
      <c r="B129" s="1608" t="s">
        <v>6680</v>
      </c>
      <c r="C129" s="1611">
        <v>311731604</v>
      </c>
      <c r="D129" s="906" t="s">
        <v>6925</v>
      </c>
      <c r="E129" s="74" t="s">
        <v>6705</v>
      </c>
      <c r="F129" s="74">
        <v>0</v>
      </c>
      <c r="G129" s="75"/>
      <c r="H129" s="1662" t="s">
        <v>6806</v>
      </c>
      <c r="I129" s="1662"/>
      <c r="J129" s="1662">
        <v>0</v>
      </c>
      <c r="K129" s="1671"/>
      <c r="L129" s="1671"/>
      <c r="M129" s="1671"/>
      <c r="N129" s="1671"/>
      <c r="O129" s="285"/>
      <c r="P129" s="285"/>
      <c r="Q129" s="285"/>
      <c r="R129" s="1308"/>
      <c r="S129" s="1308"/>
      <c r="T129" s="1308"/>
      <c r="U129" s="1308"/>
      <c r="V129" s="1308"/>
      <c r="W129" s="1308"/>
      <c r="X129" s="1308"/>
      <c r="Y129" s="285"/>
      <c r="Z129" s="285"/>
      <c r="EK129" s="285"/>
    </row>
    <row r="130" spans="1:141" s="1304" customFormat="1" ht="17.399999999999999" customHeight="1">
      <c r="A130" s="1609" t="s">
        <v>6626</v>
      </c>
      <c r="B130" s="1663" t="s">
        <v>6716</v>
      </c>
      <c r="C130" s="1611">
        <v>311738546</v>
      </c>
      <c r="D130" s="906" t="s">
        <v>6925</v>
      </c>
      <c r="E130" s="74" t="s">
        <v>6725</v>
      </c>
      <c r="F130" s="74">
        <v>0</v>
      </c>
      <c r="G130" s="75"/>
      <c r="H130" s="1662" t="s">
        <v>6806</v>
      </c>
      <c r="I130" s="1662"/>
      <c r="J130" s="944">
        <v>0</v>
      </c>
      <c r="K130" s="1308"/>
      <c r="L130" s="1308"/>
      <c r="M130" s="1308"/>
      <c r="N130" s="1308"/>
      <c r="O130" s="285"/>
      <c r="P130" s="285"/>
      <c r="Q130" s="285"/>
      <c r="R130" s="1308"/>
      <c r="S130" s="1308"/>
      <c r="T130" s="1308"/>
      <c r="U130" s="1308"/>
      <c r="V130" s="1308"/>
      <c r="W130" s="1308"/>
      <c r="X130" s="1308"/>
      <c r="Y130" s="285"/>
      <c r="Z130" s="285"/>
      <c r="EK130" s="285"/>
    </row>
    <row r="131" spans="1:141" s="1304" customFormat="1">
      <c r="A131" s="1622" t="s">
        <v>6626</v>
      </c>
      <c r="B131" s="1678" t="s">
        <v>6748</v>
      </c>
      <c r="C131" s="1611">
        <v>311744674</v>
      </c>
      <c r="D131" s="1611"/>
      <c r="E131" s="74" t="s">
        <v>6766</v>
      </c>
      <c r="F131" s="74">
        <v>0</v>
      </c>
      <c r="G131" s="75"/>
      <c r="H131" s="1662" t="s">
        <v>6806</v>
      </c>
      <c r="I131" s="1662"/>
      <c r="J131" s="944">
        <v>0</v>
      </c>
      <c r="K131" s="1308"/>
      <c r="L131" s="1308"/>
      <c r="M131" s="1308"/>
      <c r="N131" s="1308"/>
      <c r="O131" s="285"/>
      <c r="P131" s="285"/>
      <c r="Q131" s="285"/>
      <c r="R131" s="1308"/>
      <c r="S131" s="1308"/>
      <c r="T131" s="1308"/>
      <c r="U131" s="1308"/>
      <c r="V131" s="1308"/>
      <c r="W131" s="1308"/>
      <c r="X131" s="1308"/>
      <c r="Y131" s="285"/>
      <c r="Z131" s="285"/>
      <c r="EK131" s="285"/>
    </row>
    <row r="132" spans="1:141" s="1304" customFormat="1">
      <c r="A132" s="1622" t="s">
        <v>6626</v>
      </c>
      <c r="B132" s="1617" t="s">
        <v>6749</v>
      </c>
      <c r="C132" s="1611">
        <v>311747962</v>
      </c>
      <c r="D132" s="906" t="s">
        <v>6925</v>
      </c>
      <c r="E132" s="74" t="s">
        <v>6765</v>
      </c>
      <c r="F132" s="74">
        <v>0</v>
      </c>
      <c r="G132" s="75"/>
      <c r="H132" s="1662" t="s">
        <v>6806</v>
      </c>
      <c r="I132" s="1662"/>
      <c r="J132" s="1662">
        <v>0</v>
      </c>
      <c r="K132" s="1671"/>
      <c r="L132" s="1671"/>
      <c r="M132" s="1671"/>
      <c r="N132" s="1671"/>
      <c r="O132" s="285"/>
      <c r="P132" s="285"/>
      <c r="Q132" s="285"/>
      <c r="R132" s="1308"/>
      <c r="S132" s="1308"/>
      <c r="T132" s="1308"/>
      <c r="U132" s="1308"/>
      <c r="V132" s="1308"/>
      <c r="W132" s="1308"/>
      <c r="X132" s="1308"/>
      <c r="Y132" s="285"/>
      <c r="Z132" s="285"/>
      <c r="EK132" s="285"/>
    </row>
    <row r="133" spans="1:141" s="1304" customFormat="1" ht="14.4" customHeight="1">
      <c r="A133" s="1628" t="s">
        <v>6626</v>
      </c>
      <c r="B133" s="1679" t="s">
        <v>6789</v>
      </c>
      <c r="C133" s="1629" t="s">
        <v>6790</v>
      </c>
      <c r="D133" s="906" t="s">
        <v>6925</v>
      </c>
      <c r="E133" s="74" t="s">
        <v>6858</v>
      </c>
      <c r="F133" s="74">
        <v>0</v>
      </c>
      <c r="G133" s="75"/>
      <c r="H133" s="1662" t="s">
        <v>6806</v>
      </c>
      <c r="I133" s="1662"/>
      <c r="J133" s="944">
        <v>0</v>
      </c>
      <c r="K133" s="1308"/>
      <c r="L133" s="1308"/>
      <c r="M133" s="1308"/>
      <c r="N133" s="1308"/>
      <c r="O133" s="285"/>
      <c r="P133" s="285"/>
      <c r="Q133" s="285"/>
      <c r="R133" s="1308"/>
      <c r="S133" s="1308"/>
      <c r="T133" s="1308"/>
      <c r="U133" s="1308"/>
      <c r="V133" s="1308"/>
      <c r="W133" s="1308"/>
      <c r="X133" s="1308"/>
      <c r="Y133" s="285"/>
      <c r="Z133" s="285"/>
      <c r="EK133" s="285"/>
    </row>
    <row r="134" spans="1:141" s="1304" customFormat="1" ht="14.4" customHeight="1">
      <c r="A134" s="1641" t="s">
        <v>6626</v>
      </c>
      <c r="B134" s="1684" t="s">
        <v>6830</v>
      </c>
      <c r="C134" s="1629">
        <v>311774320</v>
      </c>
      <c r="D134" s="906" t="s">
        <v>6925</v>
      </c>
      <c r="E134" s="74" t="s">
        <v>6859</v>
      </c>
      <c r="F134" s="74">
        <v>0</v>
      </c>
      <c r="G134" s="75"/>
      <c r="H134" s="1662" t="s">
        <v>6806</v>
      </c>
      <c r="I134" s="1662"/>
      <c r="J134" s="1662">
        <v>0</v>
      </c>
      <c r="K134" s="1671"/>
      <c r="L134" s="1671"/>
      <c r="M134" s="1671"/>
      <c r="N134" s="1671"/>
      <c r="O134" s="285"/>
      <c r="P134" s="285"/>
      <c r="Q134" s="285"/>
      <c r="R134" s="1308"/>
      <c r="S134" s="1308"/>
      <c r="T134" s="1308"/>
      <c r="U134" s="1308"/>
      <c r="V134" s="1308"/>
      <c r="W134" s="1308"/>
      <c r="X134" s="1308"/>
      <c r="Y134" s="285"/>
      <c r="Z134" s="285"/>
      <c r="EK134" s="285"/>
    </row>
    <row r="135" spans="1:141" s="1304" customFormat="1" ht="14.4" customHeight="1">
      <c r="A135" s="1641"/>
      <c r="B135" s="1688"/>
      <c r="C135" s="1689"/>
      <c r="D135" s="1690"/>
      <c r="E135" s="1691"/>
      <c r="F135" s="1691"/>
      <c r="G135" s="2515"/>
      <c r="H135" s="1692"/>
      <c r="I135" s="1692"/>
      <c r="J135" s="1693"/>
      <c r="K135" s="1671"/>
      <c r="L135" s="1671"/>
      <c r="M135" s="1671"/>
      <c r="N135" s="1671"/>
      <c r="O135" s="285"/>
      <c r="P135" s="285"/>
      <c r="Q135" s="285"/>
      <c r="R135" s="1308"/>
      <c r="S135" s="1308"/>
      <c r="T135" s="1308"/>
      <c r="U135" s="1308"/>
      <c r="V135" s="1308"/>
      <c r="W135" s="1308"/>
      <c r="X135" s="1308"/>
      <c r="Y135" s="285"/>
      <c r="Z135" s="285"/>
      <c r="EK135" s="285"/>
    </row>
    <row r="136" spans="1:141" s="284" customFormat="1" ht="14.4" customHeight="1">
      <c r="A136" s="1694"/>
      <c r="B136" s="1695"/>
      <c r="C136" s="1696"/>
      <c r="D136" s="1697"/>
      <c r="G136" s="2516"/>
      <c r="H136" s="1562"/>
      <c r="I136" s="1562"/>
      <c r="J136" s="1659"/>
      <c r="K136" s="1659"/>
      <c r="L136" s="1659"/>
      <c r="M136" s="1659"/>
      <c r="N136" s="1659"/>
      <c r="R136" s="288"/>
      <c r="S136" s="288"/>
      <c r="T136" s="288"/>
      <c r="U136" s="288"/>
      <c r="V136" s="288"/>
      <c r="W136" s="288"/>
      <c r="X136" s="288"/>
    </row>
    <row r="137" spans="1:141" s="284" customFormat="1" ht="14.4" customHeight="1">
      <c r="A137" s="1694"/>
      <c r="B137" s="1695"/>
      <c r="C137" s="1696"/>
      <c r="D137" s="1697"/>
      <c r="G137" s="2516"/>
      <c r="H137" s="1562"/>
      <c r="I137" s="1562"/>
      <c r="J137" s="1659"/>
      <c r="K137" s="1659"/>
      <c r="L137" s="1659"/>
      <c r="M137" s="1659"/>
      <c r="N137" s="1659"/>
      <c r="R137" s="288"/>
      <c r="S137" s="288"/>
      <c r="T137" s="288"/>
      <c r="U137" s="288"/>
      <c r="V137" s="288"/>
      <c r="W137" s="288"/>
      <c r="X137" s="288"/>
    </row>
    <row r="138" spans="1:141" s="284" customFormat="1" ht="14.4" customHeight="1">
      <c r="A138" s="1694"/>
      <c r="B138" s="1695"/>
      <c r="C138" s="1696"/>
      <c r="D138" s="1697"/>
      <c r="G138" s="2516"/>
      <c r="H138" s="1562"/>
      <c r="I138" s="1562"/>
      <c r="J138" s="1659"/>
      <c r="K138" s="1659"/>
      <c r="L138" s="1659"/>
      <c r="M138" s="1659"/>
      <c r="N138" s="1659"/>
      <c r="R138" s="288"/>
      <c r="S138" s="288"/>
      <c r="T138" s="288"/>
      <c r="U138" s="288"/>
      <c r="V138" s="288"/>
      <c r="W138" s="288"/>
      <c r="X138" s="288"/>
    </row>
    <row r="139" spans="1:141" s="1304" customFormat="1" ht="14.4" customHeight="1">
      <c r="A139" s="1698" t="s">
        <v>6935</v>
      </c>
      <c r="B139" s="1761" t="s">
        <v>6938</v>
      </c>
      <c r="C139" s="1629">
        <v>311820912</v>
      </c>
      <c r="D139" s="906"/>
      <c r="E139" s="74" t="s">
        <v>6950</v>
      </c>
      <c r="F139" s="74">
        <f>5+1.2+1-7.2</f>
        <v>0</v>
      </c>
      <c r="G139" s="75"/>
      <c r="H139" s="1662" t="s">
        <v>6806</v>
      </c>
      <c r="I139" s="1662"/>
      <c r="J139" s="1662">
        <v>0</v>
      </c>
      <c r="K139" s="1671"/>
      <c r="L139" s="1671"/>
      <c r="M139" s="1671"/>
      <c r="N139" s="1671"/>
      <c r="O139" s="1786" t="s">
        <v>7260</v>
      </c>
      <c r="P139" s="1786"/>
      <c r="Q139" s="1786"/>
      <c r="R139" s="1308"/>
      <c r="S139" s="1308"/>
      <c r="T139" s="1308"/>
      <c r="U139" s="1308"/>
      <c r="V139" s="1308"/>
      <c r="W139" s="1308"/>
      <c r="X139" s="1308"/>
      <c r="Y139" s="285"/>
      <c r="Z139" s="285"/>
      <c r="EK139" s="285"/>
    </row>
    <row r="140" spans="1:141" s="1304" customFormat="1" ht="14.4" customHeight="1">
      <c r="A140" s="1711" t="s">
        <v>6961</v>
      </c>
      <c r="B140" s="1760" t="s">
        <v>6960</v>
      </c>
      <c r="C140" s="1629">
        <v>311846389</v>
      </c>
      <c r="D140" s="906"/>
      <c r="E140" s="74" t="s">
        <v>6971</v>
      </c>
      <c r="F140" s="74">
        <v>0</v>
      </c>
      <c r="G140" s="75"/>
      <c r="H140" s="1662" t="s">
        <v>6806</v>
      </c>
      <c r="I140" s="1662"/>
      <c r="J140" s="1662">
        <v>0</v>
      </c>
      <c r="K140" s="1671"/>
      <c r="L140" s="1671"/>
      <c r="M140" s="1671"/>
      <c r="N140" s="1671"/>
      <c r="O140" s="1786" t="s">
        <v>7260</v>
      </c>
      <c r="P140" s="1786"/>
      <c r="Q140" s="1786"/>
      <c r="R140" s="1308"/>
      <c r="S140" s="1308"/>
      <c r="T140" s="1308"/>
      <c r="U140" s="1308"/>
      <c r="V140" s="1308"/>
      <c r="W140" s="1308"/>
      <c r="X140" s="1308"/>
      <c r="Y140" s="285"/>
      <c r="Z140" s="285"/>
      <c r="EK140" s="285"/>
    </row>
    <row r="141" spans="1:141" s="1304" customFormat="1" ht="14.4" customHeight="1">
      <c r="A141" s="1732" t="s">
        <v>7007</v>
      </c>
      <c r="B141" s="1759" t="s">
        <v>7006</v>
      </c>
      <c r="C141" s="1629">
        <v>311881093</v>
      </c>
      <c r="D141" s="906"/>
      <c r="E141" s="74" t="s">
        <v>7042</v>
      </c>
      <c r="F141" s="74">
        <v>0</v>
      </c>
      <c r="G141" s="75"/>
      <c r="H141" s="1662" t="s">
        <v>6806</v>
      </c>
      <c r="I141" s="1662"/>
      <c r="J141" s="1662">
        <v>0</v>
      </c>
      <c r="K141" s="1671"/>
      <c r="L141" s="1671"/>
      <c r="M141" s="1671"/>
      <c r="N141" s="1671"/>
      <c r="O141" s="1786" t="s">
        <v>7260</v>
      </c>
      <c r="P141" s="1786"/>
      <c r="Q141" s="1786"/>
      <c r="R141" s="1308"/>
      <c r="S141" s="1308"/>
      <c r="T141" s="1308"/>
      <c r="U141" s="1308"/>
      <c r="V141" s="1308"/>
      <c r="W141" s="1308"/>
      <c r="X141" s="1308"/>
      <c r="Y141" s="285"/>
      <c r="Z141" s="285"/>
      <c r="EK141" s="285"/>
    </row>
    <row r="142" spans="1:141" s="1304" customFormat="1" ht="14.4" customHeight="1">
      <c r="A142" s="1783" t="s">
        <v>7028</v>
      </c>
      <c r="B142" s="1784" t="s">
        <v>7027</v>
      </c>
      <c r="C142" s="1629">
        <v>311883827</v>
      </c>
      <c r="D142" s="906"/>
      <c r="E142" s="74" t="s">
        <v>7029</v>
      </c>
      <c r="F142" s="74">
        <v>0</v>
      </c>
      <c r="G142" s="75"/>
      <c r="H142" s="1662" t="s">
        <v>6806</v>
      </c>
      <c r="I142" s="1662"/>
      <c r="J142" s="1662">
        <v>0</v>
      </c>
      <c r="K142" s="1671"/>
      <c r="L142" s="1671"/>
      <c r="M142" s="1671"/>
      <c r="N142" s="1671"/>
      <c r="O142" s="1786" t="s">
        <v>7260</v>
      </c>
      <c r="P142" s="1786"/>
      <c r="Q142" s="1786"/>
      <c r="R142" s="1308"/>
      <c r="S142" s="1308"/>
      <c r="T142" s="1308"/>
      <c r="U142" s="1308"/>
      <c r="V142" s="1308"/>
      <c r="W142" s="1308"/>
      <c r="X142" s="1308"/>
      <c r="Y142" s="285"/>
      <c r="Z142" s="285"/>
      <c r="EK142" s="285"/>
    </row>
    <row r="143" spans="1:141" s="1304" customFormat="1" ht="14.4" customHeight="1">
      <c r="A143" s="1732" t="s">
        <v>7028</v>
      </c>
      <c r="B143" s="1744" t="s">
        <v>7030</v>
      </c>
      <c r="C143" s="1629">
        <v>311890834</v>
      </c>
      <c r="D143" s="906"/>
      <c r="E143" s="74" t="s">
        <v>7031</v>
      </c>
      <c r="F143" s="74">
        <v>0</v>
      </c>
      <c r="G143" s="75"/>
      <c r="H143" s="1791" t="s">
        <v>6806</v>
      </c>
      <c r="I143" s="1791"/>
      <c r="J143" s="1662">
        <v>0</v>
      </c>
      <c r="K143" s="1671"/>
      <c r="L143" s="1671"/>
      <c r="M143" s="1671"/>
      <c r="N143" s="1671"/>
      <c r="O143" s="1786" t="s">
        <v>7260</v>
      </c>
      <c r="P143" s="1786"/>
      <c r="Q143" s="1786"/>
      <c r="R143" s="1308"/>
      <c r="S143" s="1308"/>
      <c r="T143" s="1308"/>
      <c r="U143" s="1308"/>
      <c r="V143" s="1308"/>
      <c r="W143" s="1308"/>
      <c r="X143" s="1308"/>
      <c r="Y143" s="285"/>
      <c r="Z143" s="285"/>
      <c r="EK143" s="285"/>
    </row>
    <row r="144" spans="1:141" s="1304" customFormat="1" ht="14.4" customHeight="1">
      <c r="A144" s="1732" t="s">
        <v>7028</v>
      </c>
      <c r="B144" s="1887" t="s">
        <v>7032</v>
      </c>
      <c r="C144" s="1629">
        <v>311898482</v>
      </c>
      <c r="D144" s="906"/>
      <c r="E144" s="74" t="s">
        <v>7119</v>
      </c>
      <c r="F144" s="74">
        <f>3+1+0.5+0.5-5</f>
        <v>0</v>
      </c>
      <c r="G144" s="75"/>
      <c r="H144" s="1791" t="s">
        <v>6806</v>
      </c>
      <c r="I144" s="1905"/>
      <c r="J144" s="1662">
        <v>0</v>
      </c>
      <c r="K144" s="1903"/>
      <c r="L144" s="1903"/>
      <c r="M144" s="1903"/>
      <c r="N144" s="1903"/>
      <c r="O144" s="1786" t="s">
        <v>7260</v>
      </c>
      <c r="P144" s="1786"/>
      <c r="Q144" s="1786"/>
      <c r="R144" s="1308"/>
      <c r="S144" s="1308"/>
      <c r="T144" s="1308"/>
      <c r="U144" s="1308"/>
      <c r="V144" s="1308"/>
      <c r="W144" s="1308"/>
      <c r="X144" s="1308"/>
      <c r="Y144" s="285"/>
      <c r="Z144" s="285"/>
      <c r="EK144" s="285"/>
    </row>
    <row r="145" spans="1:141" s="1304" customFormat="1" ht="14.4" customHeight="1">
      <c r="A145" s="1745" t="s">
        <v>7058</v>
      </c>
      <c r="B145" s="1744" t="s">
        <v>7062</v>
      </c>
      <c r="C145" s="1629">
        <v>311908548</v>
      </c>
      <c r="D145" s="906"/>
      <c r="E145" s="1739" t="s">
        <v>7090</v>
      </c>
      <c r="F145" s="74">
        <f>1+0.2+0.5+0.5+0.5+0.5-3.2</f>
        <v>0</v>
      </c>
      <c r="G145" s="2517"/>
      <c r="H145" s="1792" t="s">
        <v>7292</v>
      </c>
      <c r="I145" s="1792"/>
      <c r="J145" s="1662">
        <v>0</v>
      </c>
      <c r="K145" s="1671"/>
      <c r="L145" s="1671"/>
      <c r="M145" s="1671"/>
      <c r="N145" s="1671"/>
      <c r="O145" s="1786" t="s">
        <v>7260</v>
      </c>
      <c r="P145" s="1786"/>
      <c r="Q145" s="1786"/>
      <c r="R145" s="1308"/>
      <c r="S145" s="1308"/>
      <c r="T145" s="1308"/>
      <c r="U145" s="1308"/>
      <c r="V145" s="1308"/>
      <c r="W145" s="1308"/>
      <c r="X145" s="1308"/>
      <c r="Y145" s="285"/>
      <c r="Z145" s="285"/>
      <c r="EK145" s="285"/>
    </row>
    <row r="146" spans="1:141" s="1304" customFormat="1" ht="14.4" customHeight="1">
      <c r="A146" s="1745" t="s">
        <v>7067</v>
      </c>
      <c r="B146" s="1744" t="s">
        <v>7066</v>
      </c>
      <c r="C146" s="1629" t="s">
        <v>7068</v>
      </c>
      <c r="D146" s="906"/>
      <c r="E146" s="1753" t="s">
        <v>7089</v>
      </c>
      <c r="F146" s="74">
        <v>0</v>
      </c>
      <c r="G146" s="2517"/>
      <c r="H146" s="1792" t="s">
        <v>7292</v>
      </c>
      <c r="I146" s="1792"/>
      <c r="J146" s="1662">
        <v>0</v>
      </c>
      <c r="K146" s="1671"/>
      <c r="L146" s="1671"/>
      <c r="M146" s="1671"/>
      <c r="N146" s="1671"/>
      <c r="O146" s="1786" t="s">
        <v>7260</v>
      </c>
      <c r="P146" s="1786"/>
      <c r="Q146" s="1786"/>
      <c r="R146" s="1308"/>
      <c r="S146" s="1308"/>
      <c r="T146" s="1308"/>
      <c r="U146" s="1308"/>
      <c r="V146" s="1308"/>
      <c r="W146" s="1308"/>
      <c r="X146" s="1308"/>
      <c r="Y146" s="285"/>
      <c r="Z146" s="285"/>
      <c r="EK146" s="285"/>
    </row>
    <row r="147" spans="1:141" s="1304" customFormat="1" ht="14.4" customHeight="1">
      <c r="A147" s="1755" t="s">
        <v>7117</v>
      </c>
      <c r="B147" s="1784" t="s">
        <v>7116</v>
      </c>
      <c r="C147" s="1629">
        <v>311960762</v>
      </c>
      <c r="D147" s="906"/>
      <c r="E147" s="1753" t="s">
        <v>7118</v>
      </c>
      <c r="F147" s="74">
        <v>0</v>
      </c>
      <c r="G147" s="2517"/>
      <c r="H147" s="1792" t="s">
        <v>7292</v>
      </c>
      <c r="I147" s="1792"/>
      <c r="J147" s="1662">
        <v>0</v>
      </c>
      <c r="K147" s="1671"/>
      <c r="L147" s="1671"/>
      <c r="M147" s="1671"/>
      <c r="N147" s="1671"/>
      <c r="O147" s="1786" t="s">
        <v>7260</v>
      </c>
      <c r="P147" s="1786"/>
      <c r="Q147" s="1786"/>
      <c r="R147" s="1308"/>
      <c r="S147" s="1308"/>
      <c r="T147" s="1308"/>
      <c r="U147" s="1308"/>
      <c r="V147" s="1308"/>
      <c r="W147" s="1308"/>
      <c r="X147" s="1308"/>
      <c r="Y147" s="285"/>
      <c r="Z147" s="285"/>
      <c r="EK147" s="285"/>
    </row>
    <row r="148" spans="1:141" s="1304" customFormat="1" ht="14.4" customHeight="1">
      <c r="A148" s="1755" t="s">
        <v>7132</v>
      </c>
      <c r="B148" s="1754" t="s">
        <v>7131</v>
      </c>
      <c r="C148" s="1629" t="s">
        <v>7133</v>
      </c>
      <c r="D148" s="906"/>
      <c r="E148" s="1763" t="s">
        <v>7181</v>
      </c>
      <c r="F148" s="74">
        <v>0</v>
      </c>
      <c r="G148" s="75"/>
      <c r="H148" s="1792" t="s">
        <v>7292</v>
      </c>
      <c r="I148" s="1792"/>
      <c r="J148" s="1662">
        <v>0</v>
      </c>
      <c r="K148" s="1671"/>
      <c r="L148" s="1671"/>
      <c r="M148" s="1671"/>
      <c r="N148" s="1671"/>
      <c r="O148" s="1786" t="s">
        <v>7260</v>
      </c>
      <c r="P148" s="1786"/>
      <c r="Q148" s="1786"/>
      <c r="R148" s="1308"/>
      <c r="S148" s="1308"/>
      <c r="T148" s="1308"/>
      <c r="U148" s="1308"/>
      <c r="V148" s="1308"/>
      <c r="W148" s="1308"/>
      <c r="X148" s="1308"/>
      <c r="Y148" s="285"/>
      <c r="Z148" s="285"/>
      <c r="EK148" s="285"/>
    </row>
    <row r="149" spans="1:141" s="1304" customFormat="1" ht="14.4" customHeight="1">
      <c r="A149" s="1755" t="s">
        <v>7144</v>
      </c>
      <c r="B149" s="1765" t="s">
        <v>7143</v>
      </c>
      <c r="C149" s="1629">
        <v>311975158</v>
      </c>
      <c r="D149" s="906"/>
      <c r="E149" s="1763" t="s">
        <v>7182</v>
      </c>
      <c r="F149" s="74">
        <v>0</v>
      </c>
      <c r="G149" s="75"/>
      <c r="H149" s="1792" t="s">
        <v>7292</v>
      </c>
      <c r="I149" s="1792"/>
      <c r="J149" s="1662">
        <v>0</v>
      </c>
      <c r="K149" s="1671"/>
      <c r="L149" s="1671"/>
      <c r="M149" s="1671"/>
      <c r="N149" s="1671"/>
      <c r="O149" s="1786" t="s">
        <v>7260</v>
      </c>
      <c r="P149" s="1786"/>
      <c r="Q149" s="1786"/>
      <c r="R149" s="1308"/>
      <c r="S149" s="1308"/>
      <c r="T149" s="1308"/>
      <c r="U149" s="1308"/>
      <c r="V149" s="1308"/>
      <c r="W149" s="1308"/>
      <c r="X149" s="1308"/>
      <c r="Y149" s="285"/>
      <c r="Z149" s="285"/>
      <c r="EK149" s="285"/>
    </row>
    <row r="150" spans="1:141" s="1304" customFormat="1" ht="14.4" customHeight="1">
      <c r="A150" s="1766" t="s">
        <v>7188</v>
      </c>
      <c r="B150" s="1765" t="s">
        <v>7193</v>
      </c>
      <c r="C150" s="1629">
        <v>311986974</v>
      </c>
      <c r="D150" s="906"/>
      <c r="E150" s="1763" t="s">
        <v>7203</v>
      </c>
      <c r="F150" s="74">
        <f>5+3-8</f>
        <v>0</v>
      </c>
      <c r="G150" s="75"/>
      <c r="H150" s="1792" t="s">
        <v>7292</v>
      </c>
      <c r="I150" s="1792"/>
      <c r="J150" s="1662"/>
      <c r="K150" s="1671"/>
      <c r="L150" s="1671"/>
      <c r="M150" s="1671"/>
      <c r="N150" s="1671"/>
      <c r="O150" s="1786" t="s">
        <v>7260</v>
      </c>
      <c r="P150" s="1786"/>
      <c r="Q150" s="1786"/>
      <c r="R150" s="1308"/>
      <c r="S150" s="1308"/>
      <c r="T150" s="1308"/>
      <c r="U150" s="1308"/>
      <c r="V150" s="1308"/>
      <c r="W150" s="1308"/>
      <c r="X150" s="1308"/>
      <c r="Y150" s="285"/>
      <c r="Z150" s="285"/>
      <c r="EK150" s="285"/>
    </row>
    <row r="151" spans="1:141" s="1304" customFormat="1" ht="14.4" customHeight="1">
      <c r="A151" s="1854" t="s">
        <v>7231</v>
      </c>
      <c r="B151" s="1851" t="s">
        <v>7230</v>
      </c>
      <c r="C151" s="1629">
        <v>312002021</v>
      </c>
      <c r="D151" s="906"/>
      <c r="E151" s="1785" t="s">
        <v>7261</v>
      </c>
      <c r="F151" s="74">
        <v>0</v>
      </c>
      <c r="G151" s="75"/>
      <c r="H151" s="1792" t="s">
        <v>7292</v>
      </c>
      <c r="I151" s="1880">
        <v>0</v>
      </c>
      <c r="J151" s="1880"/>
      <c r="K151" s="1860"/>
      <c r="L151" s="1860"/>
      <c r="M151" s="1860"/>
      <c r="N151" s="1860"/>
      <c r="O151" s="1786" t="s">
        <v>7260</v>
      </c>
      <c r="P151" s="1786"/>
      <c r="Q151" s="1786"/>
      <c r="R151" s="1308">
        <v>0.12</v>
      </c>
      <c r="S151" s="1308"/>
      <c r="T151" s="1308"/>
      <c r="U151" s="1308"/>
      <c r="V151" s="1308"/>
      <c r="W151" s="1308"/>
      <c r="X151" s="1308"/>
      <c r="Y151" s="285"/>
      <c r="Z151" s="285"/>
      <c r="EK151" s="285"/>
    </row>
    <row r="152" spans="1:141" s="1304" customFormat="1" ht="14.4" customHeight="1">
      <c r="A152" s="1777" t="s">
        <v>7237</v>
      </c>
      <c r="B152" s="1853" t="s">
        <v>7240</v>
      </c>
      <c r="C152" s="1629">
        <v>312024445</v>
      </c>
      <c r="D152" s="906"/>
      <c r="E152" s="1785" t="s">
        <v>7264</v>
      </c>
      <c r="F152" s="74">
        <v>0</v>
      </c>
      <c r="G152" s="75"/>
      <c r="H152" s="1792" t="s">
        <v>7292</v>
      </c>
      <c r="I152" s="1880">
        <v>0</v>
      </c>
      <c r="J152" s="1880">
        <v>0</v>
      </c>
      <c r="K152" s="1860">
        <v>0</v>
      </c>
      <c r="L152" s="1860"/>
      <c r="M152" s="1860"/>
      <c r="N152" s="1860"/>
      <c r="O152" s="1786" t="s">
        <v>7260</v>
      </c>
      <c r="P152" s="1786"/>
      <c r="Q152" s="1786"/>
      <c r="R152" s="1308">
        <v>-0.246</v>
      </c>
      <c r="S152" s="1308"/>
      <c r="T152" s="1308"/>
      <c r="U152" s="1308"/>
      <c r="V152" s="1308"/>
      <c r="W152" s="1308"/>
      <c r="X152" s="1308"/>
      <c r="Y152" s="285"/>
      <c r="Z152" s="285"/>
      <c r="EK152" s="285"/>
    </row>
    <row r="153" spans="1:141" s="1304" customFormat="1" ht="14.4" customHeight="1">
      <c r="A153" s="1777" t="s">
        <v>7237</v>
      </c>
      <c r="B153" s="1851" t="s">
        <v>7241</v>
      </c>
      <c r="C153" s="1629">
        <v>312025239</v>
      </c>
      <c r="D153" s="906"/>
      <c r="E153" s="1793" t="s">
        <v>7263</v>
      </c>
      <c r="F153" s="74">
        <f>3+3-6</f>
        <v>0</v>
      </c>
      <c r="G153" s="75"/>
      <c r="H153" s="1792" t="s">
        <v>7292</v>
      </c>
      <c r="I153" s="1905">
        <v>0</v>
      </c>
      <c r="J153" s="1662">
        <v>0</v>
      </c>
      <c r="K153" s="1671">
        <v>0</v>
      </c>
      <c r="L153" s="1671"/>
      <c r="M153" s="1671"/>
      <c r="N153" s="1671"/>
      <c r="O153" s="1786" t="s">
        <v>7260</v>
      </c>
      <c r="P153" s="1786"/>
      <c r="Q153" s="1786"/>
      <c r="R153" s="1308">
        <v>-0.1</v>
      </c>
      <c r="S153" s="1308"/>
      <c r="T153" s="1308"/>
      <c r="U153" s="1308"/>
      <c r="V153" s="1308"/>
      <c r="W153" s="1860" t="s">
        <v>7494</v>
      </c>
      <c r="X153" s="1308"/>
      <c r="Y153" s="285"/>
      <c r="Z153" s="285"/>
      <c r="EK153" s="285"/>
    </row>
    <row r="154" spans="1:141" s="1304" customFormat="1" ht="14.4" customHeight="1">
      <c r="A154" s="1783" t="s">
        <v>7237</v>
      </c>
      <c r="B154" s="1853" t="s">
        <v>7262</v>
      </c>
      <c r="C154" s="1629">
        <v>312035352</v>
      </c>
      <c r="D154" s="906"/>
      <c r="E154" s="1793" t="s">
        <v>7293</v>
      </c>
      <c r="F154" s="74"/>
      <c r="G154" s="75"/>
      <c r="H154" s="1792" t="s">
        <v>7292</v>
      </c>
      <c r="I154" s="1905">
        <v>0</v>
      </c>
      <c r="J154" s="1662">
        <v>0</v>
      </c>
      <c r="K154" s="1671">
        <v>0</v>
      </c>
      <c r="L154" s="1671"/>
      <c r="M154" s="1671"/>
      <c r="N154" s="1671"/>
      <c r="O154" s="1786" t="s">
        <v>7260</v>
      </c>
      <c r="P154" s="1786"/>
      <c r="Q154" s="1786"/>
      <c r="R154" s="1308">
        <v>7.9000000000000001E-2</v>
      </c>
      <c r="S154" s="1308"/>
      <c r="T154" s="1308"/>
      <c r="U154" s="1308"/>
      <c r="V154" s="1860" t="s">
        <v>5263</v>
      </c>
      <c r="W154" s="1308">
        <v>79.5</v>
      </c>
      <c r="X154" s="1308"/>
      <c r="Y154" s="285"/>
      <c r="Z154" s="285"/>
      <c r="EK154" s="285"/>
    </row>
    <row r="155" spans="1:141" s="1304" customFormat="1" ht="14.4" customHeight="1">
      <c r="A155" s="1788" t="s">
        <v>7277</v>
      </c>
      <c r="B155" s="1853" t="s">
        <v>7276</v>
      </c>
      <c r="C155" s="1629">
        <v>312057412</v>
      </c>
      <c r="D155" s="906"/>
      <c r="E155" s="1852" t="s">
        <v>7488</v>
      </c>
      <c r="F155" s="74"/>
      <c r="G155" s="75"/>
      <c r="H155" s="1792" t="s">
        <v>7292</v>
      </c>
      <c r="I155" s="1905">
        <v>0</v>
      </c>
      <c r="J155" s="1662">
        <v>0</v>
      </c>
      <c r="K155" s="1671">
        <v>0</v>
      </c>
      <c r="L155" s="1671"/>
      <c r="M155" s="1671"/>
      <c r="N155" s="1671"/>
      <c r="O155" s="1786" t="s">
        <v>7260</v>
      </c>
      <c r="P155" s="1786"/>
      <c r="Q155" s="1786"/>
      <c r="R155" s="1308"/>
      <c r="S155" s="1308"/>
      <c r="T155" s="1308"/>
      <c r="U155" s="1308"/>
      <c r="V155" s="1860" t="s">
        <v>7495</v>
      </c>
      <c r="W155" s="1308">
        <v>1.6</v>
      </c>
      <c r="X155" s="1308"/>
      <c r="Y155" s="285"/>
      <c r="Z155" s="285"/>
      <c r="EK155" s="285"/>
    </row>
    <row r="156" spans="1:141" s="1304" customFormat="1" ht="14.4" customHeight="1">
      <c r="A156" s="1797" t="s">
        <v>7320</v>
      </c>
      <c r="B156" s="1914" t="s">
        <v>7321</v>
      </c>
      <c r="C156" s="1915">
        <v>312078354</v>
      </c>
      <c r="D156" s="1832" t="s">
        <v>7438</v>
      </c>
      <c r="E156" s="1885" t="s">
        <v>7322</v>
      </c>
      <c r="F156" s="74"/>
      <c r="G156" s="75"/>
      <c r="H156" s="1792" t="s">
        <v>7292</v>
      </c>
      <c r="I156" s="1905">
        <f>150-5-144.2</f>
        <v>0.80000000000001137</v>
      </c>
      <c r="J156" s="1662">
        <v>0</v>
      </c>
      <c r="K156" s="1671">
        <v>0</v>
      </c>
      <c r="L156" s="1671"/>
      <c r="M156" s="1671"/>
      <c r="N156" s="1671"/>
      <c r="O156" s="1786" t="s">
        <v>7260</v>
      </c>
      <c r="P156" s="1786"/>
      <c r="Q156" s="1786"/>
      <c r="R156" s="1308"/>
      <c r="S156" s="1308"/>
      <c r="T156" s="1308"/>
      <c r="U156" s="1308"/>
      <c r="V156" s="1860" t="s">
        <v>5645</v>
      </c>
      <c r="W156" s="1308">
        <v>44.4</v>
      </c>
      <c r="X156" s="1308"/>
      <c r="Y156" s="285"/>
      <c r="Z156" s="285"/>
      <c r="EK156" s="285"/>
    </row>
    <row r="157" spans="1:141" s="1304" customFormat="1" ht="14.4" customHeight="1">
      <c r="A157" s="1823" t="s">
        <v>7386</v>
      </c>
      <c r="B157" s="1874" t="s">
        <v>7385</v>
      </c>
      <c r="C157" s="1629">
        <v>312109084</v>
      </c>
      <c r="D157" s="906"/>
      <c r="E157" s="1829" t="s">
        <v>7423</v>
      </c>
      <c r="F157" s="74"/>
      <c r="G157" s="75"/>
      <c r="H157" s="1792" t="s">
        <v>7292</v>
      </c>
      <c r="I157" s="1905">
        <v>0</v>
      </c>
      <c r="J157" s="1662">
        <v>0</v>
      </c>
      <c r="K157" s="1671">
        <v>0</v>
      </c>
      <c r="L157" s="1671"/>
      <c r="M157" s="1671"/>
      <c r="N157" s="1671"/>
      <c r="O157" s="1786" t="s">
        <v>7260</v>
      </c>
      <c r="P157" s="1786"/>
      <c r="Q157" s="1786"/>
      <c r="R157" s="1308">
        <v>0.109</v>
      </c>
      <c r="S157" s="1308"/>
      <c r="T157" s="1308"/>
      <c r="U157" s="1308"/>
      <c r="V157" s="1308"/>
      <c r="W157" s="1308"/>
      <c r="X157" s="1308"/>
      <c r="Y157" s="285"/>
      <c r="Z157" s="285"/>
      <c r="EK157" s="285"/>
    </row>
    <row r="158" spans="1:141" s="1304" customFormat="1" ht="14.4" customHeight="1">
      <c r="A158" s="1823" t="s">
        <v>7403</v>
      </c>
      <c r="B158" s="1822" t="s">
        <v>7402</v>
      </c>
      <c r="C158" s="1629">
        <v>312114697</v>
      </c>
      <c r="D158" s="906"/>
      <c r="E158" s="1829" t="s">
        <v>7424</v>
      </c>
      <c r="F158" s="74"/>
      <c r="G158" s="75"/>
      <c r="H158" s="1792" t="s">
        <v>7292</v>
      </c>
      <c r="I158" s="1905">
        <v>0</v>
      </c>
      <c r="J158" s="1662">
        <v>0</v>
      </c>
      <c r="K158" s="1671">
        <v>0</v>
      </c>
      <c r="L158" s="1671"/>
      <c r="M158" s="1671"/>
      <c r="N158" s="1671"/>
      <c r="O158" s="1786" t="s">
        <v>7260</v>
      </c>
      <c r="P158" s="1786"/>
      <c r="Q158" s="1786"/>
      <c r="R158" s="1308"/>
      <c r="S158" s="1308"/>
      <c r="T158" s="1308"/>
      <c r="U158" s="1308"/>
      <c r="V158" s="1308"/>
      <c r="W158" s="1308"/>
      <c r="X158" s="1308"/>
      <c r="Y158" s="285"/>
      <c r="Z158" s="285"/>
      <c r="EK158" s="285"/>
    </row>
    <row r="159" spans="1:141" s="1304" customFormat="1" ht="14.4" customHeight="1">
      <c r="A159" s="1835" t="s">
        <v>7456</v>
      </c>
      <c r="B159" s="1853" t="s">
        <v>7455</v>
      </c>
      <c r="C159" s="1868" t="s">
        <v>7457</v>
      </c>
      <c r="D159" s="906"/>
      <c r="E159" s="1875" t="s">
        <v>7487</v>
      </c>
      <c r="F159" s="74"/>
      <c r="G159" s="75"/>
      <c r="H159" s="1792" t="s">
        <v>7292</v>
      </c>
      <c r="I159" s="1905">
        <v>0</v>
      </c>
      <c r="J159" s="1662"/>
      <c r="K159" s="1671">
        <v>0</v>
      </c>
      <c r="L159" s="1671"/>
      <c r="M159" s="1671"/>
      <c r="N159" s="1671"/>
      <c r="O159" s="1786" t="s">
        <v>7260</v>
      </c>
      <c r="P159" s="1786"/>
      <c r="Q159" s="1786"/>
      <c r="R159" s="1308"/>
      <c r="S159" s="1308"/>
      <c r="T159" s="1308"/>
      <c r="U159" s="1308"/>
      <c r="V159" s="1308"/>
      <c r="W159" s="1308"/>
      <c r="X159" s="1308"/>
      <c r="Y159" s="285"/>
      <c r="Z159" s="285"/>
      <c r="EK159" s="285"/>
    </row>
    <row r="160" spans="1:141" s="1304" customFormat="1" ht="14.4" customHeight="1">
      <c r="A160" s="1835" t="s">
        <v>7456</v>
      </c>
      <c r="B160" s="1853" t="s">
        <v>7458</v>
      </c>
      <c r="C160" s="1868" t="s">
        <v>7459</v>
      </c>
      <c r="D160" s="906"/>
      <c r="E160" s="1849" t="s">
        <v>7486</v>
      </c>
      <c r="F160" s="74"/>
      <c r="G160" s="75"/>
      <c r="H160" s="1792" t="s">
        <v>7292</v>
      </c>
      <c r="I160" s="1905">
        <v>0</v>
      </c>
      <c r="J160" s="1662"/>
      <c r="K160" s="1671">
        <v>0</v>
      </c>
      <c r="L160" s="1671"/>
      <c r="M160" s="1671"/>
      <c r="N160" s="1671"/>
      <c r="O160" s="1786" t="s">
        <v>7260</v>
      </c>
      <c r="P160" s="1786"/>
      <c r="Q160" s="1786"/>
      <c r="R160" s="1308"/>
      <c r="S160" s="1308"/>
      <c r="T160" s="1308"/>
      <c r="U160" s="1308"/>
      <c r="V160" s="1308"/>
      <c r="W160" s="1308"/>
      <c r="X160" s="1308"/>
      <c r="Y160" s="285"/>
      <c r="Z160" s="285"/>
      <c r="EK160" s="285"/>
    </row>
    <row r="161" spans="1:964" s="1304" customFormat="1" ht="14.4" customHeight="1">
      <c r="A161" s="1858" t="s">
        <v>7490</v>
      </c>
      <c r="B161" s="1916" t="s">
        <v>7491</v>
      </c>
      <c r="C161" s="1933">
        <v>312141428</v>
      </c>
      <c r="D161" s="906"/>
      <c r="E161" s="1857" t="s">
        <v>7521</v>
      </c>
      <c r="F161" s="74"/>
      <c r="G161" s="75"/>
      <c r="H161" s="1792" t="s">
        <v>7292</v>
      </c>
      <c r="I161" s="1905">
        <v>0</v>
      </c>
      <c r="J161" s="1662"/>
      <c r="K161" s="1671">
        <v>0</v>
      </c>
      <c r="L161" s="1671"/>
      <c r="M161" s="1671"/>
      <c r="N161" s="1671"/>
      <c r="O161" s="285" t="s">
        <v>7260</v>
      </c>
      <c r="P161" s="285"/>
      <c r="Q161" s="285"/>
      <c r="R161" s="1308"/>
      <c r="S161" s="1308"/>
      <c r="T161" s="1308"/>
      <c r="U161" s="1308"/>
      <c r="V161" s="1308"/>
      <c r="W161" s="1308"/>
      <c r="X161" s="1308"/>
      <c r="Y161" s="285"/>
      <c r="Z161" s="285"/>
      <c r="EK161" s="285"/>
    </row>
    <row r="162" spans="1:964">
      <c r="A162" s="1865" t="s">
        <v>7490</v>
      </c>
      <c r="B162" s="1880" t="s">
        <v>7489</v>
      </c>
      <c r="C162" s="1934">
        <v>312142892</v>
      </c>
      <c r="D162" s="74"/>
      <c r="E162" s="1865" t="s">
        <v>7520</v>
      </c>
      <c r="F162" s="74">
        <v>0</v>
      </c>
      <c r="G162" s="75"/>
      <c r="H162" s="1792" t="s">
        <v>7292</v>
      </c>
      <c r="I162" s="944">
        <f>33+23-56</f>
        <v>0</v>
      </c>
      <c r="J162" s="944"/>
      <c r="K162" s="1308">
        <v>0</v>
      </c>
      <c r="L162" s="1308"/>
      <c r="M162" s="1308"/>
      <c r="N162" s="1308"/>
      <c r="O162" s="285" t="s">
        <v>7260</v>
      </c>
      <c r="P162" s="285"/>
      <c r="Q162" s="285"/>
      <c r="R162" s="1308"/>
      <c r="S162" s="1308"/>
      <c r="T162" s="1308"/>
      <c r="U162" s="1308"/>
      <c r="V162" s="1308"/>
      <c r="W162" s="1308"/>
      <c r="X162" s="1308"/>
      <c r="Y162" s="285"/>
      <c r="Z162" s="285"/>
      <c r="AA162" s="285"/>
      <c r="AB162" s="285"/>
      <c r="AC162" s="285"/>
      <c r="AD162" s="285"/>
      <c r="AE162" s="285"/>
      <c r="AF162" s="285"/>
      <c r="AG162" s="285"/>
      <c r="AH162" s="285"/>
      <c r="AI162" s="285"/>
      <c r="AJ162" s="285"/>
      <c r="AK162" s="285"/>
      <c r="AL162" s="285"/>
      <c r="AM162" s="285"/>
      <c r="AN162" s="285"/>
      <c r="AO162" s="285"/>
      <c r="AP162" s="285"/>
      <c r="AQ162" s="285"/>
      <c r="AR162" s="285"/>
      <c r="AS162" s="285"/>
      <c r="AT162" s="285"/>
      <c r="AU162" s="285"/>
      <c r="AV162" s="285"/>
      <c r="AW162" s="285"/>
      <c r="AX162" s="285"/>
      <c r="AY162" s="285"/>
      <c r="AZ162" s="285"/>
      <c r="BA162" s="285"/>
      <c r="BB162" s="285"/>
      <c r="BC162" s="285"/>
      <c r="BD162" s="285"/>
      <c r="BE162" s="285"/>
      <c r="BF162" s="285"/>
      <c r="BG162" s="285"/>
      <c r="BH162" s="285"/>
      <c r="BI162" s="285"/>
      <c r="BJ162" s="285"/>
      <c r="BK162" s="285"/>
      <c r="BL162" s="285"/>
      <c r="BM162" s="285"/>
      <c r="BN162" s="285"/>
      <c r="BO162" s="285"/>
      <c r="BP162" s="285"/>
      <c r="BQ162" s="285"/>
      <c r="BR162" s="285"/>
      <c r="BS162" s="285"/>
      <c r="BT162" s="285"/>
      <c r="BU162" s="285"/>
      <c r="BV162" s="285"/>
      <c r="BW162" s="285"/>
      <c r="BX162" s="285"/>
      <c r="BY162" s="285"/>
      <c r="BZ162" s="285"/>
      <c r="CA162" s="285"/>
      <c r="CB162" s="285"/>
      <c r="CC162" s="285"/>
      <c r="CD162" s="285"/>
      <c r="CE162" s="285"/>
      <c r="CF162" s="285"/>
      <c r="CG162" s="285"/>
      <c r="CH162" s="285"/>
      <c r="CI162" s="285"/>
      <c r="CJ162" s="285"/>
      <c r="CK162" s="285"/>
      <c r="CL162" s="285"/>
      <c r="CM162" s="285"/>
      <c r="CN162" s="285"/>
      <c r="CO162" s="285">
        <v>847772</v>
      </c>
      <c r="CP162" s="285"/>
      <c r="CQ162" s="285"/>
      <c r="CR162" s="285"/>
      <c r="CS162" s="285"/>
      <c r="CT162" s="285"/>
      <c r="CU162" s="285"/>
      <c r="CV162" s="285"/>
      <c r="CW162" s="285"/>
      <c r="CX162" s="285"/>
      <c r="CY162" s="285"/>
      <c r="CZ162" s="285"/>
      <c r="DA162" s="285"/>
      <c r="DB162" s="285"/>
      <c r="DC162" s="285"/>
      <c r="DD162" s="285"/>
      <c r="DE162" s="285"/>
      <c r="DF162" s="285"/>
      <c r="DG162" s="285"/>
      <c r="DH162" s="285"/>
      <c r="DI162" s="285"/>
      <c r="DJ162" s="285"/>
      <c r="DK162" s="285"/>
      <c r="DL162" s="285"/>
      <c r="DM162" s="285"/>
      <c r="DN162" s="285"/>
      <c r="DO162" s="285"/>
      <c r="DP162" s="285"/>
      <c r="DQ162" s="285"/>
      <c r="DR162" s="285"/>
      <c r="DS162" s="285"/>
      <c r="DT162" s="285"/>
      <c r="DU162" s="285"/>
      <c r="DV162" s="285"/>
      <c r="DW162" s="285"/>
      <c r="DX162" s="285"/>
      <c r="DY162" s="285"/>
      <c r="DZ162" s="285"/>
      <c r="EA162" s="285"/>
      <c r="EB162" s="285"/>
      <c r="EC162" s="285"/>
      <c r="ED162" s="285"/>
      <c r="EE162" s="285"/>
      <c r="EF162" s="285"/>
      <c r="EG162" s="285"/>
      <c r="EH162" s="285"/>
      <c r="EI162" s="285"/>
      <c r="EJ162" s="285"/>
      <c r="EK162" s="285"/>
      <c r="EL162" s="285"/>
      <c r="EM162" s="285"/>
      <c r="EN162" s="285"/>
      <c r="EO162" s="285"/>
      <c r="EP162" s="285"/>
      <c r="EQ162" s="285"/>
      <c r="ER162" s="285"/>
      <c r="ES162" s="285"/>
      <c r="ET162" s="285"/>
      <c r="EU162" s="285"/>
      <c r="EV162" s="285"/>
      <c r="EW162" s="285"/>
      <c r="EX162" s="285"/>
      <c r="EY162" s="285"/>
      <c r="EZ162" s="285"/>
      <c r="FA162" s="285"/>
      <c r="FB162" s="285"/>
      <c r="FC162" s="285"/>
      <c r="FD162" s="285"/>
      <c r="FE162" s="285"/>
      <c r="FF162" s="285"/>
      <c r="FG162" s="285"/>
      <c r="FH162" s="285"/>
      <c r="FI162" s="285"/>
      <c r="FJ162" s="285"/>
      <c r="FK162" s="285"/>
      <c r="FL162" s="285"/>
      <c r="FM162" s="285"/>
      <c r="FN162" s="285"/>
      <c r="FO162" s="285"/>
      <c r="FP162" s="285"/>
      <c r="FQ162" s="285"/>
      <c r="FR162" s="285"/>
      <c r="FS162" s="285"/>
      <c r="FT162" s="285"/>
      <c r="FU162" s="285"/>
      <c r="FV162" s="285"/>
      <c r="FW162" s="285"/>
      <c r="FX162" s="285"/>
      <c r="FY162" s="285"/>
      <c r="FZ162" s="285"/>
      <c r="GA162" s="285"/>
      <c r="GB162" s="285"/>
      <c r="GC162" s="285"/>
      <c r="GD162" s="285"/>
      <c r="GE162" s="285"/>
      <c r="GF162" s="285"/>
      <c r="GG162" s="285"/>
      <c r="GH162" s="285"/>
      <c r="GI162" s="285"/>
      <c r="GJ162" s="285"/>
      <c r="GK162" s="285"/>
      <c r="GL162" s="285"/>
      <c r="GM162" s="285"/>
      <c r="GN162" s="285"/>
      <c r="GO162" s="285"/>
      <c r="GP162" s="285"/>
      <c r="GQ162" s="285"/>
      <c r="GR162" s="285"/>
      <c r="GS162" s="285"/>
      <c r="GT162" s="285"/>
      <c r="GU162" s="285"/>
      <c r="GV162" s="285"/>
      <c r="GW162" s="285"/>
      <c r="GX162" s="285"/>
      <c r="GY162" s="285"/>
      <c r="GZ162" s="285"/>
      <c r="HA162" s="285"/>
      <c r="HB162" s="285"/>
      <c r="HC162" s="285"/>
      <c r="HD162" s="285"/>
      <c r="HE162" s="285"/>
      <c r="HF162" s="285"/>
      <c r="HG162" s="285"/>
      <c r="HH162" s="285"/>
      <c r="HI162" s="285"/>
      <c r="HJ162" s="285"/>
      <c r="HK162" s="285"/>
      <c r="HL162" s="285"/>
      <c r="HM162" s="285"/>
      <c r="HN162" s="285"/>
      <c r="HO162" s="285"/>
      <c r="HP162" s="285"/>
      <c r="HQ162" s="285"/>
      <c r="HR162" s="285"/>
      <c r="HS162" s="285"/>
      <c r="HT162" s="285"/>
      <c r="HU162" s="285"/>
      <c r="HV162" s="285"/>
      <c r="HW162" s="285"/>
      <c r="HX162" s="285"/>
      <c r="HY162" s="285"/>
      <c r="HZ162" s="285"/>
      <c r="IA162" s="285"/>
      <c r="IB162" s="285"/>
      <c r="IC162" s="285"/>
      <c r="ID162" s="285"/>
      <c r="IE162" s="285"/>
      <c r="IF162" s="285"/>
      <c r="IG162" s="285"/>
      <c r="IH162" s="285"/>
      <c r="II162" s="285"/>
      <c r="IJ162" s="285"/>
      <c r="IK162" s="285"/>
      <c r="IL162" s="285"/>
      <c r="IM162" s="285"/>
      <c r="IN162" s="285"/>
      <c r="IO162" s="285"/>
      <c r="IP162" s="285"/>
      <c r="IQ162" s="285"/>
      <c r="IR162" s="285"/>
      <c r="IS162" s="285"/>
      <c r="IT162" s="285"/>
      <c r="IU162" s="285"/>
      <c r="IV162" s="285"/>
      <c r="IW162" s="285"/>
      <c r="IX162" s="285"/>
      <c r="IY162" s="285"/>
      <c r="IZ162" s="285"/>
      <c r="JA162" s="285"/>
      <c r="JB162" s="285"/>
      <c r="JC162" s="285"/>
      <c r="JD162" s="285"/>
      <c r="JE162" s="285"/>
      <c r="JF162" s="285"/>
      <c r="JG162" s="285"/>
      <c r="JH162" s="285"/>
      <c r="JI162" s="285"/>
      <c r="JJ162" s="285"/>
      <c r="JK162" s="285"/>
      <c r="JL162" s="285"/>
      <c r="JM162" s="285"/>
      <c r="JN162" s="285"/>
      <c r="JO162" s="285"/>
      <c r="JP162" s="285"/>
      <c r="JQ162" s="285"/>
      <c r="JR162" s="285"/>
      <c r="JS162" s="285"/>
      <c r="JT162" s="285"/>
      <c r="JU162" s="285"/>
      <c r="JV162" s="285"/>
      <c r="JW162" s="285"/>
      <c r="JX162" s="285"/>
      <c r="JY162" s="285"/>
      <c r="JZ162" s="285"/>
      <c r="KA162" s="285"/>
      <c r="KB162" s="285"/>
      <c r="KC162" s="285"/>
      <c r="KD162" s="285"/>
      <c r="KE162" s="285"/>
      <c r="KF162" s="285"/>
      <c r="KG162" s="285"/>
      <c r="KH162" s="285"/>
      <c r="KI162" s="285"/>
      <c r="KJ162" s="285"/>
      <c r="KK162" s="285"/>
      <c r="KL162" s="285"/>
      <c r="KM162" s="285"/>
      <c r="KN162" s="285"/>
      <c r="KO162" s="285"/>
      <c r="KP162" s="285"/>
      <c r="KQ162" s="285"/>
      <c r="KR162" s="285"/>
      <c r="KS162" s="285">
        <v>0</v>
      </c>
      <c r="KT162" s="285">
        <v>72.5</v>
      </c>
      <c r="KU162" s="268">
        <v>75</v>
      </c>
      <c r="KV162" s="288"/>
      <c r="KW162" s="288">
        <v>79.7</v>
      </c>
      <c r="LA162">
        <v>75</v>
      </c>
      <c r="LB162">
        <v>467.5</v>
      </c>
      <c r="LC162">
        <v>338.5</v>
      </c>
      <c r="LD162">
        <v>338.5</v>
      </c>
      <c r="LE162">
        <v>313.5</v>
      </c>
      <c r="LF162">
        <v>260.5</v>
      </c>
      <c r="LG162">
        <v>250.5</v>
      </c>
      <c r="LH162">
        <v>30</v>
      </c>
      <c r="LI162">
        <v>88.5</v>
      </c>
      <c r="LJ162">
        <v>1.66</v>
      </c>
      <c r="LK162">
        <v>1.66</v>
      </c>
      <c r="LL162">
        <v>1.66</v>
      </c>
      <c r="LM162">
        <v>1.66</v>
      </c>
      <c r="LN162">
        <v>1.66</v>
      </c>
      <c r="LO162">
        <v>88.5</v>
      </c>
      <c r="OF162">
        <v>0.9</v>
      </c>
      <c r="OG162">
        <v>0.9</v>
      </c>
      <c r="OH162">
        <v>0.9</v>
      </c>
      <c r="OI162">
        <v>0.9</v>
      </c>
      <c r="OJ162">
        <v>0.9</v>
      </c>
      <c r="OK162">
        <v>0.9</v>
      </c>
      <c r="OL162">
        <v>0.9</v>
      </c>
      <c r="OM162">
        <v>0.9</v>
      </c>
      <c r="ON162">
        <v>0.9</v>
      </c>
      <c r="OO162">
        <v>0.9</v>
      </c>
      <c r="OP162">
        <v>0.74</v>
      </c>
      <c r="OQ162">
        <v>0.74</v>
      </c>
      <c r="OR162">
        <v>0.74</v>
      </c>
      <c r="OS162">
        <v>0.74</v>
      </c>
      <c r="OT162">
        <v>0.74</v>
      </c>
      <c r="RQ162">
        <v>1.66</v>
      </c>
      <c r="RR162">
        <v>1.66</v>
      </c>
      <c r="RS162">
        <v>1.66</v>
      </c>
      <c r="RT162">
        <v>1.66</v>
      </c>
      <c r="RU162">
        <v>1.66</v>
      </c>
      <c r="RV162">
        <v>1.66</v>
      </c>
      <c r="RW162">
        <v>1.66</v>
      </c>
      <c r="RX162">
        <v>1.66</v>
      </c>
      <c r="RY162">
        <v>1.66</v>
      </c>
      <c r="RZ162">
        <v>1.66</v>
      </c>
      <c r="SA162">
        <v>1.66</v>
      </c>
      <c r="SB162">
        <v>1.66</v>
      </c>
      <c r="SC162">
        <v>1.66</v>
      </c>
      <c r="SD162">
        <v>1.66</v>
      </c>
      <c r="SE162">
        <v>1.66</v>
      </c>
      <c r="SF162">
        <v>1.66</v>
      </c>
      <c r="SG162">
        <v>1.66</v>
      </c>
      <c r="SH162">
        <v>1.66</v>
      </c>
      <c r="SI162">
        <v>1.66</v>
      </c>
      <c r="SJ162">
        <v>1.66</v>
      </c>
      <c r="SK162">
        <v>1.66</v>
      </c>
      <c r="SL162">
        <v>1.66</v>
      </c>
      <c r="SM162">
        <v>1.66</v>
      </c>
      <c r="SN162">
        <v>1.66</v>
      </c>
      <c r="SO162">
        <v>1.66</v>
      </c>
      <c r="SP162">
        <v>1.66</v>
      </c>
      <c r="SQ162">
        <v>1.66</v>
      </c>
      <c r="SR162">
        <v>1.66</v>
      </c>
      <c r="SS162">
        <v>1.66</v>
      </c>
      <c r="ST162">
        <v>1.66</v>
      </c>
      <c r="AJT162">
        <v>1.66</v>
      </c>
      <c r="AJU162">
        <v>1.66</v>
      </c>
      <c r="AJV162">
        <v>1.66</v>
      </c>
      <c r="AJW162">
        <v>1.66</v>
      </c>
      <c r="AJX162">
        <v>1.66</v>
      </c>
      <c r="AJY162">
        <v>1.66</v>
      </c>
      <c r="AJZ162">
        <v>1.66</v>
      </c>
      <c r="AKA162">
        <v>1.66</v>
      </c>
      <c r="AKB162">
        <v>1.66</v>
      </c>
    </row>
    <row r="163" spans="1:964" s="1304" customFormat="1">
      <c r="A163" s="1865" t="s">
        <v>7522</v>
      </c>
      <c r="B163" s="1928" t="s">
        <v>7524</v>
      </c>
      <c r="C163" s="1929">
        <v>312183272</v>
      </c>
      <c r="D163" s="74"/>
      <c r="E163" s="1935" t="s">
        <v>7545</v>
      </c>
      <c r="F163" s="74">
        <v>0</v>
      </c>
      <c r="G163" s="75"/>
      <c r="H163" s="1939" t="s">
        <v>6806</v>
      </c>
      <c r="I163" s="944">
        <v>0</v>
      </c>
      <c r="J163" s="944"/>
      <c r="K163" s="288"/>
      <c r="L163" s="288"/>
      <c r="M163" s="288"/>
      <c r="N163" s="288"/>
      <c r="O163" s="285" t="s">
        <v>7260</v>
      </c>
      <c r="P163" s="284"/>
      <c r="Q163" s="284"/>
      <c r="R163" s="288"/>
      <c r="S163" s="288"/>
      <c r="T163" s="288"/>
      <c r="U163" s="288"/>
      <c r="V163" s="288"/>
      <c r="W163" s="288"/>
      <c r="X163" s="288"/>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c r="AW163" s="284"/>
      <c r="AX163" s="284"/>
      <c r="AY163" s="284"/>
      <c r="AZ163" s="284"/>
      <c r="BA163" s="284"/>
      <c r="BB163" s="284"/>
      <c r="BC163" s="284"/>
      <c r="BD163" s="284"/>
      <c r="BE163" s="284"/>
      <c r="BF163" s="284"/>
      <c r="BG163" s="284"/>
      <c r="BH163" s="284"/>
      <c r="BI163" s="284"/>
      <c r="BJ163" s="284"/>
      <c r="BK163" s="284"/>
      <c r="BL163" s="284"/>
      <c r="BM163" s="284"/>
      <c r="BN163" s="284"/>
      <c r="BO163" s="284"/>
      <c r="BP163" s="284"/>
      <c r="BQ163" s="284"/>
      <c r="BR163" s="284"/>
      <c r="BS163" s="284"/>
      <c r="BT163" s="284"/>
      <c r="BU163" s="284"/>
      <c r="BV163" s="284"/>
      <c r="BW163" s="284"/>
      <c r="BX163" s="284"/>
      <c r="BY163" s="284"/>
      <c r="BZ163" s="284"/>
      <c r="CA163" s="284"/>
      <c r="CB163" s="284"/>
      <c r="CC163" s="284"/>
      <c r="CD163" s="284"/>
      <c r="CE163" s="284"/>
      <c r="CF163" s="284"/>
      <c r="CG163" s="284"/>
      <c r="CH163" s="284"/>
      <c r="CI163" s="284"/>
      <c r="CJ163" s="284"/>
      <c r="CK163" s="284"/>
      <c r="CL163" s="284"/>
      <c r="CM163" s="284"/>
      <c r="CN163" s="284"/>
      <c r="CO163" s="284"/>
      <c r="CP163" s="284"/>
      <c r="CQ163" s="284"/>
      <c r="CR163" s="284"/>
      <c r="CS163" s="284"/>
      <c r="CT163" s="284"/>
      <c r="CU163" s="284"/>
      <c r="CV163" s="284"/>
      <c r="CW163" s="284"/>
      <c r="CX163" s="284"/>
      <c r="CY163" s="284"/>
      <c r="CZ163" s="284"/>
      <c r="DA163" s="284"/>
      <c r="DB163" s="284"/>
      <c r="DC163" s="284"/>
      <c r="DD163" s="284"/>
      <c r="DE163" s="284"/>
      <c r="DF163" s="284"/>
      <c r="DG163" s="284"/>
      <c r="DH163" s="284"/>
      <c r="DI163" s="284"/>
      <c r="DJ163" s="284"/>
      <c r="DK163" s="284"/>
      <c r="DL163" s="284"/>
      <c r="DM163" s="284"/>
      <c r="DN163" s="284"/>
      <c r="DO163" s="284"/>
      <c r="DP163" s="284"/>
      <c r="DQ163" s="284"/>
      <c r="DR163" s="284"/>
      <c r="DS163" s="284"/>
      <c r="DT163" s="284"/>
      <c r="DU163" s="284"/>
      <c r="DV163" s="284"/>
      <c r="DW163" s="284"/>
      <c r="DX163" s="284"/>
      <c r="DY163" s="284"/>
      <c r="DZ163" s="284"/>
      <c r="EA163" s="284"/>
      <c r="EB163" s="284"/>
      <c r="EC163" s="284"/>
      <c r="ED163" s="284"/>
      <c r="EE163" s="284"/>
      <c r="EF163" s="284"/>
      <c r="EG163" s="284"/>
      <c r="EH163" s="284"/>
      <c r="EI163" s="284"/>
      <c r="EJ163" s="284"/>
      <c r="EK163" s="285"/>
      <c r="EL163" s="284"/>
      <c r="EM163" s="284"/>
      <c r="EN163" s="284"/>
      <c r="EO163" s="284"/>
      <c r="EP163" s="284"/>
      <c r="EQ163" s="284"/>
      <c r="ER163" s="284"/>
      <c r="ES163" s="284"/>
      <c r="ET163" s="284"/>
      <c r="EU163" s="284"/>
      <c r="EV163" s="284"/>
      <c r="EW163" s="284"/>
      <c r="EX163" s="284"/>
      <c r="EY163" s="284"/>
      <c r="EZ163" s="284"/>
      <c r="FA163" s="284"/>
      <c r="FB163" s="284"/>
      <c r="FC163" s="284"/>
      <c r="FD163" s="284"/>
      <c r="FE163" s="284"/>
      <c r="FF163" s="284"/>
      <c r="FG163" s="284"/>
      <c r="FH163" s="284"/>
      <c r="FI163" s="284"/>
      <c r="FJ163" s="284"/>
      <c r="FK163" s="284"/>
      <c r="FL163" s="284"/>
      <c r="FM163" s="284"/>
      <c r="FN163" s="284"/>
      <c r="FO163" s="284"/>
      <c r="FP163" s="284"/>
      <c r="FQ163" s="284"/>
      <c r="FR163" s="284"/>
      <c r="FS163" s="284"/>
      <c r="FT163" s="284"/>
      <c r="FU163" s="284"/>
      <c r="FV163" s="284"/>
      <c r="FW163" s="284"/>
      <c r="FX163" s="284"/>
      <c r="FY163" s="284"/>
      <c r="FZ163" s="284"/>
      <c r="GA163" s="284"/>
      <c r="GB163" s="284"/>
      <c r="GC163" s="284"/>
      <c r="GD163" s="284"/>
      <c r="GE163" s="284"/>
      <c r="GF163" s="284"/>
      <c r="GG163" s="284"/>
      <c r="GH163" s="284"/>
      <c r="GI163" s="284"/>
      <c r="GJ163" s="284"/>
      <c r="GK163" s="284"/>
      <c r="GL163" s="284"/>
      <c r="GM163" s="284"/>
      <c r="GN163" s="284"/>
      <c r="GO163" s="284"/>
      <c r="GP163" s="284"/>
      <c r="GQ163" s="284"/>
      <c r="GR163" s="284"/>
      <c r="GS163" s="284"/>
      <c r="GT163" s="284"/>
      <c r="GU163" s="284"/>
      <c r="GV163" s="284"/>
      <c r="GW163" s="284"/>
      <c r="GX163" s="284"/>
      <c r="GY163" s="284"/>
      <c r="GZ163" s="284"/>
      <c r="HA163" s="284"/>
      <c r="HB163" s="284"/>
      <c r="HC163" s="284"/>
      <c r="HD163" s="284"/>
      <c r="HE163" s="284"/>
      <c r="HF163" s="284"/>
      <c r="HG163" s="284"/>
      <c r="HH163" s="284"/>
      <c r="HI163" s="284"/>
      <c r="HJ163" s="284"/>
      <c r="HK163" s="284"/>
      <c r="HL163" s="284"/>
      <c r="HM163" s="284"/>
      <c r="HN163" s="284"/>
      <c r="HO163" s="284"/>
      <c r="HP163" s="284"/>
      <c r="HQ163" s="284"/>
      <c r="HR163" s="284"/>
      <c r="HS163" s="284"/>
      <c r="HT163" s="284"/>
      <c r="HU163" s="284"/>
      <c r="HV163" s="284"/>
      <c r="HW163" s="284"/>
      <c r="HX163" s="284"/>
      <c r="HY163" s="284"/>
      <c r="HZ163" s="284"/>
      <c r="IA163" s="284"/>
      <c r="IB163" s="284"/>
      <c r="IC163" s="284"/>
      <c r="ID163" s="284"/>
      <c r="IE163" s="284"/>
      <c r="IF163" s="284"/>
      <c r="IG163" s="284"/>
      <c r="IH163" s="284"/>
      <c r="II163" s="284"/>
      <c r="IJ163" s="284"/>
      <c r="IK163" s="284"/>
      <c r="IL163" s="284"/>
      <c r="IM163" s="284"/>
      <c r="IN163" s="284"/>
      <c r="IO163" s="284"/>
      <c r="IP163" s="284"/>
      <c r="IQ163" s="284"/>
      <c r="IR163" s="284"/>
      <c r="IS163" s="284"/>
      <c r="IT163" s="284"/>
      <c r="IU163" s="284"/>
      <c r="IV163" s="284"/>
      <c r="IW163" s="284"/>
      <c r="IX163" s="284"/>
      <c r="IY163" s="284"/>
      <c r="IZ163" s="284"/>
      <c r="JA163" s="284"/>
      <c r="JB163" s="284"/>
      <c r="JC163" s="284"/>
      <c r="JD163" s="284"/>
      <c r="JE163" s="284"/>
      <c r="JF163" s="284"/>
      <c r="JG163" s="284"/>
      <c r="JH163" s="284"/>
      <c r="JI163" s="284"/>
      <c r="JJ163" s="284"/>
      <c r="JK163" s="284"/>
      <c r="JL163" s="284"/>
      <c r="JM163" s="284"/>
      <c r="JN163" s="284"/>
      <c r="JO163" s="284"/>
      <c r="JP163" s="284"/>
      <c r="JQ163" s="284"/>
      <c r="JR163" s="284"/>
      <c r="JS163" s="284"/>
      <c r="JT163" s="284"/>
      <c r="JU163" s="284"/>
      <c r="JV163" s="284"/>
      <c r="JW163" s="284"/>
      <c r="JX163" s="284"/>
      <c r="JY163" s="284"/>
      <c r="JZ163" s="284"/>
      <c r="KA163" s="284"/>
      <c r="KB163" s="284"/>
      <c r="KC163" s="284"/>
      <c r="KD163" s="284"/>
      <c r="KE163" s="284"/>
      <c r="KF163" s="284"/>
      <c r="KG163" s="284"/>
      <c r="KH163" s="284"/>
      <c r="KI163" s="284"/>
      <c r="KJ163" s="284"/>
      <c r="KK163" s="284"/>
      <c r="KL163" s="284"/>
      <c r="KM163" s="284"/>
      <c r="KN163" s="284"/>
      <c r="KO163" s="284"/>
      <c r="KP163" s="284"/>
      <c r="KQ163" s="284"/>
      <c r="KR163" s="284"/>
      <c r="KS163" s="284"/>
      <c r="KT163" s="284"/>
      <c r="KU163" s="288"/>
      <c r="KV163" s="288"/>
      <c r="KW163" s="288"/>
    </row>
    <row r="164" spans="1:964" s="1304" customFormat="1">
      <c r="A164" s="1865"/>
      <c r="B164" s="1930" t="s">
        <v>7599</v>
      </c>
      <c r="C164" s="1929">
        <v>312192167</v>
      </c>
      <c r="D164" s="74"/>
      <c r="E164" s="1910" t="s">
        <v>7634</v>
      </c>
      <c r="F164" s="74"/>
      <c r="G164" s="75"/>
      <c r="H164" s="1939" t="s">
        <v>6806</v>
      </c>
      <c r="I164" s="944">
        <f>0.61+200-6-194</f>
        <v>0.61000000000001364</v>
      </c>
      <c r="J164" s="944"/>
      <c r="K164" s="1906"/>
      <c r="L164" s="1906"/>
      <c r="M164" s="1906"/>
      <c r="N164" s="1906"/>
      <c r="O164" s="285" t="s">
        <v>7260</v>
      </c>
      <c r="P164" s="284"/>
      <c r="Q164" s="284"/>
      <c r="R164" s="288"/>
      <c r="S164" s="288"/>
      <c r="T164" s="288"/>
      <c r="U164" s="288"/>
      <c r="V164" s="288"/>
      <c r="W164" s="288"/>
      <c r="X164" s="288"/>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c r="AW164" s="284"/>
      <c r="AX164" s="284"/>
      <c r="AY164" s="284"/>
      <c r="AZ164" s="284"/>
      <c r="BA164" s="284"/>
      <c r="BB164" s="284"/>
      <c r="BC164" s="284"/>
      <c r="BD164" s="284"/>
      <c r="BE164" s="284"/>
      <c r="BF164" s="284"/>
      <c r="BG164" s="284"/>
      <c r="BH164" s="284"/>
      <c r="BI164" s="284"/>
      <c r="BJ164" s="284"/>
      <c r="BK164" s="284"/>
      <c r="BL164" s="284"/>
      <c r="BM164" s="284"/>
      <c r="BN164" s="284"/>
      <c r="BO164" s="284"/>
      <c r="BP164" s="284"/>
      <c r="BQ164" s="284"/>
      <c r="BR164" s="284"/>
      <c r="BS164" s="284"/>
      <c r="BT164" s="284"/>
      <c r="BU164" s="284"/>
      <c r="BV164" s="284"/>
      <c r="BW164" s="284"/>
      <c r="BX164" s="284"/>
      <c r="BY164" s="284"/>
      <c r="BZ164" s="284"/>
      <c r="CA164" s="284"/>
      <c r="CB164" s="284"/>
      <c r="CC164" s="284"/>
      <c r="CD164" s="284"/>
      <c r="CE164" s="284"/>
      <c r="CF164" s="284"/>
      <c r="CG164" s="284"/>
      <c r="CH164" s="284"/>
      <c r="CI164" s="284"/>
      <c r="CJ164" s="284"/>
      <c r="CK164" s="284"/>
      <c r="CL164" s="284"/>
      <c r="CM164" s="284"/>
      <c r="CN164" s="284"/>
      <c r="CO164" s="284"/>
      <c r="CP164" s="284"/>
      <c r="CQ164" s="284"/>
      <c r="CR164" s="284"/>
      <c r="CS164" s="284"/>
      <c r="CT164" s="284"/>
      <c r="CU164" s="284"/>
      <c r="CV164" s="284"/>
      <c r="CW164" s="284"/>
      <c r="CX164" s="284"/>
      <c r="CY164" s="284"/>
      <c r="CZ164" s="284"/>
      <c r="DA164" s="284"/>
      <c r="DB164" s="284"/>
      <c r="DC164" s="284"/>
      <c r="DD164" s="284"/>
      <c r="DE164" s="284"/>
      <c r="DF164" s="284"/>
      <c r="DG164" s="284"/>
      <c r="DH164" s="284"/>
      <c r="DI164" s="284"/>
      <c r="DJ164" s="284"/>
      <c r="DK164" s="284"/>
      <c r="DL164" s="284"/>
      <c r="DM164" s="284"/>
      <c r="DN164" s="284"/>
      <c r="DO164" s="284"/>
      <c r="DP164" s="284"/>
      <c r="DQ164" s="284"/>
      <c r="DR164" s="284"/>
      <c r="DS164" s="284"/>
      <c r="DT164" s="284"/>
      <c r="DU164" s="284"/>
      <c r="DV164" s="284"/>
      <c r="DW164" s="284"/>
      <c r="DX164" s="284"/>
      <c r="DY164" s="284"/>
      <c r="DZ164" s="284"/>
      <c r="EA164" s="284"/>
      <c r="EB164" s="284"/>
      <c r="EC164" s="284"/>
      <c r="ED164" s="284"/>
      <c r="EE164" s="284"/>
      <c r="EF164" s="284"/>
      <c r="EG164" s="284"/>
      <c r="EH164" s="284"/>
      <c r="EI164" s="284"/>
      <c r="EJ164" s="284"/>
      <c r="EK164" s="285"/>
      <c r="EL164" s="284"/>
      <c r="EM164" s="284"/>
      <c r="EN164" s="284"/>
      <c r="EO164" s="284"/>
      <c r="EP164" s="284"/>
      <c r="EQ164" s="284"/>
      <c r="ER164" s="284"/>
      <c r="ES164" s="284"/>
      <c r="ET164" s="284"/>
      <c r="EU164" s="284"/>
      <c r="EV164" s="284"/>
      <c r="EW164" s="284"/>
      <c r="EX164" s="284"/>
      <c r="EY164" s="284"/>
      <c r="EZ164" s="284"/>
      <c r="FA164" s="284"/>
      <c r="FB164" s="284"/>
      <c r="FC164" s="284"/>
      <c r="FD164" s="284"/>
      <c r="FE164" s="284"/>
      <c r="FF164" s="284"/>
      <c r="FG164" s="284"/>
      <c r="FH164" s="284"/>
      <c r="FI164" s="284"/>
      <c r="FJ164" s="284"/>
      <c r="FK164" s="284"/>
      <c r="FL164" s="284"/>
      <c r="FM164" s="284"/>
      <c r="FN164" s="284"/>
      <c r="FO164" s="284"/>
      <c r="FP164" s="284"/>
      <c r="FQ164" s="284"/>
      <c r="FR164" s="284"/>
      <c r="FS164" s="284"/>
      <c r="FT164" s="284"/>
      <c r="FU164" s="284"/>
      <c r="FV164" s="284"/>
      <c r="FW164" s="284"/>
      <c r="FX164" s="284"/>
      <c r="FY164" s="284"/>
      <c r="FZ164" s="284"/>
      <c r="GA164" s="284"/>
      <c r="GB164" s="284"/>
      <c r="GC164" s="284"/>
      <c r="GD164" s="284"/>
      <c r="GE164" s="284"/>
      <c r="GF164" s="284"/>
      <c r="GG164" s="284"/>
      <c r="GH164" s="284"/>
      <c r="GI164" s="284"/>
      <c r="GJ164" s="284"/>
      <c r="GK164" s="284"/>
      <c r="GL164" s="284"/>
      <c r="GM164" s="284"/>
      <c r="GN164" s="284"/>
      <c r="GO164" s="284"/>
      <c r="GP164" s="284"/>
      <c r="GQ164" s="284"/>
      <c r="GR164" s="284"/>
      <c r="GS164" s="284"/>
      <c r="GT164" s="284"/>
      <c r="GU164" s="284"/>
      <c r="GV164" s="284"/>
      <c r="GW164" s="284"/>
      <c r="GX164" s="284"/>
      <c r="GY164" s="284"/>
      <c r="GZ164" s="284"/>
      <c r="HA164" s="284"/>
      <c r="HB164" s="284"/>
      <c r="HC164" s="284"/>
      <c r="HD164" s="284"/>
      <c r="HE164" s="284"/>
      <c r="HF164" s="284"/>
      <c r="HG164" s="284"/>
      <c r="HH164" s="284"/>
      <c r="HI164" s="284"/>
      <c r="HJ164" s="284"/>
      <c r="HK164" s="284"/>
      <c r="HL164" s="284"/>
      <c r="HM164" s="284"/>
      <c r="HN164" s="284"/>
      <c r="HO164" s="284"/>
      <c r="HP164" s="284"/>
      <c r="HQ164" s="284"/>
      <c r="HR164" s="284"/>
      <c r="HS164" s="284"/>
      <c r="HT164" s="284"/>
      <c r="HU164" s="284"/>
      <c r="HV164" s="284"/>
      <c r="HW164" s="284"/>
      <c r="HX164" s="284"/>
      <c r="HY164" s="284"/>
      <c r="HZ164" s="284"/>
      <c r="IA164" s="284"/>
      <c r="IB164" s="284"/>
      <c r="IC164" s="284"/>
      <c r="ID164" s="284"/>
      <c r="IE164" s="284"/>
      <c r="IF164" s="284"/>
      <c r="IG164" s="284"/>
      <c r="IH164" s="284"/>
      <c r="II164" s="284"/>
      <c r="IJ164" s="284"/>
      <c r="IK164" s="284"/>
      <c r="IL164" s="284"/>
      <c r="IM164" s="284"/>
      <c r="IN164" s="284"/>
      <c r="IO164" s="284"/>
      <c r="IP164" s="284"/>
      <c r="IQ164" s="284"/>
      <c r="IR164" s="284"/>
      <c r="IS164" s="284"/>
      <c r="IT164" s="284"/>
      <c r="IU164" s="284"/>
      <c r="IV164" s="284"/>
      <c r="IW164" s="284"/>
      <c r="IX164" s="284"/>
      <c r="IY164" s="284"/>
      <c r="IZ164" s="284"/>
      <c r="JA164" s="284"/>
      <c r="JB164" s="284"/>
      <c r="JC164" s="284"/>
      <c r="JD164" s="284"/>
      <c r="JE164" s="284"/>
      <c r="JF164" s="284"/>
      <c r="JG164" s="284"/>
      <c r="JH164" s="284"/>
      <c r="JI164" s="284"/>
      <c r="JJ164" s="284"/>
      <c r="JK164" s="284"/>
      <c r="JL164" s="284"/>
      <c r="JM164" s="284"/>
      <c r="JN164" s="284"/>
      <c r="JO164" s="284"/>
      <c r="JP164" s="284"/>
      <c r="JQ164" s="284"/>
      <c r="JR164" s="284"/>
      <c r="JS164" s="284"/>
      <c r="JT164" s="284"/>
      <c r="JU164" s="284"/>
      <c r="JV164" s="284"/>
      <c r="JW164" s="284"/>
      <c r="JX164" s="284"/>
      <c r="JY164" s="284"/>
      <c r="JZ164" s="284"/>
      <c r="KA164" s="284"/>
      <c r="KB164" s="284"/>
      <c r="KC164" s="284"/>
      <c r="KD164" s="284"/>
      <c r="KE164" s="284"/>
      <c r="KF164" s="284"/>
      <c r="KG164" s="284"/>
      <c r="KH164" s="284"/>
      <c r="KI164" s="284"/>
      <c r="KJ164" s="284"/>
      <c r="KK164" s="284"/>
      <c r="KL164" s="284"/>
      <c r="KM164" s="284"/>
      <c r="KN164" s="284"/>
      <c r="KO164" s="284"/>
      <c r="KP164" s="284"/>
      <c r="KQ164" s="284"/>
      <c r="KR164" s="284"/>
      <c r="KS164" s="284"/>
      <c r="KT164" s="284"/>
      <c r="KU164" s="288"/>
      <c r="KV164" s="288"/>
      <c r="KW164" s="288"/>
    </row>
    <row r="165" spans="1:964" s="1304" customFormat="1">
      <c r="A165" s="1923" t="s">
        <v>7543</v>
      </c>
      <c r="B165" s="1913" t="s">
        <v>7542</v>
      </c>
      <c r="C165" s="1912">
        <v>312220985</v>
      </c>
      <c r="D165" s="74"/>
      <c r="E165" s="1936" t="s">
        <v>7558</v>
      </c>
      <c r="F165" s="74">
        <v>0</v>
      </c>
      <c r="G165" s="75"/>
      <c r="H165" s="1939" t="s">
        <v>6806</v>
      </c>
      <c r="I165" s="944">
        <v>0</v>
      </c>
      <c r="J165" s="944"/>
      <c r="K165" s="1906"/>
      <c r="L165" s="1906"/>
      <c r="M165" s="1906"/>
      <c r="N165" s="1906"/>
      <c r="O165" s="285" t="s">
        <v>7260</v>
      </c>
      <c r="P165" s="284"/>
      <c r="Q165" s="284"/>
      <c r="R165" s="288"/>
      <c r="S165" s="288"/>
      <c r="T165" s="288"/>
      <c r="U165" s="288"/>
      <c r="V165" s="288"/>
      <c r="W165" s="288"/>
      <c r="X165" s="288"/>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84"/>
      <c r="AW165" s="284"/>
      <c r="AX165" s="284"/>
      <c r="AY165" s="284"/>
      <c r="AZ165" s="284"/>
      <c r="BA165" s="284"/>
      <c r="BB165" s="284"/>
      <c r="BC165" s="284"/>
      <c r="BD165" s="284"/>
      <c r="BE165" s="284"/>
      <c r="BF165" s="284"/>
      <c r="BG165" s="284"/>
      <c r="BH165" s="284"/>
      <c r="BI165" s="284"/>
      <c r="BJ165" s="284"/>
      <c r="BK165" s="284"/>
      <c r="BL165" s="284"/>
      <c r="BM165" s="284"/>
      <c r="BN165" s="284"/>
      <c r="BO165" s="284"/>
      <c r="BP165" s="284"/>
      <c r="BQ165" s="284"/>
      <c r="BR165" s="284"/>
      <c r="BS165" s="284"/>
      <c r="BT165" s="284"/>
      <c r="BU165" s="284"/>
      <c r="BV165" s="284"/>
      <c r="BW165" s="284"/>
      <c r="BX165" s="284"/>
      <c r="BY165" s="284"/>
      <c r="BZ165" s="284"/>
      <c r="CA165" s="284"/>
      <c r="CB165" s="284"/>
      <c r="CC165" s="284"/>
      <c r="CD165" s="284"/>
      <c r="CE165" s="284"/>
      <c r="CF165" s="284"/>
      <c r="CG165" s="284"/>
      <c r="CH165" s="284"/>
      <c r="CI165" s="284"/>
      <c r="CJ165" s="284"/>
      <c r="CK165" s="284"/>
      <c r="CL165" s="284"/>
      <c r="CM165" s="284"/>
      <c r="CN165" s="284"/>
      <c r="CO165" s="284"/>
      <c r="CP165" s="284"/>
      <c r="CQ165" s="284"/>
      <c r="CR165" s="284"/>
      <c r="CS165" s="284"/>
      <c r="CT165" s="284"/>
      <c r="CU165" s="284"/>
      <c r="CV165" s="284"/>
      <c r="CW165" s="284"/>
      <c r="CX165" s="284"/>
      <c r="CY165" s="284"/>
      <c r="CZ165" s="284"/>
      <c r="DA165" s="284"/>
      <c r="DB165" s="284"/>
      <c r="DC165" s="284"/>
      <c r="DD165" s="284"/>
      <c r="DE165" s="284"/>
      <c r="DF165" s="284"/>
      <c r="DG165" s="284"/>
      <c r="DH165" s="284"/>
      <c r="DI165" s="284"/>
      <c r="DJ165" s="284"/>
      <c r="DK165" s="284"/>
      <c r="DL165" s="284"/>
      <c r="DM165" s="284"/>
      <c r="DN165" s="284"/>
      <c r="DO165" s="284"/>
      <c r="DP165" s="284"/>
      <c r="DQ165" s="284"/>
      <c r="DR165" s="284"/>
      <c r="DS165" s="284"/>
      <c r="DT165" s="284"/>
      <c r="DU165" s="284"/>
      <c r="DV165" s="284"/>
      <c r="DW165" s="284"/>
      <c r="DX165" s="284"/>
      <c r="DY165" s="284"/>
      <c r="DZ165" s="284"/>
      <c r="EA165" s="284"/>
      <c r="EB165" s="284"/>
      <c r="EC165" s="284"/>
      <c r="ED165" s="284"/>
      <c r="EE165" s="284"/>
      <c r="EF165" s="284"/>
      <c r="EG165" s="284"/>
      <c r="EH165" s="284"/>
      <c r="EI165" s="284"/>
      <c r="EJ165" s="284"/>
      <c r="EK165" s="285"/>
      <c r="EL165" s="284"/>
      <c r="EM165" s="284"/>
      <c r="EN165" s="284"/>
      <c r="EO165" s="284"/>
      <c r="EP165" s="284"/>
      <c r="EQ165" s="284"/>
      <c r="ER165" s="284"/>
      <c r="ES165" s="284"/>
      <c r="ET165" s="284"/>
      <c r="EU165" s="284"/>
      <c r="EV165" s="284"/>
      <c r="EW165" s="284"/>
      <c r="EX165" s="284"/>
      <c r="EY165" s="284"/>
      <c r="EZ165" s="284"/>
      <c r="FA165" s="284"/>
      <c r="FB165" s="284"/>
      <c r="FC165" s="284"/>
      <c r="FD165" s="284"/>
      <c r="FE165" s="284"/>
      <c r="FF165" s="284"/>
      <c r="FG165" s="284"/>
      <c r="FH165" s="284"/>
      <c r="FI165" s="284"/>
      <c r="FJ165" s="284"/>
      <c r="FK165" s="284"/>
      <c r="FL165" s="284"/>
      <c r="FM165" s="284"/>
      <c r="FN165" s="284"/>
      <c r="FO165" s="284"/>
      <c r="FP165" s="284"/>
      <c r="FQ165" s="284"/>
      <c r="FR165" s="284"/>
      <c r="FS165" s="284"/>
      <c r="FT165" s="284"/>
      <c r="FU165" s="284"/>
      <c r="FV165" s="284"/>
      <c r="FW165" s="284"/>
      <c r="FX165" s="284"/>
      <c r="FY165" s="284"/>
      <c r="FZ165" s="284"/>
      <c r="GA165" s="284"/>
      <c r="GB165" s="284"/>
      <c r="GC165" s="284"/>
      <c r="GD165" s="284"/>
      <c r="GE165" s="284"/>
      <c r="GF165" s="284"/>
      <c r="GG165" s="284"/>
      <c r="GH165" s="284"/>
      <c r="GI165" s="284"/>
      <c r="GJ165" s="284"/>
      <c r="GK165" s="284"/>
      <c r="GL165" s="284"/>
      <c r="GM165" s="284"/>
      <c r="GN165" s="284"/>
      <c r="GO165" s="284"/>
      <c r="GP165" s="284"/>
      <c r="GQ165" s="284"/>
      <c r="GR165" s="284"/>
      <c r="GS165" s="284"/>
      <c r="GT165" s="284"/>
      <c r="GU165" s="284"/>
      <c r="GV165" s="284"/>
      <c r="GW165" s="284"/>
      <c r="GX165" s="284"/>
      <c r="GY165" s="284"/>
      <c r="GZ165" s="284"/>
      <c r="HA165" s="284"/>
      <c r="HB165" s="284"/>
      <c r="HC165" s="284"/>
      <c r="HD165" s="284"/>
      <c r="HE165" s="284"/>
      <c r="HF165" s="284"/>
      <c r="HG165" s="284"/>
      <c r="HH165" s="284"/>
      <c r="HI165" s="284"/>
      <c r="HJ165" s="284"/>
      <c r="HK165" s="284"/>
      <c r="HL165" s="284"/>
      <c r="HM165" s="284"/>
      <c r="HN165" s="284"/>
      <c r="HO165" s="284"/>
      <c r="HP165" s="284"/>
      <c r="HQ165" s="284"/>
      <c r="HR165" s="284"/>
      <c r="HS165" s="284"/>
      <c r="HT165" s="284"/>
      <c r="HU165" s="284"/>
      <c r="HV165" s="284"/>
      <c r="HW165" s="284"/>
      <c r="HX165" s="284"/>
      <c r="HY165" s="284"/>
      <c r="HZ165" s="284"/>
      <c r="IA165" s="284"/>
      <c r="IB165" s="284"/>
      <c r="IC165" s="284"/>
      <c r="ID165" s="284"/>
      <c r="IE165" s="284"/>
      <c r="IF165" s="284"/>
      <c r="IG165" s="284"/>
      <c r="IH165" s="284"/>
      <c r="II165" s="284"/>
      <c r="IJ165" s="284"/>
      <c r="IK165" s="284"/>
      <c r="IL165" s="284"/>
      <c r="IM165" s="284"/>
      <c r="IN165" s="284"/>
      <c r="IO165" s="284"/>
      <c r="IP165" s="284"/>
      <c r="IQ165" s="284"/>
      <c r="IR165" s="284"/>
      <c r="IS165" s="284"/>
      <c r="IT165" s="284"/>
      <c r="IU165" s="284"/>
      <c r="IV165" s="284"/>
      <c r="IW165" s="284"/>
      <c r="IX165" s="284"/>
      <c r="IY165" s="284"/>
      <c r="IZ165" s="284"/>
      <c r="JA165" s="284"/>
      <c r="JB165" s="284"/>
      <c r="JC165" s="284"/>
      <c r="JD165" s="284"/>
      <c r="JE165" s="284"/>
      <c r="JF165" s="284"/>
      <c r="JG165" s="284"/>
      <c r="JH165" s="284"/>
      <c r="JI165" s="284"/>
      <c r="JJ165" s="284"/>
      <c r="JK165" s="284"/>
      <c r="JL165" s="284"/>
      <c r="JM165" s="284"/>
      <c r="JN165" s="284"/>
      <c r="JO165" s="284"/>
      <c r="JP165" s="284"/>
      <c r="JQ165" s="284"/>
      <c r="JR165" s="284"/>
      <c r="JS165" s="284"/>
      <c r="JT165" s="284"/>
      <c r="JU165" s="284"/>
      <c r="JV165" s="284"/>
      <c r="JW165" s="284"/>
      <c r="JX165" s="284"/>
      <c r="JY165" s="284"/>
      <c r="JZ165" s="284"/>
      <c r="KA165" s="284"/>
      <c r="KB165" s="284"/>
      <c r="KC165" s="284"/>
      <c r="KD165" s="284"/>
      <c r="KE165" s="284"/>
      <c r="KF165" s="284"/>
      <c r="KG165" s="284"/>
      <c r="KH165" s="284"/>
      <c r="KI165" s="284"/>
      <c r="KJ165" s="284"/>
      <c r="KK165" s="284"/>
      <c r="KL165" s="284"/>
      <c r="KM165" s="284"/>
      <c r="KN165" s="284"/>
      <c r="KO165" s="284"/>
      <c r="KP165" s="284"/>
      <c r="KQ165" s="284"/>
      <c r="KR165" s="284"/>
      <c r="KS165" s="284"/>
      <c r="KT165" s="284"/>
      <c r="KU165" s="288"/>
      <c r="KV165" s="288"/>
      <c r="KW165" s="288"/>
    </row>
    <row r="166" spans="1:964" s="1304" customFormat="1">
      <c r="A166" s="1891" t="s">
        <v>7569</v>
      </c>
      <c r="B166" s="1917" t="s">
        <v>7570</v>
      </c>
      <c r="C166" s="1356">
        <v>312240201</v>
      </c>
      <c r="D166" s="74"/>
      <c r="E166" s="1937" t="s">
        <v>7635</v>
      </c>
      <c r="F166" s="74"/>
      <c r="G166" s="75"/>
      <c r="H166" s="1939" t="s">
        <v>6806</v>
      </c>
      <c r="I166" s="944">
        <v>0</v>
      </c>
      <c r="J166" s="944"/>
      <c r="K166" s="288"/>
      <c r="L166" s="288"/>
      <c r="M166" s="288"/>
      <c r="N166" s="288"/>
      <c r="O166" s="285" t="s">
        <v>7260</v>
      </c>
      <c r="P166" s="284"/>
      <c r="Q166" s="284"/>
      <c r="R166" s="288">
        <v>39</v>
      </c>
      <c r="S166" s="288"/>
      <c r="T166" s="288"/>
      <c r="U166" s="288"/>
      <c r="V166" s="288"/>
      <c r="W166" s="288"/>
      <c r="X166" s="288"/>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c r="BA166" s="284"/>
      <c r="BB166" s="284"/>
      <c r="BC166" s="284"/>
      <c r="BD166" s="284"/>
      <c r="BE166" s="284"/>
      <c r="BF166" s="284"/>
      <c r="BG166" s="284"/>
      <c r="BH166" s="284"/>
      <c r="BI166" s="284"/>
      <c r="BJ166" s="284"/>
      <c r="BK166" s="284"/>
      <c r="BL166" s="284"/>
      <c r="BM166" s="284"/>
      <c r="BN166" s="284"/>
      <c r="BO166" s="284"/>
      <c r="BP166" s="284"/>
      <c r="BQ166" s="284"/>
      <c r="BR166" s="284"/>
      <c r="BS166" s="284"/>
      <c r="BT166" s="284"/>
      <c r="BU166" s="284"/>
      <c r="BV166" s="284"/>
      <c r="BW166" s="284"/>
      <c r="BX166" s="284"/>
      <c r="BY166" s="284"/>
      <c r="BZ166" s="284"/>
      <c r="CA166" s="284"/>
      <c r="CB166" s="284"/>
      <c r="CC166" s="284"/>
      <c r="CD166" s="284"/>
      <c r="CE166" s="284"/>
      <c r="CF166" s="284"/>
      <c r="CG166" s="284"/>
      <c r="CH166" s="284"/>
      <c r="CI166" s="284"/>
      <c r="CJ166" s="284"/>
      <c r="CK166" s="284"/>
      <c r="CL166" s="284"/>
      <c r="CM166" s="284"/>
      <c r="CN166" s="284"/>
      <c r="CO166" s="284"/>
      <c r="CP166" s="284"/>
      <c r="CQ166" s="284"/>
      <c r="CR166" s="284"/>
      <c r="CS166" s="284"/>
      <c r="CT166" s="284"/>
      <c r="CU166" s="284"/>
      <c r="CV166" s="284"/>
      <c r="CW166" s="284"/>
      <c r="CX166" s="284"/>
      <c r="CY166" s="284"/>
      <c r="CZ166" s="284"/>
      <c r="DA166" s="284"/>
      <c r="DB166" s="284"/>
      <c r="DC166" s="284"/>
      <c r="DD166" s="284"/>
      <c r="DE166" s="284"/>
      <c r="DF166" s="284"/>
      <c r="DG166" s="284"/>
      <c r="DH166" s="284"/>
      <c r="DI166" s="284"/>
      <c r="DJ166" s="284"/>
      <c r="DK166" s="284"/>
      <c r="DL166" s="284"/>
      <c r="DM166" s="284"/>
      <c r="DN166" s="284"/>
      <c r="DO166" s="284"/>
      <c r="DP166" s="284"/>
      <c r="DQ166" s="284"/>
      <c r="DR166" s="284"/>
      <c r="DS166" s="284"/>
      <c r="DT166" s="284"/>
      <c r="DU166" s="284"/>
      <c r="DV166" s="284"/>
      <c r="DW166" s="284"/>
      <c r="DX166" s="284"/>
      <c r="DY166" s="284"/>
      <c r="DZ166" s="284"/>
      <c r="EA166" s="284"/>
      <c r="EB166" s="284"/>
      <c r="EC166" s="284"/>
      <c r="ED166" s="284"/>
      <c r="EE166" s="284"/>
      <c r="EF166" s="284"/>
      <c r="EG166" s="284"/>
      <c r="EH166" s="284"/>
      <c r="EI166" s="284"/>
      <c r="EJ166" s="284"/>
      <c r="EK166" s="285"/>
      <c r="EL166" s="284"/>
      <c r="EM166" s="284"/>
      <c r="EN166" s="284"/>
      <c r="EO166" s="284"/>
      <c r="EP166" s="284"/>
      <c r="EQ166" s="284"/>
      <c r="ER166" s="284"/>
      <c r="ES166" s="284"/>
      <c r="ET166" s="284"/>
      <c r="EU166" s="284"/>
      <c r="EV166" s="284"/>
      <c r="EW166" s="284"/>
      <c r="EX166" s="284"/>
      <c r="EY166" s="284"/>
      <c r="EZ166" s="284"/>
      <c r="FA166" s="284"/>
      <c r="FB166" s="284"/>
      <c r="FC166" s="284"/>
      <c r="FD166" s="284"/>
      <c r="FE166" s="284"/>
      <c r="FF166" s="284"/>
      <c r="FG166" s="284"/>
      <c r="FH166" s="284"/>
      <c r="FI166" s="284"/>
      <c r="FJ166" s="284"/>
      <c r="FK166" s="284"/>
      <c r="FL166" s="284"/>
      <c r="FM166" s="284"/>
      <c r="FN166" s="284"/>
      <c r="FO166" s="284"/>
      <c r="FP166" s="284"/>
      <c r="FQ166" s="284"/>
      <c r="FR166" s="284"/>
      <c r="FS166" s="284"/>
      <c r="FT166" s="284"/>
      <c r="FU166" s="284"/>
      <c r="FV166" s="284"/>
      <c r="FW166" s="284"/>
      <c r="FX166" s="284"/>
      <c r="FY166" s="284"/>
      <c r="FZ166" s="284"/>
      <c r="GA166" s="284"/>
      <c r="GB166" s="284"/>
      <c r="GC166" s="284"/>
      <c r="GD166" s="284"/>
      <c r="GE166" s="284"/>
      <c r="GF166" s="284"/>
      <c r="GG166" s="284"/>
      <c r="GH166" s="284"/>
      <c r="GI166" s="284"/>
      <c r="GJ166" s="284"/>
      <c r="GK166" s="284"/>
      <c r="GL166" s="284"/>
      <c r="GM166" s="284"/>
      <c r="GN166" s="284"/>
      <c r="GO166" s="284"/>
      <c r="GP166" s="284"/>
      <c r="GQ166" s="284"/>
      <c r="GR166" s="284"/>
      <c r="GS166" s="284"/>
      <c r="GT166" s="284"/>
      <c r="GU166" s="284"/>
      <c r="GV166" s="284"/>
      <c r="GW166" s="284"/>
      <c r="GX166" s="284"/>
      <c r="GY166" s="284"/>
      <c r="GZ166" s="284"/>
      <c r="HA166" s="284"/>
      <c r="HB166" s="284"/>
      <c r="HC166" s="284"/>
      <c r="HD166" s="284"/>
      <c r="HE166" s="284"/>
      <c r="HF166" s="284"/>
      <c r="HG166" s="284"/>
      <c r="HH166" s="284"/>
      <c r="HI166" s="284"/>
      <c r="HJ166" s="284"/>
      <c r="HK166" s="284"/>
      <c r="HL166" s="284"/>
      <c r="HM166" s="284"/>
      <c r="HN166" s="284"/>
      <c r="HO166" s="284"/>
      <c r="HP166" s="284"/>
      <c r="HQ166" s="284"/>
      <c r="HR166" s="284"/>
      <c r="HS166" s="284"/>
      <c r="HT166" s="284"/>
      <c r="HU166" s="284"/>
      <c r="HV166" s="284"/>
      <c r="HW166" s="284"/>
      <c r="HX166" s="284"/>
      <c r="HY166" s="284"/>
      <c r="HZ166" s="284"/>
      <c r="IA166" s="284"/>
      <c r="IB166" s="284"/>
      <c r="IC166" s="284"/>
      <c r="ID166" s="284"/>
      <c r="IE166" s="284"/>
      <c r="IF166" s="284"/>
      <c r="IG166" s="284"/>
      <c r="IH166" s="284"/>
      <c r="II166" s="284"/>
      <c r="IJ166" s="284"/>
      <c r="IK166" s="284"/>
      <c r="IL166" s="284"/>
      <c r="IM166" s="284"/>
      <c r="IN166" s="284"/>
      <c r="IO166" s="284"/>
      <c r="IP166" s="284"/>
      <c r="IQ166" s="284"/>
      <c r="IR166" s="284"/>
      <c r="IS166" s="284"/>
      <c r="IT166" s="284"/>
      <c r="IU166" s="284"/>
      <c r="IV166" s="284"/>
      <c r="IW166" s="284"/>
      <c r="IX166" s="284"/>
      <c r="IY166" s="284"/>
      <c r="IZ166" s="284"/>
      <c r="JA166" s="284"/>
      <c r="JB166" s="284"/>
      <c r="JC166" s="284"/>
      <c r="JD166" s="284"/>
      <c r="JE166" s="284"/>
      <c r="JF166" s="284"/>
      <c r="JG166" s="284"/>
      <c r="JH166" s="284"/>
      <c r="JI166" s="284"/>
      <c r="JJ166" s="284"/>
      <c r="JK166" s="284"/>
      <c r="JL166" s="284"/>
      <c r="JM166" s="284"/>
      <c r="JN166" s="284"/>
      <c r="JO166" s="284"/>
      <c r="JP166" s="284"/>
      <c r="JQ166" s="284"/>
      <c r="JR166" s="284"/>
      <c r="JS166" s="284"/>
      <c r="JT166" s="284"/>
      <c r="JU166" s="284"/>
      <c r="JV166" s="284"/>
      <c r="JW166" s="284"/>
      <c r="JX166" s="284"/>
      <c r="JY166" s="284"/>
      <c r="JZ166" s="284"/>
      <c r="KA166" s="284"/>
      <c r="KB166" s="284"/>
      <c r="KC166" s="284"/>
      <c r="KD166" s="284"/>
      <c r="KE166" s="284"/>
      <c r="KF166" s="284"/>
      <c r="KG166" s="284"/>
      <c r="KH166" s="284"/>
      <c r="KI166" s="284"/>
      <c r="KJ166" s="284"/>
      <c r="KK166" s="284"/>
      <c r="KL166" s="284"/>
      <c r="KM166" s="284"/>
      <c r="KN166" s="284"/>
      <c r="KO166" s="284"/>
      <c r="KP166" s="284"/>
      <c r="KQ166" s="284"/>
      <c r="KR166" s="284"/>
      <c r="KS166" s="284"/>
      <c r="KT166" s="284"/>
      <c r="KU166" s="288"/>
      <c r="KV166" s="288"/>
      <c r="KW166" s="288"/>
    </row>
    <row r="167" spans="1:964" s="1304" customFormat="1">
      <c r="A167" s="1891" t="s">
        <v>7569</v>
      </c>
      <c r="B167" s="1917" t="s">
        <v>7571</v>
      </c>
      <c r="C167" s="1929">
        <v>312228088</v>
      </c>
      <c r="D167" s="74"/>
      <c r="E167" s="1865"/>
      <c r="F167" s="74">
        <v>0</v>
      </c>
      <c r="G167" s="75"/>
      <c r="H167" s="1939" t="s">
        <v>6806</v>
      </c>
      <c r="I167" s="944">
        <f>102+23-3.5-121</f>
        <v>0.5</v>
      </c>
      <c r="J167" s="944"/>
      <c r="K167" s="288"/>
      <c r="L167" s="288"/>
      <c r="M167" s="288"/>
      <c r="N167" s="288"/>
      <c r="O167" s="285" t="s">
        <v>7260</v>
      </c>
      <c r="P167" s="284"/>
      <c r="Q167" s="284"/>
      <c r="R167" s="288"/>
      <c r="S167" s="288"/>
      <c r="T167" s="288"/>
      <c r="U167" s="288"/>
      <c r="V167" s="288"/>
      <c r="W167" s="288"/>
      <c r="X167" s="288"/>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c r="BA167" s="284"/>
      <c r="BB167" s="284"/>
      <c r="BC167" s="284"/>
      <c r="BD167" s="284"/>
      <c r="BE167" s="284"/>
      <c r="BF167" s="284"/>
      <c r="BG167" s="284"/>
      <c r="BH167" s="284"/>
      <c r="BI167" s="284"/>
      <c r="BJ167" s="284"/>
      <c r="BK167" s="284"/>
      <c r="BL167" s="284"/>
      <c r="BM167" s="284"/>
      <c r="BN167" s="284"/>
      <c r="BO167" s="284"/>
      <c r="BP167" s="284"/>
      <c r="BQ167" s="284"/>
      <c r="BR167" s="284"/>
      <c r="BS167" s="284"/>
      <c r="BT167" s="284"/>
      <c r="BU167" s="284"/>
      <c r="BV167" s="284"/>
      <c r="BW167" s="284"/>
      <c r="BX167" s="284"/>
      <c r="BY167" s="284"/>
      <c r="BZ167" s="284"/>
      <c r="CA167" s="284"/>
      <c r="CB167" s="284"/>
      <c r="CC167" s="284"/>
      <c r="CD167" s="284"/>
      <c r="CE167" s="284"/>
      <c r="CF167" s="284"/>
      <c r="CG167" s="284"/>
      <c r="CH167" s="284"/>
      <c r="CI167" s="284"/>
      <c r="CJ167" s="284"/>
      <c r="CK167" s="284"/>
      <c r="CL167" s="284"/>
      <c r="CM167" s="284"/>
      <c r="CN167" s="284"/>
      <c r="CO167" s="284"/>
      <c r="CP167" s="284"/>
      <c r="CQ167" s="284"/>
      <c r="CR167" s="284"/>
      <c r="CS167" s="284"/>
      <c r="CT167" s="284"/>
      <c r="CU167" s="284"/>
      <c r="CV167" s="284"/>
      <c r="CW167" s="284"/>
      <c r="CX167" s="284"/>
      <c r="CY167" s="284"/>
      <c r="CZ167" s="284"/>
      <c r="DA167" s="284"/>
      <c r="DB167" s="284"/>
      <c r="DC167" s="284"/>
      <c r="DD167" s="284"/>
      <c r="DE167" s="284"/>
      <c r="DF167" s="284"/>
      <c r="DG167" s="284"/>
      <c r="DH167" s="284"/>
      <c r="DI167" s="284"/>
      <c r="DJ167" s="284"/>
      <c r="DK167" s="284"/>
      <c r="DL167" s="284"/>
      <c r="DM167" s="284"/>
      <c r="DN167" s="284"/>
      <c r="DO167" s="284"/>
      <c r="DP167" s="284"/>
      <c r="DQ167" s="284"/>
      <c r="DR167" s="284"/>
      <c r="DS167" s="284"/>
      <c r="DT167" s="284"/>
      <c r="DU167" s="284"/>
      <c r="DV167" s="284"/>
      <c r="DW167" s="284"/>
      <c r="DX167" s="284"/>
      <c r="DY167" s="284"/>
      <c r="DZ167" s="284"/>
      <c r="EA167" s="284"/>
      <c r="EB167" s="284"/>
      <c r="EC167" s="284"/>
      <c r="ED167" s="284"/>
      <c r="EE167" s="284"/>
      <c r="EF167" s="284"/>
      <c r="EG167" s="284"/>
      <c r="EH167" s="284"/>
      <c r="EI167" s="284"/>
      <c r="EJ167" s="284"/>
      <c r="EK167" s="285"/>
      <c r="EL167" s="284"/>
      <c r="EM167" s="284"/>
      <c r="EN167" s="284"/>
      <c r="EO167" s="284"/>
      <c r="EP167" s="284"/>
      <c r="EQ167" s="284"/>
      <c r="ER167" s="284"/>
      <c r="ES167" s="284"/>
      <c r="ET167" s="284"/>
      <c r="EU167" s="284"/>
      <c r="EV167" s="284"/>
      <c r="EW167" s="284"/>
      <c r="EX167" s="284"/>
      <c r="EY167" s="284"/>
      <c r="EZ167" s="284"/>
      <c r="FA167" s="284"/>
      <c r="FB167" s="284"/>
      <c r="FC167" s="284"/>
      <c r="FD167" s="284"/>
      <c r="FE167" s="284"/>
      <c r="FF167" s="284"/>
      <c r="FG167" s="284"/>
      <c r="FH167" s="284"/>
      <c r="FI167" s="284"/>
      <c r="FJ167" s="284"/>
      <c r="FK167" s="284"/>
      <c r="FL167" s="284"/>
      <c r="FM167" s="284"/>
      <c r="FN167" s="284"/>
      <c r="FO167" s="284"/>
      <c r="FP167" s="284"/>
      <c r="FQ167" s="284"/>
      <c r="FR167" s="284"/>
      <c r="FS167" s="284"/>
      <c r="FT167" s="284"/>
      <c r="FU167" s="284"/>
      <c r="FV167" s="284"/>
      <c r="FW167" s="284"/>
      <c r="FX167" s="284"/>
      <c r="FY167" s="284"/>
      <c r="FZ167" s="284"/>
      <c r="GA167" s="284"/>
      <c r="GB167" s="284"/>
      <c r="GC167" s="284"/>
      <c r="GD167" s="284"/>
      <c r="GE167" s="284"/>
      <c r="GF167" s="284"/>
      <c r="GG167" s="284"/>
      <c r="GH167" s="284"/>
      <c r="GI167" s="284"/>
      <c r="GJ167" s="284"/>
      <c r="GK167" s="284"/>
      <c r="GL167" s="284"/>
      <c r="GM167" s="284"/>
      <c r="GN167" s="284"/>
      <c r="GO167" s="284"/>
      <c r="GP167" s="284"/>
      <c r="GQ167" s="284"/>
      <c r="GR167" s="284"/>
      <c r="GS167" s="284"/>
      <c r="GT167" s="284"/>
      <c r="GU167" s="284"/>
      <c r="GV167" s="284"/>
      <c r="GW167" s="284"/>
      <c r="GX167" s="284"/>
      <c r="GY167" s="284"/>
      <c r="GZ167" s="284"/>
      <c r="HA167" s="284"/>
      <c r="HB167" s="284"/>
      <c r="HC167" s="284"/>
      <c r="HD167" s="284"/>
      <c r="HE167" s="284"/>
      <c r="HF167" s="284"/>
      <c r="HG167" s="284"/>
      <c r="HH167" s="284"/>
      <c r="HI167" s="284"/>
      <c r="HJ167" s="284"/>
      <c r="HK167" s="284"/>
      <c r="HL167" s="284"/>
      <c r="HM167" s="284"/>
      <c r="HN167" s="284"/>
      <c r="HO167" s="284"/>
      <c r="HP167" s="284"/>
      <c r="HQ167" s="284"/>
      <c r="HR167" s="284"/>
      <c r="HS167" s="284"/>
      <c r="HT167" s="284"/>
      <c r="HU167" s="284"/>
      <c r="HV167" s="284"/>
      <c r="HW167" s="284"/>
      <c r="HX167" s="284"/>
      <c r="HY167" s="284"/>
      <c r="HZ167" s="284"/>
      <c r="IA167" s="284"/>
      <c r="IB167" s="284"/>
      <c r="IC167" s="284"/>
      <c r="ID167" s="284"/>
      <c r="IE167" s="284"/>
      <c r="IF167" s="284"/>
      <c r="IG167" s="284"/>
      <c r="IH167" s="284"/>
      <c r="II167" s="284"/>
      <c r="IJ167" s="284"/>
      <c r="IK167" s="284"/>
      <c r="IL167" s="284"/>
      <c r="IM167" s="284"/>
      <c r="IN167" s="284"/>
      <c r="IO167" s="284"/>
      <c r="IP167" s="284"/>
      <c r="IQ167" s="284"/>
      <c r="IR167" s="284"/>
      <c r="IS167" s="284"/>
      <c r="IT167" s="284"/>
      <c r="IU167" s="284"/>
      <c r="IV167" s="284"/>
      <c r="IW167" s="284"/>
      <c r="IX167" s="284"/>
      <c r="IY167" s="284"/>
      <c r="IZ167" s="284"/>
      <c r="JA167" s="284"/>
      <c r="JB167" s="284"/>
      <c r="JC167" s="284"/>
      <c r="JD167" s="284"/>
      <c r="JE167" s="284"/>
      <c r="JF167" s="284"/>
      <c r="JG167" s="284"/>
      <c r="JH167" s="284"/>
      <c r="JI167" s="284"/>
      <c r="JJ167" s="284"/>
      <c r="JK167" s="284"/>
      <c r="JL167" s="284"/>
      <c r="JM167" s="284"/>
      <c r="JN167" s="284"/>
      <c r="JO167" s="284"/>
      <c r="JP167" s="284"/>
      <c r="JQ167" s="284"/>
      <c r="JR167" s="284"/>
      <c r="JS167" s="284"/>
      <c r="JT167" s="284"/>
      <c r="JU167" s="284"/>
      <c r="JV167" s="284"/>
      <c r="JW167" s="284"/>
      <c r="JX167" s="284"/>
      <c r="JY167" s="284"/>
      <c r="JZ167" s="284"/>
      <c r="KA167" s="284"/>
      <c r="KB167" s="284"/>
      <c r="KC167" s="284"/>
      <c r="KD167" s="284"/>
      <c r="KE167" s="284"/>
      <c r="KF167" s="284"/>
      <c r="KG167" s="284"/>
      <c r="KH167" s="284"/>
      <c r="KI167" s="284"/>
      <c r="KJ167" s="284"/>
      <c r="KK167" s="284"/>
      <c r="KL167" s="284"/>
      <c r="KM167" s="284"/>
      <c r="KN167" s="284"/>
      <c r="KO167" s="284"/>
      <c r="KP167" s="284"/>
      <c r="KQ167" s="284"/>
      <c r="KR167" s="284"/>
      <c r="KS167" s="284"/>
      <c r="KT167" s="284"/>
      <c r="KU167" s="288"/>
      <c r="KV167" s="288"/>
      <c r="KW167" s="288"/>
    </row>
    <row r="168" spans="1:964" s="1304" customFormat="1">
      <c r="A168" s="1891" t="s">
        <v>7569</v>
      </c>
      <c r="B168" s="1913" t="s">
        <v>7572</v>
      </c>
      <c r="C168" s="1912">
        <v>312244235</v>
      </c>
      <c r="D168" s="74"/>
      <c r="E168" s="1927"/>
      <c r="F168" s="74">
        <v>0</v>
      </c>
      <c r="G168" s="2517"/>
      <c r="H168" s="1939" t="s">
        <v>6806</v>
      </c>
      <c r="I168" s="944">
        <f>95-94.9</f>
        <v>9.9999999999994316E-2</v>
      </c>
      <c r="J168" s="944"/>
      <c r="K168" s="288"/>
      <c r="L168" s="288"/>
      <c r="M168" s="288"/>
      <c r="N168" s="288"/>
      <c r="O168" s="285" t="s">
        <v>7260</v>
      </c>
      <c r="P168" s="284"/>
      <c r="Q168" s="284"/>
      <c r="R168" s="288"/>
      <c r="S168" s="288"/>
      <c r="T168" s="288"/>
      <c r="U168" s="288"/>
      <c r="V168" s="288"/>
      <c r="W168" s="288"/>
      <c r="X168" s="288"/>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c r="BA168" s="284"/>
      <c r="BB168" s="284"/>
      <c r="BC168" s="284"/>
      <c r="BD168" s="284"/>
      <c r="BE168" s="284"/>
      <c r="BF168" s="284"/>
      <c r="BG168" s="284"/>
      <c r="BH168" s="284"/>
      <c r="BI168" s="284"/>
      <c r="BJ168" s="284"/>
      <c r="BK168" s="284"/>
      <c r="BL168" s="284"/>
      <c r="BM168" s="284"/>
      <c r="BN168" s="284"/>
      <c r="BO168" s="284"/>
      <c r="BP168" s="284"/>
      <c r="BQ168" s="284"/>
      <c r="BR168" s="284"/>
      <c r="BS168" s="284"/>
      <c r="BT168" s="284"/>
      <c r="BU168" s="284"/>
      <c r="BV168" s="284"/>
      <c r="BW168" s="284"/>
      <c r="BX168" s="284"/>
      <c r="BY168" s="284"/>
      <c r="BZ168" s="284"/>
      <c r="CA168" s="284"/>
      <c r="CB168" s="284"/>
      <c r="CC168" s="284"/>
      <c r="CD168" s="284"/>
      <c r="CE168" s="284"/>
      <c r="CF168" s="284"/>
      <c r="CG168" s="284"/>
      <c r="CH168" s="284"/>
      <c r="CI168" s="284"/>
      <c r="CJ168" s="284"/>
      <c r="CK168" s="284"/>
      <c r="CL168" s="284"/>
      <c r="CM168" s="284"/>
      <c r="CN168" s="284"/>
      <c r="CO168" s="284"/>
      <c r="CP168" s="284"/>
      <c r="CQ168" s="284"/>
      <c r="CR168" s="284"/>
      <c r="CS168" s="284"/>
      <c r="CT168" s="284"/>
      <c r="CU168" s="284"/>
      <c r="CV168" s="284"/>
      <c r="CW168" s="284"/>
      <c r="CX168" s="284"/>
      <c r="CY168" s="284"/>
      <c r="CZ168" s="284"/>
      <c r="DA168" s="284"/>
      <c r="DB168" s="284"/>
      <c r="DC168" s="284"/>
      <c r="DD168" s="284"/>
      <c r="DE168" s="284"/>
      <c r="DF168" s="284"/>
      <c r="DG168" s="284"/>
      <c r="DH168" s="284"/>
      <c r="DI168" s="284"/>
      <c r="DJ168" s="284"/>
      <c r="DK168" s="284"/>
      <c r="DL168" s="284"/>
      <c r="DM168" s="284"/>
      <c r="DN168" s="284"/>
      <c r="DO168" s="284"/>
      <c r="DP168" s="284"/>
      <c r="DQ168" s="284"/>
      <c r="DR168" s="284"/>
      <c r="DS168" s="284"/>
      <c r="DT168" s="284"/>
      <c r="DU168" s="284"/>
      <c r="DV168" s="284"/>
      <c r="DW168" s="284"/>
      <c r="DX168" s="284"/>
      <c r="DY168" s="284"/>
      <c r="DZ168" s="284"/>
      <c r="EA168" s="284"/>
      <c r="EB168" s="284"/>
      <c r="EC168" s="284"/>
      <c r="ED168" s="284"/>
      <c r="EE168" s="284"/>
      <c r="EF168" s="284"/>
      <c r="EG168" s="284"/>
      <c r="EH168" s="284"/>
      <c r="EI168" s="284"/>
      <c r="EJ168" s="284"/>
      <c r="EK168" s="285"/>
      <c r="EL168" s="284"/>
      <c r="EM168" s="284"/>
      <c r="EN168" s="284"/>
      <c r="EO168" s="284"/>
      <c r="EP168" s="284"/>
      <c r="EQ168" s="284"/>
      <c r="ER168" s="284"/>
      <c r="ES168" s="284"/>
      <c r="ET168" s="284"/>
      <c r="EU168" s="284"/>
      <c r="EV168" s="284"/>
      <c r="EW168" s="284"/>
      <c r="EX168" s="284"/>
      <c r="EY168" s="284"/>
      <c r="EZ168" s="284"/>
      <c r="FA168" s="284"/>
      <c r="FB168" s="284"/>
      <c r="FC168" s="284"/>
      <c r="FD168" s="284"/>
      <c r="FE168" s="284"/>
      <c r="FF168" s="284"/>
      <c r="FG168" s="284"/>
      <c r="FH168" s="284"/>
      <c r="FI168" s="284"/>
      <c r="FJ168" s="284"/>
      <c r="FK168" s="284"/>
      <c r="FL168" s="284"/>
      <c r="FM168" s="284"/>
      <c r="FN168" s="284"/>
      <c r="FO168" s="284"/>
      <c r="FP168" s="284"/>
      <c r="FQ168" s="284"/>
      <c r="FR168" s="284"/>
      <c r="FS168" s="284"/>
      <c r="FT168" s="284"/>
      <c r="FU168" s="284"/>
      <c r="FV168" s="284"/>
      <c r="FW168" s="284"/>
      <c r="FX168" s="284"/>
      <c r="FY168" s="284"/>
      <c r="FZ168" s="284"/>
      <c r="GA168" s="284"/>
      <c r="GB168" s="284"/>
      <c r="GC168" s="284"/>
      <c r="GD168" s="284"/>
      <c r="GE168" s="284"/>
      <c r="GF168" s="284"/>
      <c r="GG168" s="284"/>
      <c r="GH168" s="284"/>
      <c r="GI168" s="284"/>
      <c r="GJ168" s="284"/>
      <c r="GK168" s="284"/>
      <c r="GL168" s="284"/>
      <c r="GM168" s="284"/>
      <c r="GN168" s="284"/>
      <c r="GO168" s="284"/>
      <c r="GP168" s="284"/>
      <c r="GQ168" s="284"/>
      <c r="GR168" s="284"/>
      <c r="GS168" s="284"/>
      <c r="GT168" s="284"/>
      <c r="GU168" s="284"/>
      <c r="GV168" s="284"/>
      <c r="GW168" s="284"/>
      <c r="GX168" s="284"/>
      <c r="GY168" s="284"/>
      <c r="GZ168" s="284"/>
      <c r="HA168" s="284"/>
      <c r="HB168" s="284"/>
      <c r="HC168" s="284"/>
      <c r="HD168" s="284"/>
      <c r="HE168" s="284"/>
      <c r="HF168" s="284"/>
      <c r="HG168" s="284"/>
      <c r="HH168" s="284"/>
      <c r="HI168" s="284"/>
      <c r="HJ168" s="284"/>
      <c r="HK168" s="284"/>
      <c r="HL168" s="284"/>
      <c r="HM168" s="284"/>
      <c r="HN168" s="284"/>
      <c r="HO168" s="284"/>
      <c r="HP168" s="284"/>
      <c r="HQ168" s="284"/>
      <c r="HR168" s="284"/>
      <c r="HS168" s="284"/>
      <c r="HT168" s="284"/>
      <c r="HU168" s="284"/>
      <c r="HV168" s="284"/>
      <c r="HW168" s="284"/>
      <c r="HX168" s="284"/>
      <c r="HY168" s="284"/>
      <c r="HZ168" s="284"/>
      <c r="IA168" s="284"/>
      <c r="IB168" s="284"/>
      <c r="IC168" s="284"/>
      <c r="ID168" s="284"/>
      <c r="IE168" s="284"/>
      <c r="IF168" s="284"/>
      <c r="IG168" s="284"/>
      <c r="IH168" s="284"/>
      <c r="II168" s="284"/>
      <c r="IJ168" s="284"/>
      <c r="IK168" s="284"/>
      <c r="IL168" s="284"/>
      <c r="IM168" s="284"/>
      <c r="IN168" s="284"/>
      <c r="IO168" s="284"/>
      <c r="IP168" s="284"/>
      <c r="IQ168" s="284"/>
      <c r="IR168" s="284"/>
      <c r="IS168" s="284"/>
      <c r="IT168" s="284"/>
      <c r="IU168" s="284"/>
      <c r="IV168" s="284"/>
      <c r="IW168" s="284"/>
      <c r="IX168" s="284"/>
      <c r="IY168" s="284"/>
      <c r="IZ168" s="284"/>
      <c r="JA168" s="284"/>
      <c r="JB168" s="284"/>
      <c r="JC168" s="284"/>
      <c r="JD168" s="284"/>
      <c r="JE168" s="284"/>
      <c r="JF168" s="284"/>
      <c r="JG168" s="284"/>
      <c r="JH168" s="284"/>
      <c r="JI168" s="284"/>
      <c r="JJ168" s="284"/>
      <c r="JK168" s="284"/>
      <c r="JL168" s="284"/>
      <c r="JM168" s="284"/>
      <c r="JN168" s="284"/>
      <c r="JO168" s="284"/>
      <c r="JP168" s="284"/>
      <c r="JQ168" s="284"/>
      <c r="JR168" s="284"/>
      <c r="JS168" s="284"/>
      <c r="JT168" s="284"/>
      <c r="JU168" s="284"/>
      <c r="JV168" s="284"/>
      <c r="JW168" s="284"/>
      <c r="JX168" s="284"/>
      <c r="JY168" s="284"/>
      <c r="JZ168" s="284"/>
      <c r="KA168" s="284"/>
      <c r="KB168" s="284"/>
      <c r="KC168" s="284"/>
      <c r="KD168" s="284"/>
      <c r="KE168" s="284"/>
      <c r="KF168" s="284"/>
      <c r="KG168" s="284"/>
      <c r="KH168" s="284"/>
      <c r="KI168" s="284"/>
      <c r="KJ168" s="284"/>
      <c r="KK168" s="284"/>
      <c r="KL168" s="284"/>
      <c r="KM168" s="284"/>
      <c r="KN168" s="284"/>
      <c r="KO168" s="284"/>
      <c r="KP168" s="284"/>
      <c r="KQ168" s="284"/>
      <c r="KR168" s="284"/>
      <c r="KS168" s="284"/>
      <c r="KT168" s="284"/>
      <c r="KU168" s="288"/>
      <c r="KV168" s="288"/>
      <c r="KW168" s="288"/>
    </row>
    <row r="169" spans="1:964" s="1304" customFormat="1">
      <c r="A169" s="1891" t="s">
        <v>7596</v>
      </c>
      <c r="B169" s="1885" t="s">
        <v>7595</v>
      </c>
      <c r="C169" s="1602">
        <v>312267959</v>
      </c>
      <c r="D169" s="74"/>
      <c r="E169" s="1910" t="s">
        <v>7639</v>
      </c>
      <c r="F169" s="74">
        <v>0</v>
      </c>
      <c r="G169" s="2518"/>
      <c r="H169" s="1939" t="s">
        <v>6806</v>
      </c>
      <c r="I169" s="944">
        <f>0.3+4+17.48+20+16.85+20-78.6</f>
        <v>3.0000000000001137E-2</v>
      </c>
      <c r="J169" s="944"/>
      <c r="K169" s="288"/>
      <c r="L169" s="288"/>
      <c r="M169" s="288"/>
      <c r="N169" s="288"/>
      <c r="O169" s="285" t="s">
        <v>7260</v>
      </c>
      <c r="P169" s="284"/>
      <c r="Q169" s="284"/>
      <c r="R169" s="288"/>
      <c r="S169" s="288"/>
      <c r="T169" s="288"/>
      <c r="U169" s="288"/>
      <c r="V169" s="288"/>
      <c r="W169" s="288">
        <v>53.45</v>
      </c>
      <c r="X169" s="288"/>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c r="BA169" s="284"/>
      <c r="BB169" s="284"/>
      <c r="BC169" s="284"/>
      <c r="BD169" s="284"/>
      <c r="BE169" s="284"/>
      <c r="BF169" s="284"/>
      <c r="BG169" s="284"/>
      <c r="BH169" s="284"/>
      <c r="BI169" s="284"/>
      <c r="BJ169" s="284"/>
      <c r="BK169" s="284"/>
      <c r="BL169" s="284"/>
      <c r="BM169" s="284"/>
      <c r="BN169" s="284"/>
      <c r="BO169" s="284"/>
      <c r="BP169" s="284"/>
      <c r="BQ169" s="284"/>
      <c r="BR169" s="284"/>
      <c r="BS169" s="284"/>
      <c r="BT169" s="284"/>
      <c r="BU169" s="284"/>
      <c r="BV169" s="284"/>
      <c r="BW169" s="284"/>
      <c r="BX169" s="284"/>
      <c r="BY169" s="284"/>
      <c r="BZ169" s="284"/>
      <c r="CA169" s="284"/>
      <c r="CB169" s="284"/>
      <c r="CC169" s="284"/>
      <c r="CD169" s="284"/>
      <c r="CE169" s="284"/>
      <c r="CF169" s="284"/>
      <c r="CG169" s="284"/>
      <c r="CH169" s="284"/>
      <c r="CI169" s="284"/>
      <c r="CJ169" s="284"/>
      <c r="CK169" s="284"/>
      <c r="CL169" s="284"/>
      <c r="CM169" s="284"/>
      <c r="CN169" s="284"/>
      <c r="CO169" s="284"/>
      <c r="CP169" s="284"/>
      <c r="CQ169" s="284"/>
      <c r="CR169" s="284"/>
      <c r="CS169" s="284"/>
      <c r="CT169" s="284"/>
      <c r="CU169" s="284"/>
      <c r="CV169" s="284"/>
      <c r="CW169" s="284"/>
      <c r="CX169" s="284"/>
      <c r="CY169" s="284"/>
      <c r="CZ169" s="284"/>
      <c r="DA169" s="284"/>
      <c r="DB169" s="284"/>
      <c r="DC169" s="284"/>
      <c r="DD169" s="284"/>
      <c r="DE169" s="284"/>
      <c r="DF169" s="284"/>
      <c r="DG169" s="284"/>
      <c r="DH169" s="284"/>
      <c r="DI169" s="284"/>
      <c r="DJ169" s="284"/>
      <c r="DK169" s="284"/>
      <c r="DL169" s="284"/>
      <c r="DM169" s="284"/>
      <c r="DN169" s="284"/>
      <c r="DO169" s="284"/>
      <c r="DP169" s="284"/>
      <c r="DQ169" s="284"/>
      <c r="DR169" s="284"/>
      <c r="DS169" s="284"/>
      <c r="DT169" s="284"/>
      <c r="DU169" s="284"/>
      <c r="DV169" s="284"/>
      <c r="DW169" s="284"/>
      <c r="DX169" s="284"/>
      <c r="DY169" s="284"/>
      <c r="DZ169" s="284"/>
      <c r="EA169" s="284"/>
      <c r="EB169" s="284"/>
      <c r="EC169" s="284"/>
      <c r="ED169" s="284"/>
      <c r="EE169" s="284"/>
      <c r="EF169" s="284"/>
      <c r="EG169" s="284"/>
      <c r="EH169" s="284"/>
      <c r="EI169" s="284"/>
      <c r="EJ169" s="284"/>
      <c r="EK169" s="285"/>
      <c r="EL169" s="284"/>
      <c r="EM169" s="284"/>
      <c r="EN169" s="284"/>
      <c r="EO169" s="284"/>
      <c r="EP169" s="284"/>
      <c r="EQ169" s="284"/>
      <c r="ER169" s="284"/>
      <c r="ES169" s="284"/>
      <c r="ET169" s="284"/>
      <c r="EU169" s="284"/>
      <c r="EV169" s="284"/>
      <c r="EW169" s="284"/>
      <c r="EX169" s="284"/>
      <c r="EY169" s="284"/>
      <c r="EZ169" s="284"/>
      <c r="FA169" s="284"/>
      <c r="FB169" s="284"/>
      <c r="FC169" s="284"/>
      <c r="FD169" s="284"/>
      <c r="FE169" s="284"/>
      <c r="FF169" s="284"/>
      <c r="FG169" s="284"/>
      <c r="FH169" s="284"/>
      <c r="FI169" s="284"/>
      <c r="FJ169" s="284"/>
      <c r="FK169" s="284"/>
      <c r="FL169" s="284"/>
      <c r="FM169" s="284"/>
      <c r="FN169" s="284"/>
      <c r="FO169" s="284"/>
      <c r="FP169" s="284"/>
      <c r="FQ169" s="284"/>
      <c r="FR169" s="284"/>
      <c r="FS169" s="284"/>
      <c r="FT169" s="284"/>
      <c r="FU169" s="284"/>
      <c r="FV169" s="284"/>
      <c r="FW169" s="284"/>
      <c r="FX169" s="284"/>
      <c r="FY169" s="284"/>
      <c r="FZ169" s="284"/>
      <c r="GA169" s="284"/>
      <c r="GB169" s="284"/>
      <c r="GC169" s="284"/>
      <c r="GD169" s="284"/>
      <c r="GE169" s="284"/>
      <c r="GF169" s="284"/>
      <c r="GG169" s="284"/>
      <c r="GH169" s="284"/>
      <c r="GI169" s="284"/>
      <c r="GJ169" s="284"/>
      <c r="GK169" s="284"/>
      <c r="GL169" s="284"/>
      <c r="GM169" s="284"/>
      <c r="GN169" s="284"/>
      <c r="GO169" s="284"/>
      <c r="GP169" s="284"/>
      <c r="GQ169" s="284"/>
      <c r="GR169" s="284"/>
      <c r="GS169" s="284"/>
      <c r="GT169" s="284"/>
      <c r="GU169" s="284"/>
      <c r="GV169" s="284"/>
      <c r="GW169" s="284"/>
      <c r="GX169" s="284"/>
      <c r="GY169" s="284"/>
      <c r="GZ169" s="284"/>
      <c r="HA169" s="284"/>
      <c r="HB169" s="284"/>
      <c r="HC169" s="284"/>
      <c r="HD169" s="284"/>
      <c r="HE169" s="284"/>
      <c r="HF169" s="284"/>
      <c r="HG169" s="284"/>
      <c r="HH169" s="284"/>
      <c r="HI169" s="284"/>
      <c r="HJ169" s="284"/>
      <c r="HK169" s="284"/>
      <c r="HL169" s="284"/>
      <c r="HM169" s="284"/>
      <c r="HN169" s="284"/>
      <c r="HO169" s="284"/>
      <c r="HP169" s="284"/>
      <c r="HQ169" s="284"/>
      <c r="HR169" s="284"/>
      <c r="HS169" s="284"/>
      <c r="HT169" s="284"/>
      <c r="HU169" s="284"/>
      <c r="HV169" s="284"/>
      <c r="HW169" s="284"/>
      <c r="HX169" s="284"/>
      <c r="HY169" s="284"/>
      <c r="HZ169" s="284"/>
      <c r="IA169" s="284"/>
      <c r="IB169" s="284"/>
      <c r="IC169" s="284"/>
      <c r="ID169" s="284"/>
      <c r="IE169" s="284"/>
      <c r="IF169" s="284"/>
      <c r="IG169" s="284"/>
      <c r="IH169" s="284"/>
      <c r="II169" s="284"/>
      <c r="IJ169" s="284"/>
      <c r="IK169" s="284"/>
      <c r="IL169" s="284"/>
      <c r="IM169" s="284"/>
      <c r="IN169" s="284"/>
      <c r="IO169" s="284"/>
      <c r="IP169" s="284"/>
      <c r="IQ169" s="284"/>
      <c r="IR169" s="284"/>
      <c r="IS169" s="284"/>
      <c r="IT169" s="284"/>
      <c r="IU169" s="284"/>
      <c r="IV169" s="284"/>
      <c r="IW169" s="284"/>
      <c r="IX169" s="284"/>
      <c r="IY169" s="284"/>
      <c r="IZ169" s="284"/>
      <c r="JA169" s="284"/>
      <c r="JB169" s="284"/>
      <c r="JC169" s="284"/>
      <c r="JD169" s="284"/>
      <c r="JE169" s="284"/>
      <c r="JF169" s="284"/>
      <c r="JG169" s="284"/>
      <c r="JH169" s="284"/>
      <c r="JI169" s="284"/>
      <c r="JJ169" s="284"/>
      <c r="JK169" s="284"/>
      <c r="JL169" s="284"/>
      <c r="JM169" s="284"/>
      <c r="JN169" s="284"/>
      <c r="JO169" s="284"/>
      <c r="JP169" s="284"/>
      <c r="JQ169" s="284"/>
      <c r="JR169" s="284"/>
      <c r="JS169" s="284"/>
      <c r="JT169" s="284"/>
      <c r="JU169" s="284"/>
      <c r="JV169" s="284"/>
      <c r="JW169" s="284"/>
      <c r="JX169" s="284"/>
      <c r="JY169" s="284"/>
      <c r="JZ169" s="284"/>
      <c r="KA169" s="284"/>
      <c r="KB169" s="284"/>
      <c r="KC169" s="284"/>
      <c r="KD169" s="284"/>
      <c r="KE169" s="284"/>
      <c r="KF169" s="284"/>
      <c r="KG169" s="284"/>
      <c r="KH169" s="284"/>
      <c r="KI169" s="284"/>
      <c r="KJ169" s="284"/>
      <c r="KK169" s="284"/>
      <c r="KL169" s="284"/>
      <c r="KM169" s="284"/>
      <c r="KN169" s="284"/>
      <c r="KO169" s="284"/>
      <c r="KP169" s="284"/>
      <c r="KQ169" s="284"/>
      <c r="KR169" s="284"/>
      <c r="KS169" s="284"/>
      <c r="KT169" s="284"/>
      <c r="KU169" s="288"/>
      <c r="KV169" s="288"/>
      <c r="KW169" s="288"/>
    </row>
    <row r="170" spans="1:964" s="1304" customFormat="1">
      <c r="A170" s="1910" t="s">
        <v>7633</v>
      </c>
      <c r="B170" s="1931" t="s">
        <v>7628</v>
      </c>
      <c r="C170" s="1912">
        <v>312274665</v>
      </c>
      <c r="D170" s="74"/>
      <c r="E170" s="1938" t="s">
        <v>7608</v>
      </c>
      <c r="F170" s="74"/>
      <c r="G170" s="75"/>
      <c r="H170" s="1939" t="s">
        <v>6806</v>
      </c>
      <c r="I170" s="944">
        <f>5-2.5+100+50+30+35+70-287</f>
        <v>0.5</v>
      </c>
      <c r="J170" s="944"/>
      <c r="K170" s="288"/>
      <c r="L170" s="288"/>
      <c r="M170" s="288"/>
      <c r="N170" s="288"/>
      <c r="O170" s="285" t="s">
        <v>7260</v>
      </c>
      <c r="P170" s="284"/>
      <c r="Q170" s="284"/>
      <c r="R170" s="288"/>
      <c r="S170" s="288"/>
      <c r="T170" s="288"/>
      <c r="U170" s="288"/>
      <c r="V170" s="1898" t="s">
        <v>7676</v>
      </c>
      <c r="W170" s="288"/>
      <c r="X170" s="288"/>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c r="BA170" s="284"/>
      <c r="BB170" s="284"/>
      <c r="BC170" s="284"/>
      <c r="BD170" s="284"/>
      <c r="BE170" s="284"/>
      <c r="BF170" s="284"/>
      <c r="BG170" s="284"/>
      <c r="BH170" s="284"/>
      <c r="BI170" s="284"/>
      <c r="BJ170" s="284"/>
      <c r="BK170" s="284"/>
      <c r="BL170" s="284"/>
      <c r="BM170" s="284"/>
      <c r="BN170" s="284"/>
      <c r="BO170" s="284"/>
      <c r="BP170" s="284"/>
      <c r="BQ170" s="284"/>
      <c r="BR170" s="284"/>
      <c r="BS170" s="284"/>
      <c r="BT170" s="284"/>
      <c r="BU170" s="284"/>
      <c r="BV170" s="284"/>
      <c r="BW170" s="284"/>
      <c r="BX170" s="284"/>
      <c r="BY170" s="284"/>
      <c r="BZ170" s="284"/>
      <c r="CA170" s="284"/>
      <c r="CB170" s="284"/>
      <c r="CC170" s="284"/>
      <c r="CD170" s="284"/>
      <c r="CE170" s="284"/>
      <c r="CF170" s="284"/>
      <c r="CG170" s="284"/>
      <c r="CH170" s="284"/>
      <c r="CI170" s="284"/>
      <c r="CJ170" s="284"/>
      <c r="CK170" s="284"/>
      <c r="CL170" s="284"/>
      <c r="CM170" s="284"/>
      <c r="CN170" s="284"/>
      <c r="CO170" s="284"/>
      <c r="CP170" s="284"/>
      <c r="CQ170" s="284"/>
      <c r="CR170" s="284"/>
      <c r="CS170" s="284"/>
      <c r="CT170" s="284"/>
      <c r="CU170" s="284"/>
      <c r="CV170" s="284"/>
      <c r="CW170" s="284"/>
      <c r="CX170" s="284"/>
      <c r="CY170" s="284"/>
      <c r="CZ170" s="284"/>
      <c r="DA170" s="284"/>
      <c r="DB170" s="284"/>
      <c r="DC170" s="284"/>
      <c r="DD170" s="284"/>
      <c r="DE170" s="284"/>
      <c r="DF170" s="284"/>
      <c r="DG170" s="284"/>
      <c r="DH170" s="284"/>
      <c r="DI170" s="284"/>
      <c r="DJ170" s="284"/>
      <c r="DK170" s="284"/>
      <c r="DL170" s="284"/>
      <c r="DM170" s="284"/>
      <c r="DN170" s="284"/>
      <c r="DO170" s="284"/>
      <c r="DP170" s="284"/>
      <c r="DQ170" s="284"/>
      <c r="DR170" s="284"/>
      <c r="DS170" s="284"/>
      <c r="DT170" s="284"/>
      <c r="DU170" s="284"/>
      <c r="DV170" s="284"/>
      <c r="DW170" s="284"/>
      <c r="DX170" s="284"/>
      <c r="DY170" s="284"/>
      <c r="DZ170" s="284"/>
      <c r="EA170" s="284"/>
      <c r="EB170" s="284"/>
      <c r="EC170" s="284"/>
      <c r="ED170" s="284"/>
      <c r="EE170" s="284"/>
      <c r="EF170" s="284"/>
      <c r="EG170" s="284"/>
      <c r="EH170" s="284"/>
      <c r="EI170" s="284"/>
      <c r="EJ170" s="284"/>
      <c r="EK170" s="285"/>
      <c r="EL170" s="284"/>
      <c r="EM170" s="284"/>
      <c r="EN170" s="284"/>
      <c r="EO170" s="284"/>
      <c r="EP170" s="284"/>
      <c r="EQ170" s="284"/>
      <c r="ER170" s="284"/>
      <c r="ES170" s="284"/>
      <c r="ET170" s="284"/>
      <c r="EU170" s="284"/>
      <c r="EV170" s="284"/>
      <c r="EW170" s="284"/>
      <c r="EX170" s="284"/>
      <c r="EY170" s="284"/>
      <c r="EZ170" s="284"/>
      <c r="FA170" s="284"/>
      <c r="FB170" s="284"/>
      <c r="FC170" s="284"/>
      <c r="FD170" s="284"/>
      <c r="FE170" s="284"/>
      <c r="FF170" s="284"/>
      <c r="FG170" s="284"/>
      <c r="FH170" s="284"/>
      <c r="FI170" s="284"/>
      <c r="FJ170" s="284"/>
      <c r="FK170" s="284"/>
      <c r="FL170" s="284"/>
      <c r="FM170" s="284"/>
      <c r="FN170" s="284"/>
      <c r="FO170" s="284"/>
      <c r="FP170" s="284"/>
      <c r="FQ170" s="284"/>
      <c r="FR170" s="284"/>
      <c r="FS170" s="284"/>
      <c r="FT170" s="284"/>
      <c r="FU170" s="284"/>
      <c r="FV170" s="284"/>
      <c r="FW170" s="284"/>
      <c r="FX170" s="284"/>
      <c r="FY170" s="284"/>
      <c r="FZ170" s="284"/>
      <c r="GA170" s="284"/>
      <c r="GB170" s="284"/>
      <c r="GC170" s="284"/>
      <c r="GD170" s="284"/>
      <c r="GE170" s="284"/>
      <c r="GF170" s="284"/>
      <c r="GG170" s="284"/>
      <c r="GH170" s="284"/>
      <c r="GI170" s="284"/>
      <c r="GJ170" s="284"/>
      <c r="GK170" s="284"/>
      <c r="GL170" s="284"/>
      <c r="GM170" s="284"/>
      <c r="GN170" s="284"/>
      <c r="GO170" s="284"/>
      <c r="GP170" s="284"/>
      <c r="GQ170" s="284"/>
      <c r="GR170" s="284"/>
      <c r="GS170" s="284"/>
      <c r="GT170" s="284"/>
      <c r="GU170" s="284"/>
      <c r="GV170" s="284"/>
      <c r="GW170" s="284"/>
      <c r="GX170" s="284"/>
      <c r="GY170" s="284"/>
      <c r="GZ170" s="284"/>
      <c r="HA170" s="284"/>
      <c r="HB170" s="284"/>
      <c r="HC170" s="284"/>
      <c r="HD170" s="284"/>
      <c r="HE170" s="284"/>
      <c r="HF170" s="284"/>
      <c r="HG170" s="284"/>
      <c r="HH170" s="284"/>
      <c r="HI170" s="284"/>
      <c r="HJ170" s="284"/>
      <c r="HK170" s="284"/>
      <c r="HL170" s="284"/>
      <c r="HM170" s="284"/>
      <c r="HN170" s="284"/>
      <c r="HO170" s="284"/>
      <c r="HP170" s="284"/>
      <c r="HQ170" s="284"/>
      <c r="HR170" s="284"/>
      <c r="HS170" s="284"/>
      <c r="HT170" s="284"/>
      <c r="HU170" s="284"/>
      <c r="HV170" s="284"/>
      <c r="HW170" s="284"/>
      <c r="HX170" s="284"/>
      <c r="HY170" s="284"/>
      <c r="HZ170" s="284"/>
      <c r="IA170" s="284"/>
      <c r="IB170" s="284"/>
      <c r="IC170" s="284"/>
      <c r="ID170" s="284"/>
      <c r="IE170" s="284"/>
      <c r="IF170" s="284"/>
      <c r="IG170" s="284"/>
      <c r="IH170" s="284"/>
      <c r="II170" s="284"/>
      <c r="IJ170" s="284"/>
      <c r="IK170" s="284"/>
      <c r="IL170" s="284"/>
      <c r="IM170" s="284"/>
      <c r="IN170" s="284"/>
      <c r="IO170" s="284"/>
      <c r="IP170" s="284"/>
      <c r="IQ170" s="284"/>
      <c r="IR170" s="284"/>
      <c r="IS170" s="284"/>
      <c r="IT170" s="284"/>
      <c r="IU170" s="284"/>
      <c r="IV170" s="284"/>
      <c r="IW170" s="284"/>
      <c r="IX170" s="284"/>
      <c r="IY170" s="284"/>
      <c r="IZ170" s="284"/>
      <c r="JA170" s="284"/>
      <c r="JB170" s="284"/>
      <c r="JC170" s="284"/>
      <c r="JD170" s="284"/>
      <c r="JE170" s="284"/>
      <c r="JF170" s="284"/>
      <c r="JG170" s="284"/>
      <c r="JH170" s="284"/>
      <c r="JI170" s="284"/>
      <c r="JJ170" s="284"/>
      <c r="JK170" s="284"/>
      <c r="JL170" s="284"/>
      <c r="JM170" s="284"/>
      <c r="JN170" s="284"/>
      <c r="JO170" s="284"/>
      <c r="JP170" s="284"/>
      <c r="JQ170" s="284"/>
      <c r="JR170" s="284"/>
      <c r="JS170" s="284"/>
      <c r="JT170" s="284"/>
      <c r="JU170" s="284"/>
      <c r="JV170" s="284"/>
      <c r="JW170" s="284"/>
      <c r="JX170" s="284"/>
      <c r="JY170" s="284"/>
      <c r="JZ170" s="284"/>
      <c r="KA170" s="284"/>
      <c r="KB170" s="284"/>
      <c r="KC170" s="284"/>
      <c r="KD170" s="284"/>
      <c r="KE170" s="284"/>
      <c r="KF170" s="284"/>
      <c r="KG170" s="284"/>
      <c r="KH170" s="284"/>
      <c r="KI170" s="284"/>
      <c r="KJ170" s="284"/>
      <c r="KK170" s="284"/>
      <c r="KL170" s="284"/>
      <c r="KM170" s="284"/>
      <c r="KN170" s="284"/>
      <c r="KO170" s="284"/>
      <c r="KP170" s="284"/>
      <c r="KQ170" s="284"/>
      <c r="KR170" s="284"/>
      <c r="KS170" s="284"/>
      <c r="KT170" s="284"/>
      <c r="KU170" s="288"/>
      <c r="KV170" s="288"/>
      <c r="KW170" s="288"/>
    </row>
    <row r="171" spans="1:964" s="1304" customFormat="1">
      <c r="A171" s="1910" t="s">
        <v>7633</v>
      </c>
      <c r="B171" s="1931" t="s">
        <v>7629</v>
      </c>
      <c r="C171" s="1912">
        <v>312293974</v>
      </c>
      <c r="D171" s="74"/>
      <c r="E171" s="1901" t="s">
        <v>7640</v>
      </c>
      <c r="F171" s="74"/>
      <c r="G171" s="75"/>
      <c r="H171" s="1939" t="s">
        <v>6806</v>
      </c>
      <c r="I171" s="944"/>
      <c r="J171" s="944"/>
      <c r="K171" s="288"/>
      <c r="L171" s="288"/>
      <c r="M171" s="288"/>
      <c r="N171" s="288"/>
      <c r="O171" s="285" t="s">
        <v>7260</v>
      </c>
      <c r="P171" s="284"/>
      <c r="Q171" s="284"/>
      <c r="R171" s="288"/>
      <c r="S171" s="288"/>
      <c r="T171" s="288"/>
      <c r="U171" s="288"/>
      <c r="V171" s="288"/>
      <c r="W171" s="288"/>
      <c r="X171" s="288"/>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c r="BA171" s="284"/>
      <c r="BB171" s="284"/>
      <c r="BC171" s="284"/>
      <c r="BD171" s="284"/>
      <c r="BE171" s="284"/>
      <c r="BF171" s="284"/>
      <c r="BG171" s="284"/>
      <c r="BH171" s="284"/>
      <c r="BI171" s="284"/>
      <c r="BJ171" s="284"/>
      <c r="BK171" s="284"/>
      <c r="BL171" s="284"/>
      <c r="BM171" s="284"/>
      <c r="BN171" s="284"/>
      <c r="BO171" s="284"/>
      <c r="BP171" s="284"/>
      <c r="BQ171" s="284"/>
      <c r="BR171" s="284"/>
      <c r="BS171" s="284"/>
      <c r="BT171" s="284"/>
      <c r="BU171" s="284"/>
      <c r="BV171" s="284"/>
      <c r="BW171" s="284"/>
      <c r="BX171" s="284"/>
      <c r="BY171" s="284"/>
      <c r="BZ171" s="284"/>
      <c r="CA171" s="284"/>
      <c r="CB171" s="284"/>
      <c r="CC171" s="284"/>
      <c r="CD171" s="284"/>
      <c r="CE171" s="284"/>
      <c r="CF171" s="284"/>
      <c r="CG171" s="284"/>
      <c r="CH171" s="284"/>
      <c r="CI171" s="284"/>
      <c r="CJ171" s="284"/>
      <c r="CK171" s="284"/>
      <c r="CL171" s="284"/>
      <c r="CM171" s="284"/>
      <c r="CN171" s="284"/>
      <c r="CO171" s="284"/>
      <c r="CP171" s="284"/>
      <c r="CQ171" s="284"/>
      <c r="CR171" s="284"/>
      <c r="CS171" s="284"/>
      <c r="CT171" s="284"/>
      <c r="CU171" s="284"/>
      <c r="CV171" s="284"/>
      <c r="CW171" s="284"/>
      <c r="CX171" s="284"/>
      <c r="CY171" s="284"/>
      <c r="CZ171" s="284"/>
      <c r="DA171" s="284"/>
      <c r="DB171" s="284"/>
      <c r="DC171" s="284"/>
      <c r="DD171" s="284"/>
      <c r="DE171" s="284"/>
      <c r="DF171" s="284"/>
      <c r="DG171" s="284"/>
      <c r="DH171" s="284"/>
      <c r="DI171" s="284"/>
      <c r="DJ171" s="284"/>
      <c r="DK171" s="284"/>
      <c r="DL171" s="284"/>
      <c r="DM171" s="284"/>
      <c r="DN171" s="284"/>
      <c r="DO171" s="284"/>
      <c r="DP171" s="284"/>
      <c r="DQ171" s="284"/>
      <c r="DR171" s="284"/>
      <c r="DS171" s="284"/>
      <c r="DT171" s="284"/>
      <c r="DU171" s="284"/>
      <c r="DV171" s="284"/>
      <c r="DW171" s="284"/>
      <c r="DX171" s="284"/>
      <c r="DY171" s="284"/>
      <c r="DZ171" s="284"/>
      <c r="EA171" s="284"/>
      <c r="EB171" s="284"/>
      <c r="EC171" s="284"/>
      <c r="ED171" s="284"/>
      <c r="EE171" s="284"/>
      <c r="EF171" s="284"/>
      <c r="EG171" s="284"/>
      <c r="EH171" s="284"/>
      <c r="EI171" s="284"/>
      <c r="EJ171" s="284"/>
      <c r="EK171" s="285"/>
      <c r="EL171" s="284"/>
      <c r="EM171" s="284"/>
      <c r="EN171" s="284"/>
      <c r="EO171" s="284"/>
      <c r="EP171" s="284"/>
      <c r="EQ171" s="284"/>
      <c r="ER171" s="284"/>
      <c r="ES171" s="284"/>
      <c r="ET171" s="284"/>
      <c r="EU171" s="284"/>
      <c r="EV171" s="284"/>
      <c r="EW171" s="284"/>
      <c r="EX171" s="284"/>
      <c r="EY171" s="284"/>
      <c r="EZ171" s="284"/>
      <c r="FA171" s="284"/>
      <c r="FB171" s="284"/>
      <c r="FC171" s="284"/>
      <c r="FD171" s="284"/>
      <c r="FE171" s="284"/>
      <c r="FF171" s="284"/>
      <c r="FG171" s="284"/>
      <c r="FH171" s="284"/>
      <c r="FI171" s="284"/>
      <c r="FJ171" s="284"/>
      <c r="FK171" s="284"/>
      <c r="FL171" s="284"/>
      <c r="FM171" s="284"/>
      <c r="FN171" s="284"/>
      <c r="FO171" s="284"/>
      <c r="FP171" s="284"/>
      <c r="FQ171" s="284"/>
      <c r="FR171" s="284"/>
      <c r="FS171" s="284"/>
      <c r="FT171" s="284"/>
      <c r="FU171" s="284"/>
      <c r="FV171" s="284"/>
      <c r="FW171" s="284"/>
      <c r="FX171" s="284"/>
      <c r="FY171" s="284"/>
      <c r="FZ171" s="284"/>
      <c r="GA171" s="284"/>
      <c r="GB171" s="284"/>
      <c r="GC171" s="284"/>
      <c r="GD171" s="284"/>
      <c r="GE171" s="284"/>
      <c r="GF171" s="284"/>
      <c r="GG171" s="284"/>
      <c r="GH171" s="284"/>
      <c r="GI171" s="284"/>
      <c r="GJ171" s="284"/>
      <c r="GK171" s="284"/>
      <c r="GL171" s="284"/>
      <c r="GM171" s="284"/>
      <c r="GN171" s="284"/>
      <c r="GO171" s="284"/>
      <c r="GP171" s="284"/>
      <c r="GQ171" s="284"/>
      <c r="GR171" s="284"/>
      <c r="GS171" s="284"/>
      <c r="GT171" s="284"/>
      <c r="GU171" s="284"/>
      <c r="GV171" s="284"/>
      <c r="GW171" s="284"/>
      <c r="GX171" s="284"/>
      <c r="GY171" s="284"/>
      <c r="GZ171" s="284"/>
      <c r="HA171" s="284"/>
      <c r="HB171" s="284"/>
      <c r="HC171" s="284"/>
      <c r="HD171" s="284"/>
      <c r="HE171" s="284"/>
      <c r="HF171" s="284"/>
      <c r="HG171" s="284"/>
      <c r="HH171" s="284"/>
      <c r="HI171" s="284"/>
      <c r="HJ171" s="284"/>
      <c r="HK171" s="284"/>
      <c r="HL171" s="284"/>
      <c r="HM171" s="284"/>
      <c r="HN171" s="284"/>
      <c r="HO171" s="284"/>
      <c r="HP171" s="284"/>
      <c r="HQ171" s="284"/>
      <c r="HR171" s="284"/>
      <c r="HS171" s="284"/>
      <c r="HT171" s="284"/>
      <c r="HU171" s="284"/>
      <c r="HV171" s="284"/>
      <c r="HW171" s="284"/>
      <c r="HX171" s="284"/>
      <c r="HY171" s="284"/>
      <c r="HZ171" s="284"/>
      <c r="IA171" s="284"/>
      <c r="IB171" s="284"/>
      <c r="IC171" s="284"/>
      <c r="ID171" s="284"/>
      <c r="IE171" s="284"/>
      <c r="IF171" s="284"/>
      <c r="IG171" s="284"/>
      <c r="IH171" s="284"/>
      <c r="II171" s="284"/>
      <c r="IJ171" s="284"/>
      <c r="IK171" s="284"/>
      <c r="IL171" s="284"/>
      <c r="IM171" s="284"/>
      <c r="IN171" s="284"/>
      <c r="IO171" s="284"/>
      <c r="IP171" s="284"/>
      <c r="IQ171" s="284"/>
      <c r="IR171" s="284"/>
      <c r="IS171" s="284"/>
      <c r="IT171" s="284"/>
      <c r="IU171" s="284"/>
      <c r="IV171" s="284"/>
      <c r="IW171" s="284"/>
      <c r="IX171" s="284"/>
      <c r="IY171" s="284"/>
      <c r="IZ171" s="284"/>
      <c r="JA171" s="284"/>
      <c r="JB171" s="284"/>
      <c r="JC171" s="284"/>
      <c r="JD171" s="284"/>
      <c r="JE171" s="284"/>
      <c r="JF171" s="284"/>
      <c r="JG171" s="284"/>
      <c r="JH171" s="284"/>
      <c r="JI171" s="284"/>
      <c r="JJ171" s="284"/>
      <c r="JK171" s="284"/>
      <c r="JL171" s="284"/>
      <c r="JM171" s="284"/>
      <c r="JN171" s="284"/>
      <c r="JO171" s="284"/>
      <c r="JP171" s="284"/>
      <c r="JQ171" s="284"/>
      <c r="JR171" s="284"/>
      <c r="JS171" s="284"/>
      <c r="JT171" s="284"/>
      <c r="JU171" s="284"/>
      <c r="JV171" s="284"/>
      <c r="JW171" s="284"/>
      <c r="JX171" s="284"/>
      <c r="JY171" s="284"/>
      <c r="JZ171" s="284"/>
      <c r="KA171" s="284"/>
      <c r="KB171" s="284"/>
      <c r="KC171" s="284"/>
      <c r="KD171" s="284"/>
      <c r="KE171" s="284"/>
      <c r="KF171" s="284"/>
      <c r="KG171" s="284"/>
      <c r="KH171" s="284"/>
      <c r="KI171" s="284"/>
      <c r="KJ171" s="284"/>
      <c r="KK171" s="284"/>
      <c r="KL171" s="284"/>
      <c r="KM171" s="284"/>
      <c r="KN171" s="284"/>
      <c r="KO171" s="284"/>
      <c r="KP171" s="284"/>
      <c r="KQ171" s="284"/>
      <c r="KR171" s="284"/>
      <c r="KS171" s="284"/>
      <c r="KT171" s="284"/>
      <c r="KU171" s="288"/>
      <c r="KV171" s="288"/>
      <c r="KW171" s="288"/>
    </row>
    <row r="172" spans="1:964" s="1304" customFormat="1">
      <c r="A172" s="1910" t="s">
        <v>7633</v>
      </c>
      <c r="B172" s="1931" t="s">
        <v>7630</v>
      </c>
      <c r="C172" s="1912">
        <v>312308605</v>
      </c>
      <c r="D172" s="74"/>
      <c r="E172" s="1901" t="s">
        <v>7636</v>
      </c>
      <c r="F172" s="74"/>
      <c r="G172" s="2519" t="s">
        <v>6895</v>
      </c>
      <c r="H172" s="1939" t="s">
        <v>6806</v>
      </c>
      <c r="I172" s="944"/>
      <c r="J172" s="944"/>
      <c r="K172" s="288"/>
      <c r="L172" s="288"/>
      <c r="M172" s="288"/>
      <c r="N172" s="288"/>
      <c r="O172" s="285" t="s">
        <v>7260</v>
      </c>
      <c r="P172" s="284"/>
      <c r="Q172" s="284"/>
      <c r="R172" s="288"/>
      <c r="S172" s="288"/>
      <c r="T172" s="288"/>
      <c r="U172" s="288"/>
      <c r="V172" s="288"/>
      <c r="W172" s="288"/>
      <c r="X172" s="288"/>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c r="BA172" s="284"/>
      <c r="BB172" s="284"/>
      <c r="BC172" s="284"/>
      <c r="BD172" s="284"/>
      <c r="BE172" s="284"/>
      <c r="BF172" s="284"/>
      <c r="BG172" s="284"/>
      <c r="BH172" s="284"/>
      <c r="BI172" s="284"/>
      <c r="BJ172" s="284"/>
      <c r="BK172" s="284"/>
      <c r="BL172" s="284"/>
      <c r="BM172" s="284"/>
      <c r="BN172" s="284"/>
      <c r="BO172" s="284"/>
      <c r="BP172" s="284"/>
      <c r="BQ172" s="284"/>
      <c r="BR172" s="284"/>
      <c r="BS172" s="284"/>
      <c r="BT172" s="284"/>
      <c r="BU172" s="284"/>
      <c r="BV172" s="284"/>
      <c r="BW172" s="284"/>
      <c r="BX172" s="284"/>
      <c r="BY172" s="284"/>
      <c r="BZ172" s="284"/>
      <c r="CA172" s="284"/>
      <c r="CB172" s="284"/>
      <c r="CC172" s="284"/>
      <c r="CD172" s="284"/>
      <c r="CE172" s="284"/>
      <c r="CF172" s="284"/>
      <c r="CG172" s="284"/>
      <c r="CH172" s="284"/>
      <c r="CI172" s="284"/>
      <c r="CJ172" s="284"/>
      <c r="CK172" s="284"/>
      <c r="CL172" s="284"/>
      <c r="CM172" s="284"/>
      <c r="CN172" s="284"/>
      <c r="CO172" s="284"/>
      <c r="CP172" s="284"/>
      <c r="CQ172" s="284"/>
      <c r="CR172" s="284"/>
      <c r="CS172" s="284"/>
      <c r="CT172" s="284"/>
      <c r="CU172" s="284"/>
      <c r="CV172" s="284"/>
      <c r="CW172" s="284"/>
      <c r="CX172" s="284"/>
      <c r="CY172" s="284"/>
      <c r="CZ172" s="284"/>
      <c r="DA172" s="284"/>
      <c r="DB172" s="284"/>
      <c r="DC172" s="284"/>
      <c r="DD172" s="284"/>
      <c r="DE172" s="284"/>
      <c r="DF172" s="284"/>
      <c r="DG172" s="284"/>
      <c r="DH172" s="284"/>
      <c r="DI172" s="284"/>
      <c r="DJ172" s="284"/>
      <c r="DK172" s="284"/>
      <c r="DL172" s="284"/>
      <c r="DM172" s="284"/>
      <c r="DN172" s="284"/>
      <c r="DO172" s="284"/>
      <c r="DP172" s="284"/>
      <c r="DQ172" s="284"/>
      <c r="DR172" s="284"/>
      <c r="DS172" s="284"/>
      <c r="DT172" s="284"/>
      <c r="DU172" s="284"/>
      <c r="DV172" s="284"/>
      <c r="DW172" s="284"/>
      <c r="DX172" s="284"/>
      <c r="DY172" s="284"/>
      <c r="DZ172" s="284"/>
      <c r="EA172" s="284"/>
      <c r="EB172" s="284"/>
      <c r="EC172" s="284"/>
      <c r="ED172" s="284"/>
      <c r="EE172" s="284"/>
      <c r="EF172" s="284"/>
      <c r="EG172" s="284"/>
      <c r="EH172" s="284"/>
      <c r="EI172" s="284"/>
      <c r="EJ172" s="284"/>
      <c r="EK172" s="285"/>
      <c r="EL172" s="284"/>
      <c r="EM172" s="284"/>
      <c r="EN172" s="284"/>
      <c r="EO172" s="284"/>
      <c r="EP172" s="284"/>
      <c r="EQ172" s="284"/>
      <c r="ER172" s="284"/>
      <c r="ES172" s="284"/>
      <c r="ET172" s="284"/>
      <c r="EU172" s="284"/>
      <c r="EV172" s="284"/>
      <c r="EW172" s="284"/>
      <c r="EX172" s="284"/>
      <c r="EY172" s="284"/>
      <c r="EZ172" s="284"/>
      <c r="FA172" s="284"/>
      <c r="FB172" s="284"/>
      <c r="FC172" s="284"/>
      <c r="FD172" s="284"/>
      <c r="FE172" s="284"/>
      <c r="FF172" s="284"/>
      <c r="FG172" s="284"/>
      <c r="FH172" s="284"/>
      <c r="FI172" s="284"/>
      <c r="FJ172" s="284"/>
      <c r="FK172" s="284"/>
      <c r="FL172" s="284"/>
      <c r="FM172" s="284"/>
      <c r="FN172" s="284"/>
      <c r="FO172" s="284"/>
      <c r="FP172" s="284"/>
      <c r="FQ172" s="284"/>
      <c r="FR172" s="284"/>
      <c r="FS172" s="284"/>
      <c r="FT172" s="284"/>
      <c r="FU172" s="284"/>
      <c r="FV172" s="284"/>
      <c r="FW172" s="284"/>
      <c r="FX172" s="284"/>
      <c r="FY172" s="284"/>
      <c r="FZ172" s="284"/>
      <c r="GA172" s="284"/>
      <c r="GB172" s="284"/>
      <c r="GC172" s="284"/>
      <c r="GD172" s="284"/>
      <c r="GE172" s="284"/>
      <c r="GF172" s="284"/>
      <c r="GG172" s="284"/>
      <c r="GH172" s="284"/>
      <c r="GI172" s="284"/>
      <c r="GJ172" s="284"/>
      <c r="GK172" s="284"/>
      <c r="GL172" s="284"/>
      <c r="GM172" s="284"/>
      <c r="GN172" s="284"/>
      <c r="GO172" s="284"/>
      <c r="GP172" s="284"/>
      <c r="GQ172" s="284"/>
      <c r="GR172" s="284"/>
      <c r="GS172" s="284"/>
      <c r="GT172" s="284"/>
      <c r="GU172" s="284"/>
      <c r="GV172" s="284"/>
      <c r="GW172" s="284"/>
      <c r="GX172" s="284"/>
      <c r="GY172" s="284"/>
      <c r="GZ172" s="284"/>
      <c r="HA172" s="284"/>
      <c r="HB172" s="284"/>
      <c r="HC172" s="284"/>
      <c r="HD172" s="284"/>
      <c r="HE172" s="284"/>
      <c r="HF172" s="284"/>
      <c r="HG172" s="284"/>
      <c r="HH172" s="284"/>
      <c r="HI172" s="284"/>
      <c r="HJ172" s="284"/>
      <c r="HK172" s="284"/>
      <c r="HL172" s="284"/>
      <c r="HM172" s="284"/>
      <c r="HN172" s="284"/>
      <c r="HO172" s="284"/>
      <c r="HP172" s="284"/>
      <c r="HQ172" s="284"/>
      <c r="HR172" s="284"/>
      <c r="HS172" s="284"/>
      <c r="HT172" s="284"/>
      <c r="HU172" s="284"/>
      <c r="HV172" s="284"/>
      <c r="HW172" s="284"/>
      <c r="HX172" s="284"/>
      <c r="HY172" s="284"/>
      <c r="HZ172" s="284"/>
      <c r="IA172" s="284"/>
      <c r="IB172" s="284"/>
      <c r="IC172" s="284"/>
      <c r="ID172" s="284"/>
      <c r="IE172" s="284"/>
      <c r="IF172" s="284"/>
      <c r="IG172" s="284"/>
      <c r="IH172" s="284"/>
      <c r="II172" s="284"/>
      <c r="IJ172" s="284"/>
      <c r="IK172" s="284"/>
      <c r="IL172" s="284"/>
      <c r="IM172" s="284"/>
      <c r="IN172" s="284"/>
      <c r="IO172" s="284"/>
      <c r="IP172" s="284"/>
      <c r="IQ172" s="284"/>
      <c r="IR172" s="284"/>
      <c r="IS172" s="284"/>
      <c r="IT172" s="284"/>
      <c r="IU172" s="284"/>
      <c r="IV172" s="284"/>
      <c r="IW172" s="284"/>
      <c r="IX172" s="284"/>
      <c r="IY172" s="284"/>
      <c r="IZ172" s="284"/>
      <c r="JA172" s="284"/>
      <c r="JB172" s="284"/>
      <c r="JC172" s="284"/>
      <c r="JD172" s="284"/>
      <c r="JE172" s="284"/>
      <c r="JF172" s="284"/>
      <c r="JG172" s="284"/>
      <c r="JH172" s="284"/>
      <c r="JI172" s="284"/>
      <c r="JJ172" s="284"/>
      <c r="JK172" s="284"/>
      <c r="JL172" s="284"/>
      <c r="JM172" s="284"/>
      <c r="JN172" s="284"/>
      <c r="JO172" s="284"/>
      <c r="JP172" s="284"/>
      <c r="JQ172" s="284"/>
      <c r="JR172" s="284"/>
      <c r="JS172" s="284"/>
      <c r="JT172" s="284"/>
      <c r="JU172" s="284"/>
      <c r="JV172" s="284"/>
      <c r="JW172" s="284"/>
      <c r="JX172" s="284"/>
      <c r="JY172" s="284"/>
      <c r="JZ172" s="284"/>
      <c r="KA172" s="284"/>
      <c r="KB172" s="284"/>
      <c r="KC172" s="284"/>
      <c r="KD172" s="284"/>
      <c r="KE172" s="284"/>
      <c r="KF172" s="284"/>
      <c r="KG172" s="284"/>
      <c r="KH172" s="284"/>
      <c r="KI172" s="284"/>
      <c r="KJ172" s="284"/>
      <c r="KK172" s="284"/>
      <c r="KL172" s="284"/>
      <c r="KM172" s="284"/>
      <c r="KN172" s="284"/>
      <c r="KO172" s="284"/>
      <c r="KP172" s="284"/>
      <c r="KQ172" s="284"/>
      <c r="KR172" s="284"/>
      <c r="KS172" s="284"/>
      <c r="KT172" s="284"/>
      <c r="KU172" s="288"/>
      <c r="KV172" s="288"/>
      <c r="KW172" s="288"/>
    </row>
    <row r="173" spans="1:964" s="1304" customFormat="1">
      <c r="A173" s="1969" t="s">
        <v>7626</v>
      </c>
      <c r="B173" s="1901" t="s">
        <v>7631</v>
      </c>
      <c r="C173" s="1602">
        <v>312319322</v>
      </c>
      <c r="D173" s="1948" t="s">
        <v>7724</v>
      </c>
      <c r="E173" s="1901" t="s">
        <v>7636</v>
      </c>
      <c r="F173" s="74">
        <v>0</v>
      </c>
      <c r="G173" s="75"/>
      <c r="H173" s="1939" t="s">
        <v>6806</v>
      </c>
      <c r="I173" s="944"/>
      <c r="J173" s="944"/>
      <c r="K173" s="288"/>
      <c r="L173" s="288"/>
      <c r="M173" s="288"/>
      <c r="N173" s="288"/>
      <c r="O173" s="285" t="s">
        <v>7260</v>
      </c>
      <c r="P173" s="284"/>
      <c r="Q173" s="284"/>
      <c r="R173" s="288"/>
      <c r="S173" s="288"/>
      <c r="T173" s="288"/>
      <c r="U173" s="288"/>
      <c r="V173" s="288"/>
      <c r="W173" s="288"/>
      <c r="X173" s="288"/>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c r="BA173" s="284"/>
      <c r="BB173" s="284"/>
      <c r="BC173" s="284"/>
      <c r="BD173" s="284"/>
      <c r="BE173" s="284"/>
      <c r="BF173" s="284"/>
      <c r="BG173" s="284"/>
      <c r="BH173" s="284"/>
      <c r="BI173" s="284"/>
      <c r="BJ173" s="284"/>
      <c r="BK173" s="284"/>
      <c r="BL173" s="284"/>
      <c r="BM173" s="284"/>
      <c r="BN173" s="284"/>
      <c r="BO173" s="284"/>
      <c r="BP173" s="284"/>
      <c r="BQ173" s="284"/>
      <c r="BR173" s="284"/>
      <c r="BS173" s="284"/>
      <c r="BT173" s="284"/>
      <c r="BU173" s="284"/>
      <c r="BV173" s="284"/>
      <c r="BW173" s="284"/>
      <c r="BX173" s="284"/>
      <c r="BY173" s="284"/>
      <c r="BZ173" s="284"/>
      <c r="CA173" s="284"/>
      <c r="CB173" s="284"/>
      <c r="CC173" s="284"/>
      <c r="CD173" s="284"/>
      <c r="CE173" s="284"/>
      <c r="CF173" s="284"/>
      <c r="CG173" s="284"/>
      <c r="CH173" s="284"/>
      <c r="CI173" s="284"/>
      <c r="CJ173" s="284"/>
      <c r="CK173" s="284"/>
      <c r="CL173" s="284"/>
      <c r="CM173" s="284"/>
      <c r="CN173" s="284"/>
      <c r="CO173" s="284"/>
      <c r="CP173" s="284"/>
      <c r="CQ173" s="284"/>
      <c r="CR173" s="284"/>
      <c r="CS173" s="284"/>
      <c r="CT173" s="284"/>
      <c r="CU173" s="284"/>
      <c r="CV173" s="284"/>
      <c r="CW173" s="284"/>
      <c r="CX173" s="284"/>
      <c r="CY173" s="284"/>
      <c r="CZ173" s="284"/>
      <c r="DA173" s="284"/>
      <c r="DB173" s="284"/>
      <c r="DC173" s="284"/>
      <c r="DD173" s="284"/>
      <c r="DE173" s="284"/>
      <c r="DF173" s="284"/>
      <c r="DG173" s="284"/>
      <c r="DH173" s="284"/>
      <c r="DI173" s="284"/>
      <c r="DJ173" s="284"/>
      <c r="DK173" s="284"/>
      <c r="DL173" s="284"/>
      <c r="DM173" s="284"/>
      <c r="DN173" s="284"/>
      <c r="DO173" s="284"/>
      <c r="DP173" s="284"/>
      <c r="DQ173" s="284"/>
      <c r="DR173" s="284"/>
      <c r="DS173" s="284"/>
      <c r="DT173" s="284"/>
      <c r="DU173" s="284"/>
      <c r="DV173" s="284"/>
      <c r="DW173" s="284"/>
      <c r="DX173" s="284"/>
      <c r="DY173" s="284"/>
      <c r="DZ173" s="284"/>
      <c r="EA173" s="284"/>
      <c r="EB173" s="284"/>
      <c r="EC173" s="284"/>
      <c r="ED173" s="284"/>
      <c r="EE173" s="284"/>
      <c r="EF173" s="284"/>
      <c r="EG173" s="284"/>
      <c r="EH173" s="284"/>
      <c r="EI173" s="284"/>
      <c r="EJ173" s="284"/>
      <c r="EK173" s="285"/>
      <c r="EL173" s="284"/>
      <c r="EM173" s="284"/>
      <c r="EN173" s="284"/>
      <c r="EO173" s="284"/>
      <c r="EP173" s="284"/>
      <c r="EQ173" s="284"/>
      <c r="ER173" s="284"/>
      <c r="ES173" s="284"/>
      <c r="ET173" s="284"/>
      <c r="EU173" s="284"/>
      <c r="EV173" s="284"/>
      <c r="EW173" s="284"/>
      <c r="EX173" s="284"/>
      <c r="EY173" s="284"/>
      <c r="EZ173" s="284"/>
      <c r="FA173" s="284"/>
      <c r="FB173" s="284"/>
      <c r="FC173" s="284"/>
      <c r="FD173" s="284"/>
      <c r="FE173" s="284"/>
      <c r="FF173" s="284"/>
      <c r="FG173" s="284"/>
      <c r="FH173" s="284"/>
      <c r="FI173" s="284"/>
      <c r="FJ173" s="284"/>
      <c r="FK173" s="284"/>
      <c r="FL173" s="284"/>
      <c r="FM173" s="284"/>
      <c r="FN173" s="284"/>
      <c r="FO173" s="284"/>
      <c r="FP173" s="284"/>
      <c r="FQ173" s="284"/>
      <c r="FR173" s="284"/>
      <c r="FS173" s="284"/>
      <c r="FT173" s="284"/>
      <c r="FU173" s="284"/>
      <c r="FV173" s="284"/>
      <c r="FW173" s="284"/>
      <c r="FX173" s="284"/>
      <c r="FY173" s="284"/>
      <c r="FZ173" s="284"/>
      <c r="GA173" s="284"/>
      <c r="GB173" s="284"/>
      <c r="GC173" s="284"/>
      <c r="GD173" s="284"/>
      <c r="GE173" s="284"/>
      <c r="GF173" s="284"/>
      <c r="GG173" s="284"/>
      <c r="GH173" s="284"/>
      <c r="GI173" s="284"/>
      <c r="GJ173" s="284"/>
      <c r="GK173" s="284"/>
      <c r="GL173" s="284"/>
      <c r="GM173" s="284"/>
      <c r="GN173" s="284"/>
      <c r="GO173" s="284"/>
      <c r="GP173" s="284"/>
      <c r="GQ173" s="284"/>
      <c r="GR173" s="284"/>
      <c r="GS173" s="284"/>
      <c r="GT173" s="284"/>
      <c r="GU173" s="284"/>
      <c r="GV173" s="284"/>
      <c r="GW173" s="284"/>
      <c r="GX173" s="284"/>
      <c r="GY173" s="284"/>
      <c r="GZ173" s="284"/>
      <c r="HA173" s="284"/>
      <c r="HB173" s="284"/>
      <c r="HC173" s="284"/>
      <c r="HD173" s="284"/>
      <c r="HE173" s="284"/>
      <c r="HF173" s="284"/>
      <c r="HG173" s="284"/>
      <c r="HH173" s="284"/>
      <c r="HI173" s="284"/>
      <c r="HJ173" s="284"/>
      <c r="HK173" s="284"/>
      <c r="HL173" s="284"/>
      <c r="HM173" s="284"/>
      <c r="HN173" s="284"/>
      <c r="HO173" s="284"/>
      <c r="HP173" s="284"/>
      <c r="HQ173" s="284"/>
      <c r="HR173" s="284"/>
      <c r="HS173" s="284"/>
      <c r="HT173" s="284"/>
      <c r="HU173" s="284"/>
      <c r="HV173" s="284"/>
      <c r="HW173" s="284"/>
      <c r="HX173" s="284"/>
      <c r="HY173" s="284"/>
      <c r="HZ173" s="284"/>
      <c r="IA173" s="284"/>
      <c r="IB173" s="284"/>
      <c r="IC173" s="284"/>
      <c r="ID173" s="284"/>
      <c r="IE173" s="284"/>
      <c r="IF173" s="284"/>
      <c r="IG173" s="284"/>
      <c r="IH173" s="284"/>
      <c r="II173" s="284"/>
      <c r="IJ173" s="284"/>
      <c r="IK173" s="284"/>
      <c r="IL173" s="284"/>
      <c r="IM173" s="284"/>
      <c r="IN173" s="284"/>
      <c r="IO173" s="284"/>
      <c r="IP173" s="284"/>
      <c r="IQ173" s="284"/>
      <c r="IR173" s="284"/>
      <c r="IS173" s="284"/>
      <c r="IT173" s="284"/>
      <c r="IU173" s="284"/>
      <c r="IV173" s="284"/>
      <c r="IW173" s="284"/>
      <c r="IX173" s="284"/>
      <c r="IY173" s="284"/>
      <c r="IZ173" s="284"/>
      <c r="JA173" s="284"/>
      <c r="JB173" s="284"/>
      <c r="JC173" s="284"/>
      <c r="JD173" s="284"/>
      <c r="JE173" s="284"/>
      <c r="JF173" s="284"/>
      <c r="JG173" s="284"/>
      <c r="JH173" s="284"/>
      <c r="JI173" s="284"/>
      <c r="JJ173" s="284"/>
      <c r="JK173" s="284"/>
      <c r="JL173" s="284"/>
      <c r="JM173" s="284"/>
      <c r="JN173" s="284"/>
      <c r="JO173" s="284"/>
      <c r="JP173" s="284"/>
      <c r="JQ173" s="284"/>
      <c r="JR173" s="284"/>
      <c r="JS173" s="284"/>
      <c r="JT173" s="284"/>
      <c r="JU173" s="284"/>
      <c r="JV173" s="284"/>
      <c r="JW173" s="284"/>
      <c r="JX173" s="284"/>
      <c r="JY173" s="284"/>
      <c r="JZ173" s="284"/>
      <c r="KA173" s="284"/>
      <c r="KB173" s="284"/>
      <c r="KC173" s="284"/>
      <c r="KD173" s="284"/>
      <c r="KE173" s="284"/>
      <c r="KF173" s="284"/>
      <c r="KG173" s="284"/>
      <c r="KH173" s="284"/>
      <c r="KI173" s="284"/>
      <c r="KJ173" s="284"/>
      <c r="KK173" s="284"/>
      <c r="KL173" s="284"/>
      <c r="KM173" s="284"/>
      <c r="KN173" s="284"/>
      <c r="KO173" s="284"/>
      <c r="KP173" s="284"/>
      <c r="KQ173" s="284"/>
      <c r="KR173" s="284"/>
      <c r="KS173" s="284"/>
      <c r="KT173" s="284"/>
      <c r="KU173" s="288"/>
      <c r="KV173" s="288"/>
      <c r="KW173" s="288"/>
    </row>
    <row r="174" spans="1:964" s="1304" customFormat="1">
      <c r="A174" s="1910" t="s">
        <v>7626</v>
      </c>
      <c r="B174" s="1901" t="s">
        <v>7632</v>
      </c>
      <c r="C174" s="1602">
        <v>312335969</v>
      </c>
      <c r="D174" s="74">
        <v>0</v>
      </c>
      <c r="E174" s="1901" t="s">
        <v>7675</v>
      </c>
      <c r="F174" s="74"/>
      <c r="G174" s="2519" t="s">
        <v>7738</v>
      </c>
      <c r="H174" s="1939" t="s">
        <v>6806</v>
      </c>
      <c r="I174" s="944"/>
      <c r="J174" s="944"/>
      <c r="K174" s="288"/>
      <c r="L174" s="288"/>
      <c r="M174" s="288"/>
      <c r="N174" s="288"/>
      <c r="O174" s="285" t="s">
        <v>7260</v>
      </c>
      <c r="P174" s="284"/>
      <c r="Q174" s="284"/>
      <c r="R174" s="288"/>
      <c r="S174" s="288"/>
      <c r="T174" s="288"/>
      <c r="U174" s="288"/>
      <c r="V174" s="288">
        <v>100</v>
      </c>
      <c r="W174" s="288"/>
      <c r="X174" s="288"/>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c r="BA174" s="284"/>
      <c r="BB174" s="284"/>
      <c r="BC174" s="284"/>
      <c r="BD174" s="284"/>
      <c r="BE174" s="284"/>
      <c r="BF174" s="284"/>
      <c r="BG174" s="284"/>
      <c r="BH174" s="284"/>
      <c r="BI174" s="284"/>
      <c r="BJ174" s="284"/>
      <c r="BK174" s="284"/>
      <c r="BL174" s="284"/>
      <c r="BM174" s="284"/>
      <c r="BN174" s="284"/>
      <c r="BO174" s="284"/>
      <c r="BP174" s="284"/>
      <c r="BQ174" s="284"/>
      <c r="BR174" s="284"/>
      <c r="BS174" s="284"/>
      <c r="BT174" s="284"/>
      <c r="BU174" s="284"/>
      <c r="BV174" s="284"/>
      <c r="BW174" s="284"/>
      <c r="BX174" s="284"/>
      <c r="BY174" s="284"/>
      <c r="BZ174" s="284"/>
      <c r="CA174" s="284"/>
      <c r="CB174" s="284"/>
      <c r="CC174" s="284"/>
      <c r="CD174" s="284"/>
      <c r="CE174" s="284"/>
      <c r="CF174" s="284"/>
      <c r="CG174" s="284"/>
      <c r="CH174" s="284"/>
      <c r="CI174" s="284"/>
      <c r="CJ174" s="284"/>
      <c r="CK174" s="284"/>
      <c r="CL174" s="284"/>
      <c r="CM174" s="284"/>
      <c r="CN174" s="284"/>
      <c r="CO174" s="284"/>
      <c r="CP174" s="284"/>
      <c r="CQ174" s="284"/>
      <c r="CR174" s="284"/>
      <c r="CS174" s="284"/>
      <c r="CT174" s="284"/>
      <c r="CU174" s="284"/>
      <c r="CV174" s="284"/>
      <c r="CW174" s="284"/>
      <c r="CX174" s="284"/>
      <c r="CY174" s="284"/>
      <c r="CZ174" s="284"/>
      <c r="DA174" s="284"/>
      <c r="DB174" s="284"/>
      <c r="DC174" s="284"/>
      <c r="DD174" s="284"/>
      <c r="DE174" s="284"/>
      <c r="DF174" s="284"/>
      <c r="DG174" s="284"/>
      <c r="DH174" s="284"/>
      <c r="DI174" s="284"/>
      <c r="DJ174" s="284"/>
      <c r="DK174" s="284"/>
      <c r="DL174" s="284"/>
      <c r="DM174" s="284"/>
      <c r="DN174" s="284"/>
      <c r="DO174" s="284"/>
      <c r="DP174" s="284"/>
      <c r="DQ174" s="284"/>
      <c r="DR174" s="284"/>
      <c r="DS174" s="284"/>
      <c r="DT174" s="284"/>
      <c r="DU174" s="284"/>
      <c r="DV174" s="284"/>
      <c r="DW174" s="284"/>
      <c r="DX174" s="284"/>
      <c r="DY174" s="284"/>
      <c r="DZ174" s="284"/>
      <c r="EA174" s="284"/>
      <c r="EB174" s="284"/>
      <c r="EC174" s="284"/>
      <c r="ED174" s="284"/>
      <c r="EE174" s="284"/>
      <c r="EF174" s="284"/>
      <c r="EG174" s="284"/>
      <c r="EH174" s="284"/>
      <c r="EI174" s="284"/>
      <c r="EJ174" s="284"/>
      <c r="EK174" s="285"/>
      <c r="EL174" s="284"/>
      <c r="EM174" s="284"/>
      <c r="EN174" s="284"/>
      <c r="EO174" s="284"/>
      <c r="EP174" s="284"/>
      <c r="EQ174" s="284"/>
      <c r="ER174" s="284"/>
      <c r="ES174" s="284"/>
      <c r="ET174" s="284"/>
      <c r="EU174" s="284"/>
      <c r="EV174" s="284"/>
      <c r="EW174" s="284"/>
      <c r="EX174" s="284"/>
      <c r="EY174" s="284"/>
      <c r="EZ174" s="284"/>
      <c r="FA174" s="284"/>
      <c r="FB174" s="284"/>
      <c r="FC174" s="284"/>
      <c r="FD174" s="284"/>
      <c r="FE174" s="284"/>
      <c r="FF174" s="284"/>
      <c r="FG174" s="284"/>
      <c r="FH174" s="284"/>
      <c r="FI174" s="284"/>
      <c r="FJ174" s="284"/>
      <c r="FK174" s="284"/>
      <c r="FL174" s="284"/>
      <c r="FM174" s="284"/>
      <c r="FN174" s="284"/>
      <c r="FO174" s="284"/>
      <c r="FP174" s="284"/>
      <c r="FQ174" s="284"/>
      <c r="FR174" s="284"/>
      <c r="FS174" s="284"/>
      <c r="FT174" s="284"/>
      <c r="FU174" s="284"/>
      <c r="FV174" s="284"/>
      <c r="FW174" s="284"/>
      <c r="FX174" s="284"/>
      <c r="FY174" s="284"/>
      <c r="FZ174" s="284"/>
      <c r="GA174" s="284"/>
      <c r="GB174" s="284"/>
      <c r="GC174" s="284"/>
      <c r="GD174" s="284"/>
      <c r="GE174" s="284"/>
      <c r="GF174" s="284"/>
      <c r="GG174" s="284"/>
      <c r="GH174" s="284"/>
      <c r="GI174" s="284"/>
      <c r="GJ174" s="284"/>
      <c r="GK174" s="284"/>
      <c r="GL174" s="284"/>
      <c r="GM174" s="284"/>
      <c r="GN174" s="284"/>
      <c r="GO174" s="284"/>
      <c r="GP174" s="284"/>
      <c r="GQ174" s="284"/>
      <c r="GR174" s="284"/>
      <c r="GS174" s="284"/>
      <c r="GT174" s="284"/>
      <c r="GU174" s="284"/>
      <c r="GV174" s="284"/>
      <c r="GW174" s="284"/>
      <c r="GX174" s="284"/>
      <c r="GY174" s="284"/>
      <c r="GZ174" s="284"/>
      <c r="HA174" s="284"/>
      <c r="HB174" s="284"/>
      <c r="HC174" s="284"/>
      <c r="HD174" s="284"/>
      <c r="HE174" s="284"/>
      <c r="HF174" s="284"/>
      <c r="HG174" s="284"/>
      <c r="HH174" s="284"/>
      <c r="HI174" s="284"/>
      <c r="HJ174" s="284"/>
      <c r="HK174" s="284"/>
      <c r="HL174" s="284"/>
      <c r="HM174" s="284"/>
      <c r="HN174" s="284"/>
      <c r="HO174" s="284"/>
      <c r="HP174" s="284"/>
      <c r="HQ174" s="284"/>
      <c r="HR174" s="284"/>
      <c r="HS174" s="284"/>
      <c r="HT174" s="284"/>
      <c r="HU174" s="284"/>
      <c r="HV174" s="284"/>
      <c r="HW174" s="284"/>
      <c r="HX174" s="284"/>
      <c r="HY174" s="284"/>
      <c r="HZ174" s="284"/>
      <c r="IA174" s="284"/>
      <c r="IB174" s="284"/>
      <c r="IC174" s="284"/>
      <c r="ID174" s="284"/>
      <c r="IE174" s="284"/>
      <c r="IF174" s="284"/>
      <c r="IG174" s="284"/>
      <c r="IH174" s="284"/>
      <c r="II174" s="284"/>
      <c r="IJ174" s="284"/>
      <c r="IK174" s="284"/>
      <c r="IL174" s="284"/>
      <c r="IM174" s="284"/>
      <c r="IN174" s="284"/>
      <c r="IO174" s="284"/>
      <c r="IP174" s="284"/>
      <c r="IQ174" s="284"/>
      <c r="IR174" s="284"/>
      <c r="IS174" s="284"/>
      <c r="IT174" s="284"/>
      <c r="IU174" s="284"/>
      <c r="IV174" s="284"/>
      <c r="IW174" s="284"/>
      <c r="IX174" s="284"/>
      <c r="IY174" s="284"/>
      <c r="IZ174" s="284"/>
      <c r="JA174" s="284"/>
      <c r="JB174" s="284"/>
      <c r="JC174" s="284"/>
      <c r="JD174" s="284"/>
      <c r="JE174" s="284"/>
      <c r="JF174" s="284"/>
      <c r="JG174" s="284"/>
      <c r="JH174" s="284"/>
      <c r="JI174" s="284"/>
      <c r="JJ174" s="284"/>
      <c r="JK174" s="284"/>
      <c r="JL174" s="284"/>
      <c r="JM174" s="284"/>
      <c r="JN174" s="284"/>
      <c r="JO174" s="284"/>
      <c r="JP174" s="284"/>
      <c r="JQ174" s="284"/>
      <c r="JR174" s="284"/>
      <c r="JS174" s="284"/>
      <c r="JT174" s="284"/>
      <c r="JU174" s="284"/>
      <c r="JV174" s="284"/>
      <c r="JW174" s="284"/>
      <c r="JX174" s="284"/>
      <c r="JY174" s="284"/>
      <c r="JZ174" s="284"/>
      <c r="KA174" s="284"/>
      <c r="KB174" s="284"/>
      <c r="KC174" s="284"/>
      <c r="KD174" s="284"/>
      <c r="KE174" s="284"/>
      <c r="KF174" s="284"/>
      <c r="KG174" s="284"/>
      <c r="KH174" s="284"/>
      <c r="KI174" s="284"/>
      <c r="KJ174" s="284"/>
      <c r="KK174" s="284"/>
      <c r="KL174" s="284"/>
      <c r="KM174" s="284"/>
      <c r="KN174" s="284"/>
      <c r="KO174" s="284"/>
      <c r="KP174" s="284"/>
      <c r="KQ174" s="284"/>
      <c r="KR174" s="284"/>
      <c r="KS174" s="284"/>
      <c r="KT174" s="284"/>
      <c r="KU174" s="288"/>
      <c r="KV174" s="288"/>
      <c r="KW174" s="288"/>
    </row>
    <row r="175" spans="1:964" s="1304" customFormat="1">
      <c r="A175" s="1910" t="s">
        <v>7668</v>
      </c>
      <c r="B175" s="1901" t="s">
        <v>7667</v>
      </c>
      <c r="C175" s="1918">
        <v>312355524</v>
      </c>
      <c r="D175" s="1948" t="s">
        <v>7724</v>
      </c>
      <c r="E175" s="1892"/>
      <c r="F175" s="74"/>
      <c r="G175" s="2519" t="s">
        <v>6895</v>
      </c>
      <c r="H175" s="1939" t="s">
        <v>6806</v>
      </c>
      <c r="I175" s="944"/>
      <c r="J175" s="944"/>
      <c r="K175" s="288"/>
      <c r="L175" s="288"/>
      <c r="M175" s="288"/>
      <c r="N175" s="288"/>
      <c r="O175" s="285" t="s">
        <v>7260</v>
      </c>
      <c r="P175" s="284"/>
      <c r="Q175" s="284"/>
      <c r="V175" s="288"/>
      <c r="W175" s="288"/>
      <c r="X175" s="288"/>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c r="AW175" s="284"/>
      <c r="AX175" s="284"/>
      <c r="AY175" s="284"/>
      <c r="AZ175" s="284"/>
      <c r="BA175" s="284"/>
      <c r="BB175" s="284"/>
      <c r="BC175" s="284"/>
      <c r="BD175" s="284"/>
      <c r="BE175" s="284"/>
      <c r="BF175" s="284"/>
      <c r="BG175" s="284"/>
      <c r="BH175" s="284"/>
      <c r="BI175" s="284"/>
      <c r="BJ175" s="284"/>
      <c r="BK175" s="284"/>
      <c r="BL175" s="284"/>
      <c r="BM175" s="284"/>
      <c r="BN175" s="284"/>
      <c r="BO175" s="284"/>
      <c r="BP175" s="284"/>
      <c r="BQ175" s="284"/>
      <c r="BR175" s="284"/>
      <c r="BS175" s="284"/>
      <c r="BT175" s="284"/>
      <c r="BU175" s="284"/>
      <c r="BV175" s="284"/>
      <c r="BW175" s="284"/>
      <c r="BX175" s="284"/>
      <c r="BY175" s="284"/>
      <c r="BZ175" s="284"/>
      <c r="CA175" s="284"/>
      <c r="CB175" s="284"/>
      <c r="CC175" s="284"/>
      <c r="CD175" s="284"/>
      <c r="CE175" s="284"/>
      <c r="CF175" s="284"/>
      <c r="CG175" s="284"/>
      <c r="CH175" s="284"/>
      <c r="CI175" s="284"/>
      <c r="CJ175" s="284"/>
      <c r="CK175" s="284"/>
      <c r="CL175" s="284"/>
      <c r="CM175" s="284"/>
      <c r="CN175" s="284"/>
      <c r="CO175" s="284"/>
      <c r="CP175" s="284"/>
      <c r="CQ175" s="284"/>
      <c r="CR175" s="284"/>
      <c r="CS175" s="284"/>
      <c r="CT175" s="284"/>
      <c r="CU175" s="284"/>
      <c r="CV175" s="284"/>
      <c r="CW175" s="284"/>
      <c r="CX175" s="284"/>
      <c r="CY175" s="284"/>
      <c r="CZ175" s="284"/>
      <c r="DA175" s="284"/>
      <c r="DB175" s="284"/>
      <c r="DC175" s="284"/>
      <c r="DD175" s="284"/>
      <c r="DE175" s="284"/>
      <c r="DF175" s="284"/>
      <c r="DG175" s="284"/>
      <c r="DH175" s="284"/>
      <c r="DI175" s="284"/>
      <c r="DJ175" s="284"/>
      <c r="DK175" s="284"/>
      <c r="DL175" s="284"/>
      <c r="DM175" s="284"/>
      <c r="DN175" s="284"/>
      <c r="DO175" s="284"/>
      <c r="DP175" s="284"/>
      <c r="DQ175" s="284"/>
      <c r="DR175" s="284"/>
      <c r="DS175" s="284"/>
      <c r="DT175" s="284"/>
      <c r="DU175" s="284"/>
      <c r="DV175" s="284"/>
      <c r="DW175" s="284"/>
      <c r="DX175" s="284"/>
      <c r="DY175" s="284"/>
      <c r="DZ175" s="284"/>
      <c r="EA175" s="284"/>
      <c r="EB175" s="284"/>
      <c r="EC175" s="284"/>
      <c r="ED175" s="284"/>
      <c r="EE175" s="284"/>
      <c r="EF175" s="284"/>
      <c r="EG175" s="284"/>
      <c r="EH175" s="284"/>
      <c r="EI175" s="284"/>
      <c r="EJ175" s="284"/>
      <c r="EK175" s="285"/>
      <c r="EL175" s="284"/>
      <c r="EM175" s="284"/>
      <c r="EN175" s="284"/>
      <c r="EO175" s="284"/>
      <c r="EP175" s="284"/>
      <c r="EQ175" s="284"/>
      <c r="ER175" s="284"/>
      <c r="ES175" s="284"/>
      <c r="ET175" s="284"/>
      <c r="EU175" s="284"/>
      <c r="EV175" s="284"/>
      <c r="EW175" s="284"/>
      <c r="EX175" s="284"/>
      <c r="EY175" s="284"/>
      <c r="EZ175" s="284"/>
      <c r="FA175" s="284"/>
      <c r="FB175" s="284"/>
      <c r="FC175" s="284"/>
      <c r="FD175" s="284"/>
      <c r="FE175" s="284"/>
      <c r="FF175" s="284"/>
      <c r="FG175" s="284"/>
      <c r="FH175" s="284"/>
      <c r="FI175" s="284"/>
      <c r="FJ175" s="284"/>
      <c r="FK175" s="284"/>
      <c r="FL175" s="284"/>
      <c r="FM175" s="284"/>
      <c r="FN175" s="284"/>
      <c r="FO175" s="284"/>
      <c r="FP175" s="284"/>
      <c r="FQ175" s="284"/>
      <c r="FR175" s="284"/>
      <c r="FS175" s="284"/>
      <c r="FT175" s="284"/>
      <c r="FU175" s="284"/>
      <c r="FV175" s="284"/>
      <c r="FW175" s="284"/>
      <c r="FX175" s="284"/>
      <c r="FY175" s="284"/>
      <c r="FZ175" s="284"/>
      <c r="GA175" s="284"/>
      <c r="GB175" s="284"/>
      <c r="GC175" s="284"/>
      <c r="GD175" s="284"/>
      <c r="GE175" s="284"/>
      <c r="GF175" s="284"/>
      <c r="GG175" s="284"/>
      <c r="GH175" s="284"/>
      <c r="GI175" s="284"/>
      <c r="GJ175" s="284"/>
      <c r="GK175" s="284"/>
      <c r="GL175" s="284"/>
      <c r="GM175" s="284"/>
      <c r="GN175" s="284"/>
      <c r="GO175" s="284"/>
      <c r="GP175" s="284"/>
      <c r="GQ175" s="284"/>
      <c r="GR175" s="284"/>
      <c r="GS175" s="284"/>
      <c r="GT175" s="284"/>
      <c r="GU175" s="284"/>
      <c r="GV175" s="284"/>
      <c r="GW175" s="284"/>
      <c r="GX175" s="284"/>
      <c r="GY175" s="284"/>
      <c r="GZ175" s="284"/>
      <c r="HA175" s="284"/>
      <c r="HB175" s="284"/>
      <c r="HC175" s="284"/>
      <c r="HD175" s="284"/>
      <c r="HE175" s="284"/>
      <c r="HF175" s="284"/>
      <c r="HG175" s="284"/>
      <c r="HH175" s="284"/>
      <c r="HI175" s="284"/>
      <c r="HJ175" s="284"/>
      <c r="HK175" s="284"/>
      <c r="HL175" s="284"/>
      <c r="HM175" s="284"/>
      <c r="HN175" s="284"/>
      <c r="HO175" s="284"/>
      <c r="HP175" s="284"/>
      <c r="HQ175" s="284"/>
      <c r="HR175" s="284"/>
      <c r="HS175" s="284"/>
      <c r="HT175" s="284"/>
      <c r="HU175" s="284"/>
      <c r="HV175" s="284"/>
      <c r="HW175" s="284"/>
      <c r="HX175" s="284"/>
      <c r="HY175" s="284"/>
      <c r="HZ175" s="284"/>
      <c r="IA175" s="284"/>
      <c r="IB175" s="284"/>
      <c r="IC175" s="284"/>
      <c r="ID175" s="284"/>
      <c r="IE175" s="284"/>
      <c r="IF175" s="284"/>
      <c r="IG175" s="284"/>
      <c r="IH175" s="284"/>
      <c r="II175" s="284"/>
      <c r="IJ175" s="284"/>
      <c r="IK175" s="284"/>
      <c r="IL175" s="284"/>
      <c r="IM175" s="284"/>
      <c r="IN175" s="284"/>
      <c r="IO175" s="284"/>
      <c r="IP175" s="284"/>
      <c r="IQ175" s="284"/>
      <c r="IR175" s="284"/>
      <c r="IS175" s="284"/>
      <c r="IT175" s="284"/>
      <c r="IU175" s="284"/>
      <c r="IV175" s="284"/>
      <c r="IW175" s="284"/>
      <c r="IX175" s="284"/>
      <c r="IY175" s="284"/>
      <c r="IZ175" s="284"/>
      <c r="JA175" s="284"/>
      <c r="JB175" s="284"/>
      <c r="JC175" s="284"/>
      <c r="JD175" s="284"/>
      <c r="JE175" s="284"/>
      <c r="JF175" s="284"/>
      <c r="JG175" s="284"/>
      <c r="JH175" s="284"/>
      <c r="JI175" s="284"/>
      <c r="JJ175" s="284"/>
      <c r="JK175" s="284"/>
      <c r="JL175" s="284"/>
      <c r="JM175" s="284"/>
      <c r="JN175" s="284"/>
      <c r="JO175" s="284"/>
      <c r="JP175" s="284"/>
      <c r="JQ175" s="284"/>
      <c r="JR175" s="284"/>
      <c r="JS175" s="284"/>
      <c r="JT175" s="284"/>
      <c r="JU175" s="284"/>
      <c r="JV175" s="284"/>
      <c r="JW175" s="284"/>
      <c r="JX175" s="284"/>
      <c r="JY175" s="284"/>
      <c r="JZ175" s="284"/>
      <c r="KA175" s="284"/>
      <c r="KB175" s="284"/>
      <c r="KC175" s="284"/>
      <c r="KD175" s="284"/>
      <c r="KE175" s="284"/>
      <c r="KF175" s="284"/>
      <c r="KG175" s="284"/>
      <c r="KH175" s="284"/>
      <c r="KI175" s="284"/>
      <c r="KJ175" s="284"/>
      <c r="KK175" s="284"/>
      <c r="KL175" s="284"/>
      <c r="KM175" s="284"/>
      <c r="KN175" s="284"/>
      <c r="KO175" s="284"/>
      <c r="KP175" s="284"/>
      <c r="KQ175" s="284"/>
      <c r="KR175" s="284"/>
      <c r="KS175" s="284"/>
      <c r="KT175" s="284"/>
      <c r="KU175" s="288"/>
      <c r="KV175" s="288"/>
      <c r="KW175" s="288"/>
    </row>
    <row r="176" spans="1:964" s="1304" customFormat="1">
      <c r="A176" s="1926" t="s">
        <v>7690</v>
      </c>
      <c r="B176" s="1925" t="s">
        <v>7689</v>
      </c>
      <c r="C176" s="1918">
        <v>312407459</v>
      </c>
      <c r="D176" s="1948" t="s">
        <v>7724</v>
      </c>
      <c r="E176" s="1948" t="s">
        <v>7706</v>
      </c>
      <c r="F176" s="74">
        <v>0</v>
      </c>
      <c r="G176" s="75"/>
      <c r="H176" s="1939" t="s">
        <v>6806</v>
      </c>
      <c r="I176" s="944"/>
      <c r="J176" s="944"/>
      <c r="K176" s="288"/>
      <c r="L176" s="288"/>
      <c r="M176" s="288"/>
      <c r="N176" s="288"/>
      <c r="O176" s="285" t="s">
        <v>7260</v>
      </c>
      <c r="P176" s="284"/>
      <c r="Q176" s="284"/>
      <c r="V176" s="288"/>
      <c r="W176" s="288"/>
      <c r="X176" s="288"/>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c r="AW176" s="284"/>
      <c r="AX176" s="284"/>
      <c r="AY176" s="284"/>
      <c r="AZ176" s="284"/>
      <c r="BA176" s="284"/>
      <c r="BB176" s="284"/>
      <c r="BC176" s="284"/>
      <c r="BD176" s="284"/>
      <c r="BE176" s="284"/>
      <c r="BF176" s="284"/>
      <c r="BG176" s="284"/>
      <c r="BH176" s="284"/>
      <c r="BI176" s="284"/>
      <c r="BJ176" s="284"/>
      <c r="BK176" s="284"/>
      <c r="BL176" s="284"/>
      <c r="BM176" s="284"/>
      <c r="BN176" s="284"/>
      <c r="BO176" s="284"/>
      <c r="BP176" s="284"/>
      <c r="BQ176" s="284"/>
      <c r="BR176" s="284"/>
      <c r="BS176" s="284"/>
      <c r="BT176" s="284"/>
      <c r="BU176" s="284"/>
      <c r="BV176" s="284"/>
      <c r="BW176" s="284"/>
      <c r="BX176" s="284"/>
      <c r="BY176" s="284"/>
      <c r="BZ176" s="284"/>
      <c r="CA176" s="284"/>
      <c r="CB176" s="284"/>
      <c r="CC176" s="284"/>
      <c r="CD176" s="284"/>
      <c r="CE176" s="284"/>
      <c r="CF176" s="284"/>
      <c r="CG176" s="284"/>
      <c r="CH176" s="284"/>
      <c r="CI176" s="284"/>
      <c r="CJ176" s="284"/>
      <c r="CK176" s="284"/>
      <c r="CL176" s="284"/>
      <c r="CM176" s="284"/>
      <c r="CN176" s="284"/>
      <c r="CO176" s="284"/>
      <c r="CP176" s="284"/>
      <c r="CQ176" s="284"/>
      <c r="CR176" s="284"/>
      <c r="CS176" s="284"/>
      <c r="CT176" s="284"/>
      <c r="CU176" s="284"/>
      <c r="CV176" s="284"/>
      <c r="CW176" s="284"/>
      <c r="CX176" s="284"/>
      <c r="CY176" s="284"/>
      <c r="CZ176" s="284"/>
      <c r="DA176" s="284"/>
      <c r="DB176" s="284"/>
      <c r="DC176" s="284"/>
      <c r="DD176" s="284"/>
      <c r="DE176" s="284"/>
      <c r="DF176" s="284"/>
      <c r="DG176" s="284"/>
      <c r="DH176" s="284"/>
      <c r="DI176" s="284"/>
      <c r="DJ176" s="284"/>
      <c r="DK176" s="284"/>
      <c r="DL176" s="284"/>
      <c r="DM176" s="284"/>
      <c r="DN176" s="284"/>
      <c r="DO176" s="284"/>
      <c r="DP176" s="284"/>
      <c r="DQ176" s="284"/>
      <c r="DR176" s="284"/>
      <c r="DS176" s="284"/>
      <c r="DT176" s="284"/>
      <c r="DU176" s="284"/>
      <c r="DV176" s="284"/>
      <c r="DW176" s="284"/>
      <c r="DX176" s="284"/>
      <c r="DY176" s="284"/>
      <c r="DZ176" s="284"/>
      <c r="EA176" s="284"/>
      <c r="EB176" s="284"/>
      <c r="EC176" s="284"/>
      <c r="ED176" s="284"/>
      <c r="EE176" s="284"/>
      <c r="EF176" s="284"/>
      <c r="EG176" s="284"/>
      <c r="EH176" s="284"/>
      <c r="EI176" s="284"/>
      <c r="EJ176" s="284"/>
      <c r="EK176" s="285"/>
      <c r="EL176" s="284"/>
      <c r="EM176" s="284"/>
      <c r="EN176" s="284"/>
      <c r="EO176" s="284"/>
      <c r="EP176" s="284"/>
      <c r="EQ176" s="284"/>
      <c r="ER176" s="284"/>
      <c r="ES176" s="284"/>
      <c r="ET176" s="284"/>
      <c r="EU176" s="284"/>
      <c r="EV176" s="284"/>
      <c r="EW176" s="284"/>
      <c r="EX176" s="284"/>
      <c r="EY176" s="284"/>
      <c r="EZ176" s="284"/>
      <c r="FA176" s="284"/>
      <c r="FB176" s="284"/>
      <c r="FC176" s="284"/>
      <c r="FD176" s="284"/>
      <c r="FE176" s="284"/>
      <c r="FF176" s="284"/>
      <c r="FG176" s="284"/>
      <c r="FH176" s="284"/>
      <c r="FI176" s="284"/>
      <c r="FJ176" s="284"/>
      <c r="FK176" s="284"/>
      <c r="FL176" s="284"/>
      <c r="FM176" s="284"/>
      <c r="FN176" s="284"/>
      <c r="FO176" s="284"/>
      <c r="FP176" s="284"/>
      <c r="FQ176" s="284"/>
      <c r="FR176" s="284"/>
      <c r="FS176" s="284"/>
      <c r="FT176" s="284"/>
      <c r="FU176" s="284"/>
      <c r="FV176" s="284"/>
      <c r="FW176" s="284"/>
      <c r="FX176" s="284"/>
      <c r="FY176" s="284"/>
      <c r="FZ176" s="284"/>
      <c r="GA176" s="284"/>
      <c r="GB176" s="284"/>
      <c r="GC176" s="284"/>
      <c r="GD176" s="284"/>
      <c r="GE176" s="284"/>
      <c r="GF176" s="284"/>
      <c r="GG176" s="284"/>
      <c r="GH176" s="284"/>
      <c r="GI176" s="284"/>
      <c r="GJ176" s="284"/>
      <c r="GK176" s="284"/>
      <c r="GL176" s="284"/>
      <c r="GM176" s="284"/>
      <c r="GN176" s="284"/>
      <c r="GO176" s="284"/>
      <c r="GP176" s="284"/>
      <c r="GQ176" s="284"/>
      <c r="GR176" s="284"/>
      <c r="GS176" s="284"/>
      <c r="GT176" s="284"/>
      <c r="GU176" s="284"/>
      <c r="GV176" s="284"/>
      <c r="GW176" s="284"/>
      <c r="GX176" s="284"/>
      <c r="GY176" s="284"/>
      <c r="GZ176" s="284"/>
      <c r="HA176" s="284"/>
      <c r="HB176" s="284"/>
      <c r="HC176" s="284"/>
      <c r="HD176" s="284"/>
      <c r="HE176" s="284"/>
      <c r="HF176" s="284"/>
      <c r="HG176" s="284"/>
      <c r="HH176" s="284"/>
      <c r="HI176" s="284"/>
      <c r="HJ176" s="284"/>
      <c r="HK176" s="284"/>
      <c r="HL176" s="284"/>
      <c r="HM176" s="284"/>
      <c r="HN176" s="284"/>
      <c r="HO176" s="284"/>
      <c r="HP176" s="284"/>
      <c r="HQ176" s="284"/>
      <c r="HR176" s="284"/>
      <c r="HS176" s="284"/>
      <c r="HT176" s="284"/>
      <c r="HU176" s="284"/>
      <c r="HV176" s="284"/>
      <c r="HW176" s="284"/>
      <c r="HX176" s="284"/>
      <c r="HY176" s="284"/>
      <c r="HZ176" s="284"/>
      <c r="IA176" s="284"/>
      <c r="IB176" s="284"/>
      <c r="IC176" s="284"/>
      <c r="ID176" s="284"/>
      <c r="IE176" s="284"/>
      <c r="IF176" s="284"/>
      <c r="IG176" s="284"/>
      <c r="IH176" s="284"/>
      <c r="II176" s="284"/>
      <c r="IJ176" s="284"/>
      <c r="IK176" s="284"/>
      <c r="IL176" s="284"/>
      <c r="IM176" s="284"/>
      <c r="IN176" s="284"/>
      <c r="IO176" s="284"/>
      <c r="IP176" s="284"/>
      <c r="IQ176" s="284"/>
      <c r="IR176" s="284"/>
      <c r="IS176" s="284"/>
      <c r="IT176" s="284"/>
      <c r="IU176" s="284"/>
      <c r="IV176" s="284"/>
      <c r="IW176" s="284"/>
      <c r="IX176" s="284"/>
      <c r="IY176" s="284"/>
      <c r="IZ176" s="284"/>
      <c r="JA176" s="284"/>
      <c r="JB176" s="284"/>
      <c r="JC176" s="284"/>
      <c r="JD176" s="284"/>
      <c r="JE176" s="284"/>
      <c r="JF176" s="284"/>
      <c r="JG176" s="284"/>
      <c r="JH176" s="284"/>
      <c r="JI176" s="284"/>
      <c r="JJ176" s="284"/>
      <c r="JK176" s="284"/>
      <c r="JL176" s="284"/>
      <c r="JM176" s="284"/>
      <c r="JN176" s="284"/>
      <c r="JO176" s="284"/>
      <c r="JP176" s="284"/>
      <c r="JQ176" s="284"/>
      <c r="JR176" s="284"/>
      <c r="JS176" s="284"/>
      <c r="JT176" s="284"/>
      <c r="JU176" s="284"/>
      <c r="JV176" s="284"/>
      <c r="JW176" s="284"/>
      <c r="JX176" s="284"/>
      <c r="JY176" s="284"/>
      <c r="JZ176" s="284"/>
      <c r="KA176" s="284"/>
      <c r="KB176" s="284"/>
      <c r="KC176" s="284"/>
      <c r="KD176" s="284"/>
      <c r="KE176" s="284"/>
      <c r="KF176" s="284"/>
      <c r="KG176" s="284"/>
      <c r="KH176" s="284"/>
      <c r="KI176" s="284"/>
      <c r="KJ176" s="284"/>
      <c r="KK176" s="284"/>
      <c r="KL176" s="284"/>
      <c r="KM176" s="284"/>
      <c r="KN176" s="284"/>
      <c r="KO176" s="284"/>
      <c r="KP176" s="284"/>
      <c r="KQ176" s="284"/>
      <c r="KR176" s="284"/>
      <c r="KS176" s="284"/>
      <c r="KT176" s="284"/>
      <c r="KU176" s="288"/>
      <c r="KV176" s="288"/>
      <c r="KW176" s="288"/>
    </row>
    <row r="177" spans="1:964" s="1304" customFormat="1" ht="28.8">
      <c r="A177" s="658" t="s">
        <v>7682</v>
      </c>
      <c r="B177" s="1932" t="s">
        <v>7693</v>
      </c>
      <c r="C177" s="1602">
        <v>312400999</v>
      </c>
      <c r="D177" s="74"/>
      <c r="E177" s="74" t="s">
        <v>7692</v>
      </c>
      <c r="F177" s="74"/>
      <c r="G177" s="2519" t="s">
        <v>6895</v>
      </c>
      <c r="H177" s="1939" t="s">
        <v>6806</v>
      </c>
      <c r="I177" s="944"/>
      <c r="J177" s="944"/>
      <c r="K177" s="288"/>
      <c r="L177" s="288"/>
      <c r="M177" s="288"/>
      <c r="N177" s="288"/>
      <c r="O177" s="285" t="s">
        <v>7260</v>
      </c>
      <c r="P177" s="284"/>
      <c r="Q177" s="284"/>
      <c r="R177" s="288"/>
      <c r="S177" s="288"/>
      <c r="T177" s="288"/>
      <c r="U177" s="288"/>
      <c r="V177" s="288">
        <f>99-38-32</f>
        <v>29</v>
      </c>
      <c r="W177" s="288"/>
      <c r="X177" s="288"/>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c r="AW177" s="284"/>
      <c r="AX177" s="284"/>
      <c r="AY177" s="284"/>
      <c r="AZ177" s="284"/>
      <c r="BA177" s="284"/>
      <c r="BB177" s="284"/>
      <c r="BC177" s="284"/>
      <c r="BD177" s="284"/>
      <c r="BE177" s="284"/>
      <c r="BF177" s="284"/>
      <c r="BG177" s="284"/>
      <c r="BH177" s="284"/>
      <c r="BI177" s="284"/>
      <c r="BJ177" s="284"/>
      <c r="BK177" s="284"/>
      <c r="BL177" s="284"/>
      <c r="BM177" s="284"/>
      <c r="BN177" s="284"/>
      <c r="BO177" s="284"/>
      <c r="BP177" s="284"/>
      <c r="BQ177" s="284"/>
      <c r="BR177" s="284"/>
      <c r="BS177" s="284"/>
      <c r="BT177" s="284"/>
      <c r="BU177" s="284"/>
      <c r="BV177" s="284"/>
      <c r="BW177" s="284"/>
      <c r="BX177" s="284"/>
      <c r="BY177" s="284"/>
      <c r="BZ177" s="284"/>
      <c r="CA177" s="284"/>
      <c r="CB177" s="284"/>
      <c r="CC177" s="284"/>
      <c r="CD177" s="284"/>
      <c r="CE177" s="284"/>
      <c r="CF177" s="284"/>
      <c r="CG177" s="284"/>
      <c r="CH177" s="284"/>
      <c r="CI177" s="284"/>
      <c r="CJ177" s="284"/>
      <c r="CK177" s="284"/>
      <c r="CL177" s="284"/>
      <c r="CM177" s="284"/>
      <c r="CN177" s="284"/>
      <c r="CO177" s="284"/>
      <c r="CP177" s="284"/>
      <c r="CQ177" s="284"/>
      <c r="CR177" s="284"/>
      <c r="CS177" s="284"/>
      <c r="CT177" s="284"/>
      <c r="CU177" s="284"/>
      <c r="CV177" s="284"/>
      <c r="CW177" s="284"/>
      <c r="CX177" s="284"/>
      <c r="CY177" s="284"/>
      <c r="CZ177" s="284"/>
      <c r="DA177" s="284"/>
      <c r="DB177" s="284"/>
      <c r="DC177" s="284"/>
      <c r="DD177" s="284"/>
      <c r="DE177" s="284"/>
      <c r="DF177" s="284"/>
      <c r="DG177" s="284"/>
      <c r="DH177" s="284"/>
      <c r="DI177" s="284"/>
      <c r="DJ177" s="284"/>
      <c r="DK177" s="284"/>
      <c r="DL177" s="284"/>
      <c r="DM177" s="284"/>
      <c r="DN177" s="284"/>
      <c r="DO177" s="284"/>
      <c r="DP177" s="284"/>
      <c r="DQ177" s="284"/>
      <c r="DR177" s="284"/>
      <c r="DS177" s="284"/>
      <c r="DT177" s="284"/>
      <c r="DU177" s="284"/>
      <c r="DV177" s="284"/>
      <c r="DW177" s="284"/>
      <c r="DX177" s="284"/>
      <c r="DY177" s="284"/>
      <c r="DZ177" s="284"/>
      <c r="EA177" s="284"/>
      <c r="EB177" s="284"/>
      <c r="EC177" s="284"/>
      <c r="ED177" s="284"/>
      <c r="EE177" s="284"/>
      <c r="EF177" s="284"/>
      <c r="EG177" s="284"/>
      <c r="EH177" s="284"/>
      <c r="EI177" s="284"/>
      <c r="EJ177" s="284"/>
      <c r="EK177" s="285"/>
      <c r="EL177" s="284"/>
      <c r="EM177" s="284"/>
      <c r="EN177" s="284"/>
      <c r="EO177" s="284"/>
      <c r="EP177" s="284"/>
      <c r="EQ177" s="284"/>
      <c r="ER177" s="284"/>
      <c r="ES177" s="284"/>
      <c r="ET177" s="284"/>
      <c r="EU177" s="284"/>
      <c r="EV177" s="284"/>
      <c r="EW177" s="284"/>
      <c r="EX177" s="284"/>
      <c r="EY177" s="284"/>
      <c r="EZ177" s="284"/>
      <c r="FA177" s="284"/>
      <c r="FB177" s="284"/>
      <c r="FC177" s="284"/>
      <c r="FD177" s="284"/>
      <c r="FE177" s="284"/>
      <c r="FF177" s="284"/>
      <c r="FG177" s="284"/>
      <c r="FH177" s="284"/>
      <c r="FI177" s="284"/>
      <c r="FJ177" s="284"/>
      <c r="FK177" s="284"/>
      <c r="FL177" s="284"/>
      <c r="FM177" s="284"/>
      <c r="FN177" s="284"/>
      <c r="FO177" s="284"/>
      <c r="FP177" s="284"/>
      <c r="FQ177" s="284"/>
      <c r="FR177" s="284"/>
      <c r="FS177" s="284"/>
      <c r="FT177" s="284"/>
      <c r="FU177" s="284"/>
      <c r="FV177" s="284"/>
      <c r="FW177" s="284"/>
      <c r="FX177" s="284"/>
      <c r="FY177" s="284"/>
      <c r="FZ177" s="284"/>
      <c r="GA177" s="284"/>
      <c r="GB177" s="284"/>
      <c r="GC177" s="284"/>
      <c r="GD177" s="284"/>
      <c r="GE177" s="284"/>
      <c r="GF177" s="284"/>
      <c r="GG177" s="284"/>
      <c r="GH177" s="284"/>
      <c r="GI177" s="284"/>
      <c r="GJ177" s="284"/>
      <c r="GK177" s="284"/>
      <c r="GL177" s="284"/>
      <c r="GM177" s="284"/>
      <c r="GN177" s="284"/>
      <c r="GO177" s="284"/>
      <c r="GP177" s="284"/>
      <c r="GQ177" s="284"/>
      <c r="GR177" s="284"/>
      <c r="GS177" s="284"/>
      <c r="GT177" s="284"/>
      <c r="GU177" s="284"/>
      <c r="GV177" s="284"/>
      <c r="GW177" s="284"/>
      <c r="GX177" s="284"/>
      <c r="GY177" s="284"/>
      <c r="GZ177" s="284"/>
      <c r="HA177" s="284"/>
      <c r="HB177" s="284"/>
      <c r="HC177" s="284"/>
      <c r="HD177" s="284"/>
      <c r="HE177" s="284"/>
      <c r="HF177" s="284"/>
      <c r="HG177" s="284"/>
      <c r="HH177" s="284"/>
      <c r="HI177" s="284"/>
      <c r="HJ177" s="284"/>
      <c r="HK177" s="284"/>
      <c r="HL177" s="284"/>
      <c r="HM177" s="284"/>
      <c r="HN177" s="284"/>
      <c r="HO177" s="284"/>
      <c r="HP177" s="284"/>
      <c r="HQ177" s="284"/>
      <c r="HR177" s="284"/>
      <c r="HS177" s="284"/>
      <c r="HT177" s="284"/>
      <c r="HU177" s="284"/>
      <c r="HV177" s="284"/>
      <c r="HW177" s="284"/>
      <c r="HX177" s="284"/>
      <c r="HY177" s="284"/>
      <c r="HZ177" s="284"/>
      <c r="IA177" s="284"/>
      <c r="IB177" s="284"/>
      <c r="IC177" s="284"/>
      <c r="ID177" s="284"/>
      <c r="IE177" s="284"/>
      <c r="IF177" s="284"/>
      <c r="IG177" s="284"/>
      <c r="IH177" s="284"/>
      <c r="II177" s="284"/>
      <c r="IJ177" s="284"/>
      <c r="IK177" s="284"/>
      <c r="IL177" s="284"/>
      <c r="IM177" s="284"/>
      <c r="IN177" s="284"/>
      <c r="IO177" s="284"/>
      <c r="IP177" s="284"/>
      <c r="IQ177" s="284"/>
      <c r="IR177" s="284"/>
      <c r="IS177" s="284"/>
      <c r="IT177" s="284"/>
      <c r="IU177" s="284"/>
      <c r="IV177" s="284"/>
      <c r="IW177" s="284"/>
      <c r="IX177" s="284"/>
      <c r="IY177" s="284"/>
      <c r="IZ177" s="284"/>
      <c r="JA177" s="284"/>
      <c r="JB177" s="284"/>
      <c r="JC177" s="284"/>
      <c r="JD177" s="284"/>
      <c r="JE177" s="284"/>
      <c r="JF177" s="284"/>
      <c r="JG177" s="284"/>
      <c r="JH177" s="284"/>
      <c r="JI177" s="284"/>
      <c r="JJ177" s="284"/>
      <c r="JK177" s="284"/>
      <c r="JL177" s="284"/>
      <c r="JM177" s="284"/>
      <c r="JN177" s="284"/>
      <c r="JO177" s="284"/>
      <c r="JP177" s="284"/>
      <c r="JQ177" s="284"/>
      <c r="JR177" s="284"/>
      <c r="JS177" s="284"/>
      <c r="JT177" s="284"/>
      <c r="JU177" s="284"/>
      <c r="JV177" s="284"/>
      <c r="JW177" s="284"/>
      <c r="JX177" s="284"/>
      <c r="JY177" s="284"/>
      <c r="JZ177" s="284"/>
      <c r="KA177" s="284"/>
      <c r="KB177" s="284"/>
      <c r="KC177" s="284"/>
      <c r="KD177" s="284"/>
      <c r="KE177" s="284"/>
      <c r="KF177" s="284"/>
      <c r="KG177" s="284"/>
      <c r="KH177" s="284"/>
      <c r="KI177" s="284"/>
      <c r="KJ177" s="284"/>
      <c r="KK177" s="284"/>
      <c r="KL177" s="284"/>
      <c r="KM177" s="284"/>
      <c r="KN177" s="284"/>
      <c r="KO177" s="284"/>
      <c r="KP177" s="284"/>
      <c r="KQ177" s="284"/>
      <c r="KR177" s="284"/>
      <c r="KS177" s="284"/>
      <c r="KT177" s="284"/>
      <c r="KU177" s="288"/>
      <c r="KV177" s="288"/>
      <c r="KW177" s="288"/>
    </row>
    <row r="178" spans="1:964" s="1304" customFormat="1">
      <c r="A178" s="74" t="s">
        <v>7690</v>
      </c>
      <c r="B178" s="922" t="s">
        <v>7691</v>
      </c>
      <c r="C178" s="1602">
        <v>312410543</v>
      </c>
      <c r="D178" s="1948" t="s">
        <v>7724</v>
      </c>
      <c r="E178" s="1948" t="s">
        <v>7705</v>
      </c>
      <c r="F178" s="74"/>
      <c r="G178" s="75"/>
      <c r="H178" s="1939" t="s">
        <v>6806</v>
      </c>
      <c r="I178" s="944" t="s">
        <v>4121</v>
      </c>
      <c r="J178" s="74">
        <f>SUM(J150:J157)</f>
        <v>0</v>
      </c>
      <c r="K178" s="284"/>
      <c r="L178" s="284"/>
      <c r="M178" s="284"/>
      <c r="N178" s="284"/>
      <c r="O178" s="285" t="s">
        <v>7260</v>
      </c>
      <c r="P178" s="284"/>
      <c r="Q178" s="284"/>
      <c r="EK178" s="285"/>
      <c r="LA178" s="1304">
        <v>0.9</v>
      </c>
      <c r="LB178" s="1304">
        <v>75</v>
      </c>
      <c r="LC178" s="1304">
        <v>265.39999999999998</v>
      </c>
      <c r="LD178" s="1304">
        <v>265.39999999999998</v>
      </c>
      <c r="LE178" s="1304">
        <v>432.5</v>
      </c>
      <c r="LF178" s="1304">
        <v>243</v>
      </c>
      <c r="LG178" s="1304">
        <v>53</v>
      </c>
      <c r="LJ178" s="1304">
        <v>7.5</v>
      </c>
      <c r="LK178" s="1304">
        <v>7.5</v>
      </c>
      <c r="LL178" s="1304">
        <v>7.5</v>
      </c>
      <c r="LM178" s="1304">
        <v>7.5</v>
      </c>
      <c r="LN178" s="1304">
        <v>7.5</v>
      </c>
      <c r="NZ178" s="1304">
        <v>0.9</v>
      </c>
      <c r="OA178" s="1304">
        <v>0.9</v>
      </c>
      <c r="OB178" s="1304">
        <v>0.9</v>
      </c>
      <c r="OC178" s="1304">
        <v>0.9</v>
      </c>
      <c r="OD178" s="1304">
        <v>0.9</v>
      </c>
      <c r="OE178" s="1304">
        <v>0.9</v>
      </c>
      <c r="OF178" s="1304">
        <v>0.74</v>
      </c>
      <c r="OG178" s="1304">
        <v>0.74</v>
      </c>
      <c r="OH178" s="1304">
        <v>0.74</v>
      </c>
      <c r="OI178" s="1304">
        <v>0.74</v>
      </c>
      <c r="OJ178" s="1304">
        <v>0.74</v>
      </c>
      <c r="OK178" s="1304">
        <v>0.74</v>
      </c>
      <c r="OL178" s="1304">
        <v>0.74</v>
      </c>
      <c r="OM178" s="1304">
        <v>0.74</v>
      </c>
      <c r="ON178" s="1304">
        <v>0.74</v>
      </c>
      <c r="OO178" s="1304">
        <v>0.74</v>
      </c>
      <c r="RQ178" s="1304">
        <v>7.5</v>
      </c>
      <c r="RR178" s="1304">
        <v>7.5</v>
      </c>
      <c r="RS178" s="1304">
        <v>7.5</v>
      </c>
      <c r="RT178" s="1304">
        <v>7.5</v>
      </c>
      <c r="RU178" s="1304">
        <v>7.5</v>
      </c>
      <c r="RV178" s="1304">
        <v>7.5</v>
      </c>
      <c r="RW178" s="1304">
        <v>7.5</v>
      </c>
      <c r="RX178" s="1304">
        <v>7.5</v>
      </c>
      <c r="RY178" s="1304">
        <v>7.5</v>
      </c>
      <c r="RZ178" s="1304">
        <v>7.5</v>
      </c>
      <c r="SA178" s="1304">
        <v>7.5</v>
      </c>
      <c r="SB178" s="1304">
        <v>7.5</v>
      </c>
      <c r="SC178" s="1304">
        <v>7.5</v>
      </c>
      <c r="SD178" s="1304">
        <v>7.5</v>
      </c>
      <c r="SE178" s="1304">
        <v>7.5</v>
      </c>
      <c r="SF178" s="1304">
        <v>7.5</v>
      </c>
      <c r="SG178" s="1304">
        <v>7.5</v>
      </c>
      <c r="SH178" s="1304">
        <v>7.5</v>
      </c>
      <c r="SI178" s="1304">
        <v>7.5</v>
      </c>
      <c r="SJ178" s="1304">
        <v>7.5</v>
      </c>
      <c r="SK178" s="1304">
        <v>7.5</v>
      </c>
      <c r="SL178" s="1304">
        <v>7.5</v>
      </c>
      <c r="SM178" s="1304">
        <v>7.5</v>
      </c>
      <c r="SN178" s="1304">
        <v>7.5</v>
      </c>
      <c r="SO178" s="1304">
        <v>7.5</v>
      </c>
      <c r="SP178" s="1304">
        <v>7.5</v>
      </c>
      <c r="SQ178" s="1304">
        <v>7.5</v>
      </c>
      <c r="SR178" s="1304">
        <v>7.5</v>
      </c>
      <c r="SS178" s="1304">
        <v>7.5</v>
      </c>
      <c r="ST178" s="1304">
        <v>7.5</v>
      </c>
      <c r="AJT178" s="1304">
        <v>7.5</v>
      </c>
      <c r="AJU178" s="1304">
        <v>7.5</v>
      </c>
      <c r="AJV178" s="1304">
        <v>7.5</v>
      </c>
      <c r="AJW178" s="1304">
        <v>7.5</v>
      </c>
      <c r="AJX178" s="1304">
        <v>7.5</v>
      </c>
      <c r="AJY178" s="1304">
        <v>7.5</v>
      </c>
      <c r="AJZ178" s="1304">
        <v>7.5</v>
      </c>
      <c r="AKA178" s="1304">
        <v>7.5</v>
      </c>
      <c r="AKB178" s="1304">
        <v>7.5</v>
      </c>
    </row>
    <row r="179" spans="1:964" s="1304" customFormat="1">
      <c r="A179" s="1940" t="s">
        <v>7690</v>
      </c>
      <c r="B179" s="1966" t="s">
        <v>7696</v>
      </c>
      <c r="C179" s="1602">
        <v>312440260</v>
      </c>
      <c r="D179" s="74"/>
      <c r="E179" s="1948" t="s">
        <v>7704</v>
      </c>
      <c r="F179" s="74"/>
      <c r="G179" s="75"/>
      <c r="H179" s="1939" t="s">
        <v>6806</v>
      </c>
      <c r="I179" s="944" t="s">
        <v>4121</v>
      </c>
      <c r="J179" s="74"/>
      <c r="K179" s="284"/>
      <c r="L179" s="284"/>
      <c r="M179" s="284"/>
      <c r="N179" s="284"/>
      <c r="O179" s="285" t="s">
        <v>7260</v>
      </c>
      <c r="P179" s="284"/>
      <c r="Q179" s="284"/>
      <c r="EK179" s="285"/>
    </row>
    <row r="180" spans="1:964" s="1304" customFormat="1">
      <c r="A180" s="1940" t="s">
        <v>7695</v>
      </c>
      <c r="B180" s="1966" t="s">
        <v>7701</v>
      </c>
      <c r="C180" s="1602">
        <v>312462297</v>
      </c>
      <c r="D180" s="74"/>
      <c r="E180" s="1977" t="s">
        <v>7703</v>
      </c>
      <c r="F180" s="74"/>
      <c r="G180" s="75"/>
      <c r="H180" s="1939" t="s">
        <v>6806</v>
      </c>
      <c r="I180" s="944"/>
      <c r="J180" s="74"/>
      <c r="K180" s="284"/>
      <c r="L180" s="284"/>
      <c r="M180" s="284"/>
      <c r="N180" s="284"/>
      <c r="O180" s="285" t="s">
        <v>7260</v>
      </c>
      <c r="P180" s="284"/>
      <c r="Q180" s="284"/>
      <c r="EK180" s="285"/>
    </row>
    <row r="181" spans="1:964" s="1304" customFormat="1">
      <c r="A181" s="1948" t="s">
        <v>7717</v>
      </c>
      <c r="B181" s="1948" t="s">
        <v>7718</v>
      </c>
      <c r="C181" s="1602">
        <v>312484981</v>
      </c>
      <c r="D181" s="1948" t="s">
        <v>7725</v>
      </c>
      <c r="E181" s="1948" t="s">
        <v>7719</v>
      </c>
      <c r="F181" s="74"/>
      <c r="G181" s="75"/>
      <c r="H181" s="658">
        <v>0</v>
      </c>
      <c r="I181" s="658"/>
      <c r="J181" s="944"/>
      <c r="K181" s="284"/>
      <c r="L181" s="284"/>
      <c r="M181" s="284"/>
      <c r="N181" s="284"/>
      <c r="EK181" s="285"/>
    </row>
    <row r="182" spans="1:964" s="1304" customFormat="1">
      <c r="A182" s="1948" t="s">
        <v>7717</v>
      </c>
      <c r="B182" s="1948" t="s">
        <v>7720</v>
      </c>
      <c r="C182" s="1602">
        <v>312489168</v>
      </c>
      <c r="D182" s="74"/>
      <c r="E182" s="1948" t="s">
        <v>7721</v>
      </c>
      <c r="F182" s="74">
        <v>1</v>
      </c>
      <c r="G182" s="75"/>
      <c r="H182" s="1939" t="s">
        <v>6806</v>
      </c>
      <c r="I182" s="658">
        <f>33-33</f>
        <v>0</v>
      </c>
      <c r="J182" s="1983"/>
      <c r="K182" s="260"/>
      <c r="L182" s="1308"/>
      <c r="M182" s="1308"/>
      <c r="N182" s="1308"/>
      <c r="O182" s="285" t="s">
        <v>7260</v>
      </c>
      <c r="P182" s="284"/>
      <c r="Q182" s="284"/>
      <c r="EK182" s="285"/>
    </row>
    <row r="183" spans="1:964" s="1304" customFormat="1">
      <c r="A183" s="1948" t="s">
        <v>7717</v>
      </c>
      <c r="B183" s="1948" t="s">
        <v>7723</v>
      </c>
      <c r="C183" s="1602">
        <v>312487424</v>
      </c>
      <c r="D183" s="1948" t="s">
        <v>7724</v>
      </c>
      <c r="E183" s="1977" t="s">
        <v>7722</v>
      </c>
      <c r="F183" s="74"/>
      <c r="G183" s="75"/>
      <c r="H183" s="1939" t="s">
        <v>6806</v>
      </c>
      <c r="I183" s="658"/>
      <c r="J183" s="944"/>
      <c r="K183" s="284"/>
      <c r="L183" s="284"/>
      <c r="M183" s="284"/>
      <c r="N183" s="284"/>
      <c r="O183" s="285" t="s">
        <v>7260</v>
      </c>
      <c r="P183" s="284"/>
      <c r="Q183" s="284"/>
      <c r="EK183" s="285"/>
    </row>
    <row r="184" spans="1:964" s="1304" customFormat="1">
      <c r="A184" s="1948" t="s">
        <v>7731</v>
      </c>
      <c r="B184" s="1967" t="s">
        <v>7730</v>
      </c>
      <c r="C184" s="1955">
        <v>312507904</v>
      </c>
      <c r="D184" s="1948"/>
      <c r="E184" s="1977" t="s">
        <v>7743</v>
      </c>
      <c r="F184" s="74"/>
      <c r="G184" s="75"/>
      <c r="H184" s="1939" t="s">
        <v>6806</v>
      </c>
      <c r="I184" s="658"/>
      <c r="J184" s="944"/>
      <c r="K184" s="284"/>
      <c r="L184" s="284"/>
      <c r="M184" s="284"/>
      <c r="N184" s="284"/>
      <c r="O184" s="285" t="s">
        <v>7260</v>
      </c>
      <c r="P184" s="284"/>
      <c r="Q184" s="284"/>
      <c r="EK184" s="285"/>
    </row>
    <row r="185" spans="1:964" s="1304" customFormat="1">
      <c r="A185" s="1948" t="s">
        <v>7731</v>
      </c>
      <c r="B185" s="1956" t="s">
        <v>7732</v>
      </c>
      <c r="C185" s="1602">
        <v>312508499</v>
      </c>
      <c r="D185" s="1948"/>
      <c r="E185" s="1981" t="s">
        <v>7744</v>
      </c>
      <c r="F185" s="74">
        <v>1.5</v>
      </c>
      <c r="G185" s="75"/>
      <c r="H185" s="1939" t="s">
        <v>6806</v>
      </c>
      <c r="I185" s="1979">
        <v>0</v>
      </c>
      <c r="J185" s="944"/>
      <c r="K185" s="260"/>
      <c r="L185" s="1308"/>
      <c r="M185" s="1308"/>
      <c r="N185" s="1308"/>
      <c r="O185" s="285" t="s">
        <v>7260</v>
      </c>
      <c r="P185" s="284"/>
      <c r="Q185" s="284"/>
      <c r="EK185" s="285"/>
    </row>
    <row r="186" spans="1:964" s="1304" customFormat="1">
      <c r="A186" s="1948" t="s">
        <v>7734</v>
      </c>
      <c r="B186" s="1968" t="s">
        <v>7733</v>
      </c>
      <c r="C186" s="1602">
        <v>312515775</v>
      </c>
      <c r="D186" s="1948"/>
      <c r="E186" s="1982" t="s">
        <v>7757</v>
      </c>
      <c r="F186" s="74"/>
      <c r="G186" s="75"/>
      <c r="H186" s="1939" t="s">
        <v>6806</v>
      </c>
      <c r="I186" s="658">
        <v>0</v>
      </c>
      <c r="J186" s="944"/>
      <c r="K186" s="288"/>
      <c r="L186" s="288"/>
      <c r="M186" s="288"/>
      <c r="N186" s="288"/>
      <c r="O186" s="285" t="s">
        <v>7260</v>
      </c>
      <c r="P186" s="284"/>
      <c r="Q186" s="284"/>
      <c r="R186" s="1984" t="s">
        <v>7798</v>
      </c>
      <c r="S186" s="1984"/>
      <c r="T186" s="1984"/>
      <c r="U186" s="1984"/>
      <c r="EK186" s="285"/>
    </row>
    <row r="187" spans="1:964" s="1304" customFormat="1">
      <c r="A187" s="1948" t="s">
        <v>7734</v>
      </c>
      <c r="B187" s="1956" t="s">
        <v>7741</v>
      </c>
      <c r="C187" s="1602">
        <v>312517187</v>
      </c>
      <c r="D187" s="1948"/>
      <c r="E187" s="1948" t="s">
        <v>7742</v>
      </c>
      <c r="F187" s="74"/>
      <c r="G187" s="75"/>
      <c r="H187" s="1939" t="s">
        <v>6806</v>
      </c>
      <c r="I187" s="658">
        <v>0</v>
      </c>
      <c r="J187" s="944"/>
      <c r="K187" s="288"/>
      <c r="L187" s="288"/>
      <c r="M187" s="288"/>
      <c r="N187" s="288"/>
      <c r="O187" s="285" t="s">
        <v>7260</v>
      </c>
      <c r="P187" s="284"/>
      <c r="Q187" s="284"/>
      <c r="R187" s="1984" t="s">
        <v>7799</v>
      </c>
      <c r="S187" s="1984"/>
      <c r="T187" s="1984"/>
      <c r="U187" s="1984"/>
      <c r="EK187" s="285"/>
    </row>
    <row r="188" spans="1:964" s="1304" customFormat="1">
      <c r="A188" s="1959" t="s">
        <v>7775</v>
      </c>
      <c r="B188" s="1970" t="s">
        <v>7778</v>
      </c>
      <c r="C188" s="1602">
        <v>312558818</v>
      </c>
      <c r="D188" s="1948"/>
      <c r="E188" s="1901" t="s">
        <v>7675</v>
      </c>
      <c r="F188" s="74"/>
      <c r="G188" s="75"/>
      <c r="H188" s="1939" t="s">
        <v>6806</v>
      </c>
      <c r="I188" s="658">
        <v>0</v>
      </c>
      <c r="J188" s="944"/>
      <c r="K188" s="284"/>
      <c r="L188" s="284"/>
      <c r="M188" s="284"/>
      <c r="N188" s="284"/>
      <c r="EK188" s="285"/>
    </row>
    <row r="189" spans="1:964" s="1304" customFormat="1">
      <c r="A189" s="1959" t="s">
        <v>7775</v>
      </c>
      <c r="B189" s="1964" t="s">
        <v>7774</v>
      </c>
      <c r="C189" s="1602">
        <v>312560294</v>
      </c>
      <c r="D189" s="1948"/>
      <c r="E189" s="1937" t="s">
        <v>7675</v>
      </c>
      <c r="F189" s="74">
        <v>2</v>
      </c>
      <c r="G189" s="75"/>
      <c r="H189" s="1939" t="s">
        <v>6806</v>
      </c>
      <c r="I189" s="658">
        <v>0</v>
      </c>
      <c r="J189" s="1985" t="s">
        <v>4121</v>
      </c>
      <c r="K189" s="288"/>
      <c r="L189" s="288"/>
      <c r="M189" s="288"/>
      <c r="N189" s="288"/>
      <c r="EK189" s="285"/>
    </row>
    <row r="190" spans="1:964" s="1304" customFormat="1" ht="13.8" customHeight="1">
      <c r="A190" s="1971" t="s">
        <v>7777</v>
      </c>
      <c r="B190" s="1970" t="s">
        <v>7776</v>
      </c>
      <c r="C190" s="1602">
        <v>312567094</v>
      </c>
      <c r="D190" s="1948"/>
      <c r="E190" s="1901" t="s">
        <v>7675</v>
      </c>
      <c r="F190" s="74"/>
      <c r="G190" s="75"/>
      <c r="H190" s="1939" t="s">
        <v>6806</v>
      </c>
      <c r="I190" s="658">
        <v>0</v>
      </c>
      <c r="J190" s="944" t="s">
        <v>4121</v>
      </c>
      <c r="K190" s="284"/>
      <c r="L190" s="284"/>
      <c r="M190" s="284"/>
      <c r="N190" s="284"/>
      <c r="O190" s="1984"/>
      <c r="P190" s="1984"/>
      <c r="Q190" s="1984"/>
      <c r="R190" s="1978"/>
      <c r="S190" s="1978"/>
      <c r="T190" s="1978"/>
      <c r="U190" s="1978"/>
      <c r="V190" s="1978"/>
      <c r="EK190" s="285"/>
    </row>
    <row r="191" spans="1:964" s="1304" customFormat="1" ht="13.8" customHeight="1">
      <c r="A191" s="1971" t="s">
        <v>7786</v>
      </c>
      <c r="B191" s="1970" t="s">
        <v>7785</v>
      </c>
      <c r="C191" s="1602">
        <v>312575457</v>
      </c>
      <c r="D191" s="1948"/>
      <c r="E191" s="1901" t="s">
        <v>7675</v>
      </c>
      <c r="F191" s="74"/>
      <c r="G191" s="75"/>
      <c r="H191" s="1939" t="s">
        <v>6806</v>
      </c>
      <c r="I191" s="658">
        <v>0</v>
      </c>
      <c r="J191" s="944"/>
      <c r="K191" s="284"/>
      <c r="L191" s="284"/>
      <c r="M191" s="284"/>
      <c r="N191" s="284"/>
      <c r="EK191" s="285"/>
    </row>
    <row r="192" spans="1:964" s="1304" customFormat="1">
      <c r="A192" s="1971" t="s">
        <v>7784</v>
      </c>
      <c r="B192" s="1988" t="s">
        <v>7783</v>
      </c>
      <c r="C192" s="1602">
        <v>312586815</v>
      </c>
      <c r="D192" s="1948"/>
      <c r="E192" s="1901" t="s">
        <v>7675</v>
      </c>
      <c r="F192" s="74"/>
      <c r="G192" s="75"/>
      <c r="H192" s="1939" t="s">
        <v>6806</v>
      </c>
      <c r="I192" s="944">
        <v>0</v>
      </c>
      <c r="J192" s="944"/>
      <c r="K192" s="284"/>
      <c r="L192" s="284"/>
      <c r="M192" s="284"/>
      <c r="N192" s="284"/>
      <c r="EK192" s="285"/>
    </row>
    <row r="193" spans="1:141" s="1304" customFormat="1">
      <c r="A193" s="1971" t="s">
        <v>7793</v>
      </c>
      <c r="B193" s="1970" t="s">
        <v>7794</v>
      </c>
      <c r="C193" s="1602">
        <v>312599102</v>
      </c>
      <c r="D193" s="1948"/>
      <c r="E193" s="1971" t="s">
        <v>7634</v>
      </c>
      <c r="F193" s="74"/>
      <c r="G193" s="75"/>
      <c r="H193" s="1939" t="s">
        <v>6806</v>
      </c>
      <c r="I193" s="944">
        <f>250+300-293-257</f>
        <v>0</v>
      </c>
      <c r="J193" s="944">
        <f>125.5-125.5</f>
        <v>0</v>
      </c>
      <c r="K193" s="284"/>
      <c r="L193" s="284"/>
      <c r="M193" s="284"/>
      <c r="N193" s="284"/>
      <c r="EK193" s="285"/>
    </row>
    <row r="194" spans="1:141" s="1304" customFormat="1">
      <c r="A194" s="74"/>
      <c r="B194" s="1994" t="s">
        <v>7821</v>
      </c>
      <c r="C194" s="1602"/>
      <c r="D194" s="74"/>
      <c r="E194" s="1925"/>
      <c r="F194" s="74"/>
      <c r="G194" s="75"/>
      <c r="H194" s="944"/>
      <c r="I194" s="944">
        <v>0</v>
      </c>
      <c r="J194" s="2535">
        <v>0</v>
      </c>
      <c r="K194" s="288"/>
      <c r="L194" s="284"/>
      <c r="M194" s="1304">
        <v>0</v>
      </c>
      <c r="N194" s="284"/>
      <c r="Q194" s="1304">
        <v>330</v>
      </c>
      <c r="T194" s="6">
        <v>150</v>
      </c>
      <c r="U194" s="6">
        <v>400</v>
      </c>
      <c r="EK194" s="285"/>
    </row>
    <row r="195" spans="1:141" s="1304" customFormat="1">
      <c r="A195" s="1948" t="s">
        <v>7717</v>
      </c>
      <c r="B195" s="2534" t="s">
        <v>7718</v>
      </c>
      <c r="C195" s="1602">
        <v>312484981</v>
      </c>
      <c r="D195" s="1948" t="s">
        <v>7725</v>
      </c>
      <c r="E195" s="1948" t="s">
        <v>7719</v>
      </c>
      <c r="F195" s="74"/>
      <c r="G195" s="75"/>
      <c r="H195" s="944">
        <v>0</v>
      </c>
      <c r="I195" s="260">
        <v>0</v>
      </c>
      <c r="J195" s="2544">
        <f>2049.67+9.98+13.5+36+9.98+9.98+9.98+9.98</f>
        <v>2149.0700000000002</v>
      </c>
      <c r="K195" s="288"/>
      <c r="L195" s="284"/>
      <c r="M195" s="6">
        <f>15+2+26+10+9+5+15+10+10+10</f>
        <v>112</v>
      </c>
      <c r="N195" s="284"/>
      <c r="Q195" s="6">
        <v>300</v>
      </c>
      <c r="R195" s="6">
        <v>150</v>
      </c>
      <c r="T195" s="6">
        <v>30</v>
      </c>
      <c r="U195" s="6">
        <v>150</v>
      </c>
      <c r="V195" s="6">
        <v>100</v>
      </c>
      <c r="W195" s="6">
        <v>50</v>
      </c>
      <c r="X195" s="6">
        <v>150</v>
      </c>
      <c r="Y195" s="6">
        <v>1750</v>
      </c>
      <c r="Z195" s="6">
        <v>301</v>
      </c>
      <c r="AA195" s="6">
        <v>387</v>
      </c>
      <c r="AB195" s="7"/>
      <c r="AC195" s="7"/>
      <c r="AD195" s="7"/>
      <c r="AI195" s="1304">
        <v>54.6</v>
      </c>
      <c r="EK195" s="285"/>
    </row>
    <row r="196" spans="1:141" s="1304" customFormat="1">
      <c r="A196" s="284"/>
      <c r="B196" s="2396" t="s">
        <v>7830</v>
      </c>
      <c r="C196" s="2391"/>
      <c r="D196" s="284"/>
      <c r="E196" s="2395"/>
      <c r="F196" s="284"/>
      <c r="G196" s="2516"/>
      <c r="H196" s="128">
        <v>231.8</v>
      </c>
      <c r="I196" s="2506">
        <v>58</v>
      </c>
      <c r="J196" s="288"/>
      <c r="K196" s="288"/>
      <c r="L196" s="284"/>
      <c r="M196" s="284"/>
      <c r="N196" s="284"/>
      <c r="Q196" s="6">
        <v>300</v>
      </c>
      <c r="R196" s="6">
        <v>200</v>
      </c>
      <c r="S196" s="6">
        <v>150</v>
      </c>
      <c r="T196" s="6">
        <v>170</v>
      </c>
      <c r="W196" s="7"/>
      <c r="X196" s="7"/>
      <c r="Y196" s="7"/>
      <c r="Z196" s="7"/>
      <c r="AA196" s="7"/>
      <c r="AB196" s="7"/>
      <c r="AC196" s="7"/>
      <c r="AD196" s="7"/>
      <c r="AI196" s="1304">
        <v>387</v>
      </c>
      <c r="EK196" s="285"/>
    </row>
    <row r="197" spans="1:141" s="1304" customFormat="1">
      <c r="A197" s="284"/>
      <c r="B197" s="284"/>
      <c r="C197" s="2391"/>
      <c r="D197" s="284"/>
      <c r="E197" s="2392" t="s">
        <v>7816</v>
      </c>
      <c r="F197" s="284"/>
      <c r="G197" s="2516"/>
      <c r="H197" s="288"/>
      <c r="I197" s="288">
        <v>0</v>
      </c>
      <c r="J197" s="288"/>
      <c r="K197" s="284"/>
      <c r="L197" s="284"/>
      <c r="M197" s="284"/>
      <c r="N197" s="284"/>
      <c r="O197" s="2393" t="s">
        <v>7829</v>
      </c>
      <c r="P197" s="2393"/>
      <c r="Q197" s="2393"/>
      <c r="R197" s="1304">
        <f>32.84072-5.243</f>
        <v>27.597719999999995</v>
      </c>
      <c r="W197" s="7"/>
      <c r="X197" s="7"/>
      <c r="Y197" s="7"/>
      <c r="Z197" s="7"/>
      <c r="AA197" s="7"/>
      <c r="AB197" s="7"/>
      <c r="AC197" s="7"/>
      <c r="AD197" s="7"/>
      <c r="AI197" s="1304">
        <v>67.900000000000006</v>
      </c>
      <c r="EK197" s="285"/>
    </row>
    <row r="198" spans="1:141" s="1304" customFormat="1">
      <c r="G198" s="4"/>
      <c r="I198" s="7"/>
      <c r="J198" s="7"/>
      <c r="O198" s="2393" t="s">
        <v>7828</v>
      </c>
      <c r="P198" s="2393"/>
      <c r="Q198" s="2393"/>
      <c r="R198" s="1304">
        <f>40+20-22.35</f>
        <v>37.65</v>
      </c>
      <c r="W198" s="166"/>
      <c r="X198" s="7"/>
      <c r="Y198" s="7"/>
      <c r="Z198" s="7"/>
      <c r="AA198" s="7"/>
      <c r="AB198" s="7"/>
      <c r="AC198" s="7"/>
      <c r="AD198" s="7"/>
      <c r="AI198" s="1304">
        <v>89.09</v>
      </c>
      <c r="EK198" s="285"/>
    </row>
    <row r="199" spans="1:141" s="1304" customFormat="1">
      <c r="A199" s="2399" t="s">
        <v>7837</v>
      </c>
      <c r="B199" s="1994" t="s">
        <v>7809</v>
      </c>
      <c r="C199" s="2400">
        <v>312696393</v>
      </c>
      <c r="D199" s="74"/>
      <c r="E199" s="1901" t="s">
        <v>7675</v>
      </c>
      <c r="G199" s="4"/>
      <c r="H199" s="1939" t="s">
        <v>6806</v>
      </c>
      <c r="I199" s="7">
        <v>0</v>
      </c>
      <c r="J199" s="7"/>
      <c r="W199" s="166"/>
      <c r="X199" s="7"/>
      <c r="Y199" s="7"/>
      <c r="Z199" s="7"/>
      <c r="AA199" s="7"/>
      <c r="AB199" s="7"/>
      <c r="AC199" s="7"/>
      <c r="AD199" s="7"/>
      <c r="AI199" s="1304">
        <v>600.70000000000005</v>
      </c>
      <c r="EK199" s="285"/>
    </row>
    <row r="200" spans="1:141" s="1304" customFormat="1">
      <c r="A200" s="2399" t="s">
        <v>7836</v>
      </c>
      <c r="B200" s="74" t="s">
        <v>7825</v>
      </c>
      <c r="C200" s="1602">
        <v>312717089</v>
      </c>
      <c r="D200" s="74"/>
      <c r="E200" s="1901" t="s">
        <v>7675</v>
      </c>
      <c r="G200" s="4"/>
      <c r="H200" s="1939" t="s">
        <v>6806</v>
      </c>
      <c r="I200" s="7">
        <v>0</v>
      </c>
      <c r="J200" s="7"/>
      <c r="W200" s="166"/>
      <c r="X200" s="7"/>
      <c r="Y200" s="7"/>
      <c r="Z200" s="7"/>
      <c r="AA200" s="7"/>
      <c r="AB200" s="7"/>
      <c r="AC200" s="7"/>
      <c r="AD200" s="7"/>
      <c r="AI200" s="1304">
        <v>867.2</v>
      </c>
      <c r="EK200" s="285"/>
    </row>
    <row r="201" spans="1:141" s="1304" customFormat="1">
      <c r="A201" s="2401" t="s">
        <v>7824</v>
      </c>
      <c r="B201" s="906" t="s">
        <v>7826</v>
      </c>
      <c r="C201" s="1602">
        <v>312724531</v>
      </c>
      <c r="D201" s="74"/>
      <c r="E201" s="1901" t="s">
        <v>7675</v>
      </c>
      <c r="G201" s="4"/>
      <c r="H201" s="1939" t="s">
        <v>6806</v>
      </c>
      <c r="I201" s="7">
        <v>0</v>
      </c>
      <c r="J201" s="7"/>
      <c r="O201" s="1304" t="s">
        <v>7992</v>
      </c>
      <c r="W201" s="166"/>
      <c r="X201" s="7"/>
      <c r="Y201" s="7"/>
      <c r="Z201" s="7"/>
      <c r="AA201" s="7"/>
      <c r="AB201" s="7"/>
      <c r="AC201" s="7"/>
      <c r="AD201" s="7"/>
      <c r="AI201" s="1304">
        <v>94.8</v>
      </c>
      <c r="EK201" s="285"/>
    </row>
    <row r="202" spans="1:141" s="1304" customFormat="1">
      <c r="A202" s="2399" t="s">
        <v>7835</v>
      </c>
      <c r="B202" s="2420" t="s">
        <v>7834</v>
      </c>
      <c r="C202" s="2421">
        <v>312744824</v>
      </c>
      <c r="D202" s="940"/>
      <c r="E202" s="2422" t="s">
        <v>7675</v>
      </c>
      <c r="G202" s="4"/>
      <c r="H202" s="1939" t="s">
        <v>6806</v>
      </c>
      <c r="I202" s="7">
        <v>0</v>
      </c>
      <c r="J202" s="7"/>
      <c r="O202" s="1304" t="s">
        <v>7992</v>
      </c>
      <c r="W202" s="166"/>
      <c r="X202" s="7"/>
      <c r="Y202" s="7"/>
      <c r="Z202" s="7"/>
      <c r="AA202" s="7"/>
      <c r="AB202" s="7"/>
      <c r="AC202" s="7"/>
      <c r="AD202" s="7"/>
      <c r="AI202" s="1304">
        <v>144.69999999999999</v>
      </c>
      <c r="EK202" s="285"/>
    </row>
    <row r="203" spans="1:141" s="1304" customFormat="1">
      <c r="A203" s="2399" t="s">
        <v>7838</v>
      </c>
      <c r="B203" s="2435" t="s">
        <v>7839</v>
      </c>
      <c r="C203" s="1602">
        <v>312756777</v>
      </c>
      <c r="D203" s="74"/>
      <c r="E203" s="1901" t="s">
        <v>7675</v>
      </c>
      <c r="F203" s="2487"/>
      <c r="G203" s="4"/>
      <c r="H203" s="1939" t="s">
        <v>6806</v>
      </c>
      <c r="I203" s="7">
        <v>0</v>
      </c>
      <c r="J203" s="7">
        <v>0</v>
      </c>
      <c r="R203" s="7"/>
      <c r="S203" s="7"/>
      <c r="T203" s="6">
        <v>99.7</v>
      </c>
      <c r="U203" s="7"/>
      <c r="V203" s="7"/>
      <c r="W203" s="166"/>
      <c r="X203" s="7"/>
      <c r="Y203" s="6">
        <v>51.7</v>
      </c>
      <c r="Z203" s="7"/>
      <c r="AA203" s="7"/>
      <c r="AB203" s="6">
        <v>144.69999999999999</v>
      </c>
      <c r="AC203" s="7"/>
      <c r="AD203" s="166"/>
      <c r="AI203" s="1304">
        <v>667.8</v>
      </c>
      <c r="EK203" s="285"/>
    </row>
    <row r="204" spans="1:141" s="1304" customFormat="1">
      <c r="A204" s="2402" t="s">
        <v>7842</v>
      </c>
      <c r="B204" s="2523" t="s">
        <v>7843</v>
      </c>
      <c r="C204" s="1602">
        <v>312768294</v>
      </c>
      <c r="D204" s="74"/>
      <c r="E204" s="1901" t="s">
        <v>7675</v>
      </c>
      <c r="G204" s="4"/>
      <c r="H204" s="1939" t="s">
        <v>6806</v>
      </c>
      <c r="I204" s="288">
        <v>0</v>
      </c>
      <c r="J204" s="7">
        <v>0</v>
      </c>
      <c r="O204" s="1304" t="s">
        <v>7993</v>
      </c>
      <c r="R204" s="2453"/>
      <c r="S204" s="2453"/>
      <c r="T204" s="2453"/>
      <c r="U204" s="2453"/>
      <c r="V204" s="7"/>
      <c r="W204" s="166"/>
      <c r="X204" s="2453"/>
      <c r="Y204" s="7"/>
      <c r="Z204" s="7"/>
      <c r="AA204" s="7" t="s">
        <v>7993</v>
      </c>
      <c r="AB204" s="2453"/>
      <c r="AC204" s="7"/>
      <c r="AD204" s="166"/>
      <c r="AI204" s="1304">
        <v>148.5</v>
      </c>
      <c r="EK204" s="285"/>
    </row>
    <row r="205" spans="1:141" s="1304" customFormat="1">
      <c r="A205" s="2402" t="s">
        <v>7842</v>
      </c>
      <c r="B205" s="2402" t="s">
        <v>7841</v>
      </c>
      <c r="C205" s="1602">
        <v>312770698</v>
      </c>
      <c r="D205" s="74"/>
      <c r="E205" s="1901" t="s">
        <v>7675</v>
      </c>
      <c r="F205" s="2487"/>
      <c r="G205" s="4"/>
      <c r="H205" s="1939" t="s">
        <v>6806</v>
      </c>
      <c r="I205" s="288">
        <v>0</v>
      </c>
      <c r="J205" s="7">
        <v>0</v>
      </c>
      <c r="R205" s="7"/>
      <c r="S205" s="7"/>
      <c r="T205" s="7"/>
      <c r="U205" s="7"/>
      <c r="V205" s="7"/>
      <c r="W205" s="7"/>
      <c r="X205" s="7"/>
      <c r="Y205" s="7"/>
      <c r="Z205" s="7"/>
      <c r="AA205" s="7"/>
      <c r="AB205" s="6">
        <v>94.8</v>
      </c>
      <c r="AC205" s="7"/>
      <c r="AD205" s="7"/>
      <c r="AK205" s="1304">
        <v>3122.3</v>
      </c>
      <c r="EK205" s="285"/>
    </row>
    <row r="206" spans="1:141" s="1304" customFormat="1">
      <c r="A206" s="2408" t="s">
        <v>7857</v>
      </c>
      <c r="B206" s="2408" t="s">
        <v>7856</v>
      </c>
      <c r="C206" s="2409">
        <v>312790697</v>
      </c>
      <c r="E206" s="1901" t="s">
        <v>7675</v>
      </c>
      <c r="F206" s="2437"/>
      <c r="G206" s="2520"/>
      <c r="H206" s="1939" t="s">
        <v>6806</v>
      </c>
      <c r="I206" s="7">
        <v>0</v>
      </c>
      <c r="J206" s="7">
        <v>0</v>
      </c>
      <c r="O206" s="1304" t="s">
        <v>7993</v>
      </c>
      <c r="R206" s="7"/>
      <c r="S206" s="7"/>
      <c r="T206" s="7"/>
      <c r="U206" s="7"/>
      <c r="V206" s="7"/>
      <c r="W206" s="2454"/>
      <c r="X206" s="7"/>
      <c r="Y206" s="7"/>
      <c r="Z206" s="7"/>
      <c r="AA206" s="7" t="s">
        <v>7993</v>
      </c>
      <c r="AB206" s="7">
        <v>10</v>
      </c>
      <c r="AC206" s="7"/>
      <c r="AD206" s="2454"/>
      <c r="AI206" s="1304">
        <v>301</v>
      </c>
      <c r="EK206" s="285"/>
    </row>
    <row r="207" spans="1:141" s="1304" customFormat="1">
      <c r="A207" s="2416" t="s">
        <v>7945</v>
      </c>
      <c r="B207" s="2428" t="s">
        <v>7944</v>
      </c>
      <c r="C207" s="2409">
        <v>312801064</v>
      </c>
      <c r="E207" s="1901" t="s">
        <v>7675</v>
      </c>
      <c r="F207" s="2427"/>
      <c r="G207" s="2520"/>
      <c r="H207" s="1939" t="s">
        <v>6806</v>
      </c>
      <c r="I207" s="7">
        <v>0</v>
      </c>
      <c r="J207" s="7">
        <v>0</v>
      </c>
      <c r="O207" s="1304" t="s">
        <v>7993</v>
      </c>
      <c r="R207" s="7"/>
      <c r="S207" s="7"/>
      <c r="T207" s="7"/>
      <c r="U207" s="7"/>
      <c r="V207" s="7"/>
      <c r="W207" s="2454"/>
      <c r="X207" s="7"/>
      <c r="Y207" s="7"/>
      <c r="Z207" s="7"/>
      <c r="AA207" s="7" t="s">
        <v>7993</v>
      </c>
      <c r="AB207" s="7">
        <v>25</v>
      </c>
      <c r="AC207" s="7"/>
      <c r="AD207" s="2454"/>
      <c r="AI207" s="1304">
        <v>1750</v>
      </c>
      <c r="EK207" s="285"/>
    </row>
    <row r="208" spans="1:141" s="1304" customFormat="1">
      <c r="A208" s="2418" t="s">
        <v>7949</v>
      </c>
      <c r="B208" s="2439" t="s">
        <v>7950</v>
      </c>
      <c r="C208" s="1243">
        <v>312809076</v>
      </c>
      <c r="E208" s="1901" t="s">
        <v>7675</v>
      </c>
      <c r="F208" s="2449"/>
      <c r="G208" s="2520"/>
      <c r="H208" s="1939" t="s">
        <v>6806</v>
      </c>
      <c r="I208" s="7">
        <v>0</v>
      </c>
      <c r="J208" s="7">
        <v>0</v>
      </c>
      <c r="R208" s="7"/>
      <c r="S208" s="7"/>
      <c r="T208" s="7"/>
      <c r="U208" s="7"/>
      <c r="V208" s="7"/>
      <c r="W208" s="7"/>
      <c r="X208" s="7"/>
      <c r="Y208" s="7"/>
      <c r="Z208" s="7"/>
      <c r="AA208" s="7"/>
      <c r="AB208" s="7"/>
      <c r="AC208" s="7"/>
      <c r="AD208" s="7"/>
      <c r="AI208" s="1304">
        <v>257.39999999999998</v>
      </c>
      <c r="EK208" s="285"/>
    </row>
    <row r="209" spans="1:964" s="1304" customFormat="1">
      <c r="A209" s="2425" t="s">
        <v>7967</v>
      </c>
      <c r="B209" s="2463" t="s">
        <v>7968</v>
      </c>
      <c r="C209" s="2426">
        <v>312816639</v>
      </c>
      <c r="E209" s="1901" t="s">
        <v>7675</v>
      </c>
      <c r="F209" s="2449"/>
      <c r="G209" s="4"/>
      <c r="H209" s="1939" t="s">
        <v>6806</v>
      </c>
      <c r="I209" s="7">
        <f>33-33</f>
        <v>0</v>
      </c>
      <c r="J209" s="7">
        <v>0</v>
      </c>
      <c r="R209" s="7"/>
      <c r="S209" s="7"/>
      <c r="T209" s="7"/>
      <c r="U209" s="7"/>
      <c r="V209" s="7"/>
      <c r="W209" s="2454"/>
      <c r="X209" s="7"/>
      <c r="Y209" s="7"/>
      <c r="Z209" s="7"/>
      <c r="AA209" s="7"/>
      <c r="AB209" s="6">
        <v>148.5</v>
      </c>
      <c r="AC209" s="7"/>
      <c r="AD209" s="2454"/>
      <c r="AI209" s="1304">
        <v>297.39999999999998</v>
      </c>
      <c r="EK209" s="285"/>
    </row>
    <row r="210" spans="1:964" s="1304" customFormat="1">
      <c r="A210" s="2427" t="s">
        <v>7970</v>
      </c>
      <c r="B210" s="2460" t="s">
        <v>7969</v>
      </c>
      <c r="C210" s="1243">
        <v>312825366</v>
      </c>
      <c r="E210" s="1901" t="s">
        <v>7675</v>
      </c>
      <c r="F210" s="807"/>
      <c r="G210" s="4"/>
      <c r="H210" s="1939" t="s">
        <v>6806</v>
      </c>
      <c r="I210" s="7">
        <v>0</v>
      </c>
      <c r="J210" s="7">
        <v>0</v>
      </c>
      <c r="O210" s="7"/>
      <c r="P210" s="7"/>
      <c r="Q210" s="7"/>
      <c r="R210" s="6">
        <v>99.9</v>
      </c>
      <c r="S210" s="7"/>
      <c r="T210" s="7"/>
      <c r="U210" s="7"/>
      <c r="V210" s="6">
        <v>46</v>
      </c>
      <c r="W210" s="2454"/>
      <c r="X210" s="7"/>
      <c r="Y210" s="7"/>
      <c r="Z210" s="7"/>
      <c r="AA210" s="6">
        <v>67.927999999999997</v>
      </c>
      <c r="AB210" s="6">
        <v>54.615000000000002</v>
      </c>
      <c r="AC210" s="6">
        <v>89.09</v>
      </c>
      <c r="AD210" s="68">
        <v>667.8</v>
      </c>
      <c r="AI210" s="1304">
        <v>63.3</v>
      </c>
      <c r="EK210" s="285"/>
    </row>
    <row r="211" spans="1:964" s="1304" customFormat="1">
      <c r="A211" s="2437" t="s">
        <v>7988</v>
      </c>
      <c r="B211" s="2438" t="s">
        <v>7987</v>
      </c>
      <c r="C211" s="1243">
        <v>312831107</v>
      </c>
      <c r="E211" s="1901" t="s">
        <v>7675</v>
      </c>
      <c r="F211" s="2449"/>
      <c r="G211" s="4"/>
      <c r="H211" s="1939" t="s">
        <v>6806</v>
      </c>
      <c r="I211" s="7">
        <v>0</v>
      </c>
      <c r="J211" s="7">
        <v>0</v>
      </c>
      <c r="O211" s="7"/>
      <c r="P211" s="7"/>
      <c r="Q211" s="7"/>
      <c r="R211" s="7"/>
      <c r="S211" s="7"/>
      <c r="T211" s="7"/>
      <c r="U211" s="6">
        <v>39.9</v>
      </c>
      <c r="V211" s="7"/>
      <c r="W211" s="2454"/>
      <c r="X211" s="6">
        <v>50</v>
      </c>
      <c r="Y211" s="6">
        <v>63.3</v>
      </c>
      <c r="Z211" s="7"/>
      <c r="AA211" s="6">
        <v>867.2</v>
      </c>
      <c r="AB211" s="7"/>
      <c r="AC211" s="7"/>
      <c r="AD211" s="2454"/>
      <c r="AI211" s="1304">
        <v>51.7</v>
      </c>
      <c r="EK211" s="285"/>
    </row>
    <row r="212" spans="1:964" s="1304" customFormat="1">
      <c r="A212" s="2440" t="s">
        <v>7990</v>
      </c>
      <c r="B212" s="2441" t="s">
        <v>7991</v>
      </c>
      <c r="C212" s="1243">
        <v>312859577</v>
      </c>
      <c r="E212" s="2442" t="s">
        <v>7675</v>
      </c>
      <c r="F212" s="2449"/>
      <c r="G212" s="4"/>
      <c r="H212" s="1939" t="s">
        <v>6806</v>
      </c>
      <c r="I212" s="7">
        <f>0.2+6+23+40-69</f>
        <v>0.20000000000000284</v>
      </c>
      <c r="J212" s="7">
        <v>0</v>
      </c>
      <c r="O212" s="7"/>
      <c r="P212" s="7"/>
      <c r="Q212" s="7"/>
      <c r="R212" s="7"/>
      <c r="S212" s="7"/>
      <c r="T212" s="7"/>
      <c r="U212" s="7"/>
      <c r="V212" s="6">
        <v>68.900000000000006</v>
      </c>
      <c r="W212" s="2454"/>
      <c r="X212" s="6">
        <v>49.9</v>
      </c>
      <c r="Y212" s="6">
        <v>257.39999999999998</v>
      </c>
      <c r="Z212" s="7"/>
      <c r="AA212" s="6">
        <v>600.70000000000005</v>
      </c>
      <c r="AB212" s="7"/>
      <c r="AC212" s="7"/>
      <c r="AD212" s="2454"/>
      <c r="AK212" s="1304">
        <v>2720.8</v>
      </c>
      <c r="EK212" s="285"/>
    </row>
    <row r="213" spans="1:964" s="1304" customFormat="1">
      <c r="A213" s="2443" t="s">
        <v>7998</v>
      </c>
      <c r="B213" s="2452" t="s">
        <v>7999</v>
      </c>
      <c r="C213" s="1243">
        <v>312866704</v>
      </c>
      <c r="E213" s="2443" t="s">
        <v>7675</v>
      </c>
      <c r="F213" s="2449"/>
      <c r="G213" s="4"/>
      <c r="H213" s="1939" t="s">
        <v>6806</v>
      </c>
      <c r="I213" s="2485">
        <f>-47+47</f>
        <v>0</v>
      </c>
      <c r="J213" s="7"/>
      <c r="R213" s="7"/>
      <c r="S213" s="6">
        <v>46.9</v>
      </c>
      <c r="T213" s="6"/>
      <c r="U213" s="6">
        <v>65.900000000000006</v>
      </c>
      <c r="V213" s="6">
        <v>494.5</v>
      </c>
      <c r="W213" s="2454"/>
      <c r="X213" s="6">
        <v>45.7</v>
      </c>
      <c r="Y213" s="6">
        <v>297.39999999999998</v>
      </c>
      <c r="Z213" s="7"/>
      <c r="AA213" s="7"/>
      <c r="AB213" s="7"/>
      <c r="AC213" s="7"/>
      <c r="AD213" s="2454"/>
      <c r="AI213" s="1304">
        <v>49.9</v>
      </c>
      <c r="EK213" s="285"/>
    </row>
    <row r="214" spans="1:964" s="1304" customFormat="1">
      <c r="A214" s="2449" t="s">
        <v>8000</v>
      </c>
      <c r="B214" s="2452" t="s">
        <v>8001</v>
      </c>
      <c r="C214" s="1243">
        <v>312878009</v>
      </c>
      <c r="E214" s="2443" t="s">
        <v>7675</v>
      </c>
      <c r="F214" s="2487"/>
      <c r="G214" s="4"/>
      <c r="H214" s="1939" t="s">
        <v>6806</v>
      </c>
      <c r="I214" s="7">
        <v>0</v>
      </c>
      <c r="J214" s="7">
        <v>0</v>
      </c>
      <c r="O214" s="6">
        <v>72.8</v>
      </c>
      <c r="R214" s="6">
        <v>62.9</v>
      </c>
      <c r="S214" s="6">
        <v>82.3</v>
      </c>
      <c r="T214" s="6">
        <v>107.8</v>
      </c>
      <c r="U214" s="6">
        <v>82.8</v>
      </c>
      <c r="V214" s="6">
        <v>238.5</v>
      </c>
      <c r="W214" s="2454"/>
      <c r="X214" s="6">
        <v>257.39999999999998</v>
      </c>
      <c r="Y214" s="7"/>
      <c r="Z214" s="7"/>
      <c r="AA214" s="7"/>
      <c r="AB214" s="7"/>
      <c r="AC214" s="7"/>
      <c r="AD214" s="7"/>
      <c r="AI214" s="1304">
        <v>45.7</v>
      </c>
      <c r="EK214" s="285"/>
    </row>
    <row r="215" spans="1:964" s="1304" customFormat="1">
      <c r="A215" s="2449" t="s">
        <v>8000</v>
      </c>
      <c r="B215" s="2460" t="s">
        <v>8004</v>
      </c>
      <c r="C215" s="1243">
        <v>312878009</v>
      </c>
      <c r="E215" s="2443" t="s">
        <v>7675</v>
      </c>
      <c r="F215" s="2487"/>
      <c r="G215" s="4"/>
      <c r="H215" s="1939" t="s">
        <v>6806</v>
      </c>
      <c r="I215" s="7">
        <v>0</v>
      </c>
      <c r="J215" s="7"/>
      <c r="O215" s="6">
        <v>40</v>
      </c>
      <c r="R215" s="7"/>
      <c r="S215" s="6"/>
      <c r="T215" s="6"/>
      <c r="U215" s="6">
        <v>159.6</v>
      </c>
      <c r="V215" s="6">
        <v>378.8</v>
      </c>
      <c r="W215" s="68">
        <v>91.25</v>
      </c>
      <c r="X215" s="6">
        <v>282.3</v>
      </c>
      <c r="Y215" s="7"/>
      <c r="Z215" s="7"/>
      <c r="AA215" s="7"/>
      <c r="AB215" s="7"/>
      <c r="AC215" s="7"/>
      <c r="AD215" s="7"/>
      <c r="AI215" s="1304">
        <v>257.39999999999998</v>
      </c>
      <c r="EK215" s="285"/>
    </row>
    <row r="216" spans="1:964" s="1304" customFormat="1">
      <c r="A216" s="2493" t="s">
        <v>8036</v>
      </c>
      <c r="B216" s="2529" t="s">
        <v>8037</v>
      </c>
      <c r="C216" s="2495">
        <v>312887084</v>
      </c>
      <c r="D216" s="2493"/>
      <c r="E216" s="2493" t="s">
        <v>7675</v>
      </c>
      <c r="F216" s="2493"/>
      <c r="G216" s="2521"/>
      <c r="H216" s="2493"/>
      <c r="I216" s="2497">
        <v>0</v>
      </c>
      <c r="J216" s="2497">
        <v>0</v>
      </c>
      <c r="K216" s="7"/>
      <c r="O216" s="6">
        <v>204.5</v>
      </c>
      <c r="R216" s="6">
        <v>100</v>
      </c>
      <c r="S216" s="6">
        <v>101.8</v>
      </c>
      <c r="T216" s="6"/>
      <c r="U216" s="6">
        <v>346</v>
      </c>
      <c r="V216" s="7"/>
      <c r="W216" s="1850"/>
      <c r="AI216" s="1304">
        <v>282.3</v>
      </c>
      <c r="EK216" s="285"/>
    </row>
    <row r="217" spans="1:964" s="1304" customFormat="1">
      <c r="A217" s="2493" t="s">
        <v>8044</v>
      </c>
      <c r="B217" s="2494" t="s">
        <v>8038</v>
      </c>
      <c r="C217" s="2505">
        <v>312905471</v>
      </c>
      <c r="D217" s="2493"/>
      <c r="E217" s="2493" t="s">
        <v>7675</v>
      </c>
      <c r="F217" s="2493">
        <v>5</v>
      </c>
      <c r="G217" s="2521"/>
      <c r="H217" s="2493"/>
      <c r="I217" s="2497">
        <v>0</v>
      </c>
      <c r="J217" s="2497">
        <v>0.8</v>
      </c>
      <c r="K217" s="7"/>
      <c r="O217" s="6"/>
      <c r="R217" s="6">
        <v>53</v>
      </c>
      <c r="S217" s="6">
        <v>112.6</v>
      </c>
      <c r="T217" s="6">
        <v>109.4</v>
      </c>
      <c r="V217" s="7"/>
      <c r="W217" s="1850"/>
      <c r="AK217" s="1304">
        <v>685.3</v>
      </c>
      <c r="EK217" s="285"/>
    </row>
    <row r="218" spans="1:964" s="1304" customFormat="1">
      <c r="A218" s="2493" t="s">
        <v>8050</v>
      </c>
      <c r="B218" s="2498" t="s">
        <v>8049</v>
      </c>
      <c r="C218" s="2505">
        <v>312927484</v>
      </c>
      <c r="D218" s="2493"/>
      <c r="E218" s="2493" t="s">
        <v>8051</v>
      </c>
      <c r="F218" s="2493">
        <v>1</v>
      </c>
      <c r="G218" s="2521"/>
      <c r="H218" s="2493"/>
      <c r="I218" s="2497">
        <v>0</v>
      </c>
      <c r="J218" s="2497">
        <v>0</v>
      </c>
      <c r="K218" s="7"/>
      <c r="O218" s="6">
        <v>55.8</v>
      </c>
      <c r="Q218" s="6">
        <v>121</v>
      </c>
      <c r="W218" s="1850"/>
      <c r="AI218" s="1304">
        <v>100</v>
      </c>
      <c r="EK218" s="285"/>
    </row>
    <row r="219" spans="1:964" s="1304" customFormat="1">
      <c r="A219" s="2493" t="s">
        <v>8050</v>
      </c>
      <c r="B219" s="2496" t="s">
        <v>8052</v>
      </c>
      <c r="C219" s="2504">
        <v>312928253</v>
      </c>
      <c r="D219" s="2493"/>
      <c r="E219" s="2493" t="s">
        <v>8051</v>
      </c>
      <c r="F219" s="2493">
        <v>1</v>
      </c>
      <c r="G219" s="2521"/>
      <c r="H219" s="2493"/>
      <c r="I219" s="2497"/>
      <c r="J219" s="2497">
        <v>0</v>
      </c>
      <c r="K219" s="7"/>
      <c r="O219" s="6">
        <v>124.5</v>
      </c>
      <c r="Q219" s="6">
        <v>267.94499999999999</v>
      </c>
      <c r="R219" s="6">
        <v>322</v>
      </c>
      <c r="W219" s="1850"/>
      <c r="AI219" s="1304">
        <v>150</v>
      </c>
      <c r="EK219" s="285"/>
    </row>
    <row r="220" spans="1:964">
      <c r="A220" s="2493" t="s">
        <v>8053</v>
      </c>
      <c r="B220" s="2525" t="s">
        <v>8054</v>
      </c>
      <c r="C220" s="2495">
        <v>312933533</v>
      </c>
      <c r="D220" s="2493"/>
      <c r="E220" s="2493" t="s">
        <v>8051</v>
      </c>
      <c r="F220" s="2493">
        <v>1</v>
      </c>
      <c r="G220" s="2521"/>
      <c r="H220" s="2493"/>
      <c r="I220" s="2497">
        <v>0</v>
      </c>
      <c r="J220" s="2497"/>
      <c r="K220" s="7"/>
      <c r="N220" s="1304">
        <v>41.5</v>
      </c>
      <c r="O220" s="6"/>
      <c r="AI220">
        <v>68.900000000000006</v>
      </c>
      <c r="EK220" s="285"/>
      <c r="LA220">
        <v>1.74</v>
      </c>
      <c r="LB220">
        <v>0.9</v>
      </c>
      <c r="LC220">
        <v>75</v>
      </c>
      <c r="LD220">
        <v>75</v>
      </c>
      <c r="LE220">
        <v>72.5</v>
      </c>
      <c r="LF220">
        <v>0</v>
      </c>
      <c r="LG220">
        <v>0</v>
      </c>
      <c r="LJ220">
        <v>4.5</v>
      </c>
      <c r="LK220">
        <v>4.5</v>
      </c>
      <c r="LL220">
        <v>4.5</v>
      </c>
      <c r="LM220">
        <v>4.5</v>
      </c>
      <c r="LN220">
        <v>4.5</v>
      </c>
      <c r="LS220">
        <v>0.9</v>
      </c>
      <c r="LT220">
        <v>0.9</v>
      </c>
      <c r="LU220">
        <v>0.9</v>
      </c>
      <c r="LV220">
        <v>0.9</v>
      </c>
      <c r="LW220">
        <v>0.9</v>
      </c>
      <c r="LX220">
        <v>0.9</v>
      </c>
      <c r="LY220">
        <v>0.9</v>
      </c>
      <c r="LZ220">
        <v>0.9</v>
      </c>
      <c r="MA220">
        <v>0.9</v>
      </c>
      <c r="MB220">
        <v>0.9</v>
      </c>
      <c r="MC220">
        <v>0.9</v>
      </c>
      <c r="MD220">
        <v>0.9</v>
      </c>
      <c r="ME220">
        <v>0.9</v>
      </c>
      <c r="MF220">
        <v>0.9</v>
      </c>
      <c r="MG220">
        <v>0.9</v>
      </c>
      <c r="MH220">
        <v>0.9</v>
      </c>
      <c r="MI220">
        <v>0.9</v>
      </c>
      <c r="MJ220">
        <v>0.9</v>
      </c>
      <c r="MK220">
        <v>0.9</v>
      </c>
      <c r="ML220">
        <v>0.9</v>
      </c>
      <c r="MM220">
        <v>0.9</v>
      </c>
      <c r="MN220">
        <v>0.9</v>
      </c>
      <c r="MO220">
        <v>0.9</v>
      </c>
      <c r="MP220">
        <v>0.9</v>
      </c>
      <c r="MQ220">
        <v>0.9</v>
      </c>
      <c r="MR220">
        <v>0.9</v>
      </c>
      <c r="MS220">
        <v>0.9</v>
      </c>
      <c r="MT220">
        <v>0.9</v>
      </c>
      <c r="MU220">
        <v>0.9</v>
      </c>
      <c r="MV220">
        <v>0.9</v>
      </c>
      <c r="MW220">
        <v>0.9</v>
      </c>
      <c r="MX220">
        <v>0.9</v>
      </c>
      <c r="MY220">
        <v>0.9</v>
      </c>
      <c r="MZ220">
        <v>0.9</v>
      </c>
      <c r="NA220">
        <v>0.9</v>
      </c>
      <c r="NB220">
        <v>0.9</v>
      </c>
      <c r="NC220">
        <v>0.9</v>
      </c>
      <c r="ND220">
        <v>0.9</v>
      </c>
      <c r="NE220">
        <v>0.9</v>
      </c>
      <c r="NF220">
        <v>0.9</v>
      </c>
      <c r="NG220">
        <v>0.9</v>
      </c>
      <c r="NH220">
        <v>0.9</v>
      </c>
      <c r="NI220">
        <v>0.9</v>
      </c>
      <c r="NJ220">
        <v>0.9</v>
      </c>
      <c r="NK220">
        <v>0.9</v>
      </c>
      <c r="NL220">
        <v>0.9</v>
      </c>
      <c r="NM220">
        <v>0.9</v>
      </c>
      <c r="NN220">
        <v>0.9</v>
      </c>
      <c r="NO220">
        <v>0.9</v>
      </c>
      <c r="NP220">
        <v>0.9</v>
      </c>
      <c r="NQ220">
        <v>0.9</v>
      </c>
      <c r="NR220">
        <v>0.9</v>
      </c>
      <c r="NS220">
        <v>0.9</v>
      </c>
      <c r="NT220">
        <v>0.9</v>
      </c>
      <c r="NU220">
        <v>0.9</v>
      </c>
      <c r="NV220">
        <v>0.9</v>
      </c>
      <c r="NW220">
        <v>0.9</v>
      </c>
      <c r="NX220">
        <v>0.9</v>
      </c>
      <c r="NY220">
        <v>0.9</v>
      </c>
      <c r="NZ220">
        <v>0.74</v>
      </c>
      <c r="OA220">
        <v>0.74</v>
      </c>
      <c r="OB220">
        <v>0.74</v>
      </c>
      <c r="OC220">
        <v>0.74</v>
      </c>
      <c r="OD220">
        <v>0.74</v>
      </c>
      <c r="OE220">
        <v>0.74</v>
      </c>
      <c r="OP220">
        <v>1</v>
      </c>
      <c r="OQ220">
        <v>1</v>
      </c>
      <c r="OR220">
        <v>1</v>
      </c>
      <c r="OS220">
        <v>1</v>
      </c>
      <c r="OT220">
        <v>1</v>
      </c>
      <c r="RQ220">
        <v>4.5</v>
      </c>
      <c r="RR220">
        <v>4.5</v>
      </c>
      <c r="RS220">
        <v>4.5</v>
      </c>
      <c r="RT220">
        <v>4.5</v>
      </c>
      <c r="RU220">
        <v>4.5</v>
      </c>
      <c r="RV220">
        <v>4.5</v>
      </c>
      <c r="RW220">
        <v>4.5</v>
      </c>
      <c r="RX220">
        <v>4.5</v>
      </c>
      <c r="RY220">
        <v>4.5</v>
      </c>
      <c r="RZ220">
        <v>4.5</v>
      </c>
      <c r="SA220">
        <v>4.5</v>
      </c>
      <c r="SB220">
        <v>4.5</v>
      </c>
      <c r="SC220">
        <v>4.5</v>
      </c>
      <c r="SD220">
        <v>4.5</v>
      </c>
      <c r="SE220">
        <v>4.5</v>
      </c>
      <c r="SF220">
        <v>4.5</v>
      </c>
      <c r="SG220">
        <v>4.5</v>
      </c>
      <c r="SH220">
        <v>4.5</v>
      </c>
      <c r="SI220">
        <v>4.5</v>
      </c>
      <c r="SJ220">
        <v>4.5</v>
      </c>
      <c r="SK220">
        <v>4.5</v>
      </c>
      <c r="SL220">
        <v>4.5</v>
      </c>
      <c r="SM220">
        <v>4.5</v>
      </c>
      <c r="SN220">
        <v>4.5</v>
      </c>
      <c r="SO220">
        <v>4.5</v>
      </c>
      <c r="SP220">
        <v>4.5</v>
      </c>
      <c r="SQ220">
        <v>4.5</v>
      </c>
      <c r="SR220">
        <v>4.5</v>
      </c>
      <c r="SS220">
        <v>4.5</v>
      </c>
      <c r="ST220">
        <v>4.5</v>
      </c>
      <c r="AJT220">
        <v>4.5</v>
      </c>
      <c r="AJU220">
        <v>4.5</v>
      </c>
      <c r="AJV220">
        <v>4.5</v>
      </c>
      <c r="AJW220">
        <v>4.5</v>
      </c>
      <c r="AJX220">
        <v>4.5</v>
      </c>
      <c r="AJY220">
        <v>4.5</v>
      </c>
      <c r="AJZ220">
        <v>4.5</v>
      </c>
      <c r="AKA220">
        <v>4.5</v>
      </c>
      <c r="AKB220">
        <v>4.5</v>
      </c>
    </row>
    <row r="221" spans="1:964">
      <c r="A221" s="2493" t="s">
        <v>8056</v>
      </c>
      <c r="B221" s="2501" t="s">
        <v>8055</v>
      </c>
      <c r="C221" s="2495">
        <v>312945225</v>
      </c>
      <c r="D221" s="2493"/>
      <c r="E221" s="2493" t="s">
        <v>8051</v>
      </c>
      <c r="F221" s="2493"/>
      <c r="G221" s="2521"/>
      <c r="H221" s="2493"/>
      <c r="I221" s="2497">
        <v>0</v>
      </c>
      <c r="J221" s="2497">
        <v>0</v>
      </c>
      <c r="K221" s="7"/>
      <c r="N221" s="1304">
        <v>496.9</v>
      </c>
      <c r="O221" s="6"/>
      <c r="X221">
        <f>21+22+23+23+23+26+33+18+23</f>
        <v>212</v>
      </c>
      <c r="AI221">
        <v>494.5</v>
      </c>
      <c r="LA221">
        <v>2.8</v>
      </c>
      <c r="LB221">
        <v>1.74</v>
      </c>
      <c r="LC221">
        <v>0.9</v>
      </c>
      <c r="LD221">
        <v>0.9</v>
      </c>
      <c r="LE221">
        <v>0.9</v>
      </c>
      <c r="LF221">
        <v>0.9</v>
      </c>
      <c r="LG221">
        <v>0.9</v>
      </c>
      <c r="LH221">
        <v>0.9</v>
      </c>
      <c r="LI221">
        <v>0.9</v>
      </c>
      <c r="LJ221">
        <v>5</v>
      </c>
      <c r="LK221">
        <v>5</v>
      </c>
      <c r="LL221">
        <v>5</v>
      </c>
      <c r="LM221">
        <v>5</v>
      </c>
      <c r="LN221">
        <v>5</v>
      </c>
      <c r="LO221">
        <v>0.9</v>
      </c>
      <c r="LP221">
        <v>0.9</v>
      </c>
      <c r="LQ221">
        <v>0.9</v>
      </c>
      <c r="LR221">
        <v>0.9</v>
      </c>
      <c r="LS221">
        <v>1.74</v>
      </c>
      <c r="LT221">
        <v>1.74</v>
      </c>
      <c r="LU221">
        <v>1.74</v>
      </c>
      <c r="LV221">
        <v>1.74</v>
      </c>
      <c r="LW221">
        <v>1.74</v>
      </c>
      <c r="LX221">
        <v>1.74</v>
      </c>
      <c r="LY221">
        <v>1.74</v>
      </c>
      <c r="LZ221">
        <v>1.74</v>
      </c>
      <c r="MA221">
        <v>1.74</v>
      </c>
      <c r="MB221">
        <v>1.74</v>
      </c>
      <c r="MC221">
        <v>1.74</v>
      </c>
      <c r="MD221">
        <v>1.74</v>
      </c>
      <c r="ME221">
        <v>1.74</v>
      </c>
      <c r="MF221">
        <v>1.74</v>
      </c>
      <c r="MG221">
        <v>1.74</v>
      </c>
      <c r="MH221">
        <v>1.74</v>
      </c>
      <c r="MI221">
        <v>1.74</v>
      </c>
      <c r="MJ221">
        <v>1.74</v>
      </c>
      <c r="MK221">
        <v>1.74</v>
      </c>
      <c r="ML221">
        <v>1.74</v>
      </c>
      <c r="MM221">
        <v>1.74</v>
      </c>
      <c r="MN221">
        <v>1.74</v>
      </c>
      <c r="MO221">
        <v>1.74</v>
      </c>
      <c r="MP221">
        <v>1.74</v>
      </c>
      <c r="MQ221">
        <v>1.74</v>
      </c>
      <c r="MR221">
        <v>1.74</v>
      </c>
      <c r="MS221">
        <v>1.74</v>
      </c>
      <c r="MT221">
        <v>1.74</v>
      </c>
      <c r="MU221">
        <v>1.74</v>
      </c>
      <c r="MV221">
        <v>1.74</v>
      </c>
      <c r="MW221">
        <v>1.74</v>
      </c>
      <c r="MX221">
        <v>1.74</v>
      </c>
      <c r="MY221">
        <v>1.74</v>
      </c>
      <c r="MZ221">
        <v>1.74</v>
      </c>
      <c r="NA221">
        <v>1.74</v>
      </c>
      <c r="NB221">
        <v>1.74</v>
      </c>
      <c r="NC221">
        <v>1.74</v>
      </c>
      <c r="ND221">
        <v>1.74</v>
      </c>
      <c r="NE221">
        <v>1.74</v>
      </c>
      <c r="NF221">
        <v>1.74</v>
      </c>
      <c r="NG221">
        <v>1.74</v>
      </c>
      <c r="NH221">
        <v>1.74</v>
      </c>
      <c r="NI221">
        <v>1.74</v>
      </c>
      <c r="NJ221">
        <v>1.74</v>
      </c>
      <c r="NK221">
        <v>1.74</v>
      </c>
      <c r="NL221">
        <v>1.74</v>
      </c>
      <c r="NM221">
        <v>1.74</v>
      </c>
      <c r="NN221">
        <v>0.74</v>
      </c>
      <c r="NO221">
        <v>0.74</v>
      </c>
      <c r="NP221">
        <v>0.74</v>
      </c>
      <c r="NQ221">
        <v>0.74</v>
      </c>
      <c r="NR221">
        <v>0.74</v>
      </c>
      <c r="NS221">
        <v>0.74</v>
      </c>
      <c r="NT221">
        <v>0.74</v>
      </c>
      <c r="NU221">
        <v>0.74</v>
      </c>
      <c r="NV221">
        <v>0.74</v>
      </c>
      <c r="NW221">
        <v>0.74</v>
      </c>
      <c r="NX221">
        <v>0.74</v>
      </c>
      <c r="NY221">
        <v>0.74</v>
      </c>
      <c r="OF221">
        <v>1</v>
      </c>
      <c r="OG221">
        <v>1</v>
      </c>
      <c r="OH221">
        <v>1</v>
      </c>
      <c r="OI221">
        <v>1</v>
      </c>
      <c r="OJ221">
        <v>1</v>
      </c>
      <c r="OK221">
        <v>1</v>
      </c>
      <c r="OL221">
        <v>1</v>
      </c>
      <c r="OM221">
        <v>1</v>
      </c>
      <c r="ON221">
        <v>1</v>
      </c>
      <c r="OO221">
        <v>1</v>
      </c>
      <c r="RQ221">
        <v>5</v>
      </c>
      <c r="RR221">
        <v>5</v>
      </c>
      <c r="RS221">
        <v>5</v>
      </c>
      <c r="RT221">
        <v>5</v>
      </c>
      <c r="RU221">
        <v>5</v>
      </c>
      <c r="RV221">
        <v>5</v>
      </c>
      <c r="RW221">
        <v>5</v>
      </c>
      <c r="RX221">
        <v>5</v>
      </c>
      <c r="RY221">
        <v>5</v>
      </c>
      <c r="RZ221">
        <v>5</v>
      </c>
      <c r="SA221">
        <v>5</v>
      </c>
      <c r="SB221">
        <v>5</v>
      </c>
      <c r="SC221">
        <v>5</v>
      </c>
      <c r="SD221">
        <v>5</v>
      </c>
      <c r="SE221">
        <v>5</v>
      </c>
      <c r="SF221">
        <v>5</v>
      </c>
      <c r="SG221">
        <v>5</v>
      </c>
      <c r="SH221">
        <v>5</v>
      </c>
      <c r="SI221">
        <v>5</v>
      </c>
      <c r="SJ221">
        <v>5</v>
      </c>
      <c r="SK221">
        <v>5</v>
      </c>
      <c r="SL221">
        <v>5</v>
      </c>
      <c r="SM221">
        <v>5</v>
      </c>
      <c r="SN221">
        <v>5</v>
      </c>
      <c r="SO221">
        <v>5</v>
      </c>
      <c r="SP221">
        <v>5</v>
      </c>
      <c r="SQ221">
        <v>5</v>
      </c>
      <c r="SR221">
        <v>5</v>
      </c>
      <c r="SS221">
        <v>5</v>
      </c>
      <c r="ST221">
        <v>5</v>
      </c>
      <c r="AJT221">
        <v>5</v>
      </c>
      <c r="AJU221">
        <v>5</v>
      </c>
      <c r="AJV221">
        <v>5</v>
      </c>
      <c r="AJW221">
        <v>5</v>
      </c>
      <c r="AJX221">
        <v>5</v>
      </c>
      <c r="AJY221">
        <v>5</v>
      </c>
      <c r="AJZ221">
        <v>5</v>
      </c>
      <c r="AKA221">
        <v>5</v>
      </c>
      <c r="AKB221">
        <v>5</v>
      </c>
    </row>
    <row r="222" spans="1:964">
      <c r="A222" s="2493" t="s">
        <v>8059</v>
      </c>
      <c r="B222" s="2500" t="s">
        <v>8058</v>
      </c>
      <c r="C222" s="2499">
        <v>312957882</v>
      </c>
      <c r="D222" s="2493"/>
      <c r="E222" s="2493" t="s">
        <v>8051</v>
      </c>
      <c r="F222" s="2493"/>
      <c r="G222" s="2521"/>
      <c r="H222" s="2493"/>
      <c r="I222" s="2497">
        <v>0</v>
      </c>
      <c r="J222" s="2497">
        <f>80+381.6-456*1.01</f>
        <v>1.0400000000000205</v>
      </c>
      <c r="K222" s="7"/>
      <c r="N222" s="1304">
        <v>377</v>
      </c>
      <c r="O222" s="6"/>
      <c r="AI222">
        <v>238.5</v>
      </c>
      <c r="AQ222">
        <v>21.5</v>
      </c>
      <c r="GX222">
        <v>116</v>
      </c>
      <c r="JE222">
        <v>17.399999999999999</v>
      </c>
      <c r="LA222">
        <v>15</v>
      </c>
      <c r="LB222">
        <v>2.8</v>
      </c>
      <c r="LC222">
        <v>1.74</v>
      </c>
      <c r="LD222">
        <v>1.74</v>
      </c>
      <c r="LE222">
        <v>1.74</v>
      </c>
      <c r="LF222">
        <v>1.74</v>
      </c>
      <c r="LG222">
        <v>1.74</v>
      </c>
      <c r="LH222">
        <v>1.74</v>
      </c>
      <c r="LI222">
        <v>1.74</v>
      </c>
      <c r="LJ222">
        <v>0.8</v>
      </c>
      <c r="LK222">
        <v>0.8</v>
      </c>
      <c r="LL222">
        <v>0.8</v>
      </c>
      <c r="LM222">
        <v>0.8</v>
      </c>
      <c r="LN222">
        <v>0.8</v>
      </c>
      <c r="LO222">
        <v>1.74</v>
      </c>
      <c r="LP222">
        <v>1.74</v>
      </c>
      <c r="LQ222">
        <v>1.74</v>
      </c>
      <c r="LR222">
        <v>1.74</v>
      </c>
      <c r="LS222">
        <v>2.8</v>
      </c>
      <c r="LT222">
        <v>2.8</v>
      </c>
      <c r="LU222">
        <v>2.8</v>
      </c>
      <c r="LV222">
        <v>2.8</v>
      </c>
      <c r="LW222">
        <v>2.8</v>
      </c>
      <c r="LX222">
        <v>2.8</v>
      </c>
      <c r="LY222">
        <v>2.8</v>
      </c>
      <c r="LZ222">
        <v>2.8</v>
      </c>
      <c r="MA222">
        <v>2.8</v>
      </c>
      <c r="MB222">
        <v>2.8</v>
      </c>
      <c r="MC222">
        <v>2.8</v>
      </c>
      <c r="MD222">
        <v>2.8</v>
      </c>
      <c r="ME222">
        <v>0.9</v>
      </c>
      <c r="MF222">
        <v>0.9</v>
      </c>
      <c r="MG222">
        <v>0.9</v>
      </c>
      <c r="MH222">
        <v>0.9</v>
      </c>
      <c r="MI222">
        <v>0.9</v>
      </c>
      <c r="MJ222">
        <v>0.9</v>
      </c>
      <c r="MK222">
        <v>0.9</v>
      </c>
      <c r="ML222">
        <v>0.9</v>
      </c>
      <c r="MM222">
        <v>0.9</v>
      </c>
      <c r="MN222">
        <v>0.9</v>
      </c>
      <c r="MO222">
        <v>0.9</v>
      </c>
      <c r="MP222">
        <v>0.9</v>
      </c>
      <c r="MQ222">
        <v>0.9</v>
      </c>
      <c r="MR222">
        <v>0.9</v>
      </c>
      <c r="MS222">
        <v>0.9</v>
      </c>
      <c r="MT222">
        <v>0.9</v>
      </c>
      <c r="MU222">
        <v>0.9</v>
      </c>
      <c r="MV222">
        <v>0.9</v>
      </c>
      <c r="MW222">
        <v>0.9</v>
      </c>
      <c r="MX222">
        <v>0.9</v>
      </c>
      <c r="MY222">
        <v>0.9</v>
      </c>
      <c r="MZ222">
        <v>0.9</v>
      </c>
      <c r="NA222">
        <v>0.9</v>
      </c>
      <c r="NB222">
        <v>0.9</v>
      </c>
      <c r="NC222">
        <v>0.9</v>
      </c>
      <c r="ND222">
        <v>0.9</v>
      </c>
      <c r="NE222">
        <v>0.9</v>
      </c>
      <c r="NF222">
        <v>0.9</v>
      </c>
      <c r="NG222">
        <v>0.9</v>
      </c>
      <c r="NH222">
        <v>0.9</v>
      </c>
      <c r="NI222">
        <v>0.9</v>
      </c>
      <c r="NJ222">
        <v>0.9</v>
      </c>
      <c r="NK222">
        <v>0.9</v>
      </c>
      <c r="NL222">
        <v>0.9</v>
      </c>
      <c r="NM222">
        <v>0.9</v>
      </c>
      <c r="NZ222">
        <v>1</v>
      </c>
      <c r="OA222">
        <v>1</v>
      </c>
      <c r="OB222">
        <v>1</v>
      </c>
      <c r="OC222">
        <v>1</v>
      </c>
      <c r="OD222">
        <v>1</v>
      </c>
      <c r="OE222">
        <v>1</v>
      </c>
      <c r="OP222">
        <v>2</v>
      </c>
      <c r="OQ222">
        <v>2</v>
      </c>
      <c r="OR222">
        <v>2</v>
      </c>
      <c r="OS222">
        <v>2</v>
      </c>
      <c r="OT222">
        <v>2</v>
      </c>
      <c r="RQ222">
        <v>0.8</v>
      </c>
      <c r="RR222">
        <v>0.8</v>
      </c>
      <c r="RS222">
        <v>0.8</v>
      </c>
      <c r="RT222">
        <v>0.8</v>
      </c>
      <c r="RU222">
        <v>0.8</v>
      </c>
      <c r="RV222">
        <v>0.8</v>
      </c>
      <c r="RW222">
        <v>0.8</v>
      </c>
      <c r="RX222">
        <v>0.8</v>
      </c>
      <c r="RY222">
        <v>0.8</v>
      </c>
      <c r="RZ222">
        <v>0.8</v>
      </c>
      <c r="SA222">
        <v>0.8</v>
      </c>
      <c r="SB222">
        <v>0.8</v>
      </c>
      <c r="SC222">
        <v>0.8</v>
      </c>
      <c r="SD222">
        <v>0.8</v>
      </c>
      <c r="SE222">
        <v>0.8</v>
      </c>
      <c r="SF222">
        <v>0.8</v>
      </c>
      <c r="SG222">
        <v>0.8</v>
      </c>
      <c r="SH222">
        <v>0.8</v>
      </c>
      <c r="SI222">
        <v>0.8</v>
      </c>
      <c r="SJ222">
        <v>0.8</v>
      </c>
    </row>
    <row r="223" spans="1:964">
      <c r="A223" s="2493" t="s">
        <v>8059</v>
      </c>
      <c r="B223" s="2509" t="s">
        <v>8060</v>
      </c>
      <c r="C223" s="2495">
        <v>312958335</v>
      </c>
      <c r="D223" s="2493"/>
      <c r="E223" s="2493" t="s">
        <v>8051</v>
      </c>
      <c r="F223" s="2493"/>
      <c r="G223" s="2521"/>
      <c r="H223" s="2493"/>
      <c r="I223" s="2497">
        <v>0</v>
      </c>
      <c r="J223" s="2497">
        <v>0.5</v>
      </c>
      <c r="K223" s="7"/>
      <c r="O223" s="6">
        <v>10</v>
      </c>
      <c r="AI223">
        <v>378.8</v>
      </c>
      <c r="AQ223">
        <v>90</v>
      </c>
    </row>
    <row r="224" spans="1:964">
      <c r="A224" s="2493" t="s">
        <v>8059</v>
      </c>
      <c r="B224" s="2502" t="s">
        <v>8061</v>
      </c>
      <c r="C224" s="2495">
        <v>312958976</v>
      </c>
      <c r="D224" s="2493"/>
      <c r="E224" s="2493" t="s">
        <v>8051</v>
      </c>
      <c r="F224" s="2493">
        <v>1</v>
      </c>
      <c r="G224" s="2521"/>
      <c r="H224" s="2493"/>
      <c r="I224" s="2497">
        <v>0</v>
      </c>
      <c r="J224" s="2497">
        <v>0</v>
      </c>
      <c r="K224" s="7"/>
      <c r="N224" s="1304">
        <v>120.6</v>
      </c>
      <c r="AI224">
        <v>91.25</v>
      </c>
      <c r="AQ224">
        <v>11</v>
      </c>
      <c r="GX224">
        <v>86</v>
      </c>
      <c r="JE224">
        <v>4</v>
      </c>
      <c r="LA224">
        <v>4.5</v>
      </c>
      <c r="LB224">
        <v>15</v>
      </c>
      <c r="LC224">
        <v>2.8</v>
      </c>
      <c r="LD224">
        <v>2.8</v>
      </c>
      <c r="LE224">
        <v>2.8</v>
      </c>
      <c r="LF224">
        <v>2.8</v>
      </c>
      <c r="LG224">
        <v>2.8</v>
      </c>
      <c r="LH224">
        <v>2.8</v>
      </c>
      <c r="LI224">
        <v>2.8</v>
      </c>
      <c r="LJ224">
        <v>0.4</v>
      </c>
      <c r="LK224">
        <v>0.4</v>
      </c>
      <c r="LL224">
        <v>0.4</v>
      </c>
      <c r="LM224">
        <v>0.4</v>
      </c>
      <c r="LN224">
        <v>0.4</v>
      </c>
      <c r="LO224">
        <v>2.8</v>
      </c>
      <c r="LP224">
        <v>2.8</v>
      </c>
      <c r="LQ224">
        <v>2.8</v>
      </c>
      <c r="LR224">
        <v>2.8</v>
      </c>
      <c r="LS224">
        <v>15</v>
      </c>
      <c r="LT224">
        <v>15</v>
      </c>
      <c r="LU224">
        <v>15</v>
      </c>
      <c r="LV224">
        <v>15</v>
      </c>
      <c r="LW224">
        <v>15</v>
      </c>
      <c r="LX224">
        <v>15</v>
      </c>
      <c r="LY224">
        <v>15</v>
      </c>
      <c r="LZ224">
        <v>15</v>
      </c>
      <c r="MA224">
        <v>15</v>
      </c>
      <c r="MB224">
        <v>15</v>
      </c>
      <c r="MC224">
        <v>15</v>
      </c>
      <c r="MD224">
        <v>15</v>
      </c>
      <c r="ME224">
        <v>10</v>
      </c>
      <c r="MF224">
        <v>10</v>
      </c>
      <c r="MG224">
        <v>10</v>
      </c>
      <c r="MH224">
        <v>10</v>
      </c>
      <c r="MI224">
        <v>10</v>
      </c>
      <c r="MJ224">
        <v>10</v>
      </c>
      <c r="MK224">
        <v>10</v>
      </c>
      <c r="ML224">
        <v>10</v>
      </c>
      <c r="MM224">
        <v>10</v>
      </c>
      <c r="MN224">
        <v>10</v>
      </c>
      <c r="MO224">
        <v>10</v>
      </c>
      <c r="MP224">
        <v>10</v>
      </c>
      <c r="MQ224">
        <v>10</v>
      </c>
      <c r="MR224">
        <v>10</v>
      </c>
      <c r="MS224">
        <v>10</v>
      </c>
      <c r="MT224">
        <v>10</v>
      </c>
      <c r="MU224">
        <v>5</v>
      </c>
      <c r="MV224">
        <v>5</v>
      </c>
      <c r="MW224">
        <v>5</v>
      </c>
      <c r="MX224">
        <v>5</v>
      </c>
      <c r="MY224">
        <v>5</v>
      </c>
      <c r="MZ224">
        <v>5</v>
      </c>
      <c r="NA224">
        <v>5</v>
      </c>
      <c r="NB224">
        <v>5</v>
      </c>
      <c r="NC224">
        <v>5</v>
      </c>
      <c r="ND224">
        <v>5</v>
      </c>
      <c r="NE224">
        <v>5</v>
      </c>
      <c r="NF224">
        <v>5</v>
      </c>
      <c r="NG224">
        <v>5</v>
      </c>
      <c r="NH224">
        <v>5</v>
      </c>
      <c r="NI224">
        <v>5</v>
      </c>
      <c r="NJ224">
        <v>5</v>
      </c>
      <c r="NK224">
        <v>5</v>
      </c>
      <c r="NL224">
        <v>5</v>
      </c>
      <c r="NM224">
        <v>5</v>
      </c>
      <c r="NN224">
        <v>1</v>
      </c>
      <c r="NO224">
        <v>1</v>
      </c>
      <c r="NP224">
        <v>1</v>
      </c>
      <c r="NQ224">
        <v>1</v>
      </c>
      <c r="NR224">
        <v>1</v>
      </c>
      <c r="NS224">
        <v>1</v>
      </c>
      <c r="NT224">
        <v>1</v>
      </c>
      <c r="NU224">
        <v>1</v>
      </c>
      <c r="NV224">
        <v>1</v>
      </c>
      <c r="NW224">
        <v>1</v>
      </c>
      <c r="NX224">
        <v>1</v>
      </c>
      <c r="NY224">
        <v>1</v>
      </c>
      <c r="OF224">
        <v>2</v>
      </c>
      <c r="OG224">
        <v>2</v>
      </c>
      <c r="OH224">
        <v>2</v>
      </c>
      <c r="OI224">
        <v>2</v>
      </c>
      <c r="OJ224">
        <v>2</v>
      </c>
      <c r="OK224">
        <v>2</v>
      </c>
      <c r="OL224">
        <v>2</v>
      </c>
      <c r="OM224">
        <v>2</v>
      </c>
      <c r="ON224">
        <v>2</v>
      </c>
      <c r="OO224">
        <v>2</v>
      </c>
      <c r="OP224">
        <v>1</v>
      </c>
      <c r="OQ224">
        <v>1</v>
      </c>
      <c r="OR224">
        <v>1</v>
      </c>
      <c r="OS224">
        <v>1</v>
      </c>
      <c r="OT224">
        <v>1</v>
      </c>
      <c r="RQ224">
        <v>0.4</v>
      </c>
      <c r="RR224">
        <v>0.4</v>
      </c>
      <c r="RS224">
        <v>0.4</v>
      </c>
      <c r="RT224">
        <v>0.4</v>
      </c>
      <c r="RU224">
        <v>0.4</v>
      </c>
      <c r="RV224">
        <v>0.4</v>
      </c>
      <c r="RW224">
        <v>0.4</v>
      </c>
      <c r="RX224">
        <v>0.4</v>
      </c>
      <c r="RY224">
        <v>0.4</v>
      </c>
      <c r="RZ224">
        <v>0.4</v>
      </c>
      <c r="SA224">
        <v>0.4</v>
      </c>
      <c r="SB224">
        <v>0.4</v>
      </c>
      <c r="SC224">
        <v>0.4</v>
      </c>
      <c r="SD224">
        <v>0.4</v>
      </c>
      <c r="SE224">
        <v>0.4</v>
      </c>
      <c r="SF224">
        <v>0.4</v>
      </c>
      <c r="SG224">
        <v>0.4</v>
      </c>
      <c r="SH224">
        <v>0.4</v>
      </c>
      <c r="SI224">
        <v>0.4</v>
      </c>
      <c r="SJ224">
        <v>0.4</v>
      </c>
      <c r="SK224">
        <v>0.4</v>
      </c>
      <c r="SL224">
        <v>0.4</v>
      </c>
      <c r="SM224">
        <v>0.4</v>
      </c>
      <c r="SN224">
        <v>0.4</v>
      </c>
      <c r="SO224">
        <v>0.4</v>
      </c>
      <c r="SP224">
        <v>0.4</v>
      </c>
      <c r="SQ224">
        <v>0.4</v>
      </c>
      <c r="SR224">
        <v>0.4</v>
      </c>
      <c r="SS224">
        <v>0.4</v>
      </c>
      <c r="ST224">
        <v>0.4</v>
      </c>
      <c r="AJT224">
        <v>0.4</v>
      </c>
      <c r="AJU224">
        <v>0.4</v>
      </c>
      <c r="AJV224">
        <v>0.4</v>
      </c>
      <c r="AJW224">
        <v>0.4</v>
      </c>
      <c r="AJX224">
        <v>0.4</v>
      </c>
      <c r="AJY224">
        <v>0.4</v>
      </c>
      <c r="AJZ224">
        <v>0.4</v>
      </c>
      <c r="AKA224">
        <v>0.4</v>
      </c>
      <c r="AKB224">
        <v>0.4</v>
      </c>
    </row>
    <row r="225" spans="1:964">
      <c r="A225" s="2493" t="s">
        <v>8059</v>
      </c>
      <c r="B225" s="2502" t="s">
        <v>8062</v>
      </c>
      <c r="C225" s="2495">
        <v>312960073</v>
      </c>
      <c r="D225" s="2493"/>
      <c r="E225" s="2493" t="s">
        <v>8051</v>
      </c>
      <c r="F225" s="2493"/>
      <c r="G225" s="2521"/>
      <c r="H225" s="2493"/>
      <c r="I225" s="2497">
        <v>0</v>
      </c>
      <c r="J225" s="2497">
        <v>0</v>
      </c>
      <c r="K225" s="7"/>
      <c r="O225" s="1304">
        <v>244.4</v>
      </c>
      <c r="AE225">
        <v>1</v>
      </c>
      <c r="AK225">
        <v>1317.95</v>
      </c>
      <c r="AQ225">
        <v>30</v>
      </c>
      <c r="GX225">
        <v>136</v>
      </c>
      <c r="JE225">
        <v>21.4</v>
      </c>
      <c r="LA225">
        <v>4.5</v>
      </c>
      <c r="LB225">
        <v>4.5</v>
      </c>
      <c r="LC225">
        <v>15</v>
      </c>
      <c r="LD225">
        <v>15</v>
      </c>
      <c r="LE225">
        <v>15</v>
      </c>
      <c r="LF225">
        <v>15</v>
      </c>
      <c r="LG225">
        <v>15</v>
      </c>
      <c r="LH225">
        <v>15</v>
      </c>
      <c r="LI225">
        <v>15</v>
      </c>
      <c r="LJ225">
        <v>1.8</v>
      </c>
      <c r="LK225">
        <v>1.8</v>
      </c>
      <c r="LL225">
        <v>1.8</v>
      </c>
      <c r="LM225">
        <v>1.8</v>
      </c>
      <c r="LN225">
        <v>1.8</v>
      </c>
      <c r="LO225">
        <v>15</v>
      </c>
      <c r="LP225">
        <v>15</v>
      </c>
      <c r="LQ225">
        <v>15</v>
      </c>
      <c r="LR225">
        <v>15</v>
      </c>
      <c r="LS225">
        <v>4.5</v>
      </c>
      <c r="LT225">
        <v>4.5</v>
      </c>
      <c r="LU225">
        <v>4.5</v>
      </c>
      <c r="LV225">
        <v>4.5</v>
      </c>
      <c r="LW225">
        <v>4.5</v>
      </c>
      <c r="LX225">
        <v>4.5</v>
      </c>
      <c r="LY225">
        <v>4.5</v>
      </c>
      <c r="LZ225">
        <v>4.5</v>
      </c>
      <c r="MA225">
        <v>4.5</v>
      </c>
      <c r="MB225">
        <v>4.5</v>
      </c>
      <c r="MC225">
        <v>4.5</v>
      </c>
      <c r="MD225">
        <v>4.5</v>
      </c>
      <c r="ME225">
        <v>2.1</v>
      </c>
      <c r="MF225">
        <v>2.1</v>
      </c>
      <c r="MG225">
        <v>2.1</v>
      </c>
      <c r="MH225">
        <v>2.1</v>
      </c>
      <c r="MI225">
        <v>2.1</v>
      </c>
      <c r="MJ225">
        <v>2.1</v>
      </c>
      <c r="MK225">
        <v>2.1</v>
      </c>
      <c r="ML225">
        <v>2.1</v>
      </c>
      <c r="MM225">
        <v>2.1</v>
      </c>
      <c r="MN225">
        <v>2.1</v>
      </c>
      <c r="MO225">
        <v>2.1</v>
      </c>
      <c r="MP225">
        <v>2.1</v>
      </c>
      <c r="MQ225">
        <v>2.1</v>
      </c>
      <c r="MR225">
        <v>2.1</v>
      </c>
      <c r="MS225">
        <v>2.1</v>
      </c>
      <c r="MT225">
        <v>2.1</v>
      </c>
      <c r="MU225">
        <v>1</v>
      </c>
      <c r="MV225">
        <v>1</v>
      </c>
      <c r="MW225">
        <v>1</v>
      </c>
      <c r="MX225">
        <v>1</v>
      </c>
      <c r="MY225">
        <v>1</v>
      </c>
      <c r="MZ225">
        <v>1</v>
      </c>
      <c r="NA225">
        <v>1</v>
      </c>
      <c r="NB225">
        <v>1</v>
      </c>
      <c r="NC225">
        <v>1</v>
      </c>
      <c r="ND225">
        <v>1</v>
      </c>
      <c r="NE225">
        <v>1</v>
      </c>
      <c r="NF225">
        <v>1</v>
      </c>
      <c r="NG225">
        <v>1</v>
      </c>
      <c r="NH225">
        <v>1</v>
      </c>
      <c r="NI225">
        <v>1</v>
      </c>
      <c r="NJ225">
        <v>1</v>
      </c>
      <c r="NK225">
        <v>1</v>
      </c>
      <c r="NL225">
        <v>1</v>
      </c>
      <c r="NM225">
        <v>1</v>
      </c>
      <c r="NZ225">
        <v>2</v>
      </c>
      <c r="OA225">
        <v>2</v>
      </c>
      <c r="OB225">
        <v>2</v>
      </c>
      <c r="OC225">
        <v>2</v>
      </c>
      <c r="OD225">
        <v>2</v>
      </c>
      <c r="OE225">
        <v>2</v>
      </c>
      <c r="OF225">
        <v>1</v>
      </c>
      <c r="OG225">
        <v>1</v>
      </c>
      <c r="OH225">
        <v>1</v>
      </c>
      <c r="OI225">
        <v>1</v>
      </c>
      <c r="OJ225">
        <v>1</v>
      </c>
      <c r="OK225">
        <v>1</v>
      </c>
      <c r="OL225">
        <v>1</v>
      </c>
      <c r="OM225">
        <v>1</v>
      </c>
      <c r="ON225">
        <v>1</v>
      </c>
      <c r="OO225">
        <v>1</v>
      </c>
      <c r="OP225">
        <v>1</v>
      </c>
      <c r="OQ225">
        <v>1</v>
      </c>
      <c r="OR225">
        <v>1</v>
      </c>
      <c r="OS225">
        <v>1</v>
      </c>
      <c r="OT225">
        <v>1</v>
      </c>
      <c r="RQ225">
        <v>1.8</v>
      </c>
      <c r="RR225">
        <v>1.8</v>
      </c>
      <c r="RS225">
        <v>1.8</v>
      </c>
      <c r="RT225">
        <v>1.8</v>
      </c>
      <c r="RU225">
        <v>1.8</v>
      </c>
      <c r="RV225">
        <v>1.8</v>
      </c>
      <c r="RW225">
        <v>1.8</v>
      </c>
      <c r="RX225">
        <v>1.8</v>
      </c>
      <c r="RY225">
        <v>1.8</v>
      </c>
      <c r="RZ225">
        <v>1.8</v>
      </c>
      <c r="SA225">
        <v>1.8</v>
      </c>
      <c r="SB225">
        <v>1.8</v>
      </c>
      <c r="SC225">
        <v>1.8</v>
      </c>
      <c r="SD225">
        <v>1.8</v>
      </c>
      <c r="SE225">
        <v>1.8</v>
      </c>
      <c r="SF225">
        <v>1.8</v>
      </c>
      <c r="SG225">
        <v>1.8</v>
      </c>
      <c r="SH225">
        <v>1.8</v>
      </c>
      <c r="SI225">
        <v>1.8</v>
      </c>
      <c r="SJ225">
        <v>1.8</v>
      </c>
      <c r="SK225">
        <v>1.8</v>
      </c>
      <c r="SL225">
        <v>1.8</v>
      </c>
      <c r="SM225">
        <v>1.8</v>
      </c>
      <c r="SN225">
        <v>1.8</v>
      </c>
      <c r="SO225">
        <v>1.8</v>
      </c>
      <c r="SP225">
        <v>1.8</v>
      </c>
      <c r="SQ225">
        <v>1.8</v>
      </c>
      <c r="SR225">
        <v>1.8</v>
      </c>
      <c r="SS225">
        <v>1.8</v>
      </c>
      <c r="ST225">
        <v>1.8</v>
      </c>
      <c r="AJT225">
        <v>1.8</v>
      </c>
      <c r="AJU225">
        <v>1.8</v>
      </c>
      <c r="AJV225">
        <v>1.8</v>
      </c>
      <c r="AJW225">
        <v>1.8</v>
      </c>
      <c r="AJX225">
        <v>1.8</v>
      </c>
      <c r="AJY225">
        <v>1.8</v>
      </c>
      <c r="AJZ225">
        <v>1.8</v>
      </c>
      <c r="AKA225">
        <v>1.8</v>
      </c>
      <c r="AKB225">
        <v>1.8</v>
      </c>
    </row>
    <row r="226" spans="1:964" s="1304" customFormat="1">
      <c r="A226" s="2493" t="s">
        <v>8066</v>
      </c>
      <c r="B226" s="2503" t="s">
        <v>8063</v>
      </c>
      <c r="C226" s="2499">
        <v>312976005</v>
      </c>
      <c r="D226" s="2493"/>
      <c r="E226" s="2493" t="s">
        <v>8051</v>
      </c>
      <c r="F226" s="2493"/>
      <c r="G226" s="2521"/>
      <c r="H226" s="2493"/>
      <c r="I226" s="2496">
        <f>50-50</f>
        <v>0</v>
      </c>
      <c r="J226" s="2497"/>
      <c r="K226" s="7"/>
    </row>
    <row r="227" spans="1:964" s="1304" customFormat="1">
      <c r="A227" s="2493" t="s">
        <v>8066</v>
      </c>
      <c r="B227" s="2503" t="s">
        <v>8064</v>
      </c>
      <c r="C227" s="2495">
        <v>312976037</v>
      </c>
      <c r="D227" s="2493"/>
      <c r="E227" s="2493" t="s">
        <v>8051</v>
      </c>
      <c r="F227" s="2493"/>
      <c r="G227" s="2521"/>
      <c r="H227" s="2493"/>
      <c r="I227" s="2496">
        <v>0</v>
      </c>
      <c r="J227" s="2497">
        <v>0</v>
      </c>
      <c r="K227" s="7"/>
    </row>
    <row r="228" spans="1:964" s="1304" customFormat="1">
      <c r="A228" s="2493" t="s">
        <v>8066</v>
      </c>
      <c r="B228" s="2503" t="s">
        <v>8065</v>
      </c>
      <c r="C228" s="2495">
        <v>312975988</v>
      </c>
      <c r="D228" s="2493"/>
      <c r="E228" s="2493" t="s">
        <v>8051</v>
      </c>
      <c r="F228" s="2493"/>
      <c r="G228" s="2521"/>
      <c r="H228" s="2493"/>
      <c r="I228" s="2496">
        <v>40</v>
      </c>
      <c r="J228" s="2497">
        <v>0</v>
      </c>
      <c r="K228" s="7"/>
    </row>
    <row r="229" spans="1:964" s="1304" customFormat="1">
      <c r="A229" s="2493" t="s">
        <v>8066</v>
      </c>
      <c r="B229" s="2503" t="s">
        <v>8067</v>
      </c>
      <c r="C229" s="2495">
        <v>312976013</v>
      </c>
      <c r="D229" s="2493"/>
      <c r="E229" s="2493" t="s">
        <v>8051</v>
      </c>
      <c r="F229" s="2493"/>
      <c r="G229" s="2521"/>
      <c r="H229" s="2493"/>
      <c r="I229" s="2496">
        <v>0</v>
      </c>
      <c r="J229" s="2497">
        <v>0</v>
      </c>
      <c r="K229" s="7"/>
    </row>
    <row r="230" spans="1:964">
      <c r="A230" s="2493" t="s">
        <v>8069</v>
      </c>
      <c r="B230" s="2502" t="s">
        <v>8068</v>
      </c>
      <c r="C230" s="2495">
        <v>312988171</v>
      </c>
      <c r="D230" s="2493"/>
      <c r="E230" s="2493" t="s">
        <v>8070</v>
      </c>
      <c r="F230" s="2493"/>
      <c r="G230" s="2521"/>
      <c r="H230" s="2493"/>
      <c r="I230" s="2496">
        <v>0.2</v>
      </c>
      <c r="J230" s="2497"/>
      <c r="K230" s="7"/>
      <c r="L230" s="2543" t="s">
        <v>3035</v>
      </c>
      <c r="R230">
        <v>33</v>
      </c>
      <c r="X230">
        <v>306</v>
      </c>
      <c r="Z230">
        <f>25+27+15+19+33+23-1-2</f>
        <v>139</v>
      </c>
      <c r="AB230">
        <v>23</v>
      </c>
      <c r="AE230">
        <v>3.5</v>
      </c>
      <c r="AQ230">
        <v>100</v>
      </c>
      <c r="JE230">
        <f>+JE225+0.8</f>
        <v>22.2</v>
      </c>
      <c r="LA230">
        <v>4</v>
      </c>
      <c r="LB230">
        <v>4.5</v>
      </c>
      <c r="LC230">
        <v>4.5</v>
      </c>
      <c r="LD230">
        <v>4.5</v>
      </c>
      <c r="LE230">
        <v>4.5</v>
      </c>
      <c r="LF230">
        <v>4.5</v>
      </c>
      <c r="LG230">
        <v>4.5</v>
      </c>
      <c r="LH230">
        <v>4.5</v>
      </c>
      <c r="LI230">
        <v>4.5</v>
      </c>
      <c r="LJ230">
        <v>2</v>
      </c>
      <c r="LK230">
        <v>2</v>
      </c>
      <c r="LL230">
        <v>2</v>
      </c>
      <c r="LM230">
        <v>2</v>
      </c>
      <c r="LN230">
        <v>2</v>
      </c>
      <c r="LO230">
        <v>4.5</v>
      </c>
      <c r="LP230">
        <v>4.5</v>
      </c>
      <c r="LQ230">
        <v>4.5</v>
      </c>
      <c r="LR230">
        <v>4.5</v>
      </c>
      <c r="LS230">
        <v>4.5</v>
      </c>
      <c r="LT230">
        <v>4.5</v>
      </c>
      <c r="LU230">
        <v>4.5</v>
      </c>
      <c r="LV230">
        <v>4.5</v>
      </c>
      <c r="LW230">
        <v>4.5</v>
      </c>
      <c r="LX230">
        <v>4.5</v>
      </c>
      <c r="LY230">
        <v>4.5</v>
      </c>
      <c r="LZ230">
        <v>4.5</v>
      </c>
      <c r="MA230">
        <v>4.5</v>
      </c>
      <c r="MB230">
        <v>4.5</v>
      </c>
      <c r="MC230">
        <v>4.5</v>
      </c>
      <c r="MD230">
        <v>4.5</v>
      </c>
      <c r="ME230">
        <v>4.5</v>
      </c>
      <c r="MF230">
        <v>4.5</v>
      </c>
      <c r="MG230">
        <v>4.5</v>
      </c>
      <c r="MH230">
        <v>4.5</v>
      </c>
      <c r="MI230">
        <v>4.5</v>
      </c>
      <c r="MJ230">
        <v>4.5</v>
      </c>
      <c r="MK230">
        <v>4.5</v>
      </c>
      <c r="ML230">
        <v>4.5</v>
      </c>
      <c r="MM230">
        <v>4.5</v>
      </c>
      <c r="MN230">
        <v>4.5</v>
      </c>
      <c r="MO230">
        <v>4.5</v>
      </c>
      <c r="MP230">
        <v>4.5</v>
      </c>
      <c r="MQ230">
        <v>4.5</v>
      </c>
      <c r="MR230">
        <v>4.5</v>
      </c>
      <c r="MS230">
        <v>4.5</v>
      </c>
      <c r="MT230">
        <v>4.5</v>
      </c>
      <c r="MV230">
        <v>2</v>
      </c>
      <c r="MW230">
        <v>2</v>
      </c>
      <c r="MX230">
        <v>2</v>
      </c>
      <c r="MY230">
        <v>2</v>
      </c>
      <c r="MZ230">
        <v>2</v>
      </c>
      <c r="NA230">
        <v>2</v>
      </c>
      <c r="NB230">
        <v>2</v>
      </c>
      <c r="NC230">
        <v>2</v>
      </c>
      <c r="ND230">
        <v>2</v>
      </c>
      <c r="NE230">
        <v>2</v>
      </c>
      <c r="NF230">
        <v>2</v>
      </c>
      <c r="NG230">
        <v>2</v>
      </c>
      <c r="NH230">
        <v>2</v>
      </c>
      <c r="NI230">
        <v>2</v>
      </c>
      <c r="NJ230">
        <v>2</v>
      </c>
      <c r="NK230">
        <v>2</v>
      </c>
      <c r="NL230">
        <v>2</v>
      </c>
      <c r="NM230">
        <v>2</v>
      </c>
      <c r="NN230">
        <v>2</v>
      </c>
      <c r="NO230">
        <v>2</v>
      </c>
      <c r="NP230">
        <v>2</v>
      </c>
      <c r="NQ230">
        <v>2</v>
      </c>
      <c r="NR230">
        <v>2</v>
      </c>
      <c r="NS230">
        <v>2</v>
      </c>
      <c r="NT230">
        <v>2</v>
      </c>
      <c r="NU230">
        <v>2</v>
      </c>
      <c r="NV230">
        <v>2</v>
      </c>
      <c r="NW230">
        <v>2</v>
      </c>
      <c r="NX230">
        <v>2</v>
      </c>
      <c r="NY230">
        <v>2</v>
      </c>
      <c r="NZ230">
        <v>1</v>
      </c>
      <c r="OA230">
        <v>1</v>
      </c>
      <c r="OB230">
        <v>1</v>
      </c>
      <c r="OC230">
        <v>1</v>
      </c>
      <c r="OD230">
        <v>1</v>
      </c>
      <c r="OE230">
        <v>1</v>
      </c>
      <c r="OF230">
        <v>1</v>
      </c>
      <c r="OG230">
        <v>1</v>
      </c>
      <c r="OH230">
        <v>1</v>
      </c>
      <c r="OI230">
        <v>1</v>
      </c>
      <c r="OJ230">
        <v>1</v>
      </c>
      <c r="OK230">
        <v>1</v>
      </c>
      <c r="OL230">
        <v>1</v>
      </c>
      <c r="OM230">
        <v>1</v>
      </c>
      <c r="ON230">
        <v>1</v>
      </c>
      <c r="OO230">
        <v>1</v>
      </c>
      <c r="OP230">
        <v>0.3</v>
      </c>
      <c r="OQ230">
        <v>0.3</v>
      </c>
      <c r="OR230">
        <v>0.3</v>
      </c>
      <c r="OS230">
        <v>0.3</v>
      </c>
      <c r="OT230">
        <v>0.3</v>
      </c>
      <c r="RQ230">
        <v>2</v>
      </c>
      <c r="RR230">
        <v>2</v>
      </c>
      <c r="RS230">
        <v>2</v>
      </c>
      <c r="RT230">
        <v>2</v>
      </c>
      <c r="RU230">
        <v>2</v>
      </c>
      <c r="RV230">
        <v>2</v>
      </c>
      <c r="RW230">
        <v>2</v>
      </c>
      <c r="RX230">
        <v>2</v>
      </c>
      <c r="RY230">
        <v>2</v>
      </c>
      <c r="RZ230">
        <v>2</v>
      </c>
      <c r="SA230">
        <v>2</v>
      </c>
      <c r="SB230">
        <v>2</v>
      </c>
      <c r="SC230">
        <v>2</v>
      </c>
      <c r="SD230">
        <v>2</v>
      </c>
      <c r="SE230">
        <v>2</v>
      </c>
      <c r="SF230">
        <v>2</v>
      </c>
      <c r="SG230">
        <v>2</v>
      </c>
      <c r="SH230">
        <v>2</v>
      </c>
      <c r="SI230">
        <v>2</v>
      </c>
      <c r="SJ230">
        <v>2</v>
      </c>
      <c r="SK230">
        <v>2</v>
      </c>
      <c r="SL230">
        <v>2</v>
      </c>
      <c r="SM230">
        <v>2</v>
      </c>
      <c r="SN230">
        <v>2</v>
      </c>
      <c r="SO230">
        <v>2</v>
      </c>
      <c r="SP230">
        <v>2</v>
      </c>
      <c r="SQ230">
        <v>2</v>
      </c>
      <c r="SR230">
        <v>2</v>
      </c>
      <c r="SS230">
        <v>2</v>
      </c>
      <c r="ST230">
        <v>2</v>
      </c>
      <c r="AJT230">
        <v>2</v>
      </c>
      <c r="AJU230">
        <v>2</v>
      </c>
      <c r="AJV230">
        <v>2</v>
      </c>
      <c r="AJW230">
        <v>2</v>
      </c>
      <c r="AJX230">
        <v>2</v>
      </c>
      <c r="AJY230">
        <v>2</v>
      </c>
      <c r="AJZ230">
        <v>2</v>
      </c>
      <c r="AKA230">
        <v>2</v>
      </c>
      <c r="AKB230">
        <v>2</v>
      </c>
    </row>
    <row r="231" spans="1:964" s="1304" customFormat="1">
      <c r="A231" s="2502" t="s">
        <v>8069</v>
      </c>
      <c r="B231" s="2502" t="s">
        <v>8080</v>
      </c>
      <c r="C231" s="2493">
        <v>312988981</v>
      </c>
      <c r="D231" s="2493"/>
      <c r="E231" s="2493" t="s">
        <v>8070</v>
      </c>
      <c r="F231" s="2493"/>
      <c r="G231" s="2521"/>
      <c r="H231" s="2493"/>
      <c r="I231" s="2496">
        <v>0.2</v>
      </c>
      <c r="J231" s="2497"/>
      <c r="K231" s="7"/>
    </row>
    <row r="232" spans="1:964" s="1304" customFormat="1">
      <c r="A232" s="2507" t="s">
        <v>8082</v>
      </c>
      <c r="B232" s="2507" t="s">
        <v>8081</v>
      </c>
      <c r="C232" s="2508">
        <v>313030367</v>
      </c>
      <c r="E232" s="2493" t="s">
        <v>8051</v>
      </c>
      <c r="G232" s="4"/>
      <c r="I232" s="6">
        <v>0</v>
      </c>
      <c r="J232" s="2524"/>
      <c r="K232" s="7"/>
      <c r="L232" s="2542" t="s">
        <v>8108</v>
      </c>
      <c r="Q232" s="1304">
        <f>15000000*0.88</f>
        <v>13200000</v>
      </c>
    </row>
    <row r="233" spans="1:964" s="1304" customFormat="1">
      <c r="A233" s="2507" t="s">
        <v>8084</v>
      </c>
      <c r="B233" s="2507" t="s">
        <v>8083</v>
      </c>
      <c r="C233" s="1243">
        <v>313034772</v>
      </c>
      <c r="E233" s="2493" t="s">
        <v>8051</v>
      </c>
      <c r="G233" s="4"/>
      <c r="I233" s="6">
        <v>0</v>
      </c>
      <c r="J233" s="2524"/>
      <c r="K233" s="7"/>
      <c r="L233" s="2542" t="s">
        <v>8108</v>
      </c>
    </row>
    <row r="234" spans="1:964" s="1304" customFormat="1">
      <c r="A234" s="2510" t="s">
        <v>8088</v>
      </c>
      <c r="B234" s="2510" t="s">
        <v>8089</v>
      </c>
      <c r="C234" s="1243">
        <v>313037207</v>
      </c>
      <c r="E234" s="2493" t="s">
        <v>8051</v>
      </c>
      <c r="G234" s="4"/>
      <c r="I234" s="6">
        <v>0</v>
      </c>
      <c r="J234" s="2524"/>
      <c r="K234" s="7"/>
      <c r="L234" s="2542" t="s">
        <v>8108</v>
      </c>
    </row>
    <row r="235" spans="1:964" s="1304" customFormat="1">
      <c r="A235" s="2510" t="s">
        <v>8086</v>
      </c>
      <c r="B235" s="2530" t="s">
        <v>8085</v>
      </c>
      <c r="C235" s="1243">
        <v>313045173</v>
      </c>
      <c r="E235" s="2493" t="s">
        <v>8051</v>
      </c>
      <c r="F235" s="2527" t="s">
        <v>8096</v>
      </c>
      <c r="G235" s="2528" t="s">
        <v>8097</v>
      </c>
      <c r="I235" s="6">
        <f>8+32+35+100-175</f>
        <v>0</v>
      </c>
      <c r="J235" s="7"/>
      <c r="K235" s="7"/>
      <c r="L235" s="2542" t="s">
        <v>8108</v>
      </c>
    </row>
    <row r="236" spans="1:964" s="1304" customFormat="1">
      <c r="A236" s="2510" t="s">
        <v>8086</v>
      </c>
      <c r="B236" s="2510" t="s">
        <v>8087</v>
      </c>
      <c r="C236" s="1243">
        <v>313046314</v>
      </c>
      <c r="E236" s="2493" t="s">
        <v>8051</v>
      </c>
      <c r="F236" s="2527" t="s">
        <v>8096</v>
      </c>
      <c r="G236" s="2528" t="s">
        <v>8097</v>
      </c>
      <c r="I236" s="6">
        <f>50+47+36</f>
        <v>133</v>
      </c>
      <c r="J236" s="7">
        <v>0.5</v>
      </c>
      <c r="K236" s="7"/>
      <c r="L236" s="2542" t="s">
        <v>8108</v>
      </c>
    </row>
    <row r="237" spans="1:964">
      <c r="A237" s="2511" t="s">
        <v>8091</v>
      </c>
      <c r="B237" s="2511" t="s">
        <v>8092</v>
      </c>
      <c r="C237" s="1243">
        <v>313053378</v>
      </c>
      <c r="E237" s="2493" t="s">
        <v>8051</v>
      </c>
      <c r="F237" s="2527" t="s">
        <v>8096</v>
      </c>
      <c r="G237" s="2528" t="s">
        <v>3105</v>
      </c>
      <c r="H237" t="s">
        <v>8102</v>
      </c>
      <c r="I237" s="6">
        <v>50</v>
      </c>
      <c r="J237" s="2532">
        <v>0</v>
      </c>
      <c r="K237" s="7"/>
      <c r="L237" s="2542" t="s">
        <v>8108</v>
      </c>
      <c r="R237">
        <v>33</v>
      </c>
      <c r="X237">
        <v>306</v>
      </c>
      <c r="Z237">
        <v>33</v>
      </c>
      <c r="AB237">
        <v>13</v>
      </c>
      <c r="AE237">
        <v>2.4</v>
      </c>
      <c r="LA237">
        <v>6.3</v>
      </c>
      <c r="LB237">
        <v>4</v>
      </c>
      <c r="LC237">
        <v>4.5</v>
      </c>
      <c r="LD237">
        <v>4.5</v>
      </c>
      <c r="LE237">
        <v>4.5</v>
      </c>
      <c r="LF237">
        <v>4.5</v>
      </c>
      <c r="LG237">
        <v>4.5</v>
      </c>
      <c r="LH237">
        <v>4.5</v>
      </c>
      <c r="LI237">
        <v>4.5</v>
      </c>
      <c r="LJ237">
        <v>5</v>
      </c>
      <c r="LK237">
        <v>5</v>
      </c>
      <c r="LL237">
        <v>5</v>
      </c>
      <c r="LM237">
        <v>5</v>
      </c>
      <c r="LN237">
        <v>5</v>
      </c>
      <c r="LO237">
        <v>4.5</v>
      </c>
      <c r="LP237">
        <v>4.5</v>
      </c>
      <c r="LQ237">
        <v>4.5</v>
      </c>
      <c r="LR237">
        <v>4.5</v>
      </c>
      <c r="LS237">
        <v>4</v>
      </c>
      <c r="LT237">
        <v>4</v>
      </c>
      <c r="LU237">
        <v>4</v>
      </c>
      <c r="LV237">
        <v>4</v>
      </c>
      <c r="LW237">
        <v>4</v>
      </c>
      <c r="LX237">
        <v>4</v>
      </c>
      <c r="LY237">
        <v>4</v>
      </c>
      <c r="LZ237">
        <v>4</v>
      </c>
      <c r="MA237">
        <v>4</v>
      </c>
      <c r="MB237">
        <v>4</v>
      </c>
      <c r="MC237">
        <v>4</v>
      </c>
      <c r="MD237">
        <v>4</v>
      </c>
      <c r="ME237">
        <v>4</v>
      </c>
      <c r="MF237">
        <v>4</v>
      </c>
      <c r="MG237">
        <v>4</v>
      </c>
      <c r="MH237">
        <v>4</v>
      </c>
      <c r="MI237">
        <v>4</v>
      </c>
      <c r="MJ237">
        <v>4</v>
      </c>
      <c r="MK237">
        <v>4</v>
      </c>
      <c r="ML237">
        <v>4</v>
      </c>
      <c r="MM237">
        <v>4</v>
      </c>
      <c r="MN237">
        <v>4</v>
      </c>
      <c r="MO237">
        <v>4</v>
      </c>
      <c r="MP237">
        <v>4</v>
      </c>
      <c r="MQ237">
        <v>4</v>
      </c>
      <c r="MR237">
        <v>4</v>
      </c>
      <c r="MS237">
        <v>4</v>
      </c>
      <c r="MT237">
        <v>4</v>
      </c>
      <c r="MU237">
        <v>2</v>
      </c>
      <c r="MV237">
        <v>2</v>
      </c>
      <c r="MW237">
        <v>2</v>
      </c>
      <c r="MX237">
        <v>2</v>
      </c>
      <c r="MY237">
        <v>2</v>
      </c>
      <c r="MZ237">
        <v>2</v>
      </c>
      <c r="NA237">
        <v>2</v>
      </c>
      <c r="NB237">
        <v>2</v>
      </c>
      <c r="NC237">
        <v>2</v>
      </c>
      <c r="ND237">
        <v>2</v>
      </c>
      <c r="NE237">
        <v>2</v>
      </c>
      <c r="NF237">
        <v>2</v>
      </c>
      <c r="NG237">
        <v>2</v>
      </c>
      <c r="NH237">
        <v>2</v>
      </c>
      <c r="NI237">
        <v>2</v>
      </c>
      <c r="NJ237">
        <v>2</v>
      </c>
      <c r="NK237">
        <v>2</v>
      </c>
      <c r="NL237">
        <v>2</v>
      </c>
      <c r="NM237">
        <v>2</v>
      </c>
      <c r="NN237">
        <v>1</v>
      </c>
      <c r="NO237">
        <v>1</v>
      </c>
      <c r="NP237">
        <v>1</v>
      </c>
      <c r="NQ237">
        <v>1</v>
      </c>
      <c r="NR237">
        <v>1</v>
      </c>
      <c r="NS237">
        <v>1</v>
      </c>
      <c r="NT237">
        <v>1</v>
      </c>
      <c r="NU237">
        <v>1</v>
      </c>
      <c r="NV237">
        <v>1</v>
      </c>
      <c r="NW237">
        <v>1</v>
      </c>
      <c r="NX237">
        <v>1</v>
      </c>
      <c r="NY237">
        <v>1</v>
      </c>
      <c r="NZ237">
        <v>1</v>
      </c>
      <c r="OA237">
        <v>1</v>
      </c>
      <c r="OB237">
        <v>1</v>
      </c>
      <c r="OC237">
        <v>1</v>
      </c>
      <c r="OD237">
        <v>1</v>
      </c>
      <c r="OE237">
        <v>1</v>
      </c>
      <c r="OF237">
        <v>0.3</v>
      </c>
      <c r="OG237">
        <v>0.3</v>
      </c>
      <c r="OH237">
        <v>0.3</v>
      </c>
      <c r="OI237">
        <v>0.3</v>
      </c>
      <c r="OJ237">
        <v>0.3</v>
      </c>
      <c r="OK237">
        <v>0.3</v>
      </c>
      <c r="OL237">
        <v>0.3</v>
      </c>
      <c r="OM237">
        <v>0.3</v>
      </c>
      <c r="ON237">
        <v>0.3</v>
      </c>
      <c r="OO237">
        <v>0.3</v>
      </c>
      <c r="RQ237">
        <v>5</v>
      </c>
      <c r="RR237">
        <v>5</v>
      </c>
      <c r="RS237">
        <v>5</v>
      </c>
      <c r="RT237">
        <v>5</v>
      </c>
      <c r="RU237">
        <v>5</v>
      </c>
      <c r="RV237">
        <v>5</v>
      </c>
      <c r="RW237">
        <v>5</v>
      </c>
      <c r="RX237">
        <v>5</v>
      </c>
      <c r="RY237">
        <v>5</v>
      </c>
      <c r="RZ237">
        <v>5</v>
      </c>
      <c r="SA237">
        <v>5</v>
      </c>
      <c r="SB237">
        <v>5</v>
      </c>
      <c r="SC237">
        <v>5</v>
      </c>
      <c r="SD237">
        <v>5</v>
      </c>
      <c r="SE237">
        <v>5</v>
      </c>
      <c r="SF237">
        <v>5</v>
      </c>
      <c r="SG237">
        <v>5</v>
      </c>
      <c r="SH237">
        <v>5</v>
      </c>
      <c r="SI237">
        <v>5</v>
      </c>
      <c r="SJ237">
        <v>5</v>
      </c>
      <c r="SK237">
        <v>5</v>
      </c>
      <c r="SL237">
        <v>5</v>
      </c>
      <c r="SM237">
        <v>5</v>
      </c>
      <c r="SN237">
        <v>5</v>
      </c>
      <c r="SO237">
        <v>5</v>
      </c>
      <c r="SP237">
        <v>5</v>
      </c>
      <c r="SQ237">
        <v>5</v>
      </c>
      <c r="SR237">
        <v>5</v>
      </c>
      <c r="SS237">
        <v>5</v>
      </c>
      <c r="ST237">
        <v>5</v>
      </c>
      <c r="AJT237">
        <v>5</v>
      </c>
      <c r="AJU237">
        <v>5</v>
      </c>
      <c r="AJV237">
        <v>5</v>
      </c>
      <c r="AJW237">
        <v>5</v>
      </c>
      <c r="AJX237">
        <v>5</v>
      </c>
      <c r="AJY237">
        <v>5</v>
      </c>
      <c r="AJZ237">
        <v>5</v>
      </c>
      <c r="AKA237">
        <v>5</v>
      </c>
      <c r="AKB237">
        <v>5</v>
      </c>
    </row>
    <row r="238" spans="1:964" s="1304" customFormat="1">
      <c r="A238" s="2511" t="s">
        <v>8091</v>
      </c>
      <c r="B238" s="2511" t="s">
        <v>8090</v>
      </c>
      <c r="C238" s="1243">
        <v>313053385</v>
      </c>
      <c r="E238" s="2493" t="s">
        <v>8051</v>
      </c>
      <c r="F238" s="2527" t="s">
        <v>8096</v>
      </c>
      <c r="G238" s="2528" t="s">
        <v>3105</v>
      </c>
      <c r="H238" s="1304" t="s">
        <v>8103</v>
      </c>
      <c r="I238" s="6">
        <f>20+50+40+50-160+34+50+50</f>
        <v>134</v>
      </c>
      <c r="J238" s="7">
        <v>0.5</v>
      </c>
      <c r="K238" s="7"/>
      <c r="L238" s="2542" t="s">
        <v>8108</v>
      </c>
    </row>
    <row r="239" spans="1:964" s="1304" customFormat="1">
      <c r="A239" s="2526" t="s">
        <v>8094</v>
      </c>
      <c r="B239" s="2531" t="s">
        <v>8093</v>
      </c>
      <c r="C239" s="1358">
        <v>313061724</v>
      </c>
      <c r="E239" s="2493" t="s">
        <v>8051</v>
      </c>
      <c r="G239" s="4"/>
      <c r="H239" s="1304" t="s">
        <v>8106</v>
      </c>
      <c r="I239" s="6">
        <f>35+33</f>
        <v>68</v>
      </c>
      <c r="J239" s="7"/>
      <c r="K239" s="7"/>
      <c r="L239" s="2542" t="s">
        <v>8108</v>
      </c>
    </row>
    <row r="240" spans="1:964" s="1304" customFormat="1">
      <c r="A240" s="2526" t="s">
        <v>8094</v>
      </c>
      <c r="B240" s="2531" t="s">
        <v>8095</v>
      </c>
      <c r="C240" s="1243">
        <v>313061867</v>
      </c>
      <c r="E240" s="2493" t="s">
        <v>8051</v>
      </c>
      <c r="G240" s="4"/>
      <c r="H240" s="1304" t="s">
        <v>8107</v>
      </c>
      <c r="I240" s="6">
        <v>0</v>
      </c>
      <c r="J240" s="6">
        <v>9</v>
      </c>
      <c r="K240" s="7"/>
      <c r="L240" s="2542" t="s">
        <v>8108</v>
      </c>
    </row>
    <row r="241" spans="1:964">
      <c r="A241" s="2527" t="s">
        <v>8099</v>
      </c>
      <c r="B241" s="2527" t="s">
        <v>8098</v>
      </c>
      <c r="C241" s="1243">
        <v>313068571</v>
      </c>
      <c r="E241" s="2493" t="s">
        <v>8051</v>
      </c>
      <c r="H241" t="s">
        <v>8104</v>
      </c>
      <c r="I241" s="6">
        <v>0.2</v>
      </c>
      <c r="J241" s="6">
        <v>0</v>
      </c>
      <c r="R241">
        <v>23</v>
      </c>
      <c r="X241">
        <v>918</v>
      </c>
      <c r="Z241">
        <v>30</v>
      </c>
      <c r="AB241">
        <v>57</v>
      </c>
      <c r="AE241">
        <v>2.9</v>
      </c>
      <c r="LA241">
        <v>25</v>
      </c>
      <c r="LB241">
        <v>6.3</v>
      </c>
      <c r="LC241">
        <v>4</v>
      </c>
      <c r="LD241">
        <v>4</v>
      </c>
      <c r="LE241">
        <v>4</v>
      </c>
      <c r="LF241">
        <v>4</v>
      </c>
      <c r="LG241">
        <v>4</v>
      </c>
      <c r="LH241">
        <v>4</v>
      </c>
      <c r="LI241">
        <v>4</v>
      </c>
      <c r="LJ241">
        <v>22</v>
      </c>
      <c r="LK241">
        <v>22</v>
      </c>
      <c r="LO241">
        <v>4</v>
      </c>
      <c r="LP241">
        <v>4</v>
      </c>
      <c r="LQ241">
        <v>4</v>
      </c>
      <c r="LR241">
        <v>4</v>
      </c>
      <c r="LS241">
        <v>2</v>
      </c>
      <c r="LT241">
        <v>2</v>
      </c>
      <c r="LU241">
        <v>2</v>
      </c>
      <c r="LV241">
        <v>2</v>
      </c>
      <c r="LW241">
        <v>2</v>
      </c>
      <c r="LX241">
        <v>2</v>
      </c>
      <c r="LY241">
        <v>2</v>
      </c>
      <c r="LZ241">
        <v>2</v>
      </c>
      <c r="MA241">
        <v>2</v>
      </c>
      <c r="MB241">
        <v>2</v>
      </c>
      <c r="MC241">
        <v>2</v>
      </c>
      <c r="MD241">
        <v>2</v>
      </c>
      <c r="ME241">
        <v>2</v>
      </c>
      <c r="MF241">
        <v>2</v>
      </c>
      <c r="MG241">
        <v>2</v>
      </c>
      <c r="MH241">
        <v>2</v>
      </c>
      <c r="MI241">
        <v>2</v>
      </c>
      <c r="MJ241">
        <v>2</v>
      </c>
      <c r="MK241">
        <v>2</v>
      </c>
      <c r="ML241">
        <v>2</v>
      </c>
      <c r="MM241">
        <v>2</v>
      </c>
      <c r="MN241">
        <v>2</v>
      </c>
      <c r="MO241">
        <v>2</v>
      </c>
      <c r="MP241">
        <v>2</v>
      </c>
      <c r="MQ241">
        <v>2</v>
      </c>
      <c r="MR241">
        <v>2</v>
      </c>
      <c r="MS241">
        <v>2</v>
      </c>
      <c r="MT241">
        <v>2</v>
      </c>
      <c r="MU241">
        <v>2</v>
      </c>
      <c r="MV241">
        <v>1</v>
      </c>
      <c r="MW241">
        <v>1</v>
      </c>
      <c r="MX241">
        <v>1</v>
      </c>
      <c r="MY241">
        <v>1</v>
      </c>
      <c r="MZ241">
        <v>1</v>
      </c>
      <c r="NA241">
        <v>1</v>
      </c>
      <c r="NB241">
        <v>1</v>
      </c>
      <c r="NC241">
        <v>1</v>
      </c>
      <c r="ND241">
        <v>1</v>
      </c>
      <c r="NE241">
        <v>1</v>
      </c>
      <c r="NF241">
        <v>1</v>
      </c>
      <c r="NG241">
        <v>1</v>
      </c>
      <c r="NH241">
        <v>1</v>
      </c>
      <c r="NI241">
        <v>1</v>
      </c>
      <c r="NJ241">
        <v>1</v>
      </c>
      <c r="NK241">
        <v>1</v>
      </c>
      <c r="NL241">
        <v>1</v>
      </c>
      <c r="NM241">
        <v>1</v>
      </c>
      <c r="NN241">
        <v>1</v>
      </c>
      <c r="NO241">
        <v>1</v>
      </c>
      <c r="NP241">
        <v>1</v>
      </c>
      <c r="NQ241">
        <v>1</v>
      </c>
      <c r="NR241">
        <v>1</v>
      </c>
      <c r="NS241">
        <v>1</v>
      </c>
      <c r="NT241">
        <v>1</v>
      </c>
      <c r="NU241">
        <v>1</v>
      </c>
      <c r="NV241">
        <v>1</v>
      </c>
      <c r="NW241">
        <v>1</v>
      </c>
      <c r="NX241">
        <v>1</v>
      </c>
      <c r="NY241">
        <v>1</v>
      </c>
      <c r="NZ241">
        <v>0.3</v>
      </c>
      <c r="OA241">
        <v>0.3</v>
      </c>
      <c r="OB241">
        <v>0.3</v>
      </c>
      <c r="OC241">
        <v>0.3</v>
      </c>
      <c r="OD241">
        <v>0.3</v>
      </c>
      <c r="OE241">
        <v>0.3</v>
      </c>
    </row>
    <row r="242" spans="1:964">
      <c r="A242" s="2527" t="s">
        <v>8099</v>
      </c>
      <c r="B242" s="2527" t="s">
        <v>8100</v>
      </c>
      <c r="C242" s="1243">
        <v>313068588</v>
      </c>
      <c r="E242" s="2493" t="s">
        <v>8051</v>
      </c>
      <c r="H242" s="1304" t="s">
        <v>8105</v>
      </c>
      <c r="I242" s="6">
        <f>10+20+60</f>
        <v>90</v>
      </c>
      <c r="J242" s="7"/>
      <c r="R242">
        <v>33</v>
      </c>
      <c r="X242">
        <v>306</v>
      </c>
      <c r="Z242">
        <v>33</v>
      </c>
      <c r="AB242">
        <v>49</v>
      </c>
      <c r="AE242">
        <v>20.100000000000001</v>
      </c>
      <c r="LA242">
        <v>25</v>
      </c>
      <c r="LB242">
        <v>25</v>
      </c>
      <c r="LC242">
        <v>6.3</v>
      </c>
      <c r="LD242">
        <v>6.3</v>
      </c>
      <c r="LE242">
        <v>6.3</v>
      </c>
      <c r="LF242">
        <v>6.3</v>
      </c>
      <c r="LG242">
        <v>6.3</v>
      </c>
      <c r="LH242">
        <v>2</v>
      </c>
      <c r="LI242">
        <v>2</v>
      </c>
      <c r="LJ242">
        <v>8</v>
      </c>
      <c r="LK242">
        <v>8</v>
      </c>
      <c r="LL242">
        <v>8</v>
      </c>
      <c r="LM242">
        <v>8</v>
      </c>
      <c r="LN242">
        <v>3</v>
      </c>
      <c r="LO242">
        <v>2</v>
      </c>
      <c r="LP242">
        <v>2</v>
      </c>
      <c r="LQ242">
        <v>2</v>
      </c>
      <c r="LR242">
        <v>2</v>
      </c>
      <c r="LS242">
        <v>7</v>
      </c>
      <c r="LT242">
        <v>7</v>
      </c>
      <c r="LU242">
        <v>7</v>
      </c>
      <c r="LV242">
        <v>7</v>
      </c>
      <c r="LW242">
        <v>7</v>
      </c>
      <c r="LX242">
        <v>7</v>
      </c>
      <c r="LY242">
        <v>7</v>
      </c>
      <c r="LZ242">
        <v>7</v>
      </c>
      <c r="MA242">
        <v>7</v>
      </c>
      <c r="MB242">
        <v>7</v>
      </c>
      <c r="MC242">
        <v>7</v>
      </c>
      <c r="MD242">
        <v>7</v>
      </c>
      <c r="ME242">
        <v>7</v>
      </c>
      <c r="MF242">
        <v>7</v>
      </c>
      <c r="MG242">
        <v>7</v>
      </c>
      <c r="MH242">
        <v>7</v>
      </c>
      <c r="MI242">
        <v>7</v>
      </c>
      <c r="MJ242">
        <v>7</v>
      </c>
      <c r="MK242">
        <v>7</v>
      </c>
      <c r="ML242">
        <v>7</v>
      </c>
      <c r="MM242">
        <v>7</v>
      </c>
      <c r="MN242">
        <v>7</v>
      </c>
      <c r="MO242">
        <v>7</v>
      </c>
      <c r="MP242">
        <v>7</v>
      </c>
      <c r="MQ242">
        <v>7</v>
      </c>
      <c r="MR242">
        <v>6</v>
      </c>
      <c r="MS242">
        <v>6</v>
      </c>
      <c r="MT242">
        <v>6</v>
      </c>
      <c r="MU242">
        <v>2</v>
      </c>
      <c r="MV242">
        <v>0.3</v>
      </c>
      <c r="MW242">
        <v>0.3</v>
      </c>
      <c r="MX242">
        <v>0.3</v>
      </c>
      <c r="MY242">
        <v>0.3</v>
      </c>
      <c r="MZ242">
        <v>0.3</v>
      </c>
      <c r="NA242">
        <v>0.3</v>
      </c>
      <c r="NB242">
        <v>0.3</v>
      </c>
      <c r="NC242">
        <v>0.3</v>
      </c>
      <c r="ND242">
        <v>0.3</v>
      </c>
      <c r="NE242">
        <v>0.3</v>
      </c>
      <c r="NF242">
        <v>0.3</v>
      </c>
      <c r="NG242">
        <v>0.3</v>
      </c>
      <c r="NH242">
        <v>0.3</v>
      </c>
      <c r="NI242">
        <v>0.3</v>
      </c>
      <c r="NJ242">
        <v>0.3</v>
      </c>
      <c r="NK242">
        <v>0.3</v>
      </c>
      <c r="NL242">
        <v>0.3</v>
      </c>
      <c r="NM242">
        <v>0.3</v>
      </c>
      <c r="NN242">
        <v>0.3</v>
      </c>
      <c r="NO242">
        <v>0.3</v>
      </c>
      <c r="NP242">
        <v>0.3</v>
      </c>
      <c r="NQ242">
        <v>0.3</v>
      </c>
      <c r="NR242">
        <v>0.3</v>
      </c>
      <c r="NS242">
        <v>0.3</v>
      </c>
      <c r="NT242">
        <v>0.3</v>
      </c>
      <c r="NU242">
        <v>0.3</v>
      </c>
      <c r="NV242">
        <v>0.3</v>
      </c>
      <c r="NW242">
        <v>0.3</v>
      </c>
      <c r="NX242">
        <v>0.3</v>
      </c>
      <c r="NY242">
        <v>0.3</v>
      </c>
      <c r="RQ242">
        <v>3</v>
      </c>
      <c r="RR242">
        <v>3</v>
      </c>
      <c r="RS242">
        <v>3</v>
      </c>
      <c r="RT242">
        <v>3</v>
      </c>
      <c r="RU242">
        <v>3</v>
      </c>
      <c r="RV242">
        <v>3</v>
      </c>
      <c r="RW242">
        <v>3</v>
      </c>
      <c r="RX242">
        <v>3</v>
      </c>
      <c r="RY242">
        <v>3</v>
      </c>
      <c r="RZ242">
        <v>3</v>
      </c>
    </row>
    <row r="243" spans="1:964">
      <c r="R243">
        <v>33</v>
      </c>
      <c r="X243">
        <v>306</v>
      </c>
      <c r="Z243">
        <v>33</v>
      </c>
      <c r="AB243">
        <v>100</v>
      </c>
      <c r="AE243">
        <v>2.9</v>
      </c>
      <c r="LA243">
        <v>20</v>
      </c>
      <c r="LB243">
        <v>25</v>
      </c>
      <c r="LC243">
        <v>25</v>
      </c>
      <c r="LD243">
        <v>25</v>
      </c>
      <c r="LE243">
        <v>25</v>
      </c>
      <c r="LF243">
        <v>25</v>
      </c>
      <c r="LG243">
        <v>25</v>
      </c>
      <c r="LH243">
        <v>7</v>
      </c>
      <c r="LI243">
        <v>7</v>
      </c>
      <c r="LJ243">
        <v>0.7</v>
      </c>
      <c r="LK243">
        <v>0.7</v>
      </c>
      <c r="LL243">
        <v>0.7</v>
      </c>
      <c r="LM243">
        <v>0.7</v>
      </c>
      <c r="LN243">
        <v>0.7</v>
      </c>
      <c r="LO243">
        <v>7</v>
      </c>
      <c r="LP243">
        <v>7</v>
      </c>
      <c r="LQ243">
        <v>7</v>
      </c>
      <c r="LR243">
        <v>7</v>
      </c>
      <c r="LS243">
        <v>5.0999999999999996</v>
      </c>
      <c r="LT243">
        <v>5.0999999999999996</v>
      </c>
      <c r="LU243">
        <v>5.0999999999999996</v>
      </c>
      <c r="LV243">
        <v>5.0999999999999996</v>
      </c>
      <c r="LW243">
        <v>5.0999999999999996</v>
      </c>
      <c r="LX243">
        <v>5.0999999999999996</v>
      </c>
      <c r="LY243">
        <v>5.0999999999999996</v>
      </c>
      <c r="LZ243">
        <v>5.0999999999999996</v>
      </c>
      <c r="MA243">
        <v>5.0999999999999996</v>
      </c>
      <c r="MB243">
        <v>5.0999999999999996</v>
      </c>
      <c r="MC243">
        <v>5.0999999999999996</v>
      </c>
      <c r="MD243">
        <v>5.0999999999999996</v>
      </c>
      <c r="ME243">
        <v>5.0999999999999996</v>
      </c>
      <c r="MF243">
        <v>5.0999999999999996</v>
      </c>
      <c r="MG243">
        <v>5.0999999999999996</v>
      </c>
      <c r="MH243">
        <v>5.0999999999999996</v>
      </c>
      <c r="MI243">
        <v>5.0999999999999996</v>
      </c>
      <c r="MJ243">
        <v>5.0999999999999996</v>
      </c>
      <c r="MK243">
        <v>5.0999999999999996</v>
      </c>
      <c r="ML243">
        <v>5.0999999999999996</v>
      </c>
      <c r="MM243">
        <v>5.0999999999999996</v>
      </c>
      <c r="MN243">
        <v>5.0999999999999996</v>
      </c>
      <c r="MO243">
        <v>5.0999999999999996</v>
      </c>
      <c r="MP243">
        <v>5.0999999999999996</v>
      </c>
      <c r="MQ243">
        <v>5.0999999999999996</v>
      </c>
      <c r="MR243">
        <v>5.0999999999999996</v>
      </c>
      <c r="MS243">
        <v>5.0999999999999996</v>
      </c>
      <c r="MT243">
        <v>5.0999999999999996</v>
      </c>
      <c r="MU243">
        <v>1</v>
      </c>
      <c r="RQ243">
        <v>0.7</v>
      </c>
      <c r="RR243">
        <v>0.7</v>
      </c>
    </row>
    <row r="244" spans="1:964">
      <c r="H244" s="1304"/>
      <c r="R244">
        <v>23</v>
      </c>
      <c r="X244">
        <v>918</v>
      </c>
      <c r="Z244">
        <v>33</v>
      </c>
      <c r="AB244">
        <v>11.5</v>
      </c>
      <c r="AE244">
        <v>0.44</v>
      </c>
      <c r="LA244">
        <v>20</v>
      </c>
      <c r="LB244">
        <v>20</v>
      </c>
      <c r="LC244">
        <v>25</v>
      </c>
      <c r="LD244">
        <v>25</v>
      </c>
      <c r="LE244">
        <v>25</v>
      </c>
      <c r="LF244">
        <v>25</v>
      </c>
      <c r="LG244">
        <v>25</v>
      </c>
      <c r="LH244">
        <v>5.0999999999999996</v>
      </c>
      <c r="LI244">
        <v>5.0999999999999996</v>
      </c>
      <c r="LJ244">
        <v>3</v>
      </c>
      <c r="LK244">
        <v>3</v>
      </c>
      <c r="LL244">
        <v>3</v>
      </c>
      <c r="LM244">
        <v>3</v>
      </c>
      <c r="LN244">
        <v>3</v>
      </c>
      <c r="LO244">
        <v>5.0999999999999996</v>
      </c>
      <c r="LP244">
        <v>5.0999999999999996</v>
      </c>
      <c r="LQ244">
        <v>5.0999999999999996</v>
      </c>
      <c r="LR244">
        <v>5.0999999999999996</v>
      </c>
      <c r="LS244">
        <v>20</v>
      </c>
      <c r="LT244">
        <v>20</v>
      </c>
      <c r="LU244">
        <v>20</v>
      </c>
      <c r="LV244">
        <v>20</v>
      </c>
      <c r="MU244">
        <v>0.3</v>
      </c>
      <c r="OP244">
        <v>0.35</v>
      </c>
      <c r="OQ244">
        <v>0.35</v>
      </c>
      <c r="OR244">
        <v>0.35</v>
      </c>
      <c r="OS244">
        <v>0.35</v>
      </c>
      <c r="OT244">
        <v>0.35</v>
      </c>
      <c r="RQ244">
        <v>3</v>
      </c>
      <c r="RR244">
        <v>3</v>
      </c>
      <c r="RS244">
        <v>3</v>
      </c>
      <c r="RT244">
        <v>3</v>
      </c>
      <c r="RU244">
        <v>3</v>
      </c>
      <c r="RV244">
        <v>3</v>
      </c>
      <c r="RW244">
        <v>3</v>
      </c>
      <c r="RX244">
        <v>3</v>
      </c>
      <c r="RY244">
        <v>3</v>
      </c>
      <c r="RZ244">
        <v>3</v>
      </c>
      <c r="SA244">
        <v>3</v>
      </c>
      <c r="SB244">
        <v>3</v>
      </c>
      <c r="SC244">
        <v>3</v>
      </c>
      <c r="SD244">
        <v>3</v>
      </c>
      <c r="SE244">
        <v>3</v>
      </c>
      <c r="SF244">
        <v>3</v>
      </c>
      <c r="SG244">
        <v>3</v>
      </c>
      <c r="SH244">
        <v>3</v>
      </c>
      <c r="SI244">
        <v>3</v>
      </c>
      <c r="SJ244">
        <v>3</v>
      </c>
      <c r="SK244">
        <v>3</v>
      </c>
      <c r="SL244">
        <v>3</v>
      </c>
      <c r="SM244">
        <v>3</v>
      </c>
    </row>
    <row r="245" spans="1:964">
      <c r="R245">
        <v>23</v>
      </c>
      <c r="Z245">
        <v>33</v>
      </c>
      <c r="AE245">
        <v>3.8</v>
      </c>
      <c r="KV245" s="4"/>
      <c r="LA245">
        <v>291.60000000000002</v>
      </c>
      <c r="LB245">
        <v>20</v>
      </c>
      <c r="LC245">
        <v>20</v>
      </c>
      <c r="LD245">
        <v>20</v>
      </c>
      <c r="LE245">
        <v>20</v>
      </c>
      <c r="LF245">
        <v>20</v>
      </c>
      <c r="LG245">
        <v>20</v>
      </c>
      <c r="LH245">
        <v>20</v>
      </c>
      <c r="LI245">
        <v>20</v>
      </c>
      <c r="LJ245">
        <v>3.3</v>
      </c>
      <c r="LK245">
        <v>4.0999999999999996</v>
      </c>
      <c r="LL245">
        <v>4.0999999999999996</v>
      </c>
      <c r="LM245">
        <v>4.0999999999999996</v>
      </c>
      <c r="LN245">
        <v>4.0999999999999996</v>
      </c>
      <c r="LO245">
        <v>20</v>
      </c>
      <c r="LP245">
        <v>20</v>
      </c>
      <c r="LQ245">
        <v>20</v>
      </c>
      <c r="LR245">
        <v>20</v>
      </c>
      <c r="LS245">
        <v>2</v>
      </c>
      <c r="LT245">
        <v>2</v>
      </c>
      <c r="LU245">
        <v>2</v>
      </c>
      <c r="LV245">
        <v>2</v>
      </c>
      <c r="LW245">
        <v>2</v>
      </c>
      <c r="LX245">
        <v>2</v>
      </c>
      <c r="LY245">
        <v>2</v>
      </c>
      <c r="LZ245">
        <v>2</v>
      </c>
      <c r="MA245">
        <v>2</v>
      </c>
      <c r="MB245">
        <v>2</v>
      </c>
      <c r="MC245">
        <v>2</v>
      </c>
      <c r="MD245">
        <v>2</v>
      </c>
      <c r="ME245">
        <v>2</v>
      </c>
      <c r="MF245">
        <v>2</v>
      </c>
      <c r="MG245">
        <v>2</v>
      </c>
      <c r="MH245">
        <v>2</v>
      </c>
      <c r="MI245">
        <v>2</v>
      </c>
      <c r="MJ245">
        <v>2</v>
      </c>
      <c r="MK245">
        <v>2</v>
      </c>
      <c r="ML245">
        <v>2</v>
      </c>
      <c r="MM245">
        <v>2</v>
      </c>
      <c r="MN245">
        <v>2</v>
      </c>
      <c r="MO245">
        <v>2</v>
      </c>
      <c r="MP245">
        <v>2</v>
      </c>
      <c r="MQ245">
        <v>2</v>
      </c>
      <c r="MR245">
        <v>2</v>
      </c>
      <c r="MS245">
        <v>2</v>
      </c>
      <c r="MT245">
        <v>2</v>
      </c>
      <c r="OF245">
        <v>0.35</v>
      </c>
      <c r="OG245">
        <v>0.35</v>
      </c>
      <c r="OH245">
        <v>0.35</v>
      </c>
      <c r="OI245">
        <v>0.35</v>
      </c>
      <c r="OJ245">
        <v>0.35</v>
      </c>
      <c r="OK245">
        <v>0.35</v>
      </c>
      <c r="OL245">
        <v>0.35</v>
      </c>
      <c r="OM245">
        <v>0.35</v>
      </c>
      <c r="ON245">
        <v>0.35</v>
      </c>
      <c r="OO245">
        <v>0.35</v>
      </c>
      <c r="OP245">
        <v>0.13500000000000001</v>
      </c>
      <c r="OQ245">
        <v>0.13500000000000001</v>
      </c>
      <c r="OR245">
        <v>0.13500000000000001</v>
      </c>
      <c r="OS245">
        <v>0.13500000000000001</v>
      </c>
      <c r="OT245">
        <v>0.13500000000000001</v>
      </c>
      <c r="RQ245">
        <v>4.0999999999999996</v>
      </c>
      <c r="RR245">
        <v>4.0999999999999996</v>
      </c>
      <c r="RS245">
        <v>4.0999999999999996</v>
      </c>
      <c r="RT245">
        <v>4.0999999999999996</v>
      </c>
      <c r="RU245">
        <v>4.0999999999999996</v>
      </c>
      <c r="RV245">
        <v>4.0999999999999996</v>
      </c>
      <c r="RW245">
        <v>4.0999999999999996</v>
      </c>
      <c r="RX245">
        <v>4.0999999999999996</v>
      </c>
      <c r="RY245">
        <v>4.0999999999999996</v>
      </c>
      <c r="RZ245">
        <v>4.0999999999999996</v>
      </c>
      <c r="SA245">
        <v>4.0999999999999996</v>
      </c>
      <c r="SB245">
        <v>4.0999999999999996</v>
      </c>
      <c r="SC245">
        <v>4.0999999999999996</v>
      </c>
      <c r="SD245">
        <v>4.0999999999999996</v>
      </c>
      <c r="SE245">
        <v>4.0999999999999996</v>
      </c>
      <c r="SF245">
        <v>4.0999999999999996</v>
      </c>
      <c r="SG245">
        <v>4.0999999999999996</v>
      </c>
      <c r="SH245">
        <v>4.0999999999999996</v>
      </c>
      <c r="SI245">
        <v>4.0999999999999996</v>
      </c>
      <c r="SJ245">
        <v>4.0999999999999996</v>
      </c>
      <c r="SK245">
        <v>4.0999999999999996</v>
      </c>
      <c r="SL245">
        <v>4.0999999999999996</v>
      </c>
      <c r="SM245">
        <v>4.0999999999999996</v>
      </c>
      <c r="SN245">
        <v>4.0999999999999996</v>
      </c>
      <c r="SO245">
        <v>4.0999999999999996</v>
      </c>
      <c r="SP245">
        <v>4.0999999999999996</v>
      </c>
      <c r="SQ245">
        <v>4.0999999999999996</v>
      </c>
      <c r="SR245">
        <v>4.0999999999999996</v>
      </c>
      <c r="SS245">
        <v>4.0999999999999996</v>
      </c>
      <c r="ST245">
        <v>4.0999999999999996</v>
      </c>
      <c r="AJT245">
        <v>4.0999999999999996</v>
      </c>
      <c r="AJU245">
        <v>4.0999999999999996</v>
      </c>
      <c r="AJV245">
        <v>4.0999999999999996</v>
      </c>
      <c r="AJW245">
        <v>4.0999999999999996</v>
      </c>
      <c r="AJX245">
        <v>4.0999999999999996</v>
      </c>
      <c r="AJY245">
        <v>4.0999999999999996</v>
      </c>
      <c r="AJZ245">
        <v>4.0999999999999996</v>
      </c>
      <c r="AKA245">
        <v>4.0999999999999996</v>
      </c>
      <c r="AKB245">
        <v>4.0999999999999996</v>
      </c>
    </row>
    <row r="246" spans="1:964">
      <c r="R246">
        <v>20</v>
      </c>
      <c r="Z246">
        <v>33</v>
      </c>
      <c r="AE246">
        <v>3</v>
      </c>
      <c r="KV246" s="4"/>
      <c r="LA246">
        <v>2012</v>
      </c>
      <c r="LB246">
        <v>301.89999999999998</v>
      </c>
      <c r="LC246">
        <v>20</v>
      </c>
      <c r="LD246">
        <v>20</v>
      </c>
      <c r="LE246">
        <v>20</v>
      </c>
      <c r="LF246">
        <v>20</v>
      </c>
      <c r="LG246">
        <v>20</v>
      </c>
      <c r="LH246">
        <v>20</v>
      </c>
      <c r="LI246">
        <v>20</v>
      </c>
      <c r="LJ246">
        <v>18.399999999999999</v>
      </c>
      <c r="LO246">
        <v>20</v>
      </c>
      <c r="LP246">
        <v>20</v>
      </c>
      <c r="LQ246">
        <v>20</v>
      </c>
      <c r="LR246">
        <v>2</v>
      </c>
      <c r="LS246">
        <v>12.4</v>
      </c>
      <c r="LT246">
        <v>12.4</v>
      </c>
      <c r="LU246">
        <v>12.4</v>
      </c>
      <c r="LV246">
        <v>12.4</v>
      </c>
      <c r="LW246">
        <v>12.4</v>
      </c>
      <c r="LX246">
        <v>12.4</v>
      </c>
      <c r="LY246">
        <v>12.4</v>
      </c>
      <c r="LZ246">
        <v>12.4</v>
      </c>
      <c r="MA246">
        <v>12.4</v>
      </c>
      <c r="MB246">
        <v>12.4</v>
      </c>
      <c r="MC246">
        <v>12.4</v>
      </c>
      <c r="MD246">
        <v>12.4</v>
      </c>
      <c r="ME246">
        <v>2</v>
      </c>
      <c r="MF246">
        <v>2</v>
      </c>
      <c r="MG246">
        <v>2</v>
      </c>
      <c r="MH246">
        <v>2</v>
      </c>
      <c r="MI246">
        <v>2</v>
      </c>
      <c r="MJ246">
        <v>2</v>
      </c>
      <c r="MK246">
        <v>2</v>
      </c>
      <c r="ML246">
        <v>2</v>
      </c>
      <c r="MM246">
        <v>2</v>
      </c>
      <c r="MN246">
        <v>2</v>
      </c>
      <c r="MO246">
        <v>2</v>
      </c>
      <c r="MP246">
        <v>2</v>
      </c>
      <c r="MQ246">
        <v>2</v>
      </c>
      <c r="MR246">
        <v>2</v>
      </c>
      <c r="MS246">
        <v>2</v>
      </c>
      <c r="MT246">
        <v>2</v>
      </c>
      <c r="NZ246">
        <v>0.35</v>
      </c>
      <c r="OA246">
        <v>0.35</v>
      </c>
      <c r="OB246">
        <v>0.35</v>
      </c>
      <c r="OC246">
        <v>0.35</v>
      </c>
      <c r="OD246">
        <v>0.35</v>
      </c>
      <c r="OE246">
        <v>0.35</v>
      </c>
      <c r="OF246">
        <v>0.13500000000000001</v>
      </c>
      <c r="OG246">
        <v>0.13500000000000001</v>
      </c>
      <c r="OH246">
        <v>0.13500000000000001</v>
      </c>
      <c r="OI246">
        <v>0.13500000000000001</v>
      </c>
      <c r="OJ246">
        <v>0.13500000000000001</v>
      </c>
      <c r="OK246">
        <v>0.13500000000000001</v>
      </c>
      <c r="OL246">
        <v>0.13500000000000001</v>
      </c>
      <c r="OM246">
        <v>0.13500000000000001</v>
      </c>
      <c r="ON246">
        <v>0.13500000000000001</v>
      </c>
      <c r="OO246">
        <v>0.13500000000000001</v>
      </c>
      <c r="OP246">
        <v>0.66</v>
      </c>
      <c r="OQ246">
        <v>0.66</v>
      </c>
      <c r="OR246">
        <v>0.66</v>
      </c>
      <c r="OS246">
        <v>0.66</v>
      </c>
      <c r="OT246">
        <v>0.66</v>
      </c>
    </row>
    <row r="247" spans="1:964">
      <c r="R247">
        <v>500</v>
      </c>
      <c r="Z247">
        <v>30</v>
      </c>
      <c r="AE247">
        <v>0.5</v>
      </c>
      <c r="KV247" s="4"/>
      <c r="LA247">
        <v>17.100000000000001</v>
      </c>
      <c r="LB247">
        <v>1961.5</v>
      </c>
      <c r="LC247">
        <v>271.3</v>
      </c>
      <c r="LD247">
        <v>251.8</v>
      </c>
      <c r="LE247">
        <v>245.3</v>
      </c>
      <c r="LF247">
        <v>243.2</v>
      </c>
      <c r="LG247">
        <v>25</v>
      </c>
      <c r="LH247">
        <v>25</v>
      </c>
      <c r="LI247">
        <v>25</v>
      </c>
      <c r="LJ247">
        <v>3.5</v>
      </c>
      <c r="LO247">
        <v>25</v>
      </c>
      <c r="LP247">
        <v>25</v>
      </c>
      <c r="LQ247">
        <v>25</v>
      </c>
      <c r="LR247">
        <v>12.4</v>
      </c>
      <c r="LS247">
        <v>4.0999999999999996</v>
      </c>
      <c r="LT247">
        <v>4.0999999999999996</v>
      </c>
      <c r="LU247">
        <v>4.0999999999999996</v>
      </c>
      <c r="LV247">
        <v>4.0999999999999996</v>
      </c>
      <c r="LW247">
        <v>4.0999999999999996</v>
      </c>
      <c r="LX247">
        <v>4.0999999999999996</v>
      </c>
      <c r="LY247">
        <v>4.0999999999999996</v>
      </c>
      <c r="LZ247">
        <v>4.0999999999999996</v>
      </c>
      <c r="MA247">
        <v>4.0999999999999996</v>
      </c>
      <c r="MB247">
        <v>4.0999999999999996</v>
      </c>
      <c r="MC247">
        <v>4.0999999999999996</v>
      </c>
      <c r="MD247">
        <v>4.0999999999999996</v>
      </c>
      <c r="ME247">
        <v>4.0999999999999996</v>
      </c>
      <c r="MF247">
        <v>4.0999999999999996</v>
      </c>
      <c r="MG247">
        <v>4.0999999999999996</v>
      </c>
      <c r="MH247">
        <v>4.0999999999999996</v>
      </c>
      <c r="MI247">
        <v>4.0999999999999996</v>
      </c>
      <c r="MJ247">
        <v>4.0999999999999996</v>
      </c>
      <c r="MK247">
        <v>4.0999999999999996</v>
      </c>
      <c r="ML247">
        <v>4.0999999999999996</v>
      </c>
      <c r="MM247">
        <v>4.0999999999999996</v>
      </c>
      <c r="MN247">
        <v>4.0999999999999996</v>
      </c>
      <c r="MO247">
        <v>4.0999999999999996</v>
      </c>
      <c r="MP247">
        <v>4.0999999999999996</v>
      </c>
      <c r="MQ247">
        <v>4.0999999999999996</v>
      </c>
      <c r="MR247">
        <v>4.0999999999999996</v>
      </c>
      <c r="MS247">
        <v>4.0999999999999996</v>
      </c>
      <c r="MT247">
        <v>4.0999999999999996</v>
      </c>
      <c r="NX247">
        <v>0.35</v>
      </c>
      <c r="NY247">
        <v>0.35</v>
      </c>
      <c r="NZ247">
        <v>0.13500000000000001</v>
      </c>
      <c r="OA247">
        <v>0.13500000000000001</v>
      </c>
      <c r="OB247">
        <v>0.13500000000000001</v>
      </c>
      <c r="OC247">
        <v>0.13500000000000001</v>
      </c>
      <c r="OD247">
        <v>0.13500000000000001</v>
      </c>
      <c r="OE247">
        <v>0.13500000000000001</v>
      </c>
      <c r="OF247">
        <v>0.66</v>
      </c>
      <c r="OG247">
        <v>0.66</v>
      </c>
      <c r="OH247">
        <v>0.66</v>
      </c>
      <c r="OI247">
        <v>0.66</v>
      </c>
      <c r="OJ247">
        <v>0.66</v>
      </c>
      <c r="OK247">
        <v>0.66</v>
      </c>
      <c r="OL247">
        <v>0.66</v>
      </c>
      <c r="OM247">
        <v>0.66</v>
      </c>
      <c r="ON247">
        <v>0.66</v>
      </c>
      <c r="OO247">
        <v>0.66</v>
      </c>
      <c r="OP247">
        <v>5.64</v>
      </c>
      <c r="OQ247">
        <v>5.64</v>
      </c>
      <c r="OR247">
        <v>5.64</v>
      </c>
      <c r="OS247">
        <v>5.64</v>
      </c>
      <c r="OT247">
        <v>5.64</v>
      </c>
    </row>
    <row r="248" spans="1:964">
      <c r="R248">
        <v>33</v>
      </c>
      <c r="X248">
        <v>51650</v>
      </c>
      <c r="AE248">
        <v>3</v>
      </c>
      <c r="KV248" s="4">
        <f>152445*11450</f>
        <v>1745495250</v>
      </c>
      <c r="LA248">
        <v>195</v>
      </c>
      <c r="LB248">
        <v>17.100000000000001</v>
      </c>
      <c r="LC248">
        <v>2025</v>
      </c>
      <c r="LD248">
        <v>2090</v>
      </c>
      <c r="LE248">
        <v>2197</v>
      </c>
      <c r="LF248">
        <v>2226.5</v>
      </c>
      <c r="LG248">
        <v>25</v>
      </c>
      <c r="LH248">
        <v>25</v>
      </c>
      <c r="LI248">
        <v>25</v>
      </c>
      <c r="LJ248">
        <v>17.2</v>
      </c>
      <c r="LO248">
        <v>25</v>
      </c>
      <c r="LP248">
        <v>25</v>
      </c>
      <c r="LQ248">
        <v>25</v>
      </c>
      <c r="LR248">
        <v>4.0999999999999996</v>
      </c>
      <c r="LS248">
        <v>23.5</v>
      </c>
      <c r="LT248">
        <v>23.5</v>
      </c>
      <c r="LU248">
        <v>23.5</v>
      </c>
      <c r="LV248">
        <v>23.5</v>
      </c>
      <c r="LW248">
        <v>14.5</v>
      </c>
      <c r="LX248">
        <v>14.5</v>
      </c>
      <c r="LY248">
        <v>14.5</v>
      </c>
      <c r="LZ248">
        <v>14.5</v>
      </c>
      <c r="MA248">
        <v>14.5</v>
      </c>
      <c r="MB248">
        <v>14.5</v>
      </c>
      <c r="MC248">
        <v>14.5</v>
      </c>
      <c r="MD248">
        <v>14.5</v>
      </c>
      <c r="ME248">
        <v>14.5</v>
      </c>
      <c r="MF248">
        <v>14.5</v>
      </c>
      <c r="MG248">
        <v>14.5</v>
      </c>
      <c r="MH248">
        <v>14.5</v>
      </c>
      <c r="MI248">
        <v>14.5</v>
      </c>
      <c r="MJ248">
        <v>14.5</v>
      </c>
      <c r="MK248">
        <v>14.5</v>
      </c>
      <c r="ML248">
        <v>2.4</v>
      </c>
      <c r="MM248">
        <v>2.4</v>
      </c>
      <c r="MN248">
        <v>2.4</v>
      </c>
      <c r="MO248">
        <v>2.4</v>
      </c>
      <c r="MP248">
        <v>2.4</v>
      </c>
      <c r="MQ248">
        <v>2.4</v>
      </c>
      <c r="MR248">
        <v>2.4</v>
      </c>
      <c r="MS248">
        <v>2.4</v>
      </c>
      <c r="MT248">
        <v>2.4</v>
      </c>
      <c r="NU248">
        <v>0.35</v>
      </c>
      <c r="NV248">
        <v>0.35</v>
      </c>
      <c r="NW248">
        <v>0.35</v>
      </c>
      <c r="NX248">
        <v>0.13500000000000001</v>
      </c>
      <c r="NY248">
        <v>0.13500000000000001</v>
      </c>
      <c r="NZ248">
        <v>0.66</v>
      </c>
      <c r="OA248">
        <v>0.66</v>
      </c>
      <c r="OB248">
        <v>0.66</v>
      </c>
      <c r="OC248">
        <v>0.66</v>
      </c>
      <c r="OD248">
        <v>0.66</v>
      </c>
      <c r="OE248">
        <v>0.66</v>
      </c>
      <c r="OF248">
        <v>5.64</v>
      </c>
      <c r="OG248">
        <v>5.64</v>
      </c>
      <c r="OH248">
        <v>5.64</v>
      </c>
      <c r="OI248">
        <v>5.64</v>
      </c>
      <c r="OJ248">
        <v>5.64</v>
      </c>
      <c r="OK248">
        <v>5.64</v>
      </c>
      <c r="OL248">
        <v>5.64</v>
      </c>
      <c r="OM248">
        <v>5.64</v>
      </c>
      <c r="ON248">
        <v>5.64</v>
      </c>
      <c r="OO248">
        <v>5.64</v>
      </c>
      <c r="OP248">
        <v>8</v>
      </c>
      <c r="OQ248">
        <v>8</v>
      </c>
      <c r="OR248">
        <v>8</v>
      </c>
      <c r="OS248">
        <v>8</v>
      </c>
      <c r="OT248">
        <v>8</v>
      </c>
    </row>
    <row r="249" spans="1:964">
      <c r="R249">
        <v>100</v>
      </c>
      <c r="X249">
        <v>5700</v>
      </c>
      <c r="AE249">
        <v>0.2</v>
      </c>
      <c r="KV249" s="4">
        <v>794000000</v>
      </c>
      <c r="LA249">
        <v>33</v>
      </c>
      <c r="LB249">
        <v>151</v>
      </c>
      <c r="LC249">
        <v>17.100000000000001</v>
      </c>
      <c r="LD249">
        <v>17.100000000000001</v>
      </c>
      <c r="LE249">
        <v>17.100000000000001</v>
      </c>
      <c r="LF249">
        <v>17.100000000000001</v>
      </c>
      <c r="LG249">
        <v>248.3</v>
      </c>
      <c r="LH249">
        <v>273.45</v>
      </c>
      <c r="LI249">
        <v>286</v>
      </c>
      <c r="LJ249">
        <v>4</v>
      </c>
      <c r="LK249">
        <v>4</v>
      </c>
      <c r="LL249">
        <v>4</v>
      </c>
      <c r="LM249">
        <v>4</v>
      </c>
      <c r="LN249">
        <v>4</v>
      </c>
      <c r="LO249">
        <v>286</v>
      </c>
      <c r="LP249">
        <v>309</v>
      </c>
      <c r="LQ249">
        <v>277.10000000000002</v>
      </c>
      <c r="LR249">
        <v>322.60000000000002</v>
      </c>
      <c r="LS249">
        <v>290</v>
      </c>
      <c r="LT249">
        <v>294.8</v>
      </c>
      <c r="LU249">
        <f>326.6-17.5</f>
        <v>309.10000000000002</v>
      </c>
      <c r="LV249">
        <v>312.92</v>
      </c>
      <c r="LW249">
        <v>20</v>
      </c>
      <c r="LX249">
        <v>20</v>
      </c>
      <c r="LY249">
        <v>20</v>
      </c>
      <c r="LZ249">
        <v>20</v>
      </c>
      <c r="MA249">
        <v>20</v>
      </c>
      <c r="MB249">
        <v>20</v>
      </c>
      <c r="MC249">
        <v>20</v>
      </c>
      <c r="MD249">
        <v>20</v>
      </c>
      <c r="ME249">
        <v>20</v>
      </c>
      <c r="MF249">
        <v>20</v>
      </c>
      <c r="MG249">
        <v>20</v>
      </c>
      <c r="MH249">
        <v>20</v>
      </c>
      <c r="MI249">
        <v>20</v>
      </c>
      <c r="MJ249">
        <v>20</v>
      </c>
      <c r="MK249">
        <v>20</v>
      </c>
      <c r="ML249">
        <v>12.3</v>
      </c>
      <c r="MM249">
        <v>12.3</v>
      </c>
      <c r="MN249">
        <v>12.3</v>
      </c>
      <c r="MO249">
        <v>12.3</v>
      </c>
      <c r="MP249">
        <v>12.3</v>
      </c>
      <c r="MQ249">
        <v>12.3</v>
      </c>
      <c r="MR249">
        <v>12.3</v>
      </c>
      <c r="MS249">
        <v>3</v>
      </c>
      <c r="MT249">
        <v>3</v>
      </c>
      <c r="MU249">
        <v>3</v>
      </c>
      <c r="MV249">
        <v>3</v>
      </c>
      <c r="MW249">
        <v>3</v>
      </c>
      <c r="MX249">
        <v>3</v>
      </c>
      <c r="MY249">
        <v>3</v>
      </c>
      <c r="MZ249">
        <v>0.35</v>
      </c>
      <c r="NA249">
        <v>0.35</v>
      </c>
      <c r="NB249">
        <v>0.35</v>
      </c>
      <c r="NC249">
        <v>0.35</v>
      </c>
      <c r="ND249">
        <v>0.35</v>
      </c>
      <c r="NE249">
        <v>0.35</v>
      </c>
      <c r="NF249">
        <v>0.35</v>
      </c>
      <c r="NG249">
        <v>0.35</v>
      </c>
      <c r="NH249">
        <v>0.35</v>
      </c>
      <c r="NI249">
        <v>0.35</v>
      </c>
      <c r="NJ249">
        <v>0.35</v>
      </c>
      <c r="NK249">
        <v>0.35</v>
      </c>
      <c r="NL249">
        <v>0.35</v>
      </c>
      <c r="NM249">
        <v>0.35</v>
      </c>
      <c r="NN249">
        <v>0.35</v>
      </c>
      <c r="NO249">
        <v>0.35</v>
      </c>
      <c r="NP249">
        <v>0.35</v>
      </c>
      <c r="NQ249">
        <v>0.35</v>
      </c>
      <c r="NR249">
        <v>0.35</v>
      </c>
      <c r="NS249">
        <v>0.35</v>
      </c>
      <c r="NT249">
        <v>0.35</v>
      </c>
      <c r="NU249">
        <v>0.13500000000000001</v>
      </c>
      <c r="NV249">
        <v>0.13500000000000001</v>
      </c>
      <c r="NW249">
        <v>0.13500000000000001</v>
      </c>
      <c r="NX249">
        <v>0.66</v>
      </c>
      <c r="NY249">
        <v>0.66</v>
      </c>
      <c r="NZ249">
        <v>5.64</v>
      </c>
      <c r="OA249">
        <v>5.64</v>
      </c>
      <c r="OB249">
        <v>5.64</v>
      </c>
      <c r="OC249">
        <v>5.64</v>
      </c>
      <c r="OD249">
        <v>5.64</v>
      </c>
      <c r="OE249">
        <v>5.64</v>
      </c>
      <c r="OF249">
        <v>8</v>
      </c>
      <c r="OG249">
        <v>8</v>
      </c>
      <c r="OH249">
        <v>8</v>
      </c>
      <c r="OI249">
        <v>8</v>
      </c>
      <c r="OJ249">
        <v>8</v>
      </c>
      <c r="OK249">
        <v>8</v>
      </c>
      <c r="OL249">
        <v>8</v>
      </c>
      <c r="OM249">
        <v>8</v>
      </c>
      <c r="ON249">
        <v>8</v>
      </c>
      <c r="OO249">
        <v>8</v>
      </c>
      <c r="OP249">
        <v>13</v>
      </c>
      <c r="OQ249">
        <v>13</v>
      </c>
      <c r="OR249">
        <v>13</v>
      </c>
      <c r="OS249">
        <v>13</v>
      </c>
      <c r="OT249">
        <v>13</v>
      </c>
      <c r="RQ249">
        <v>4</v>
      </c>
      <c r="RR249">
        <v>4</v>
      </c>
      <c r="RS249">
        <v>4</v>
      </c>
      <c r="RT249">
        <v>4</v>
      </c>
      <c r="RU249">
        <v>4</v>
      </c>
      <c r="RV249">
        <v>4</v>
      </c>
      <c r="RW249">
        <v>4</v>
      </c>
      <c r="RX249">
        <v>4</v>
      </c>
      <c r="RY249">
        <v>4</v>
      </c>
      <c r="RZ249">
        <v>4</v>
      </c>
      <c r="SA249">
        <v>4</v>
      </c>
      <c r="SB249">
        <v>4</v>
      </c>
      <c r="SC249">
        <v>4</v>
      </c>
      <c r="SD249">
        <v>4</v>
      </c>
      <c r="SE249">
        <v>4</v>
      </c>
      <c r="SF249">
        <v>4</v>
      </c>
      <c r="SG249">
        <v>4</v>
      </c>
      <c r="SH249">
        <v>4</v>
      </c>
      <c r="SI249">
        <v>4</v>
      </c>
      <c r="SJ249">
        <v>4</v>
      </c>
      <c r="SK249">
        <v>4</v>
      </c>
      <c r="SL249">
        <v>4</v>
      </c>
      <c r="SM249">
        <v>4</v>
      </c>
      <c r="SN249">
        <v>4</v>
      </c>
      <c r="SO249">
        <v>4</v>
      </c>
      <c r="SP249">
        <v>4</v>
      </c>
      <c r="SQ249">
        <v>4</v>
      </c>
      <c r="SR249">
        <v>4</v>
      </c>
      <c r="SS249">
        <v>4</v>
      </c>
      <c r="ST249">
        <v>4</v>
      </c>
      <c r="AJT249">
        <v>4</v>
      </c>
      <c r="AJU249">
        <v>4</v>
      </c>
      <c r="AJV249">
        <v>4</v>
      </c>
      <c r="AJW249">
        <v>4</v>
      </c>
      <c r="AJX249">
        <v>4</v>
      </c>
      <c r="AJY249">
        <v>4</v>
      </c>
      <c r="AJZ249">
        <v>4</v>
      </c>
      <c r="AKA249">
        <v>4</v>
      </c>
      <c r="AKB249">
        <v>4</v>
      </c>
    </row>
    <row r="250" spans="1:964">
      <c r="R250">
        <v>27.5</v>
      </c>
      <c r="X250">
        <v>14500</v>
      </c>
      <c r="KV250" s="4">
        <f>+KV248-KV249</f>
        <v>951495250</v>
      </c>
      <c r="LA250">
        <v>235</v>
      </c>
      <c r="LB250">
        <v>33</v>
      </c>
      <c r="LC250">
        <v>151</v>
      </c>
      <c r="LD250">
        <v>151</v>
      </c>
      <c r="LE250">
        <v>217</v>
      </c>
      <c r="LF250">
        <v>217</v>
      </c>
      <c r="LG250">
        <v>2494</v>
      </c>
      <c r="LH250">
        <v>2367</v>
      </c>
      <c r="LI250">
        <v>2318</v>
      </c>
      <c r="LJ250">
        <v>6.24</v>
      </c>
      <c r="LK250">
        <v>6.24</v>
      </c>
      <c r="LL250">
        <v>6.24</v>
      </c>
      <c r="LM250">
        <v>6.24</v>
      </c>
      <c r="LN250">
        <v>6.24</v>
      </c>
      <c r="LO250">
        <v>2643</v>
      </c>
      <c r="LP250">
        <v>2514</v>
      </c>
      <c r="LQ250">
        <v>2492.5</v>
      </c>
      <c r="LR250">
        <v>2597.8000000000002</v>
      </c>
      <c r="LS250">
        <v>2677.8</v>
      </c>
      <c r="LT250">
        <v>2918</v>
      </c>
      <c r="LU250">
        <v>3065.3</v>
      </c>
      <c r="LV250">
        <v>3239.3</v>
      </c>
      <c r="LW250">
        <v>336.8</v>
      </c>
      <c r="LX250">
        <v>336.8</v>
      </c>
      <c r="LY250">
        <v>341.2</v>
      </c>
      <c r="LZ250">
        <v>372.75</v>
      </c>
      <c r="MA250">
        <v>346.1</v>
      </c>
      <c r="MB250">
        <v>338.8</v>
      </c>
      <c r="MC250">
        <v>337.7</v>
      </c>
      <c r="MD250">
        <v>357.35</v>
      </c>
      <c r="ME250">
        <v>339.2</v>
      </c>
      <c r="MF250">
        <v>15</v>
      </c>
      <c r="MG250">
        <v>15</v>
      </c>
      <c r="MH250">
        <v>15</v>
      </c>
      <c r="MI250">
        <v>15</v>
      </c>
      <c r="MJ250">
        <v>15</v>
      </c>
      <c r="MK250">
        <v>15</v>
      </c>
      <c r="ML250">
        <v>15</v>
      </c>
      <c r="MM250">
        <v>15</v>
      </c>
      <c r="MN250">
        <v>15</v>
      </c>
      <c r="MO250">
        <v>15</v>
      </c>
      <c r="MP250">
        <v>15</v>
      </c>
      <c r="MQ250">
        <v>6</v>
      </c>
      <c r="MR250">
        <v>6</v>
      </c>
      <c r="MS250">
        <v>6</v>
      </c>
      <c r="MT250">
        <v>6</v>
      </c>
      <c r="MU250">
        <v>6</v>
      </c>
      <c r="MV250">
        <v>6</v>
      </c>
      <c r="MW250">
        <v>6</v>
      </c>
      <c r="MX250">
        <v>6</v>
      </c>
      <c r="MY250">
        <v>0.13500000000000001</v>
      </c>
      <c r="MZ250">
        <v>0.13500000000000001</v>
      </c>
      <c r="NA250">
        <v>0.13500000000000001</v>
      </c>
      <c r="NB250">
        <v>0.13500000000000001</v>
      </c>
      <c r="NC250">
        <v>0.13500000000000001</v>
      </c>
      <c r="ND250">
        <v>0.13500000000000001</v>
      </c>
      <c r="NE250">
        <v>0.13500000000000001</v>
      </c>
      <c r="NF250">
        <v>0.13500000000000001</v>
      </c>
      <c r="NG250">
        <v>0.13500000000000001</v>
      </c>
      <c r="NH250">
        <v>0.13500000000000001</v>
      </c>
      <c r="NI250">
        <v>0.13500000000000001</v>
      </c>
      <c r="NJ250">
        <v>0.13500000000000001</v>
      </c>
      <c r="NK250">
        <v>0.13500000000000001</v>
      </c>
      <c r="NL250">
        <v>0.13500000000000001</v>
      </c>
      <c r="NM250">
        <v>0.13500000000000001</v>
      </c>
      <c r="NN250">
        <v>0.13500000000000001</v>
      </c>
      <c r="NO250">
        <v>0.13500000000000001</v>
      </c>
      <c r="NP250">
        <v>0.13500000000000001</v>
      </c>
      <c r="NQ250">
        <v>0.13500000000000001</v>
      </c>
      <c r="NR250">
        <v>0.13500000000000001</v>
      </c>
      <c r="NS250">
        <v>0.13500000000000001</v>
      </c>
      <c r="NT250">
        <v>0.13500000000000001</v>
      </c>
      <c r="NU250">
        <v>0.66</v>
      </c>
      <c r="NV250">
        <v>0.66</v>
      </c>
      <c r="NW250">
        <v>0.66</v>
      </c>
      <c r="NX250">
        <v>5.64</v>
      </c>
      <c r="NY250">
        <v>5.64</v>
      </c>
      <c r="NZ250">
        <v>8</v>
      </c>
      <c r="OA250">
        <v>8</v>
      </c>
      <c r="OB250">
        <v>8</v>
      </c>
      <c r="OC250">
        <v>8</v>
      </c>
      <c r="OD250">
        <v>8</v>
      </c>
      <c r="OE250">
        <v>8</v>
      </c>
      <c r="OF250">
        <v>13</v>
      </c>
      <c r="OG250">
        <v>13</v>
      </c>
      <c r="OH250">
        <v>13</v>
      </c>
      <c r="OI250">
        <v>13</v>
      </c>
      <c r="OJ250">
        <v>13</v>
      </c>
      <c r="OK250">
        <v>13</v>
      </c>
      <c r="OL250">
        <v>13</v>
      </c>
      <c r="OM250">
        <v>13</v>
      </c>
      <c r="ON250">
        <v>13</v>
      </c>
      <c r="OO250">
        <v>13</v>
      </c>
      <c r="OP250">
        <v>28.5</v>
      </c>
      <c r="OQ250">
        <v>28.5</v>
      </c>
      <c r="OR250">
        <v>28.5</v>
      </c>
      <c r="OS250">
        <v>28.5</v>
      </c>
      <c r="OT250">
        <v>28.5</v>
      </c>
      <c r="RQ250">
        <v>6.24</v>
      </c>
      <c r="RR250">
        <v>6.24</v>
      </c>
      <c r="RS250">
        <v>6.24</v>
      </c>
      <c r="RT250">
        <v>6.24</v>
      </c>
      <c r="RU250">
        <v>6.24</v>
      </c>
      <c r="RV250">
        <v>6.24</v>
      </c>
      <c r="RW250">
        <v>6.24</v>
      </c>
      <c r="RX250">
        <v>6.24</v>
      </c>
      <c r="RY250">
        <v>6.24</v>
      </c>
      <c r="RZ250">
        <v>6.24</v>
      </c>
      <c r="SA250">
        <v>6.24</v>
      </c>
      <c r="SB250">
        <v>6.24</v>
      </c>
      <c r="SC250">
        <v>6.24</v>
      </c>
      <c r="SD250">
        <v>6.24</v>
      </c>
      <c r="SE250">
        <v>6.24</v>
      </c>
      <c r="SF250">
        <v>6.24</v>
      </c>
      <c r="SG250">
        <v>6.24</v>
      </c>
      <c r="SH250">
        <v>6.24</v>
      </c>
      <c r="SI250">
        <v>6.24</v>
      </c>
      <c r="SJ250">
        <v>6.24</v>
      </c>
      <c r="SK250">
        <v>6.24</v>
      </c>
      <c r="SL250">
        <v>6.24</v>
      </c>
      <c r="SM250">
        <v>6.24</v>
      </c>
      <c r="SN250">
        <v>6.24</v>
      </c>
      <c r="SO250">
        <v>6.24</v>
      </c>
      <c r="SP250">
        <v>6.24</v>
      </c>
      <c r="SQ250">
        <v>6.24</v>
      </c>
      <c r="SR250">
        <v>6.24</v>
      </c>
      <c r="SS250">
        <v>6.24</v>
      </c>
      <c r="ST250">
        <v>6.24</v>
      </c>
      <c r="AJT250">
        <v>6.24</v>
      </c>
      <c r="AJU250">
        <v>6.24</v>
      </c>
    </row>
    <row r="251" spans="1:964">
      <c r="B251">
        <v>86</v>
      </c>
      <c r="R251">
        <v>33</v>
      </c>
      <c r="X251">
        <v>6000</v>
      </c>
      <c r="KV251" s="4"/>
      <c r="LA251">
        <v>139</v>
      </c>
      <c r="LB251">
        <v>246</v>
      </c>
      <c r="LC251">
        <v>33</v>
      </c>
      <c r="LD251">
        <v>33</v>
      </c>
      <c r="LE251">
        <v>33</v>
      </c>
      <c r="LF251">
        <v>33</v>
      </c>
      <c r="LG251">
        <v>17.100000000000001</v>
      </c>
      <c r="LH251">
        <v>17.100000000000001</v>
      </c>
      <c r="LI251">
        <v>17.100000000000001</v>
      </c>
      <c r="LJ251">
        <v>20</v>
      </c>
      <c r="LK251">
        <v>20</v>
      </c>
      <c r="LL251">
        <v>20</v>
      </c>
      <c r="LM251">
        <v>20</v>
      </c>
      <c r="LN251">
        <v>20</v>
      </c>
      <c r="LO251">
        <v>17.100000000000001</v>
      </c>
      <c r="LP251">
        <v>17.100000000000001</v>
      </c>
      <c r="LQ251">
        <v>17.100000000000001</v>
      </c>
      <c r="LR251">
        <v>17.100000000000001</v>
      </c>
      <c r="LS251">
        <v>17.100000000000001</v>
      </c>
      <c r="LT251">
        <v>17.100000000000001</v>
      </c>
      <c r="LU251">
        <v>17.100000000000001</v>
      </c>
      <c r="LV251">
        <v>17.100000000000001</v>
      </c>
      <c r="LW251">
        <v>3328.5</v>
      </c>
      <c r="LX251">
        <v>3446.5</v>
      </c>
      <c r="LY251">
        <v>3424.5</v>
      </c>
      <c r="LZ251">
        <v>3434</v>
      </c>
      <c r="MA251">
        <v>3515</v>
      </c>
      <c r="MB251">
        <v>3608.5</v>
      </c>
      <c r="MC251">
        <v>3719</v>
      </c>
      <c r="MD251">
        <v>3831</v>
      </c>
      <c r="ME251">
        <v>4202.5</v>
      </c>
      <c r="MF251">
        <v>319.64999999999998</v>
      </c>
      <c r="MG251">
        <v>341.5</v>
      </c>
      <c r="MH251">
        <v>311.85000000000002</v>
      </c>
      <c r="MI251">
        <v>347</v>
      </c>
      <c r="MJ251">
        <v>372.9</v>
      </c>
      <c r="MK251">
        <v>363.37</v>
      </c>
      <c r="ML251">
        <v>304.2</v>
      </c>
      <c r="MM251">
        <v>10</v>
      </c>
      <c r="MN251">
        <v>10</v>
      </c>
      <c r="MO251">
        <v>10</v>
      </c>
      <c r="MP251">
        <v>10</v>
      </c>
      <c r="MQ251">
        <v>10</v>
      </c>
      <c r="MR251">
        <v>25</v>
      </c>
      <c r="MS251">
        <v>25</v>
      </c>
      <c r="MT251">
        <v>25</v>
      </c>
      <c r="MU251">
        <v>25</v>
      </c>
      <c r="MV251">
        <v>25</v>
      </c>
      <c r="MW251">
        <v>25</v>
      </c>
      <c r="MX251">
        <v>25</v>
      </c>
      <c r="MY251">
        <v>7</v>
      </c>
      <c r="MZ251">
        <v>7</v>
      </c>
      <c r="NA251">
        <v>7</v>
      </c>
      <c r="NB251">
        <v>7</v>
      </c>
      <c r="NC251">
        <v>7</v>
      </c>
      <c r="ND251">
        <v>7</v>
      </c>
      <c r="NE251">
        <v>7</v>
      </c>
      <c r="NF251">
        <v>7</v>
      </c>
      <c r="NG251">
        <v>7</v>
      </c>
      <c r="NH251">
        <v>7</v>
      </c>
      <c r="NI251">
        <v>7</v>
      </c>
      <c r="NJ251">
        <v>7</v>
      </c>
      <c r="NK251">
        <v>7</v>
      </c>
      <c r="NL251">
        <v>7</v>
      </c>
      <c r="NM251">
        <v>7</v>
      </c>
      <c r="NN251">
        <v>0.66</v>
      </c>
      <c r="NO251">
        <v>0.66</v>
      </c>
      <c r="NP251">
        <v>0.66</v>
      </c>
      <c r="NQ251">
        <v>0.66</v>
      </c>
      <c r="NR251">
        <v>0.66</v>
      </c>
      <c r="NS251">
        <v>0.66</v>
      </c>
      <c r="NT251">
        <v>0.66</v>
      </c>
      <c r="NU251">
        <v>5.64</v>
      </c>
      <c r="NV251">
        <v>5.64</v>
      </c>
      <c r="NW251">
        <v>5.64</v>
      </c>
      <c r="NX251">
        <v>8</v>
      </c>
      <c r="NY251">
        <v>8</v>
      </c>
      <c r="NZ251">
        <v>13</v>
      </c>
      <c r="OA251">
        <v>13</v>
      </c>
      <c r="OB251">
        <v>13</v>
      </c>
      <c r="OC251">
        <v>13</v>
      </c>
      <c r="OD251">
        <v>13</v>
      </c>
      <c r="OE251">
        <v>13</v>
      </c>
      <c r="OF251">
        <v>28.5</v>
      </c>
      <c r="OG251">
        <v>28.5</v>
      </c>
      <c r="OH251">
        <v>28.5</v>
      </c>
      <c r="OI251">
        <v>28.5</v>
      </c>
      <c r="OJ251">
        <v>28.5</v>
      </c>
      <c r="OK251">
        <v>28.5</v>
      </c>
      <c r="OL251">
        <v>28.5</v>
      </c>
      <c r="OM251">
        <v>28.5</v>
      </c>
      <c r="ON251">
        <v>28.5</v>
      </c>
      <c r="OO251">
        <v>28.5</v>
      </c>
      <c r="OP251">
        <v>18</v>
      </c>
      <c r="OQ251">
        <v>18</v>
      </c>
      <c r="OR251">
        <v>18</v>
      </c>
      <c r="OS251">
        <v>18</v>
      </c>
      <c r="OT251">
        <v>18</v>
      </c>
      <c r="RQ251">
        <v>20</v>
      </c>
      <c r="RR251">
        <v>20</v>
      </c>
      <c r="RS251">
        <v>20</v>
      </c>
      <c r="RT251">
        <v>20</v>
      </c>
      <c r="RU251">
        <v>20</v>
      </c>
      <c r="RV251">
        <v>20</v>
      </c>
      <c r="RW251">
        <v>20</v>
      </c>
      <c r="RX251">
        <v>20</v>
      </c>
      <c r="RY251">
        <v>20</v>
      </c>
      <c r="RZ251">
        <v>20</v>
      </c>
      <c r="SA251">
        <v>20</v>
      </c>
      <c r="SB251">
        <v>20</v>
      </c>
      <c r="SC251">
        <v>20</v>
      </c>
      <c r="SD251">
        <v>20</v>
      </c>
      <c r="SE251">
        <v>20</v>
      </c>
      <c r="SF251">
        <v>20</v>
      </c>
      <c r="SG251">
        <v>20</v>
      </c>
      <c r="SH251">
        <v>20</v>
      </c>
    </row>
    <row r="252" spans="1:964">
      <c r="B252">
        <v>1418</v>
      </c>
      <c r="E252" s="2393" t="s">
        <v>7827</v>
      </c>
      <c r="R252">
        <v>100</v>
      </c>
      <c r="X252">
        <v>400</v>
      </c>
      <c r="LA252">
        <v>556.70000000000005</v>
      </c>
      <c r="LB252">
        <v>139</v>
      </c>
      <c r="LC252">
        <v>262.5</v>
      </c>
      <c r="LD252">
        <v>262.5</v>
      </c>
      <c r="LE252">
        <v>272</v>
      </c>
      <c r="LF252">
        <v>277</v>
      </c>
      <c r="LG252">
        <f>160+33</f>
        <v>193</v>
      </c>
      <c r="LH252">
        <f>160+33</f>
        <v>193</v>
      </c>
      <c r="LI252">
        <v>193</v>
      </c>
      <c r="LJ252">
        <v>2.1</v>
      </c>
      <c r="LK252">
        <v>2.1</v>
      </c>
      <c r="LL252">
        <v>2.1</v>
      </c>
      <c r="LM252">
        <v>2.1</v>
      </c>
      <c r="LN252">
        <v>2.1</v>
      </c>
      <c r="LO252">
        <v>193</v>
      </c>
      <c r="LP252">
        <v>193</v>
      </c>
      <c r="LQ252">
        <v>193</v>
      </c>
      <c r="LR252">
        <v>193</v>
      </c>
      <c r="LS252">
        <f>160+66</f>
        <v>226</v>
      </c>
      <c r="LT252">
        <v>226</v>
      </c>
      <c r="LU252">
        <v>226</v>
      </c>
      <c r="LV252">
        <v>226</v>
      </c>
      <c r="LW252">
        <v>17.100000000000001</v>
      </c>
      <c r="LX252">
        <v>17.100000000000001</v>
      </c>
      <c r="LY252">
        <v>17.100000000000001</v>
      </c>
      <c r="LZ252">
        <v>17.100000000000001</v>
      </c>
      <c r="MA252">
        <v>17.100000000000001</v>
      </c>
      <c r="MB252">
        <v>17.100000000000001</v>
      </c>
      <c r="MC252">
        <v>17.100000000000001</v>
      </c>
      <c r="MD252">
        <v>17.100000000000001</v>
      </c>
      <c r="ME252">
        <v>17.100000000000001</v>
      </c>
      <c r="MF252">
        <v>4233.7</v>
      </c>
      <c r="MG252">
        <v>4275.2</v>
      </c>
      <c r="MH252">
        <v>4366.2</v>
      </c>
      <c r="MI252">
        <v>4380.2</v>
      </c>
      <c r="MJ252">
        <v>4512.2</v>
      </c>
      <c r="MK252">
        <v>4546</v>
      </c>
      <c r="ML252">
        <v>4593.5</v>
      </c>
      <c r="MM252">
        <v>337.2</v>
      </c>
      <c r="MN252">
        <v>348.71</v>
      </c>
      <c r="MO252">
        <v>343</v>
      </c>
      <c r="MP252">
        <v>367.82</v>
      </c>
      <c r="MQ252">
        <v>376</v>
      </c>
      <c r="MR252">
        <v>373.1</v>
      </c>
      <c r="MS252">
        <v>395.3</v>
      </c>
      <c r="MT252">
        <v>400.52</v>
      </c>
      <c r="MU252">
        <v>365.7</v>
      </c>
      <c r="MV252">
        <v>321.33999999999997</v>
      </c>
      <c r="MW252">
        <v>355.24</v>
      </c>
      <c r="MX252">
        <v>334.5</v>
      </c>
      <c r="MY252">
        <v>335.4</v>
      </c>
      <c r="MZ252">
        <v>331.4</v>
      </c>
      <c r="NA252">
        <f>321.5+6</f>
        <v>327.5</v>
      </c>
      <c r="NB252">
        <v>327.2</v>
      </c>
      <c r="NC252">
        <v>19.3</v>
      </c>
      <c r="ND252">
        <v>19.3</v>
      </c>
      <c r="NE252">
        <v>19.3</v>
      </c>
      <c r="NF252">
        <v>19.3</v>
      </c>
      <c r="NG252">
        <v>19.3</v>
      </c>
      <c r="NH252">
        <v>19.3</v>
      </c>
      <c r="NI252">
        <v>19.3</v>
      </c>
      <c r="NJ252">
        <v>19.3</v>
      </c>
      <c r="NK252">
        <v>19.3</v>
      </c>
      <c r="NL252">
        <v>19.3</v>
      </c>
      <c r="NM252">
        <v>19.3</v>
      </c>
      <c r="NN252">
        <v>5.64</v>
      </c>
      <c r="NO252">
        <v>5.64</v>
      </c>
      <c r="NP252">
        <v>5.64</v>
      </c>
      <c r="NQ252">
        <v>5.64</v>
      </c>
      <c r="NR252">
        <v>5.64</v>
      </c>
      <c r="NS252">
        <v>5.64</v>
      </c>
      <c r="NT252">
        <v>5.64</v>
      </c>
      <c r="NU252">
        <v>18</v>
      </c>
      <c r="NV252">
        <v>18</v>
      </c>
      <c r="NW252">
        <v>18</v>
      </c>
      <c r="NX252">
        <v>23</v>
      </c>
      <c r="NY252">
        <v>13</v>
      </c>
      <c r="NZ252">
        <v>28.5</v>
      </c>
      <c r="OA252">
        <v>28.5</v>
      </c>
      <c r="OB252">
        <v>28.5</v>
      </c>
      <c r="OC252">
        <v>28.5</v>
      </c>
      <c r="OD252">
        <v>28.5</v>
      </c>
      <c r="OE252">
        <v>28.5</v>
      </c>
      <c r="OF252">
        <v>18</v>
      </c>
      <c r="OG252">
        <v>18</v>
      </c>
      <c r="OH252">
        <v>18</v>
      </c>
      <c r="OI252">
        <v>18</v>
      </c>
      <c r="OJ252">
        <v>18</v>
      </c>
      <c r="OK252">
        <v>18</v>
      </c>
      <c r="OL252">
        <v>18</v>
      </c>
      <c r="OM252">
        <v>18</v>
      </c>
      <c r="ON252">
        <v>18</v>
      </c>
      <c r="OO252">
        <v>18</v>
      </c>
      <c r="OP252">
        <v>30</v>
      </c>
      <c r="OQ252">
        <v>30</v>
      </c>
      <c r="OR252">
        <v>30</v>
      </c>
      <c r="OS252">
        <v>30</v>
      </c>
      <c r="OT252">
        <v>30</v>
      </c>
      <c r="RQ252">
        <v>2.1</v>
      </c>
      <c r="RR252">
        <v>2.1</v>
      </c>
      <c r="RS252">
        <v>2.1</v>
      </c>
      <c r="RT252">
        <v>2.1</v>
      </c>
      <c r="RU252">
        <v>2.1</v>
      </c>
      <c r="RV252">
        <v>2.1</v>
      </c>
      <c r="RW252">
        <f>2.1+0.9</f>
        <v>3</v>
      </c>
      <c r="RX252">
        <v>3</v>
      </c>
      <c r="RY252">
        <v>3</v>
      </c>
      <c r="RZ252">
        <v>3</v>
      </c>
      <c r="SA252">
        <v>3</v>
      </c>
      <c r="SB252">
        <v>3</v>
      </c>
      <c r="SC252">
        <v>3</v>
      </c>
      <c r="SD252">
        <v>3</v>
      </c>
      <c r="SE252">
        <v>3</v>
      </c>
      <c r="SF252">
        <v>3</v>
      </c>
      <c r="SG252">
        <v>3</v>
      </c>
      <c r="SH252">
        <v>3</v>
      </c>
      <c r="SI252">
        <v>3</v>
      </c>
      <c r="SJ252">
        <v>3</v>
      </c>
      <c r="SK252">
        <v>3</v>
      </c>
      <c r="SL252">
        <v>3</v>
      </c>
      <c r="SM252">
        <v>3</v>
      </c>
      <c r="SN252">
        <v>3</v>
      </c>
      <c r="SO252">
        <v>3</v>
      </c>
      <c r="SP252">
        <v>3</v>
      </c>
      <c r="SQ252">
        <v>3</v>
      </c>
      <c r="SR252">
        <v>3</v>
      </c>
      <c r="SS252">
        <v>3</v>
      </c>
      <c r="ST252">
        <v>3</v>
      </c>
      <c r="AJT252">
        <v>3</v>
      </c>
      <c r="AJU252">
        <v>3</v>
      </c>
      <c r="AJV252">
        <v>3</v>
      </c>
      <c r="AJW252">
        <v>3</v>
      </c>
      <c r="AJX252">
        <v>3</v>
      </c>
      <c r="AJY252">
        <v>3</v>
      </c>
      <c r="AJZ252">
        <v>3</v>
      </c>
      <c r="AKA252">
        <v>3</v>
      </c>
      <c r="AKB252">
        <v>3</v>
      </c>
    </row>
    <row r="253" spans="1:964">
      <c r="B253">
        <v>1</v>
      </c>
      <c r="R253">
        <v>25</v>
      </c>
      <c r="X253">
        <v>1530</v>
      </c>
      <c r="LA253">
        <v>8.6999999999999993</v>
      </c>
      <c r="LB253">
        <v>338</v>
      </c>
      <c r="LC253">
        <v>100.7</v>
      </c>
      <c r="LD253">
        <v>118</v>
      </c>
      <c r="LE253">
        <v>20.6</v>
      </c>
      <c r="LF253">
        <v>3.5</v>
      </c>
      <c r="LG253">
        <v>287</v>
      </c>
      <c r="LH253">
        <v>287</v>
      </c>
      <c r="LI253">
        <f>287+3.4</f>
        <v>290.39999999999998</v>
      </c>
      <c r="LJ253">
        <v>1</v>
      </c>
      <c r="LK253">
        <v>1</v>
      </c>
      <c r="LL253">
        <v>1</v>
      </c>
      <c r="LM253">
        <v>1</v>
      </c>
      <c r="LN253">
        <v>1</v>
      </c>
      <c r="LO253">
        <v>292</v>
      </c>
      <c r="LP253">
        <v>295</v>
      </c>
      <c r="LQ253">
        <v>295</v>
      </c>
      <c r="LR253">
        <v>295</v>
      </c>
      <c r="LS253">
        <v>295</v>
      </c>
      <c r="LT253">
        <v>310</v>
      </c>
      <c r="LU253">
        <v>310</v>
      </c>
      <c r="LV253">
        <v>310</v>
      </c>
      <c r="LW253">
        <v>273</v>
      </c>
      <c r="LX253">
        <v>273</v>
      </c>
      <c r="LY253">
        <v>273</v>
      </c>
      <c r="LZ253">
        <v>273</v>
      </c>
      <c r="MA253">
        <v>273</v>
      </c>
      <c r="MB253">
        <v>273</v>
      </c>
      <c r="MC253">
        <v>273</v>
      </c>
      <c r="MD253">
        <v>273</v>
      </c>
      <c r="ME253">
        <v>273</v>
      </c>
      <c r="MF253">
        <v>17.100000000000001</v>
      </c>
      <c r="MG253">
        <v>17.100000000000001</v>
      </c>
      <c r="MH253">
        <v>17.100000000000001</v>
      </c>
      <c r="MI253">
        <v>17.100000000000001</v>
      </c>
      <c r="MJ253">
        <v>17.100000000000001</v>
      </c>
      <c r="MK253">
        <v>17.100000000000001</v>
      </c>
      <c r="ML253">
        <v>17.100000000000001</v>
      </c>
      <c r="MM253">
        <v>4550</v>
      </c>
      <c r="MN253">
        <v>4638.5</v>
      </c>
      <c r="MO253">
        <v>4773.5</v>
      </c>
      <c r="MP253">
        <v>4954.5</v>
      </c>
      <c r="MQ253">
        <v>5290.85</v>
      </c>
      <c r="MR253">
        <v>5620.85</v>
      </c>
      <c r="MS253">
        <v>5708.85</v>
      </c>
      <c r="MT253">
        <v>5824.85</v>
      </c>
      <c r="MU253">
        <v>5896.85</v>
      </c>
      <c r="MV253">
        <v>6083.35</v>
      </c>
      <c r="MW253">
        <v>6134.15</v>
      </c>
      <c r="MX253">
        <v>6211.15</v>
      </c>
      <c r="MY253">
        <v>6233.65</v>
      </c>
      <c r="MZ253">
        <v>6229.2</v>
      </c>
      <c r="NA253">
        <v>6223.2</v>
      </c>
      <c r="NB253">
        <v>6406.15</v>
      </c>
      <c r="NC253">
        <v>334.8</v>
      </c>
      <c r="ND253">
        <v>372.6</v>
      </c>
      <c r="NE253">
        <v>394.5</v>
      </c>
      <c r="NF253">
        <v>403.5</v>
      </c>
      <c r="NG253">
        <v>368.68</v>
      </c>
      <c r="NH253">
        <v>384.6</v>
      </c>
      <c r="NI253">
        <v>460.3</v>
      </c>
      <c r="NJ253">
        <v>466</v>
      </c>
      <c r="NK253">
        <v>492</v>
      </c>
      <c r="NL253">
        <v>542.5</v>
      </c>
      <c r="NM253">
        <v>556.6</v>
      </c>
      <c r="NN253">
        <v>18</v>
      </c>
      <c r="NO253">
        <v>18</v>
      </c>
      <c r="NP253">
        <v>18</v>
      </c>
      <c r="NQ253">
        <v>18</v>
      </c>
      <c r="NR253">
        <v>18</v>
      </c>
      <c r="NS253">
        <v>18</v>
      </c>
      <c r="NT253">
        <v>18</v>
      </c>
      <c r="NU253">
        <v>23</v>
      </c>
      <c r="NV253">
        <v>23</v>
      </c>
      <c r="NW253">
        <v>23</v>
      </c>
      <c r="NX253">
        <v>28.5</v>
      </c>
      <c r="NY253">
        <v>28.5</v>
      </c>
      <c r="NZ253">
        <v>30</v>
      </c>
      <c r="OA253">
        <v>30</v>
      </c>
      <c r="OB253">
        <v>30</v>
      </c>
      <c r="OC253">
        <v>30</v>
      </c>
      <c r="OD253">
        <v>30</v>
      </c>
      <c r="OE253">
        <v>18</v>
      </c>
      <c r="OF253">
        <v>30</v>
      </c>
      <c r="OG253">
        <v>30</v>
      </c>
      <c r="OH253">
        <v>30</v>
      </c>
      <c r="OI253">
        <v>30</v>
      </c>
      <c r="OJ253">
        <v>30</v>
      </c>
      <c r="OK253">
        <v>30</v>
      </c>
      <c r="OL253">
        <v>30</v>
      </c>
      <c r="OM253">
        <v>30</v>
      </c>
      <c r="ON253">
        <v>30</v>
      </c>
      <c r="OO253">
        <v>30</v>
      </c>
      <c r="OP253">
        <v>25</v>
      </c>
      <c r="OQ253">
        <v>25</v>
      </c>
      <c r="OR253">
        <v>25</v>
      </c>
      <c r="OS253">
        <v>25</v>
      </c>
      <c r="OT253">
        <v>25</v>
      </c>
      <c r="OU253">
        <v>107.5</v>
      </c>
      <c r="OV253">
        <v>100.3</v>
      </c>
      <c r="OW253">
        <v>100.3</v>
      </c>
      <c r="OX253">
        <v>100.3</v>
      </c>
      <c r="OY253">
        <v>100.3</v>
      </c>
      <c r="OZ253">
        <v>125</v>
      </c>
      <c r="PA253">
        <v>125</v>
      </c>
      <c r="PB253">
        <v>125</v>
      </c>
      <c r="PC253">
        <v>150</v>
      </c>
      <c r="PD253">
        <v>150</v>
      </c>
      <c r="PE253">
        <v>85.7</v>
      </c>
      <c r="PF253">
        <v>86.5</v>
      </c>
      <c r="PG253">
        <v>86.5</v>
      </c>
      <c r="PH253">
        <v>86.5</v>
      </c>
      <c r="PI253">
        <v>67.5</v>
      </c>
      <c r="PJ253">
        <v>67.5</v>
      </c>
      <c r="PK253">
        <v>67.5</v>
      </c>
      <c r="PL253">
        <v>67.5</v>
      </c>
      <c r="PM253">
        <v>67.5</v>
      </c>
      <c r="PN253">
        <v>68.900000000000006</v>
      </c>
      <c r="PO253">
        <v>68.900000000000006</v>
      </c>
      <c r="PP253">
        <v>68.900000000000006</v>
      </c>
      <c r="PQ253">
        <v>93.8</v>
      </c>
      <c r="PR253">
        <v>93.8</v>
      </c>
      <c r="PS253">
        <v>74</v>
      </c>
      <c r="PT253">
        <v>123.8</v>
      </c>
      <c r="PU253">
        <v>123.8</v>
      </c>
      <c r="PV253">
        <v>123.8</v>
      </c>
      <c r="PW253">
        <v>148.80000000000001</v>
      </c>
      <c r="PX253">
        <v>173.7</v>
      </c>
      <c r="PY253">
        <v>198.6</v>
      </c>
      <c r="PZ253">
        <v>198.5</v>
      </c>
      <c r="QA253">
        <v>198.5</v>
      </c>
      <c r="QB253">
        <v>223.48</v>
      </c>
      <c r="QC253">
        <v>223.5</v>
      </c>
      <c r="QD253">
        <v>223.5</v>
      </c>
      <c r="QE253">
        <v>248.4</v>
      </c>
      <c r="QF253">
        <v>248.4</v>
      </c>
      <c r="QG253">
        <v>248.4</v>
      </c>
      <c r="QH253">
        <v>248.4</v>
      </c>
      <c r="QI253">
        <v>78.77</v>
      </c>
      <c r="QJ253">
        <v>78.7</v>
      </c>
      <c r="QK253">
        <v>78.7</v>
      </c>
      <c r="QL253">
        <v>103.6</v>
      </c>
      <c r="QM253">
        <v>103.6</v>
      </c>
      <c r="QN253">
        <v>128.5</v>
      </c>
      <c r="QO253">
        <v>124.6</v>
      </c>
      <c r="QP253">
        <v>124.6</v>
      </c>
      <c r="QQ253">
        <v>124.6</v>
      </c>
      <c r="QR253">
        <v>124.6</v>
      </c>
      <c r="QS253">
        <v>124.6</v>
      </c>
      <c r="QT253">
        <v>124.4</v>
      </c>
      <c r="QU253">
        <v>146.6</v>
      </c>
      <c r="QV253">
        <v>146.6</v>
      </c>
      <c r="QW253">
        <v>146.6</v>
      </c>
      <c r="QX253">
        <v>146.6</v>
      </c>
      <c r="QY253">
        <v>135.69999999999999</v>
      </c>
      <c r="QZ253">
        <v>135.69999999999999</v>
      </c>
      <c r="RA253">
        <v>31.2</v>
      </c>
      <c r="RB253">
        <v>31.2</v>
      </c>
      <c r="RC253">
        <v>35.799999999999997</v>
      </c>
      <c r="RD253">
        <v>60.6</v>
      </c>
      <c r="RE253">
        <v>60.6</v>
      </c>
      <c r="RF253">
        <v>80.5</v>
      </c>
      <c r="RG253">
        <v>80.5</v>
      </c>
      <c r="RH253">
        <v>80.5</v>
      </c>
      <c r="RI253">
        <v>80.5</v>
      </c>
      <c r="RJ253">
        <v>82.5</v>
      </c>
      <c r="RK253">
        <v>6.8</v>
      </c>
      <c r="RL253">
        <v>1</v>
      </c>
      <c r="RM253">
        <v>21.8</v>
      </c>
      <c r="RN253">
        <v>26.8</v>
      </c>
      <c r="RO253">
        <v>26.8</v>
      </c>
      <c r="RP253">
        <v>36.799999999999997</v>
      </c>
      <c r="RQ253">
        <v>1</v>
      </c>
      <c r="RR253">
        <v>1</v>
      </c>
      <c r="RS253">
        <v>1</v>
      </c>
      <c r="RT253">
        <v>1</v>
      </c>
      <c r="RU253">
        <v>1</v>
      </c>
      <c r="RV253">
        <v>1</v>
      </c>
      <c r="RW253">
        <v>1</v>
      </c>
      <c r="RX253">
        <v>1</v>
      </c>
      <c r="RY253">
        <v>1</v>
      </c>
      <c r="RZ253">
        <v>1</v>
      </c>
      <c r="SA253">
        <v>1</v>
      </c>
      <c r="SB253">
        <v>1</v>
      </c>
      <c r="SC253">
        <v>1</v>
      </c>
      <c r="SD253">
        <v>1</v>
      </c>
      <c r="SE253">
        <v>1</v>
      </c>
      <c r="SF253">
        <v>1</v>
      </c>
      <c r="SG253">
        <v>1</v>
      </c>
      <c r="SH253">
        <v>1</v>
      </c>
      <c r="SI253">
        <v>1</v>
      </c>
      <c r="SJ253">
        <v>1</v>
      </c>
      <c r="SK253">
        <v>1</v>
      </c>
      <c r="SL253">
        <v>1</v>
      </c>
      <c r="SM253">
        <v>1</v>
      </c>
      <c r="SN253">
        <v>1</v>
      </c>
      <c r="SO253">
        <v>1</v>
      </c>
      <c r="SP253">
        <v>1</v>
      </c>
      <c r="SQ253">
        <v>1</v>
      </c>
      <c r="SR253">
        <v>1</v>
      </c>
      <c r="SS253">
        <v>1</v>
      </c>
      <c r="ST253">
        <v>1</v>
      </c>
      <c r="SU253">
        <v>31.8</v>
      </c>
      <c r="SV253">
        <v>31.8</v>
      </c>
      <c r="SW253">
        <v>31.8</v>
      </c>
      <c r="SX253">
        <v>31.8</v>
      </c>
      <c r="SY253">
        <v>41.8</v>
      </c>
      <c r="SZ253">
        <v>41.8</v>
      </c>
      <c r="TA253">
        <v>34.799999999999997</v>
      </c>
      <c r="TB253">
        <v>34.799999999999997</v>
      </c>
      <c r="TC253">
        <v>34.799999999999997</v>
      </c>
      <c r="TD253">
        <v>31.8</v>
      </c>
      <c r="TE253">
        <v>31.8</v>
      </c>
      <c r="TF253">
        <v>31.8</v>
      </c>
      <c r="TG253">
        <v>31.8</v>
      </c>
      <c r="TH253">
        <v>28.8</v>
      </c>
      <c r="TI253">
        <v>22.8</v>
      </c>
      <c r="TJ253">
        <v>22.8</v>
      </c>
      <c r="TK253">
        <v>32.799999999999997</v>
      </c>
      <c r="TL253">
        <v>32.799999999999997</v>
      </c>
      <c r="TM253">
        <v>28.8</v>
      </c>
      <c r="TN253">
        <v>42.8</v>
      </c>
      <c r="TO253">
        <v>30.85</v>
      </c>
      <c r="TP253">
        <v>30.8</v>
      </c>
      <c r="TQ253">
        <v>45.8</v>
      </c>
      <c r="TR253">
        <v>37.799999999999997</v>
      </c>
      <c r="TS253">
        <v>50.8</v>
      </c>
      <c r="TT253">
        <v>42.8</v>
      </c>
      <c r="TU253">
        <v>57.8</v>
      </c>
      <c r="TV253">
        <v>57.8</v>
      </c>
      <c r="TW253">
        <v>38</v>
      </c>
      <c r="TX253">
        <v>38</v>
      </c>
      <c r="TY253">
        <v>52</v>
      </c>
      <c r="TZ253">
        <v>52</v>
      </c>
      <c r="UA253">
        <v>52</v>
      </c>
      <c r="UB253">
        <v>52</v>
      </c>
      <c r="UC253">
        <v>52</v>
      </c>
      <c r="UD253">
        <v>52</v>
      </c>
      <c r="UE253">
        <v>52.8</v>
      </c>
      <c r="UF253">
        <v>67.8</v>
      </c>
      <c r="UG253">
        <v>52.8</v>
      </c>
      <c r="UH253">
        <v>66.849999999999994</v>
      </c>
      <c r="UI253">
        <v>66.099999999999994</v>
      </c>
      <c r="UJ253">
        <v>66.099999999999994</v>
      </c>
      <c r="UK253">
        <v>66.3</v>
      </c>
      <c r="UL253">
        <v>78.3</v>
      </c>
      <c r="UM253">
        <v>77</v>
      </c>
      <c r="UN253">
        <v>77</v>
      </c>
      <c r="UO253">
        <v>87</v>
      </c>
      <c r="UP253">
        <v>87</v>
      </c>
      <c r="UQ253">
        <v>87</v>
      </c>
      <c r="UR253">
        <v>87</v>
      </c>
      <c r="US253">
        <v>87</v>
      </c>
      <c r="UT253">
        <v>87</v>
      </c>
      <c r="UU253">
        <v>87</v>
      </c>
      <c r="UV253">
        <v>96</v>
      </c>
      <c r="UW253">
        <v>96</v>
      </c>
      <c r="UX253">
        <v>96</v>
      </c>
      <c r="UY253">
        <v>55.7</v>
      </c>
      <c r="UZ253">
        <v>41.7</v>
      </c>
      <c r="VA253">
        <v>41.7</v>
      </c>
      <c r="VB253">
        <v>50.7</v>
      </c>
      <c r="VC253">
        <v>55.7</v>
      </c>
      <c r="VD253">
        <v>39.700000000000003</v>
      </c>
      <c r="VE253">
        <v>44.7</v>
      </c>
      <c r="VF253" s="1304">
        <v>49.7</v>
      </c>
      <c r="VG253" s="1304">
        <v>49.7</v>
      </c>
      <c r="VH253" s="1304">
        <v>54.7</v>
      </c>
      <c r="VI253" s="1304">
        <v>54.7</v>
      </c>
      <c r="VJ253" s="1304">
        <v>54.7</v>
      </c>
      <c r="VK253">
        <v>45.3</v>
      </c>
      <c r="VL253" s="1304">
        <v>45.3</v>
      </c>
      <c r="VM253" s="1304">
        <v>47.3</v>
      </c>
      <c r="VN253" s="1304">
        <v>47.3</v>
      </c>
      <c r="VO253" s="1304">
        <v>49.4</v>
      </c>
      <c r="VP253" s="1304">
        <v>49.4</v>
      </c>
      <c r="VQ253" s="1304">
        <v>50.3</v>
      </c>
      <c r="VR253" s="1304">
        <v>50.4</v>
      </c>
      <c r="VS253" s="1304">
        <v>50.4</v>
      </c>
      <c r="VT253" s="1304">
        <v>46.8</v>
      </c>
      <c r="VU253" s="1304">
        <v>48.8</v>
      </c>
      <c r="VV253" s="1304">
        <v>48.8</v>
      </c>
      <c r="VW253" s="1304">
        <v>54.3</v>
      </c>
      <c r="VX253" s="1304">
        <v>37.200000000000003</v>
      </c>
      <c r="VY253" s="1304">
        <v>40</v>
      </c>
      <c r="VZ253" s="1304">
        <v>42</v>
      </c>
      <c r="WA253" s="1304">
        <v>45.1</v>
      </c>
      <c r="WB253" s="1304">
        <v>45.1</v>
      </c>
      <c r="WC253" s="1304">
        <v>45.1</v>
      </c>
      <c r="WD253" s="1304">
        <v>45.1</v>
      </c>
      <c r="WE253" s="1304">
        <v>50</v>
      </c>
      <c r="WF253" s="1304">
        <v>40.700000000000003</v>
      </c>
      <c r="WG253" s="1304">
        <v>43.7</v>
      </c>
      <c r="WH253" s="1304">
        <v>46.7</v>
      </c>
      <c r="WI253" s="1304">
        <v>46.7</v>
      </c>
      <c r="WJ253" s="1304">
        <v>48.7</v>
      </c>
      <c r="WK253" s="1304">
        <v>48.7</v>
      </c>
      <c r="WL253" s="1304">
        <v>48.7</v>
      </c>
      <c r="WM253" s="1304">
        <v>48.7</v>
      </c>
      <c r="WN253" s="1304">
        <v>36.4</v>
      </c>
      <c r="WO253" s="1304">
        <v>26.8</v>
      </c>
      <c r="WP253" s="1304">
        <v>30</v>
      </c>
      <c r="WQ253" s="1304">
        <v>40</v>
      </c>
      <c r="WR253" s="1304">
        <v>48</v>
      </c>
      <c r="WS253" s="1304">
        <v>63</v>
      </c>
      <c r="WT253" s="1304">
        <v>77.8</v>
      </c>
      <c r="WU253" s="1304">
        <v>77.8</v>
      </c>
      <c r="WV253" s="1304">
        <v>77.8</v>
      </c>
      <c r="WW253" s="1304">
        <v>87.8</v>
      </c>
      <c r="WX253" s="1304">
        <v>87.8</v>
      </c>
      <c r="WY253" s="1304">
        <v>87.8</v>
      </c>
      <c r="WZ253" s="1304">
        <v>87.8</v>
      </c>
      <c r="XA253" s="1304">
        <v>92.8</v>
      </c>
      <c r="XB253" s="1304">
        <v>92.8</v>
      </c>
      <c r="XC253" s="1304">
        <v>92.8</v>
      </c>
      <c r="XD253" s="1304">
        <v>107.8</v>
      </c>
      <c r="XE253" s="1304">
        <v>107.8</v>
      </c>
      <c r="XF253" s="1304">
        <v>117.8</v>
      </c>
      <c r="XG253" s="1304">
        <v>117.8</v>
      </c>
      <c r="XH253" s="1304">
        <v>122.8</v>
      </c>
      <c r="XI253" s="1304">
        <v>122.8</v>
      </c>
      <c r="XJ253" s="1304">
        <v>122.8</v>
      </c>
      <c r="XK253" s="1304">
        <v>122.8</v>
      </c>
      <c r="XL253" s="1304">
        <v>120</v>
      </c>
      <c r="XM253" s="1304">
        <v>76.8</v>
      </c>
      <c r="XN253" s="1304">
        <v>76.8</v>
      </c>
      <c r="XO253" s="1304">
        <v>81.8</v>
      </c>
      <c r="XP253" s="1304">
        <v>81.8</v>
      </c>
      <c r="XQ253" s="1304">
        <v>56.7</v>
      </c>
      <c r="XR253" s="1304">
        <v>56.7</v>
      </c>
      <c r="XS253" s="1304">
        <v>56.7</v>
      </c>
      <c r="XT253" s="1304">
        <v>56.7</v>
      </c>
      <c r="XU253" s="1304">
        <v>56.7</v>
      </c>
      <c r="XV253" s="1304">
        <v>56.7</v>
      </c>
      <c r="XW253" s="1304">
        <v>56.7</v>
      </c>
      <c r="XX253" s="1304">
        <v>51.7</v>
      </c>
      <c r="XY253" s="1304">
        <v>51.7</v>
      </c>
      <c r="XZ253" s="1304">
        <v>51.7</v>
      </c>
      <c r="YA253" s="1304">
        <v>56.2</v>
      </c>
      <c r="YB253" s="1304">
        <v>61.2</v>
      </c>
      <c r="YC253" s="1304">
        <v>61.2</v>
      </c>
      <c r="YD253" s="1304">
        <v>61.2</v>
      </c>
      <c r="YE253" s="1304">
        <v>66.2</v>
      </c>
      <c r="YF253" s="1304">
        <v>66.3</v>
      </c>
      <c r="YG253" s="1304">
        <v>66.3</v>
      </c>
      <c r="YH253" s="1304">
        <v>71.2</v>
      </c>
      <c r="YI253" s="1304">
        <v>71.2</v>
      </c>
      <c r="YJ253" s="1304">
        <v>71.2</v>
      </c>
      <c r="YK253" s="1304">
        <v>71.2</v>
      </c>
      <c r="YL253" s="1304">
        <v>71.2</v>
      </c>
      <c r="YM253" s="1304">
        <v>76.3</v>
      </c>
      <c r="YN253" s="1304">
        <v>76.3</v>
      </c>
      <c r="YO253" s="1304">
        <v>77.599999999999994</v>
      </c>
      <c r="YP253" s="1304">
        <v>80.599999999999994</v>
      </c>
      <c r="YQ253" s="1304">
        <v>80.599999999999994</v>
      </c>
      <c r="YR253" s="1304">
        <v>80.599999999999994</v>
      </c>
      <c r="YS253" s="1304">
        <v>81.5</v>
      </c>
      <c r="YT253" s="1304">
        <v>81.5</v>
      </c>
      <c r="YU253" s="1304">
        <v>61.5</v>
      </c>
      <c r="YV253" s="1304">
        <v>61.5</v>
      </c>
      <c r="YW253" s="1304">
        <v>65</v>
      </c>
      <c r="YX253" s="1304">
        <v>68.8</v>
      </c>
      <c r="YY253" s="1304">
        <v>68.8</v>
      </c>
      <c r="YZ253" s="1304">
        <v>68.8</v>
      </c>
      <c r="ZA253" s="1304">
        <v>68.8</v>
      </c>
      <c r="ZB253" s="1304">
        <v>68.8</v>
      </c>
      <c r="ZC253" s="1304">
        <v>69.3</v>
      </c>
      <c r="ZD253" s="1304">
        <v>72.400000000000006</v>
      </c>
      <c r="ZE253" s="1304">
        <v>72.400000000000006</v>
      </c>
      <c r="ZF253" s="1304">
        <v>72.400000000000006</v>
      </c>
      <c r="ZG253" s="1304">
        <v>73.400000000000006</v>
      </c>
      <c r="ZH253" s="1304">
        <v>76.400000000000006</v>
      </c>
      <c r="ZI253" s="1304">
        <v>76.400000000000006</v>
      </c>
      <c r="ZJ253" s="1304">
        <v>77.400000000000006</v>
      </c>
      <c r="ZK253" s="1304">
        <v>77.400000000000006</v>
      </c>
      <c r="ZL253" s="1304">
        <v>80.400000000000006</v>
      </c>
      <c r="ZM253" s="1304">
        <v>75.400000000000006</v>
      </c>
      <c r="ZN253" s="1304">
        <v>44.1</v>
      </c>
      <c r="ZO253" s="1304">
        <v>45.2</v>
      </c>
      <c r="ZP253" s="1304">
        <v>45.2</v>
      </c>
      <c r="ZQ253" s="1304">
        <v>45.2</v>
      </c>
      <c r="ZR253" s="1304">
        <v>45.2</v>
      </c>
      <c r="ZS253" s="1304">
        <v>45.2</v>
      </c>
      <c r="ZT253" s="1304">
        <v>40</v>
      </c>
      <c r="ZU253" s="1304">
        <v>40</v>
      </c>
      <c r="ZV253" s="1304">
        <v>40</v>
      </c>
      <c r="ZW253" s="1304">
        <v>40</v>
      </c>
      <c r="ZX253" s="1304">
        <v>40</v>
      </c>
      <c r="ZY253" s="1304">
        <v>11</v>
      </c>
      <c r="ZZ253" s="1304">
        <v>20</v>
      </c>
      <c r="AAA253" s="1304">
        <v>20</v>
      </c>
      <c r="AAB253" s="1304">
        <v>20</v>
      </c>
      <c r="AAC253" s="1304">
        <v>20</v>
      </c>
      <c r="AAD253" s="1304">
        <v>20</v>
      </c>
      <c r="AAE253" s="1304">
        <v>25</v>
      </c>
      <c r="AAF253" s="1304">
        <v>27</v>
      </c>
      <c r="AAG253" s="1304">
        <v>32</v>
      </c>
      <c r="AAH253" s="1304">
        <v>33</v>
      </c>
      <c r="AAI253" s="1304">
        <v>34</v>
      </c>
      <c r="AAJ253" s="1304">
        <v>34</v>
      </c>
      <c r="AAK253" s="1304">
        <v>34</v>
      </c>
      <c r="AAL253" s="1304">
        <v>34</v>
      </c>
      <c r="AAM253" s="1304">
        <v>34</v>
      </c>
      <c r="AAN253" s="1304">
        <v>34</v>
      </c>
      <c r="AAO253" s="1304">
        <v>39</v>
      </c>
      <c r="AAP253" s="1304">
        <v>63</v>
      </c>
      <c r="AAQ253" s="1304">
        <v>49</v>
      </c>
      <c r="AAR253" s="1304">
        <v>26</v>
      </c>
      <c r="AAS253" s="1304">
        <v>25</v>
      </c>
      <c r="AAT253" s="1304">
        <v>25</v>
      </c>
      <c r="AAU253" s="1304">
        <v>25</v>
      </c>
      <c r="AAV253" s="1304">
        <v>25</v>
      </c>
      <c r="AAW253" s="1304">
        <v>31</v>
      </c>
      <c r="AAX253" s="1304">
        <v>26</v>
      </c>
      <c r="AAY253" s="1304">
        <v>26</v>
      </c>
      <c r="AAZ253" s="1304">
        <v>26</v>
      </c>
      <c r="ABA253" s="1304">
        <v>31</v>
      </c>
      <c r="ABB253" s="1304">
        <v>31</v>
      </c>
      <c r="ABC253" s="1304">
        <v>31</v>
      </c>
      <c r="ABD253" s="1304">
        <v>35</v>
      </c>
      <c r="ABE253" s="1304">
        <v>35</v>
      </c>
      <c r="ABF253" s="1304">
        <v>35</v>
      </c>
      <c r="ABG253" s="1304">
        <v>31</v>
      </c>
      <c r="ABH253" s="1304">
        <v>31</v>
      </c>
      <c r="ABI253" s="1304">
        <v>31</v>
      </c>
      <c r="ABJ253" s="1304">
        <v>27</v>
      </c>
      <c r="ABK253" s="1304">
        <v>30</v>
      </c>
      <c r="ABL253" s="1304">
        <v>30</v>
      </c>
      <c r="ABM253" s="1304">
        <v>30</v>
      </c>
      <c r="ABN253" s="1304">
        <v>25</v>
      </c>
      <c r="ABO253" s="1304">
        <v>20</v>
      </c>
      <c r="ABP253" s="1304">
        <v>20</v>
      </c>
      <c r="ABQ253" s="1304">
        <v>20</v>
      </c>
      <c r="ABR253" s="1304">
        <v>12</v>
      </c>
      <c r="ABS253" s="1304">
        <v>15</v>
      </c>
      <c r="ABT253" s="1304">
        <v>15</v>
      </c>
      <c r="ABU253" s="1304">
        <v>18</v>
      </c>
      <c r="ABV253" s="1304">
        <v>21</v>
      </c>
      <c r="ABW253" s="1304">
        <v>22</v>
      </c>
      <c r="ABX253" s="1304">
        <v>22</v>
      </c>
      <c r="ABY253" s="1304">
        <v>22</v>
      </c>
      <c r="ABZ253" s="1304">
        <v>22</v>
      </c>
      <c r="ACA253" s="1304">
        <v>19</v>
      </c>
      <c r="ACB253" s="1304">
        <v>22</v>
      </c>
      <c r="ACC253" s="1304">
        <v>22</v>
      </c>
      <c r="ACD253" s="1304">
        <v>22</v>
      </c>
      <c r="ACE253" s="1304">
        <v>24</v>
      </c>
      <c r="ACF253" s="1304">
        <v>24</v>
      </c>
      <c r="ACG253" s="1304">
        <v>24</v>
      </c>
      <c r="ACH253" s="1304">
        <v>25</v>
      </c>
      <c r="ACI253" s="1304">
        <v>26</v>
      </c>
      <c r="ACJ253" s="1304">
        <v>27.2</v>
      </c>
      <c r="ACK253" s="1304">
        <v>27.2</v>
      </c>
      <c r="ACL253" s="1304">
        <v>27.2</v>
      </c>
      <c r="ACM253" s="1304">
        <v>27.2</v>
      </c>
      <c r="ACN253" s="1304">
        <v>34</v>
      </c>
      <c r="ACO253" s="1304">
        <v>35.5</v>
      </c>
      <c r="ACP253" s="1304">
        <v>36</v>
      </c>
      <c r="ACQ253" s="1304">
        <v>36</v>
      </c>
      <c r="ACR253" s="1304">
        <v>36</v>
      </c>
      <c r="ACS253" s="1304">
        <v>38</v>
      </c>
      <c r="ACT253" s="1304">
        <v>37</v>
      </c>
      <c r="ACU253" s="1304">
        <v>37</v>
      </c>
      <c r="ACV253" s="1304">
        <v>37</v>
      </c>
      <c r="ACW253" s="1304">
        <v>39</v>
      </c>
      <c r="ACX253" s="1304">
        <v>39</v>
      </c>
      <c r="ACY253" s="1304">
        <v>43</v>
      </c>
      <c r="ACZ253" s="1304">
        <v>33</v>
      </c>
      <c r="ADA253" s="1304">
        <v>33</v>
      </c>
      <c r="ADB253" s="1304">
        <v>33</v>
      </c>
      <c r="ADC253" s="1304">
        <v>24.5</v>
      </c>
      <c r="ADD253" s="1304">
        <v>24.5</v>
      </c>
      <c r="ADE253" s="1304">
        <v>17</v>
      </c>
      <c r="ADF253" s="1304">
        <v>17</v>
      </c>
      <c r="ADG253" s="1304">
        <v>10</v>
      </c>
      <c r="ADH253" s="1304">
        <v>10</v>
      </c>
      <c r="ADI253" s="1304">
        <v>10</v>
      </c>
      <c r="ADJ253" s="1304">
        <v>12</v>
      </c>
      <c r="ADK253" s="1304">
        <v>4</v>
      </c>
      <c r="ADL253" s="1304">
        <v>4</v>
      </c>
      <c r="ADM253" s="1304">
        <v>4</v>
      </c>
      <c r="ADN253" s="1304">
        <v>4</v>
      </c>
      <c r="ADO253" s="1304">
        <v>4</v>
      </c>
      <c r="ADP253" s="1304">
        <v>6</v>
      </c>
      <c r="ADQ253" s="1304">
        <v>6</v>
      </c>
      <c r="ADR253" s="1304">
        <v>6</v>
      </c>
      <c r="ADS253" s="1304">
        <v>6</v>
      </c>
      <c r="ADT253" s="1304">
        <v>6</v>
      </c>
      <c r="ADU253" s="1304">
        <v>6</v>
      </c>
      <c r="ADV253" s="1304">
        <v>6</v>
      </c>
      <c r="ADW253" s="1304">
        <v>6</v>
      </c>
      <c r="ADX253" s="1304">
        <v>6</v>
      </c>
      <c r="ADY253" s="1304">
        <v>10</v>
      </c>
      <c r="ADZ253" s="1304">
        <v>10</v>
      </c>
      <c r="AEA253" s="1304">
        <v>10</v>
      </c>
      <c r="AEB253" s="1304">
        <v>10</v>
      </c>
      <c r="AEC253" s="1304">
        <v>10</v>
      </c>
      <c r="AED253" s="1304">
        <v>15</v>
      </c>
      <c r="AEE253" s="1304">
        <v>15</v>
      </c>
      <c r="AEF253" s="1304">
        <v>15</v>
      </c>
      <c r="AEG253" s="1304">
        <v>15</v>
      </c>
      <c r="AEH253" s="1304">
        <v>15</v>
      </c>
      <c r="AEI253" s="1304">
        <v>15</v>
      </c>
      <c r="AJT253">
        <v>1</v>
      </c>
      <c r="AJU253">
        <v>1</v>
      </c>
      <c r="AJV253">
        <v>1</v>
      </c>
      <c r="AJW253">
        <v>1</v>
      </c>
      <c r="AJX253">
        <v>1</v>
      </c>
      <c r="AJY253">
        <v>1</v>
      </c>
      <c r="AJZ253">
        <v>1</v>
      </c>
      <c r="AKA253">
        <v>1</v>
      </c>
      <c r="AKB253">
        <v>1</v>
      </c>
    </row>
    <row r="254" spans="1:964">
      <c r="B254">
        <v>16</v>
      </c>
      <c r="G254" s="4">
        <v>31</v>
      </c>
      <c r="J254">
        <v>18</v>
      </c>
      <c r="L254" s="1304">
        <v>20</v>
      </c>
      <c r="R254">
        <v>33</v>
      </c>
      <c r="LA254">
        <v>-208.5</v>
      </c>
      <c r="LB254">
        <v>8.6999999999999993</v>
      </c>
      <c r="LC254">
        <v>21.4</v>
      </c>
      <c r="LD254">
        <v>21</v>
      </c>
      <c r="LE254">
        <v>1.3</v>
      </c>
      <c r="LF254">
        <v>250</v>
      </c>
      <c r="LG254">
        <v>36.6</v>
      </c>
      <c r="LH254">
        <v>31</v>
      </c>
      <c r="LI254">
        <v>58.4</v>
      </c>
      <c r="LJ254">
        <v>3</v>
      </c>
      <c r="LK254">
        <v>3</v>
      </c>
      <c r="LL254">
        <v>3</v>
      </c>
      <c r="LM254">
        <v>0.71199999999999997</v>
      </c>
      <c r="LN254">
        <v>0.71199999999999997</v>
      </c>
      <c r="LO254">
        <v>75.5</v>
      </c>
      <c r="LP254">
        <v>196</v>
      </c>
      <c r="LQ254">
        <v>235.8</v>
      </c>
      <c r="LR254">
        <v>0</v>
      </c>
      <c r="LS254">
        <v>38.9</v>
      </c>
      <c r="LT254">
        <v>320.60000000000002</v>
      </c>
      <c r="LU254">
        <v>434</v>
      </c>
      <c r="LV254">
        <v>298.8</v>
      </c>
      <c r="LW254">
        <v>310</v>
      </c>
      <c r="LX254">
        <v>310</v>
      </c>
      <c r="LY254">
        <v>310</v>
      </c>
      <c r="LZ254">
        <v>310</v>
      </c>
      <c r="MA254">
        <v>312.7</v>
      </c>
      <c r="MB254">
        <v>312.7</v>
      </c>
      <c r="MC254">
        <v>312.7</v>
      </c>
      <c r="MD254">
        <v>312.7</v>
      </c>
      <c r="ME254">
        <v>312.7</v>
      </c>
      <c r="MF254">
        <v>273</v>
      </c>
      <c r="MG254">
        <v>273</v>
      </c>
      <c r="MH254">
        <v>240</v>
      </c>
      <c r="MI254">
        <v>240</v>
      </c>
      <c r="MJ254">
        <v>240</v>
      </c>
      <c r="MK254">
        <v>240</v>
      </c>
      <c r="ML254">
        <v>307</v>
      </c>
      <c r="MM254">
        <v>17.100000000000001</v>
      </c>
      <c r="MN254">
        <v>17.100000000000001</v>
      </c>
      <c r="MO254">
        <v>17.100000000000001</v>
      </c>
      <c r="MP254">
        <v>17.100000000000001</v>
      </c>
      <c r="MQ254">
        <v>17.100000000000001</v>
      </c>
      <c r="MR254">
        <v>17.100000000000001</v>
      </c>
      <c r="MS254">
        <v>17.100000000000001</v>
      </c>
      <c r="MT254">
        <v>17.100000000000001</v>
      </c>
      <c r="MU254">
        <v>17.100000000000001</v>
      </c>
      <c r="MV254">
        <v>17.100000000000001</v>
      </c>
      <c r="MW254">
        <v>17.100000000000001</v>
      </c>
      <c r="MX254">
        <v>17.100000000000001</v>
      </c>
      <c r="MY254">
        <v>17.100000000000001</v>
      </c>
      <c r="MZ254">
        <v>17.100000000000001</v>
      </c>
      <c r="NA254">
        <v>17.100000000000001</v>
      </c>
      <c r="NB254">
        <v>17.100000000000001</v>
      </c>
      <c r="NC254">
        <v>6401.65</v>
      </c>
      <c r="ND254">
        <v>6460.15</v>
      </c>
      <c r="NE254">
        <v>6529.65</v>
      </c>
      <c r="NF254">
        <v>6508.65</v>
      </c>
      <c r="NG254">
        <v>6613.65</v>
      </c>
      <c r="NH254">
        <v>6778.65</v>
      </c>
      <c r="NI254">
        <v>6843.15</v>
      </c>
      <c r="NJ254">
        <v>6864.45</v>
      </c>
      <c r="NK254">
        <v>6819.45</v>
      </c>
      <c r="NL254">
        <v>6888.95</v>
      </c>
      <c r="NM254">
        <v>6943.33</v>
      </c>
      <c r="NN254">
        <v>566.20000000000005</v>
      </c>
      <c r="NO254">
        <v>567.4</v>
      </c>
      <c r="NP254">
        <v>585.79999999999995</v>
      </c>
      <c r="NQ254">
        <v>568.6</v>
      </c>
      <c r="NR254">
        <v>587.70000000000005</v>
      </c>
      <c r="NS254">
        <v>588.70000000000005</v>
      </c>
      <c r="NT254">
        <v>598.6</v>
      </c>
      <c r="NU254">
        <v>573.20000000000005</v>
      </c>
      <c r="NV254">
        <v>579.5</v>
      </c>
      <c r="NW254">
        <v>589.6</v>
      </c>
      <c r="NX254">
        <v>609.79999999999995</v>
      </c>
      <c r="NY254">
        <v>615.70000000000005</v>
      </c>
      <c r="NZ254">
        <v>587.5</v>
      </c>
      <c r="OA254">
        <v>590.6</v>
      </c>
      <c r="OB254">
        <v>590.70000000000005</v>
      </c>
      <c r="OC254">
        <v>575</v>
      </c>
      <c r="OD254">
        <v>533.79999999999995</v>
      </c>
      <c r="OE254">
        <v>571.5</v>
      </c>
      <c r="OF254">
        <v>552.20000000000005</v>
      </c>
      <c r="OG254">
        <v>555.4</v>
      </c>
      <c r="OH254">
        <v>550.1</v>
      </c>
      <c r="OI254">
        <v>537.87</v>
      </c>
      <c r="OJ254">
        <f>557.57-1.5</f>
        <v>556.07000000000005</v>
      </c>
      <c r="OK254">
        <v>567.70000000000005</v>
      </c>
      <c r="OL254">
        <v>566.6</v>
      </c>
      <c r="OM254">
        <v>577.29999999999995</v>
      </c>
      <c r="ON254">
        <v>617.70000000000005</v>
      </c>
      <c r="OO254">
        <v>614.70000000000005</v>
      </c>
      <c r="OP254">
        <v>617.9</v>
      </c>
      <c r="OQ254">
        <v>671.9</v>
      </c>
      <c r="OR254">
        <v>673.5</v>
      </c>
      <c r="OS254">
        <v>681.8</v>
      </c>
      <c r="OT254">
        <v>678.8</v>
      </c>
      <c r="OU254">
        <v>704</v>
      </c>
      <c r="OV254">
        <v>704</v>
      </c>
      <c r="OW254">
        <v>668.3</v>
      </c>
      <c r="OX254">
        <v>830.5</v>
      </c>
      <c r="OY254">
        <v>863</v>
      </c>
      <c r="OZ254">
        <v>869.3</v>
      </c>
      <c r="PA254">
        <v>881</v>
      </c>
      <c r="PB254">
        <v>896</v>
      </c>
      <c r="PC254">
        <v>826.5</v>
      </c>
      <c r="PD254">
        <v>880.6</v>
      </c>
      <c r="PE254">
        <v>820.12</v>
      </c>
      <c r="PF254">
        <v>914.9</v>
      </c>
      <c r="PG254">
        <v>928</v>
      </c>
      <c r="PH254">
        <v>965.2</v>
      </c>
      <c r="PI254">
        <v>897.27</v>
      </c>
      <c r="PJ254">
        <v>902.4</v>
      </c>
      <c r="PK254">
        <v>936.39</v>
      </c>
      <c r="PL254">
        <v>886.9</v>
      </c>
      <c r="PM254">
        <v>861.8</v>
      </c>
      <c r="PN254">
        <v>855.5</v>
      </c>
      <c r="PO254">
        <v>976.7</v>
      </c>
      <c r="PP254">
        <v>939.8</v>
      </c>
      <c r="PQ254">
        <v>997.47</v>
      </c>
      <c r="PR254">
        <v>1009.6</v>
      </c>
      <c r="PS254">
        <v>1068</v>
      </c>
      <c r="PT254">
        <v>1062.2</v>
      </c>
      <c r="PU254">
        <v>1226.5</v>
      </c>
      <c r="PV254">
        <v>1260.2</v>
      </c>
      <c r="PW254">
        <v>1261.5999999999999</v>
      </c>
      <c r="PX254">
        <v>1234.3</v>
      </c>
      <c r="PY254">
        <v>1245.08</v>
      </c>
      <c r="PZ254">
        <v>1211.2</v>
      </c>
      <c r="QA254">
        <v>1120.3</v>
      </c>
      <c r="QB254">
        <v>1134.3</v>
      </c>
      <c r="QC254">
        <v>1143.3</v>
      </c>
      <c r="QD254">
        <v>1109</v>
      </c>
      <c r="QE254">
        <v>1118</v>
      </c>
      <c r="QF254">
        <v>1120</v>
      </c>
      <c r="QG254">
        <v>1131</v>
      </c>
      <c r="QH254">
        <v>1137.7</v>
      </c>
      <c r="QI254">
        <v>1069.4000000000001</v>
      </c>
      <c r="QJ254">
        <v>1072.5999999999999</v>
      </c>
      <c r="QK254">
        <v>1124.5</v>
      </c>
      <c r="QL254">
        <v>1164.5</v>
      </c>
      <c r="QM254">
        <v>1252.2</v>
      </c>
      <c r="QN254">
        <v>1236.9000000000001</v>
      </c>
      <c r="QO254">
        <v>1285.2</v>
      </c>
      <c r="QP254">
        <v>1318.15</v>
      </c>
      <c r="QQ254">
        <v>1344.3</v>
      </c>
      <c r="QR254">
        <v>1284.3</v>
      </c>
      <c r="QS254">
        <f>1278.88-15.5</f>
        <v>1263.3800000000001</v>
      </c>
      <c r="QT254">
        <v>1260</v>
      </c>
      <c r="QU254">
        <v>1271.8</v>
      </c>
      <c r="QV254">
        <v>1271.8</v>
      </c>
      <c r="QW254">
        <v>1309.5</v>
      </c>
      <c r="QX254">
        <v>1239.8</v>
      </c>
      <c r="QY254">
        <v>1253.0999999999999</v>
      </c>
      <c r="QZ254">
        <v>1249.5999999999999</v>
      </c>
      <c r="RA254">
        <v>1264.5</v>
      </c>
      <c r="RB254">
        <v>1251</v>
      </c>
      <c r="RC254">
        <v>1231</v>
      </c>
      <c r="RD254">
        <v>1248.4000000000001</v>
      </c>
      <c r="RE254">
        <v>1218.2</v>
      </c>
      <c r="RF254">
        <v>1234.4000000000001</v>
      </c>
      <c r="RG254">
        <v>1166.8</v>
      </c>
      <c r="RH254">
        <v>1158</v>
      </c>
      <c r="RI254">
        <v>1132</v>
      </c>
      <c r="RJ254">
        <v>1036</v>
      </c>
      <c r="RK254">
        <v>913.3</v>
      </c>
      <c r="RL254">
        <v>1161.3</v>
      </c>
      <c r="RM254">
        <v>1346.3</v>
      </c>
      <c r="RN254">
        <v>1329.6</v>
      </c>
      <c r="RO254">
        <v>1334.9</v>
      </c>
      <c r="RP254">
        <v>1338.9</v>
      </c>
      <c r="RQ254">
        <v>0.71199999999999997</v>
      </c>
      <c r="RR254">
        <v>0.71199999999999997</v>
      </c>
      <c r="RS254">
        <v>0.71199999999999997</v>
      </c>
      <c r="RT254">
        <v>0.71199999999999997</v>
      </c>
      <c r="RU254">
        <v>0.71199999999999997</v>
      </c>
      <c r="RV254">
        <v>0.71199999999999997</v>
      </c>
      <c r="RW254">
        <v>0.71199999999999997</v>
      </c>
      <c r="RX254">
        <v>0.71199999999999997</v>
      </c>
      <c r="RY254">
        <v>0.71199999999999997</v>
      </c>
      <c r="RZ254">
        <v>0.71199999999999997</v>
      </c>
      <c r="SA254">
        <v>0.71199999999999997</v>
      </c>
      <c r="SB254">
        <v>0.71199999999999997</v>
      </c>
      <c r="SU254">
        <v>1395.81</v>
      </c>
      <c r="SV254">
        <v>1458</v>
      </c>
      <c r="SW254">
        <v>1493</v>
      </c>
      <c r="SX254">
        <v>1505.1</v>
      </c>
      <c r="SY254">
        <v>1538.1</v>
      </c>
      <c r="SZ254">
        <v>1538.1</v>
      </c>
      <c r="TA254">
        <v>1712.4</v>
      </c>
      <c r="TB254">
        <v>1905.4</v>
      </c>
      <c r="TC254">
        <v>1864.8</v>
      </c>
      <c r="TD254">
        <v>1892.8</v>
      </c>
      <c r="TE254">
        <v>1804.5</v>
      </c>
      <c r="TF254">
        <v>1910.7</v>
      </c>
      <c r="TG254">
        <v>1895.5</v>
      </c>
      <c r="TH254">
        <v>1926.6</v>
      </c>
      <c r="TI254">
        <v>1944</v>
      </c>
      <c r="TJ254">
        <v>1984.5</v>
      </c>
      <c r="TK254">
        <v>1966.5</v>
      </c>
      <c r="TL254">
        <v>2041.7</v>
      </c>
      <c r="TM254">
        <v>2131</v>
      </c>
      <c r="TN254">
        <v>2153.4</v>
      </c>
      <c r="TO254">
        <v>2175.8000000000002</v>
      </c>
      <c r="TP254">
        <v>2177.8000000000002</v>
      </c>
      <c r="TQ254">
        <v>2240.5</v>
      </c>
      <c r="TR254">
        <v>2242.8000000000002</v>
      </c>
      <c r="TS254">
        <v>2066</v>
      </c>
      <c r="TT254">
        <v>2140.1</v>
      </c>
      <c r="TU254">
        <v>2185</v>
      </c>
      <c r="TV254">
        <v>2164.6999999999998</v>
      </c>
      <c r="TW254">
        <v>2352.8000000000002</v>
      </c>
      <c r="TX254">
        <v>2312.8000000000002</v>
      </c>
      <c r="TY254">
        <v>2251.6999999999998</v>
      </c>
      <c r="TZ254">
        <v>2236.1</v>
      </c>
      <c r="UA254">
        <v>2254.1999999999998</v>
      </c>
      <c r="UB254">
        <v>2234.9</v>
      </c>
      <c r="UC254">
        <v>2331.4</v>
      </c>
      <c r="UD254">
        <v>2364.8000000000002</v>
      </c>
      <c r="UE254">
        <v>2402.4</v>
      </c>
      <c r="UF254">
        <v>2409</v>
      </c>
      <c r="UG254">
        <v>2392.3000000000002</v>
      </c>
      <c r="UH254">
        <v>2415.8000000000002</v>
      </c>
      <c r="UI254">
        <v>2442.9499999999998</v>
      </c>
      <c r="UJ254">
        <v>2440.6</v>
      </c>
      <c r="UK254">
        <v>2390.5</v>
      </c>
      <c r="UL254">
        <v>2441.1</v>
      </c>
      <c r="UM254">
        <v>2566.3200000000002</v>
      </c>
      <c r="UN254">
        <v>2652.8</v>
      </c>
      <c r="UO254">
        <v>2714.3</v>
      </c>
      <c r="UP254">
        <v>2705.3</v>
      </c>
      <c r="UQ254">
        <v>2771</v>
      </c>
      <c r="UR254">
        <v>2781.6</v>
      </c>
      <c r="US254">
        <v>2770.2</v>
      </c>
      <c r="UT254">
        <v>2732.5</v>
      </c>
      <c r="UU254">
        <v>2769.4</v>
      </c>
      <c r="UV254">
        <v>2748.6</v>
      </c>
      <c r="UW254">
        <v>2785.2</v>
      </c>
      <c r="UX254">
        <v>2845.6</v>
      </c>
      <c r="UY254">
        <v>2885.3</v>
      </c>
      <c r="UZ254">
        <v>2904.8</v>
      </c>
      <c r="VA254">
        <v>3009.05</v>
      </c>
      <c r="VB254">
        <v>3009.8</v>
      </c>
      <c r="VC254">
        <v>3001.18</v>
      </c>
      <c r="VD254">
        <v>3040.9</v>
      </c>
      <c r="VE254">
        <v>3216.12</v>
      </c>
      <c r="VF254" s="1304">
        <v>3224.6</v>
      </c>
      <c r="VG254" s="1304">
        <v>3186</v>
      </c>
      <c r="VH254" s="1304">
        <v>3213.05</v>
      </c>
      <c r="VI254" s="1304">
        <v>3196.8</v>
      </c>
      <c r="VJ254" s="1304">
        <v>3159.5</v>
      </c>
      <c r="VK254">
        <v>3308</v>
      </c>
      <c r="VL254" s="1304">
        <v>3362.3</v>
      </c>
      <c r="VM254" s="1304">
        <v>3467.7</v>
      </c>
      <c r="VN254" s="1304">
        <v>3497.8</v>
      </c>
      <c r="VO254" s="1304">
        <v>3517.06</v>
      </c>
      <c r="VP254" s="1304">
        <v>3490.7</v>
      </c>
      <c r="VQ254" s="1304">
        <v>3464.3</v>
      </c>
      <c r="VR254" s="1304">
        <v>3478</v>
      </c>
      <c r="VS254" s="1304">
        <v>3451.4</v>
      </c>
      <c r="VT254" s="1304">
        <v>3559.8</v>
      </c>
      <c r="VU254" s="1304">
        <v>3524.18</v>
      </c>
      <c r="VV254" s="1304">
        <v>3620.65</v>
      </c>
      <c r="VW254" s="1304">
        <v>3647.9</v>
      </c>
      <c r="VX254" s="1304">
        <v>3637.8</v>
      </c>
      <c r="VY254" s="1304">
        <v>3703</v>
      </c>
      <c r="VZ254" s="1304">
        <v>3641.3</v>
      </c>
      <c r="WA254" s="1304">
        <v>3744.96</v>
      </c>
      <c r="WB254" s="1304">
        <v>3783.6</v>
      </c>
      <c r="WC254" s="1304">
        <v>3828.6</v>
      </c>
      <c r="WD254" s="1304">
        <v>3818.4</v>
      </c>
      <c r="WE254" s="1304">
        <v>3878.3</v>
      </c>
      <c r="WF254" s="1304">
        <v>3826.3</v>
      </c>
      <c r="WG254" s="1304">
        <v>3821.2</v>
      </c>
      <c r="WH254" s="1304">
        <v>3857</v>
      </c>
      <c r="WI254" s="1304">
        <v>4008.8</v>
      </c>
      <c r="WJ254" s="1304">
        <v>4041.3</v>
      </c>
      <c r="WK254" s="1304">
        <v>4046.7</v>
      </c>
      <c r="WL254" s="1304">
        <v>4011.1</v>
      </c>
      <c r="WM254" s="1304">
        <f>4048.6-6.4</f>
        <v>4042.2</v>
      </c>
      <c r="WN254" s="1304">
        <v>4058.4</v>
      </c>
      <c r="WO254" s="1304">
        <v>4011</v>
      </c>
      <c r="WP254" s="1304">
        <v>4017.5</v>
      </c>
      <c r="WQ254" s="1304">
        <v>4057.8</v>
      </c>
      <c r="WR254" s="1304">
        <v>4185.5</v>
      </c>
      <c r="WS254" s="1304">
        <v>4192</v>
      </c>
      <c r="WT254" s="1304">
        <v>4150.8</v>
      </c>
      <c r="WU254" s="1304">
        <v>4170</v>
      </c>
      <c r="WV254" s="1304">
        <v>4200</v>
      </c>
      <c r="WW254" s="1304">
        <v>4205.6000000000004</v>
      </c>
      <c r="WX254" s="1304">
        <v>4232</v>
      </c>
      <c r="WY254" s="1304">
        <v>4192.3999999999996</v>
      </c>
      <c r="WZ254" s="1304">
        <v>4217</v>
      </c>
      <c r="XA254" s="1304">
        <v>4058.4</v>
      </c>
      <c r="XB254" s="1304">
        <v>4165</v>
      </c>
      <c r="XC254" s="1304">
        <v>4160</v>
      </c>
      <c r="XD254" s="1304">
        <v>4048</v>
      </c>
      <c r="XE254" s="1304">
        <v>4092</v>
      </c>
      <c r="XF254" s="1304">
        <v>4068.2</v>
      </c>
      <c r="XG254" s="1304">
        <v>4060.8</v>
      </c>
      <c r="XH254" s="1304">
        <v>4010.7</v>
      </c>
      <c r="XI254" s="1304">
        <v>4132.8</v>
      </c>
      <c r="XJ254" s="1304">
        <v>4099</v>
      </c>
      <c r="XK254" s="1304">
        <v>4095.3</v>
      </c>
      <c r="XL254" s="1304">
        <v>4036.3</v>
      </c>
      <c r="XM254" s="1304">
        <v>3981</v>
      </c>
      <c r="XN254" s="1304">
        <v>4034.2</v>
      </c>
      <c r="XO254" s="1304">
        <v>3953.2</v>
      </c>
      <c r="XP254" s="1304">
        <v>3954.3</v>
      </c>
      <c r="XQ254" s="1304">
        <v>3944.6</v>
      </c>
      <c r="XR254" s="1304">
        <v>3951.6</v>
      </c>
      <c r="XS254" s="1304">
        <v>3900</v>
      </c>
      <c r="XT254" s="1304">
        <v>3896</v>
      </c>
      <c r="XU254" s="1304">
        <v>3791.2</v>
      </c>
      <c r="XV254" s="1304">
        <v>3920.2</v>
      </c>
      <c r="XW254" s="1304">
        <v>3883</v>
      </c>
      <c r="XX254" s="1304">
        <v>3866.5</v>
      </c>
      <c r="XY254" s="1304">
        <v>3821.5</v>
      </c>
      <c r="XZ254" s="1304">
        <v>3735.3</v>
      </c>
      <c r="YA254" s="1304">
        <v>3663</v>
      </c>
      <c r="YB254" s="1304">
        <v>3659.2</v>
      </c>
      <c r="YC254" s="1304">
        <v>3661.7</v>
      </c>
      <c r="YD254" s="1304">
        <v>3633.2</v>
      </c>
      <c r="YE254" s="1304">
        <v>3520.4</v>
      </c>
      <c r="YF254" s="1304">
        <v>3502</v>
      </c>
      <c r="YG254" s="1304">
        <v>3458</v>
      </c>
      <c r="YH254" s="1304">
        <v>3446.2</v>
      </c>
      <c r="YI254" s="1304">
        <v>3416.3</v>
      </c>
      <c r="YJ254" s="1304">
        <v>3325.5</v>
      </c>
      <c r="YK254" s="1304">
        <v>3354.4</v>
      </c>
      <c r="YL254" s="1304">
        <v>3311.1</v>
      </c>
      <c r="YM254" s="1304">
        <v>3268.1</v>
      </c>
      <c r="YN254" s="1304">
        <v>3205</v>
      </c>
      <c r="YO254" s="1304">
        <v>2985.6</v>
      </c>
      <c r="YP254" s="1304">
        <v>2936.8</v>
      </c>
      <c r="YQ254" s="1304">
        <v>2890.3</v>
      </c>
      <c r="YR254" s="1304">
        <v>2858</v>
      </c>
      <c r="YS254" s="1304">
        <v>2877.8</v>
      </c>
      <c r="YT254" s="1304">
        <v>2881</v>
      </c>
      <c r="YU254" s="1304">
        <v>2884</v>
      </c>
      <c r="YV254" s="1304">
        <v>2840.5</v>
      </c>
      <c r="YW254" s="1304">
        <v>2867.2</v>
      </c>
      <c r="YX254" s="1304">
        <v>2870</v>
      </c>
      <c r="YY254" s="1304">
        <v>2777</v>
      </c>
      <c r="YZ254" s="1304">
        <v>2813.6</v>
      </c>
      <c r="ZA254" s="1304">
        <v>2784.4</v>
      </c>
      <c r="ZB254" s="1304">
        <v>2741</v>
      </c>
      <c r="ZC254" s="1304">
        <v>2781.5</v>
      </c>
      <c r="ZD254" s="1304">
        <v>2728.4</v>
      </c>
      <c r="ZE254" s="1304">
        <v>2691</v>
      </c>
      <c r="ZF254" s="1304">
        <v>2578.5</v>
      </c>
      <c r="ZG254" s="1304">
        <f>2634-5</f>
        <v>2629</v>
      </c>
      <c r="ZH254" s="1304">
        <v>2604</v>
      </c>
      <c r="ZI254" s="1304">
        <v>2343.5</v>
      </c>
      <c r="ZJ254" s="1304">
        <v>2332</v>
      </c>
      <c r="ZK254" s="1304">
        <v>2303</v>
      </c>
      <c r="ZL254" s="1304">
        <v>2270</v>
      </c>
      <c r="ZM254" s="1304">
        <v>2231</v>
      </c>
      <c r="ZN254" s="1304">
        <v>2175</v>
      </c>
      <c r="ZO254" s="1304">
        <v>2144</v>
      </c>
      <c r="ZP254" s="1304">
        <v>2130</v>
      </c>
      <c r="ZQ254" s="1304">
        <v>2123</v>
      </c>
      <c r="ZR254" s="1304">
        <v>2036</v>
      </c>
      <c r="ZS254" s="1304">
        <v>1987</v>
      </c>
      <c r="ZT254" s="1304">
        <v>1993</v>
      </c>
      <c r="ZU254" s="1304">
        <v>1900</v>
      </c>
      <c r="ZV254" s="1304">
        <v>1879</v>
      </c>
      <c r="ZW254" s="1304">
        <v>1845</v>
      </c>
      <c r="ZX254" s="1304">
        <v>1835</v>
      </c>
      <c r="ZY254" s="1304">
        <v>1630</v>
      </c>
      <c r="ZZ254" s="1304">
        <v>1768</v>
      </c>
      <c r="AAA254" s="1304">
        <v>1766</v>
      </c>
      <c r="AAB254" s="1304">
        <v>1782</v>
      </c>
      <c r="AAC254" s="1304">
        <v>1803</v>
      </c>
      <c r="AAD254" s="1304">
        <f>1812+2.15</f>
        <v>1814.15</v>
      </c>
      <c r="AAE254" s="1304">
        <v>1872</v>
      </c>
      <c r="AAF254" s="1304">
        <v>1898</v>
      </c>
      <c r="AAG254" s="1304">
        <v>1872</v>
      </c>
      <c r="AAH254" s="1304">
        <v>1903</v>
      </c>
      <c r="AAI254" s="1304">
        <v>1900</v>
      </c>
      <c r="AAJ254" s="1304">
        <v>1872</v>
      </c>
      <c r="AAK254" s="1304">
        <v>1866</v>
      </c>
      <c r="AAL254" s="1304">
        <v>1840</v>
      </c>
      <c r="AAM254" s="1304">
        <v>1853</v>
      </c>
      <c r="AAN254" s="1304">
        <v>1879</v>
      </c>
      <c r="AAO254" s="1304">
        <v>1869</v>
      </c>
      <c r="AAP254" s="1304">
        <v>1849</v>
      </c>
      <c r="AAQ254" s="1304">
        <v>1839</v>
      </c>
      <c r="AAR254" s="1304">
        <v>1849</v>
      </c>
      <c r="AAS254" s="1304">
        <v>1852</v>
      </c>
      <c r="AAT254" s="1304">
        <v>1846</v>
      </c>
      <c r="AAU254" s="1304">
        <v>1857</v>
      </c>
      <c r="AAV254" s="1304">
        <v>1817</v>
      </c>
      <c r="AAW254" s="1304">
        <v>1811</v>
      </c>
      <c r="AAX254" s="1304">
        <v>1815</v>
      </c>
      <c r="AAY254" s="1304">
        <v>1876</v>
      </c>
      <c r="AAZ254" s="1304">
        <v>1879</v>
      </c>
      <c r="ABA254" s="1304">
        <v>1858</v>
      </c>
      <c r="ABB254" s="1304">
        <v>1858</v>
      </c>
      <c r="ABC254" s="1304">
        <v>1855</v>
      </c>
      <c r="ABD254" s="1304">
        <v>1970</v>
      </c>
      <c r="ABE254" s="1304">
        <v>2004</v>
      </c>
      <c r="ABF254" s="1304">
        <v>2003</v>
      </c>
      <c r="ABG254" s="1304">
        <v>1993</v>
      </c>
      <c r="ABH254" s="1304">
        <v>1989</v>
      </c>
      <c r="ABI254" s="1304">
        <v>1987</v>
      </c>
      <c r="ABJ254" s="1304">
        <v>1982</v>
      </c>
      <c r="ABK254" s="1304">
        <v>1982</v>
      </c>
      <c r="ABL254" s="1304">
        <v>1995</v>
      </c>
      <c r="ABM254" s="1304">
        <v>2057</v>
      </c>
      <c r="ABN254" s="1304">
        <v>2032</v>
      </c>
      <c r="ABO254" s="1304">
        <v>2040</v>
      </c>
      <c r="ABP254" s="1304">
        <v>2009</v>
      </c>
      <c r="ABQ254" s="1304">
        <v>2013</v>
      </c>
      <c r="ABR254" s="1304">
        <v>2071</v>
      </c>
      <c r="ABS254" s="1304">
        <v>2086</v>
      </c>
      <c r="ABT254" s="1304">
        <v>2077</v>
      </c>
      <c r="ABU254" s="1304">
        <v>2099</v>
      </c>
      <c r="ABV254" s="1304">
        <v>2032</v>
      </c>
      <c r="ABW254" s="1304">
        <v>2149</v>
      </c>
      <c r="ABX254" s="1304">
        <v>2106</v>
      </c>
      <c r="ABY254" s="1304">
        <v>2063</v>
      </c>
      <c r="ABZ254" s="1304">
        <v>2102</v>
      </c>
      <c r="ACA254" s="1304">
        <v>2107</v>
      </c>
      <c r="ACB254" s="1304">
        <v>2129</v>
      </c>
      <c r="ACC254" s="1304">
        <v>2126</v>
      </c>
      <c r="ACD254" s="1304">
        <v>2134.5</v>
      </c>
      <c r="ACE254" s="1304">
        <v>2133</v>
      </c>
      <c r="ACF254" s="1304">
        <v>2122</v>
      </c>
      <c r="ACG254" s="1304">
        <v>2159</v>
      </c>
      <c r="ACH254" s="1304">
        <v>2172</v>
      </c>
      <c r="ACI254" s="1304">
        <v>2172</v>
      </c>
      <c r="ACJ254" s="1304">
        <v>2163</v>
      </c>
      <c r="ACK254" s="1304">
        <v>2214</v>
      </c>
      <c r="ACL254" s="1304">
        <v>2250</v>
      </c>
      <c r="ACM254" s="1304">
        <v>2256</v>
      </c>
      <c r="ACN254" s="1304">
        <v>2249</v>
      </c>
      <c r="ACO254" s="1304">
        <v>2324</v>
      </c>
      <c r="ACP254" s="1304">
        <v>2331</v>
      </c>
      <c r="ACQ254" s="1304">
        <v>2510</v>
      </c>
      <c r="ACR254" s="1304">
        <v>2488</v>
      </c>
      <c r="ACS254" s="1304">
        <v>2436</v>
      </c>
      <c r="ACT254" s="1304">
        <v>2457</v>
      </c>
      <c r="ACU254" s="1304">
        <v>2545</v>
      </c>
      <c r="ACV254" s="1304">
        <v>2555</v>
      </c>
      <c r="ACW254" s="1304">
        <v>2530</v>
      </c>
      <c r="ACX254" s="1304">
        <v>2582</v>
      </c>
      <c r="ACY254" s="1304">
        <v>2550</v>
      </c>
      <c r="ACZ254" s="1304">
        <v>2518</v>
      </c>
      <c r="ADA254" s="1304">
        <v>2472</v>
      </c>
      <c r="ADB254" s="1304">
        <v>2462</v>
      </c>
      <c r="ADC254" s="1304">
        <v>2466</v>
      </c>
      <c r="ADD254" s="1304">
        <v>2420</v>
      </c>
      <c r="ADE254" s="1304">
        <v>2416</v>
      </c>
      <c r="ADF254" s="1304">
        <v>2387</v>
      </c>
      <c r="ADG254" s="1304">
        <v>2418</v>
      </c>
      <c r="ADH254" s="1304">
        <v>2407</v>
      </c>
      <c r="ADI254" s="1304">
        <v>2352</v>
      </c>
      <c r="ADJ254" s="1304">
        <v>2337</v>
      </c>
      <c r="ADK254" s="1304">
        <v>2263</v>
      </c>
      <c r="ADL254" s="1304">
        <v>2238</v>
      </c>
      <c r="ADM254" s="1304">
        <v>2155</v>
      </c>
      <c r="ADN254" s="1304">
        <v>1953</v>
      </c>
      <c r="ADO254" s="1304">
        <v>1896</v>
      </c>
      <c r="ADP254" s="1304">
        <v>1837</v>
      </c>
      <c r="ADQ254" s="1304">
        <v>1780</v>
      </c>
      <c r="ADR254" s="1304">
        <v>1637</v>
      </c>
      <c r="ADS254" s="1304">
        <v>1634</v>
      </c>
      <c r="ADT254" s="1304">
        <v>1623</v>
      </c>
      <c r="ADU254" s="1304">
        <v>1683</v>
      </c>
      <c r="ADV254" s="1304">
        <v>1688</v>
      </c>
      <c r="ADW254" s="1304">
        <v>1711</v>
      </c>
      <c r="ADX254" s="1304">
        <v>1757</v>
      </c>
      <c r="ADY254" s="1304">
        <v>1729</v>
      </c>
      <c r="ADZ254" s="1304">
        <v>1779</v>
      </c>
      <c r="AEA254" s="1304">
        <v>1792</v>
      </c>
      <c r="AEB254" s="1304">
        <v>1785</v>
      </c>
      <c r="AEC254" s="1304">
        <v>1972</v>
      </c>
      <c r="AED254" s="1304">
        <v>2074</v>
      </c>
      <c r="AEE254" s="1304">
        <v>2027</v>
      </c>
      <c r="AEF254" s="1304">
        <v>2029</v>
      </c>
      <c r="AEG254" s="1304">
        <v>2050</v>
      </c>
      <c r="AEH254" s="1304">
        <v>1944</v>
      </c>
      <c r="AEI254" s="1304">
        <v>1860</v>
      </c>
    </row>
    <row r="255" spans="1:964">
      <c r="B255">
        <v>0.5</v>
      </c>
      <c r="J255">
        <v>32.799999999999997</v>
      </c>
      <c r="L255" s="1304">
        <v>23</v>
      </c>
      <c r="R255">
        <v>33</v>
      </c>
      <c r="LA255">
        <v>17</v>
      </c>
      <c r="LB255">
        <v>-208.5</v>
      </c>
      <c r="LC255">
        <v>8.6999999999999993</v>
      </c>
      <c r="LD255">
        <v>8.6999999999999993</v>
      </c>
      <c r="LE255">
        <v>8.6999999999999993</v>
      </c>
      <c r="LF255">
        <v>8.6999999999999993</v>
      </c>
      <c r="LG255">
        <v>201</v>
      </c>
      <c r="LH255">
        <v>209</v>
      </c>
      <c r="LI255">
        <v>202.5</v>
      </c>
      <c r="LJ255">
        <v>0.7</v>
      </c>
      <c r="LK255">
        <v>0.7</v>
      </c>
      <c r="LL255">
        <v>0.7</v>
      </c>
      <c r="LM255">
        <v>0.7</v>
      </c>
      <c r="LN255">
        <v>0.7</v>
      </c>
      <c r="LO255">
        <v>189.6</v>
      </c>
      <c r="LP255">
        <v>405</v>
      </c>
      <c r="LQ255">
        <v>253</v>
      </c>
      <c r="LR255">
        <v>254</v>
      </c>
      <c r="LS255">
        <v>545.5</v>
      </c>
      <c r="LT255">
        <v>365.2</v>
      </c>
      <c r="LU255">
        <v>244.5</v>
      </c>
      <c r="LV255">
        <v>211</v>
      </c>
      <c r="LW255">
        <v>0</v>
      </c>
      <c r="LX255">
        <v>35.5</v>
      </c>
      <c r="LY255">
        <v>55</v>
      </c>
      <c r="LZ255">
        <v>26.3</v>
      </c>
      <c r="MA255">
        <v>69.8</v>
      </c>
      <c r="MC255">
        <v>6</v>
      </c>
      <c r="MD255">
        <v>6</v>
      </c>
      <c r="ME255">
        <v>6</v>
      </c>
      <c r="MF255">
        <v>313</v>
      </c>
      <c r="MG255">
        <v>313</v>
      </c>
      <c r="MH255">
        <v>313</v>
      </c>
      <c r="MI255">
        <v>313</v>
      </c>
      <c r="MJ255">
        <v>313</v>
      </c>
      <c r="MK255">
        <v>334</v>
      </c>
      <c r="ML255">
        <v>334</v>
      </c>
      <c r="MM255">
        <v>307</v>
      </c>
      <c r="MN255">
        <v>307</v>
      </c>
      <c r="MO255">
        <v>307</v>
      </c>
      <c r="MP255">
        <v>307</v>
      </c>
      <c r="MQ255">
        <v>307</v>
      </c>
      <c r="MR255">
        <v>307</v>
      </c>
      <c r="MS255">
        <v>307</v>
      </c>
      <c r="MT255">
        <v>283</v>
      </c>
      <c r="MU255">
        <v>283</v>
      </c>
      <c r="MV255">
        <v>283</v>
      </c>
      <c r="MW255">
        <v>283</v>
      </c>
      <c r="MX255">
        <v>283</v>
      </c>
      <c r="MY255">
        <v>283</v>
      </c>
      <c r="MZ255">
        <v>283</v>
      </c>
      <c r="NA255">
        <v>283</v>
      </c>
      <c r="NB255">
        <v>283</v>
      </c>
      <c r="NC255">
        <v>17.100000000000001</v>
      </c>
      <c r="ND255">
        <v>17.100000000000001</v>
      </c>
      <c r="NE255">
        <v>17.100000000000001</v>
      </c>
      <c r="NF255">
        <v>17.100000000000001</v>
      </c>
      <c r="NG255">
        <v>17.100000000000001</v>
      </c>
      <c r="NH255">
        <v>17.100000000000001</v>
      </c>
      <c r="NI255">
        <v>17.100000000000001</v>
      </c>
      <c r="NJ255">
        <v>17.100000000000001</v>
      </c>
      <c r="NK255">
        <v>17.100000000000001</v>
      </c>
      <c r="NL255">
        <v>17.100000000000001</v>
      </c>
      <c r="NM255">
        <v>17.100000000000001</v>
      </c>
      <c r="NN255">
        <v>6983.83</v>
      </c>
      <c r="NO255">
        <v>6962.83</v>
      </c>
      <c r="NP255">
        <v>7028.83</v>
      </c>
      <c r="NQ255">
        <v>7165.3</v>
      </c>
      <c r="NR255">
        <v>7305.2</v>
      </c>
      <c r="NS255">
        <v>7385.7</v>
      </c>
      <c r="NT255">
        <v>7408.35</v>
      </c>
      <c r="NU255">
        <v>7520.85</v>
      </c>
      <c r="NV255">
        <v>7456.05</v>
      </c>
      <c r="NW255">
        <v>7398.65</v>
      </c>
      <c r="NX255">
        <v>7328.65</v>
      </c>
      <c r="NY255">
        <v>7284.45</v>
      </c>
      <c r="NZ255">
        <v>7390.95</v>
      </c>
      <c r="OA255">
        <v>7389.95</v>
      </c>
      <c r="OB255">
        <v>7236.5</v>
      </c>
      <c r="OC255">
        <v>7256.45</v>
      </c>
      <c r="OD255">
        <v>6951.05</v>
      </c>
      <c r="OE255">
        <v>6861.55</v>
      </c>
      <c r="OF255">
        <v>6882.5</v>
      </c>
      <c r="OG255">
        <v>6836.55</v>
      </c>
      <c r="OH255">
        <v>6785.85</v>
      </c>
      <c r="OI255">
        <v>6690.55</v>
      </c>
      <c r="OJ255">
        <v>6714.55</v>
      </c>
      <c r="OK255">
        <v>6692.5</v>
      </c>
      <c r="OL255">
        <v>6750.5</v>
      </c>
      <c r="OM255">
        <v>6695.55</v>
      </c>
      <c r="ON255">
        <v>6442.35</v>
      </c>
      <c r="OO255">
        <v>6305.85</v>
      </c>
      <c r="OP255">
        <v>6284.35</v>
      </c>
      <c r="OQ255">
        <v>6338.35</v>
      </c>
      <c r="OR255">
        <v>6434.35</v>
      </c>
      <c r="OS255">
        <v>6312.5</v>
      </c>
      <c r="OT255">
        <v>6378.5</v>
      </c>
      <c r="OU255">
        <v>6396.95</v>
      </c>
      <c r="OV255">
        <v>6397.95</v>
      </c>
      <c r="OW255">
        <v>6055.5</v>
      </c>
      <c r="OX255">
        <v>6100</v>
      </c>
      <c r="OY255">
        <v>6261.35</v>
      </c>
      <c r="OZ255">
        <v>6371.65</v>
      </c>
      <c r="PA255">
        <v>6354.15</v>
      </c>
      <c r="PB255">
        <v>6300.65</v>
      </c>
      <c r="PC255">
        <v>6119.65</v>
      </c>
      <c r="PD255">
        <v>6139.65</v>
      </c>
      <c r="PE255">
        <v>6013.65</v>
      </c>
      <c r="PF255">
        <v>5901.65</v>
      </c>
      <c r="PG255">
        <v>5692.95</v>
      </c>
      <c r="PH255">
        <v>5665.75</v>
      </c>
      <c r="PI255">
        <v>5385.8</v>
      </c>
      <c r="PJ255">
        <v>5407.8</v>
      </c>
      <c r="PK255">
        <v>5428</v>
      </c>
      <c r="PL255">
        <v>5449</v>
      </c>
      <c r="PM255">
        <v>5381</v>
      </c>
      <c r="PN255">
        <v>5409.8</v>
      </c>
      <c r="PO255">
        <v>5536.8</v>
      </c>
      <c r="PP255">
        <v>5285</v>
      </c>
      <c r="PQ255">
        <v>4897</v>
      </c>
      <c r="PR255">
        <v>5059</v>
      </c>
      <c r="PS255">
        <v>5199.8</v>
      </c>
      <c r="PT255">
        <v>5303.6</v>
      </c>
      <c r="PU255">
        <v>5156</v>
      </c>
      <c r="PV255">
        <v>5203.8999999999996</v>
      </c>
      <c r="PW255">
        <v>5011.8999999999996</v>
      </c>
      <c r="PX255">
        <v>4846.8999999999996</v>
      </c>
      <c r="PY255">
        <v>4573.3</v>
      </c>
      <c r="PZ255">
        <v>4582.8</v>
      </c>
      <c r="QA255">
        <v>4242.3</v>
      </c>
      <c r="QB255">
        <v>3714.5</v>
      </c>
      <c r="QC255">
        <v>3455.8</v>
      </c>
      <c r="QD255">
        <v>3201.9</v>
      </c>
      <c r="QE255">
        <v>3110.9</v>
      </c>
      <c r="QF255">
        <v>2878.3</v>
      </c>
      <c r="QG255">
        <v>2897.1</v>
      </c>
      <c r="QH255">
        <v>2925.8</v>
      </c>
      <c r="QI255">
        <v>2981.8</v>
      </c>
      <c r="QJ255">
        <v>3026.96</v>
      </c>
      <c r="QK255">
        <v>2852.76</v>
      </c>
      <c r="QL255">
        <v>2724.7</v>
      </c>
      <c r="QM255">
        <v>2789.2</v>
      </c>
      <c r="QN255">
        <v>2662.3</v>
      </c>
      <c r="QO255">
        <v>2679.4</v>
      </c>
      <c r="QP255">
        <v>2563.86</v>
      </c>
      <c r="QQ255">
        <v>2543</v>
      </c>
      <c r="QR255">
        <v>2578.06</v>
      </c>
      <c r="QS255">
        <v>2626</v>
      </c>
      <c r="QT255">
        <v>2595</v>
      </c>
      <c r="QU255">
        <v>2280</v>
      </c>
      <c r="QV255">
        <v>2268.5</v>
      </c>
      <c r="QW255">
        <v>2171</v>
      </c>
      <c r="QX255">
        <v>2123</v>
      </c>
      <c r="QY255">
        <v>2120</v>
      </c>
      <c r="QZ255">
        <v>2060.5</v>
      </c>
      <c r="RA255">
        <v>1709.04</v>
      </c>
      <c r="RB255">
        <v>1643.04</v>
      </c>
      <c r="RC255">
        <v>1663.8</v>
      </c>
      <c r="RD255">
        <v>1502.34</v>
      </c>
      <c r="RE255">
        <v>1348.8</v>
      </c>
      <c r="RF255">
        <v>1242.5</v>
      </c>
      <c r="RG255">
        <v>1231.5</v>
      </c>
      <c r="RH255">
        <v>1207.5</v>
      </c>
      <c r="RI255">
        <v>1090</v>
      </c>
      <c r="RJ255">
        <v>1024.3399999999999</v>
      </c>
      <c r="RK255">
        <v>988.84</v>
      </c>
      <c r="RL255">
        <v>1139.3399999999999</v>
      </c>
      <c r="RM255">
        <v>1089.5</v>
      </c>
      <c r="RN255">
        <v>1146.0999999999999</v>
      </c>
      <c r="RO255">
        <v>1187.0999999999999</v>
      </c>
      <c r="RP255">
        <v>1220</v>
      </c>
      <c r="RQ255">
        <v>0.7</v>
      </c>
      <c r="RR255">
        <v>0.7</v>
      </c>
      <c r="RS255">
        <v>0.7</v>
      </c>
      <c r="RT255">
        <v>0.7</v>
      </c>
      <c r="RU255">
        <v>0.7</v>
      </c>
      <c r="RV255">
        <v>0.7</v>
      </c>
      <c r="RW255">
        <v>0.7</v>
      </c>
      <c r="RX255">
        <v>0.7</v>
      </c>
      <c r="SU255">
        <v>1143.6400000000001</v>
      </c>
      <c r="SV255">
        <v>1094.1400000000001</v>
      </c>
      <c r="SW255">
        <v>1116.1400000000001</v>
      </c>
      <c r="SX255">
        <f>1120.1-4</f>
        <v>1116.0999999999999</v>
      </c>
      <c r="SY255">
        <v>1058.9000000000001</v>
      </c>
      <c r="SZ255">
        <v>1102.9000000000001</v>
      </c>
      <c r="TA255">
        <v>1102.9000000000001</v>
      </c>
      <c r="TB255">
        <v>1078.9000000000001</v>
      </c>
      <c r="TC255">
        <v>1007.6</v>
      </c>
      <c r="TD255">
        <v>1003.6</v>
      </c>
      <c r="TE255">
        <v>1028.5999999999999</v>
      </c>
      <c r="TF255">
        <v>1050.5999999999999</v>
      </c>
      <c r="TG255">
        <v>1048.2</v>
      </c>
      <c r="TH255">
        <v>1070.2</v>
      </c>
      <c r="TI255">
        <v>1166.3</v>
      </c>
      <c r="TJ255">
        <v>1254</v>
      </c>
      <c r="TK255">
        <v>1233.2</v>
      </c>
      <c r="TL255">
        <v>1199.0999999999999</v>
      </c>
      <c r="TM255">
        <v>1245.0999999999999</v>
      </c>
      <c r="TN255">
        <v>1219</v>
      </c>
      <c r="TO255">
        <v>1225.42</v>
      </c>
      <c r="TP255">
        <v>1177.4000000000001</v>
      </c>
      <c r="TQ255">
        <v>1104.2</v>
      </c>
      <c r="TR255">
        <v>1043.2</v>
      </c>
      <c r="TS255">
        <v>1214.5999999999999</v>
      </c>
      <c r="TT255">
        <v>1232.7</v>
      </c>
      <c r="TU255">
        <v>1185.7</v>
      </c>
      <c r="TV255">
        <v>1212.7</v>
      </c>
      <c r="TW255">
        <v>1205.0999999999999</v>
      </c>
      <c r="TX255">
        <v>1142.0999999999999</v>
      </c>
      <c r="TY255">
        <v>1161.05</v>
      </c>
      <c r="TZ255">
        <v>1208.5</v>
      </c>
      <c r="UA255">
        <v>1231.06</v>
      </c>
      <c r="UB255">
        <v>1233.07</v>
      </c>
      <c r="UC255">
        <v>1300.18</v>
      </c>
      <c r="UD255">
        <v>1212.07</v>
      </c>
      <c r="UE255">
        <v>1178.5</v>
      </c>
      <c r="UF255">
        <v>1249.46</v>
      </c>
      <c r="UG255">
        <v>1343.5</v>
      </c>
      <c r="UH255">
        <v>1222.8</v>
      </c>
      <c r="UI255">
        <f>1176.4+11.3</f>
        <v>1187.7</v>
      </c>
      <c r="UJ255">
        <v>1144.7</v>
      </c>
      <c r="UK255">
        <v>1190.7</v>
      </c>
      <c r="UL255">
        <v>1272.2</v>
      </c>
      <c r="UM255">
        <v>1288.2</v>
      </c>
      <c r="UN255">
        <v>1366.7</v>
      </c>
      <c r="UO255">
        <v>1385.7</v>
      </c>
      <c r="UP255">
        <v>1424.04</v>
      </c>
      <c r="UQ255">
        <v>1294.5</v>
      </c>
      <c r="UR255">
        <v>1334</v>
      </c>
      <c r="US255">
        <v>1288.05</v>
      </c>
      <c r="UT255">
        <v>1290</v>
      </c>
      <c r="UU255">
        <v>1335.04</v>
      </c>
      <c r="UV255">
        <v>1405.03</v>
      </c>
      <c r="UW255">
        <v>1416.5</v>
      </c>
      <c r="UX255">
        <v>1466.6</v>
      </c>
      <c r="UY255">
        <v>1513.56</v>
      </c>
      <c r="UZ255">
        <v>1569.3</v>
      </c>
      <c r="VA255">
        <v>1802</v>
      </c>
      <c r="VB255">
        <v>1896</v>
      </c>
      <c r="VC255">
        <v>2026.21</v>
      </c>
      <c r="VD255">
        <v>1907.1</v>
      </c>
      <c r="VE255">
        <v>2098.1999999999998</v>
      </c>
      <c r="VF255" s="1304">
        <v>2280.8000000000002</v>
      </c>
      <c r="VG255" s="1304">
        <v>2375.8000000000002</v>
      </c>
      <c r="VH255" s="1304">
        <v>2347.3000000000002</v>
      </c>
      <c r="VI255" s="1304">
        <v>2453.8000000000002</v>
      </c>
      <c r="VJ255" s="1304">
        <v>2474.3000000000002</v>
      </c>
      <c r="VK255">
        <v>2537.4</v>
      </c>
      <c r="VL255" s="1304">
        <v>2687</v>
      </c>
      <c r="VM255" s="1304">
        <v>2714</v>
      </c>
      <c r="VN255" s="1304">
        <v>2734.4</v>
      </c>
      <c r="VO255" s="1304">
        <v>2777.84</v>
      </c>
      <c r="VP255" s="1304">
        <v>2871.4</v>
      </c>
      <c r="VQ255" s="1304">
        <v>2849.4</v>
      </c>
      <c r="VR255" s="1304">
        <v>2778.35</v>
      </c>
      <c r="VS255" s="1304">
        <v>2772.86</v>
      </c>
      <c r="VT255" s="1304">
        <v>2880.4</v>
      </c>
      <c r="VU255" s="1304">
        <v>2950.72</v>
      </c>
      <c r="VV255" s="1304">
        <v>2918.21</v>
      </c>
      <c r="VW255" s="1304">
        <v>2772</v>
      </c>
      <c r="VX255" s="1304">
        <v>2759</v>
      </c>
      <c r="VY255" s="1304">
        <v>2906.4</v>
      </c>
      <c r="VZ255" s="1304">
        <v>2907.4</v>
      </c>
      <c r="WA255" s="1304">
        <v>2978.6</v>
      </c>
      <c r="WB255" s="1304">
        <v>2759.6</v>
      </c>
      <c r="WC255" s="1304">
        <v>2830.4</v>
      </c>
      <c r="WD255" s="1304">
        <v>2860</v>
      </c>
      <c r="WE255" s="1304">
        <v>2849.2</v>
      </c>
      <c r="WF255" s="1304">
        <v>2992</v>
      </c>
      <c r="WG255" s="1304">
        <v>2940.5</v>
      </c>
      <c r="WH255" s="1304">
        <v>2889</v>
      </c>
      <c r="WI255" s="1304">
        <v>2920.3</v>
      </c>
      <c r="WJ255" s="1304">
        <v>2907.7</v>
      </c>
      <c r="WK255" s="1304">
        <v>2979.7</v>
      </c>
      <c r="WL255" s="1304">
        <v>2979.7</v>
      </c>
      <c r="WM255" s="1304">
        <v>3026.2</v>
      </c>
      <c r="WN255" s="1304">
        <v>2981</v>
      </c>
      <c r="WO255" s="1304">
        <v>2977</v>
      </c>
      <c r="WP255" s="1304">
        <v>3031</v>
      </c>
      <c r="WQ255" s="1304">
        <v>2878.8</v>
      </c>
      <c r="WR255" s="1304">
        <v>2975</v>
      </c>
      <c r="WS255" s="1304">
        <v>2851</v>
      </c>
      <c r="WT255" s="1304">
        <v>2629.5</v>
      </c>
      <c r="WU255" s="1304">
        <v>2423.5</v>
      </c>
      <c r="WV255" s="1304">
        <v>2446.8000000000002</v>
      </c>
      <c r="WW255" s="1304">
        <v>2393.6</v>
      </c>
      <c r="WX255" s="1304">
        <v>2394.6</v>
      </c>
      <c r="WY255" s="1304">
        <v>2332.4</v>
      </c>
      <c r="WZ255" s="1304">
        <v>2428.3000000000002</v>
      </c>
      <c r="XA255" s="1304">
        <v>2416.8000000000002</v>
      </c>
      <c r="XB255" s="1304">
        <v>2310.8000000000002</v>
      </c>
      <c r="XC255" s="1304">
        <v>2260.3000000000002</v>
      </c>
      <c r="XD255" s="1304">
        <v>2027.3</v>
      </c>
      <c r="XE255" s="1304">
        <v>1891.2</v>
      </c>
      <c r="XF255" s="1304">
        <v>1666.1</v>
      </c>
      <c r="XG255" s="1304">
        <v>1535.7</v>
      </c>
      <c r="XH255" s="1304">
        <v>1455.7</v>
      </c>
      <c r="XI255" s="1304">
        <v>1272.2</v>
      </c>
      <c r="XJ255" s="1304">
        <v>1248.7</v>
      </c>
      <c r="XK255" s="1304">
        <v>1202</v>
      </c>
      <c r="XL255" s="1304">
        <v>1223.3</v>
      </c>
      <c r="XM255" s="1304">
        <v>1211</v>
      </c>
      <c r="XN255" s="1304">
        <v>1211</v>
      </c>
      <c r="XO255" s="1304">
        <v>1218</v>
      </c>
      <c r="XP255" s="1304">
        <v>1217.4000000000001</v>
      </c>
      <c r="XQ255" s="1304">
        <v>1245.3</v>
      </c>
      <c r="XR255" s="1304">
        <v>1282</v>
      </c>
      <c r="XS255" s="1304">
        <v>1282</v>
      </c>
      <c r="XT255" s="1304">
        <v>1241.5</v>
      </c>
      <c r="XU255" s="1304">
        <v>1150</v>
      </c>
      <c r="XV255" s="1304">
        <v>1123</v>
      </c>
      <c r="XW255" s="1304">
        <v>1099</v>
      </c>
      <c r="XX255" s="1304">
        <v>1099</v>
      </c>
      <c r="XY255" s="1304">
        <v>1099</v>
      </c>
      <c r="XZ255" s="1304">
        <v>1094.04</v>
      </c>
      <c r="YA255" s="1304">
        <v>1094</v>
      </c>
      <c r="YB255" s="1304">
        <v>1094</v>
      </c>
      <c r="YC255" s="1304">
        <v>1050.3</v>
      </c>
      <c r="YD255" s="1304">
        <v>1040.7</v>
      </c>
      <c r="YE255" s="1304">
        <v>999.6</v>
      </c>
      <c r="YF255" s="1304">
        <v>935.6</v>
      </c>
      <c r="YG255" s="1304">
        <v>891.6</v>
      </c>
      <c r="YH255" s="1304">
        <v>833.17</v>
      </c>
      <c r="YI255" s="1304">
        <v>856.2</v>
      </c>
      <c r="YJ255" s="1304">
        <v>850</v>
      </c>
      <c r="YK255" s="1304">
        <v>790.5</v>
      </c>
      <c r="YL255" s="1304">
        <v>790.5</v>
      </c>
      <c r="YM255" s="1304">
        <v>790.5</v>
      </c>
      <c r="YN255" s="1304">
        <v>789</v>
      </c>
      <c r="YO255" s="1304">
        <v>758</v>
      </c>
      <c r="YP255" s="1304">
        <v>735</v>
      </c>
      <c r="YQ255" s="1304">
        <v>728</v>
      </c>
      <c r="YR255" s="1304">
        <v>716</v>
      </c>
      <c r="YS255" s="1304">
        <v>739</v>
      </c>
      <c r="YT255" s="1304">
        <v>773.5</v>
      </c>
      <c r="YU255" s="1304">
        <v>773.5</v>
      </c>
      <c r="YV255" s="1304">
        <v>773.5</v>
      </c>
      <c r="YW255" s="1304">
        <v>773.5</v>
      </c>
      <c r="YX255" s="1304">
        <v>773.5</v>
      </c>
      <c r="YY255" s="1304">
        <v>814.4</v>
      </c>
      <c r="YZ255" s="1304">
        <v>814.4</v>
      </c>
      <c r="ZA255" s="1304">
        <v>814.4</v>
      </c>
      <c r="ZB255" s="1304">
        <v>802.4</v>
      </c>
      <c r="ZC255" s="1304">
        <v>843.4</v>
      </c>
      <c r="ZD255" s="1304">
        <v>864.4</v>
      </c>
      <c r="ZE255" s="1304">
        <v>844.4</v>
      </c>
      <c r="ZF255" s="1304">
        <v>844.4</v>
      </c>
      <c r="ZG255" s="1304">
        <v>854.4</v>
      </c>
      <c r="ZH255" s="1304">
        <v>828.3</v>
      </c>
      <c r="ZI255" s="1304">
        <v>784</v>
      </c>
      <c r="ZJ255" s="1304">
        <v>716</v>
      </c>
      <c r="ZK255" s="1304">
        <v>716</v>
      </c>
      <c r="ZL255" s="1304">
        <v>696</v>
      </c>
      <c r="ZM255" s="1304">
        <v>672.5</v>
      </c>
      <c r="ZN255" s="1304">
        <v>657</v>
      </c>
      <c r="ZO255" s="1304">
        <v>651</v>
      </c>
      <c r="ZP255" s="1304">
        <v>650</v>
      </c>
      <c r="ZQ255" s="1304">
        <v>650</v>
      </c>
      <c r="ZR255" s="1304">
        <v>626</v>
      </c>
      <c r="ZS255" s="1304">
        <v>626</v>
      </c>
      <c r="ZT255" s="1304">
        <v>587</v>
      </c>
      <c r="ZU255" s="1304">
        <v>610</v>
      </c>
      <c r="ZV255" s="1304">
        <v>604</v>
      </c>
      <c r="ZW255" s="1304">
        <v>579</v>
      </c>
      <c r="ZX255" s="1304">
        <v>578</v>
      </c>
      <c r="ZY255" s="1304">
        <v>568</v>
      </c>
      <c r="ZZ255" s="1304">
        <v>524</v>
      </c>
      <c r="AAA255" s="1304">
        <v>505</v>
      </c>
      <c r="AAB255" s="1304">
        <v>504</v>
      </c>
      <c r="AAC255" s="1304">
        <v>504</v>
      </c>
      <c r="AAD255" s="1304">
        <v>504</v>
      </c>
      <c r="AAE255" s="1304">
        <v>547</v>
      </c>
      <c r="AAF255" s="1304">
        <v>524</v>
      </c>
      <c r="AAG255" s="1304">
        <v>523</v>
      </c>
      <c r="AAH255" s="1304">
        <v>522</v>
      </c>
      <c r="AAI255" s="1304">
        <v>522</v>
      </c>
      <c r="AAJ255" s="1304">
        <v>523</v>
      </c>
      <c r="AAK255" s="1304">
        <v>507</v>
      </c>
      <c r="AAL255" s="1304">
        <v>507</v>
      </c>
      <c r="AAM255" s="1304">
        <v>506</v>
      </c>
      <c r="AAN255" s="1304">
        <v>527</v>
      </c>
      <c r="AAO255" s="1304">
        <v>526</v>
      </c>
      <c r="AAP255" s="1304">
        <v>527</v>
      </c>
      <c r="AAQ255" s="1304">
        <v>527</v>
      </c>
      <c r="AAR255" s="1304">
        <v>550</v>
      </c>
      <c r="AAS255" s="1304">
        <v>549</v>
      </c>
      <c r="AAT255" s="1304">
        <v>549</v>
      </c>
      <c r="AAU255" s="1304">
        <v>548</v>
      </c>
      <c r="AAV255" s="1304">
        <v>526</v>
      </c>
      <c r="AAW255" s="1304">
        <v>525</v>
      </c>
      <c r="AAX255" s="1304">
        <v>524</v>
      </c>
      <c r="AAY255" s="1304">
        <v>524</v>
      </c>
      <c r="AAZ255" s="1304">
        <v>524</v>
      </c>
      <c r="ABA255" s="1304">
        <v>543</v>
      </c>
      <c r="ABB255" s="1304">
        <v>543</v>
      </c>
      <c r="ABC255" s="1304">
        <v>560</v>
      </c>
      <c r="ABD255" s="1304">
        <v>403</v>
      </c>
      <c r="ABE255" s="1304">
        <v>403</v>
      </c>
      <c r="ABF255" s="1304">
        <v>403</v>
      </c>
      <c r="ABG255" s="1304">
        <v>384</v>
      </c>
      <c r="ABH255" s="1304">
        <v>384</v>
      </c>
      <c r="ABI255" s="1304">
        <v>389</v>
      </c>
      <c r="ABJ255" s="1304">
        <v>389</v>
      </c>
      <c r="ABK255" s="1304">
        <v>389</v>
      </c>
      <c r="ABL255" s="1304">
        <v>389</v>
      </c>
      <c r="ABM255" s="1304">
        <v>388</v>
      </c>
      <c r="ABN255" s="1304">
        <v>388</v>
      </c>
      <c r="ABO255" s="1304">
        <v>388</v>
      </c>
      <c r="ABP255" s="1304">
        <v>390</v>
      </c>
      <c r="ABQ255" s="1304">
        <v>390</v>
      </c>
      <c r="ABR255" s="1304">
        <v>390</v>
      </c>
      <c r="ABS255" s="1304">
        <v>390</v>
      </c>
      <c r="ABT255" s="1304">
        <v>390</v>
      </c>
      <c r="ABU255" s="1304">
        <v>412</v>
      </c>
      <c r="ABV255" s="1304">
        <v>412</v>
      </c>
      <c r="ABW255" s="1304">
        <v>431</v>
      </c>
      <c r="ABX255" s="1304">
        <v>431</v>
      </c>
      <c r="ABY255" s="1304">
        <v>431</v>
      </c>
      <c r="ABZ255" s="1304">
        <v>453</v>
      </c>
      <c r="ACA255" s="1304">
        <v>453</v>
      </c>
      <c r="ACB255" s="1304">
        <v>529</v>
      </c>
      <c r="ACC255" s="1304">
        <v>551</v>
      </c>
      <c r="ACD255" s="1304">
        <v>568</v>
      </c>
      <c r="ACE255" s="1304">
        <v>568</v>
      </c>
      <c r="ACF255" s="1304">
        <v>546</v>
      </c>
      <c r="ACG255" s="1304">
        <v>541</v>
      </c>
      <c r="ACH255" s="1304">
        <v>541</v>
      </c>
      <c r="ACI255" s="1304">
        <v>506</v>
      </c>
      <c r="ACJ255" s="1304">
        <v>505</v>
      </c>
      <c r="ACK255" s="1304">
        <v>506</v>
      </c>
      <c r="ACL255" s="1304">
        <v>484</v>
      </c>
      <c r="ACM255" s="1304">
        <v>485</v>
      </c>
      <c r="ACN255" s="1304">
        <v>485</v>
      </c>
      <c r="ACO255" s="1304">
        <v>462</v>
      </c>
      <c r="ACP255" s="1304">
        <v>484</v>
      </c>
      <c r="ACQ255" s="1304">
        <v>697</v>
      </c>
      <c r="ACR255" s="1304">
        <v>658</v>
      </c>
      <c r="ACS255" s="1304">
        <v>658</v>
      </c>
      <c r="ACT255" s="1304">
        <v>676</v>
      </c>
      <c r="ACU255" s="1304">
        <v>742</v>
      </c>
      <c r="ACV255" s="1304">
        <v>761</v>
      </c>
      <c r="ACW255" s="1304">
        <v>781</v>
      </c>
      <c r="ACX255" s="1304">
        <v>845</v>
      </c>
      <c r="ACY255" s="1304">
        <v>863</v>
      </c>
      <c r="ACZ255" s="1304">
        <v>920</v>
      </c>
      <c r="ADA255" s="1304">
        <v>895</v>
      </c>
      <c r="ADB255" s="1304">
        <v>793</v>
      </c>
      <c r="ADC255" s="1304">
        <v>943</v>
      </c>
      <c r="ADD255" s="1304">
        <v>1060</v>
      </c>
      <c r="ADE255" s="1304">
        <v>1086</v>
      </c>
      <c r="ADF255" s="1304">
        <v>1141</v>
      </c>
      <c r="ADG255" s="1304">
        <v>1143</v>
      </c>
      <c r="ADH255" s="1304">
        <v>1158</v>
      </c>
      <c r="ADI255" s="1304">
        <v>1102</v>
      </c>
      <c r="ADJ255" s="1304">
        <v>1060</v>
      </c>
      <c r="ADK255" s="1304">
        <v>815</v>
      </c>
      <c r="ADL255" s="1304">
        <v>789</v>
      </c>
      <c r="ADM255" s="1304">
        <v>775</v>
      </c>
      <c r="ADN255" s="1304">
        <v>646</v>
      </c>
      <c r="ADO255" s="1304">
        <v>645</v>
      </c>
      <c r="ADP255" s="1304">
        <v>627</v>
      </c>
      <c r="ADQ255" s="1304">
        <v>627</v>
      </c>
      <c r="ADR255" s="1304">
        <v>612</v>
      </c>
      <c r="ADS255" s="1304">
        <v>610</v>
      </c>
      <c r="ADT255" s="1304">
        <v>494</v>
      </c>
      <c r="ADU255" s="1304">
        <v>429</v>
      </c>
      <c r="ADV255" s="1304">
        <v>425</v>
      </c>
      <c r="ADW255" s="1304">
        <v>446</v>
      </c>
      <c r="ADX255" s="1304">
        <v>403</v>
      </c>
      <c r="ADY255" s="1304">
        <v>374</v>
      </c>
      <c r="ADZ255" s="1304">
        <v>353</v>
      </c>
      <c r="AEA255" s="1304">
        <v>353</v>
      </c>
      <c r="AEB255" s="1304">
        <v>353</v>
      </c>
      <c r="AEC255" s="1304">
        <v>377</v>
      </c>
      <c r="AED255" s="1304">
        <v>377</v>
      </c>
      <c r="AEE255" s="1304">
        <v>353</v>
      </c>
      <c r="AEF255" s="1304">
        <v>353</v>
      </c>
      <c r="AEG255" s="1304">
        <v>353</v>
      </c>
      <c r="AEH255" s="1304">
        <v>377</v>
      </c>
      <c r="AEI255" s="1304">
        <v>377</v>
      </c>
    </row>
    <row r="256" spans="1:964">
      <c r="B256">
        <v>284</v>
      </c>
      <c r="J256">
        <v>32.5</v>
      </c>
      <c r="L256" s="1304">
        <v>34</v>
      </c>
      <c r="R256">
        <v>50</v>
      </c>
      <c r="LA256">
        <v>56</v>
      </c>
      <c r="LB256">
        <v>17</v>
      </c>
      <c r="LC256">
        <v>-8.6999999999999993</v>
      </c>
      <c r="LD256">
        <v>-8.6999999999999993</v>
      </c>
      <c r="LE256">
        <v>-8.6999999999999993</v>
      </c>
      <c r="LF256">
        <v>-8.6999999999999993</v>
      </c>
      <c r="LG256">
        <v>8.6999999999999993</v>
      </c>
      <c r="LH256">
        <v>8.6999999999999993</v>
      </c>
      <c r="LI256">
        <v>8.6999999999999993</v>
      </c>
      <c r="LJ256">
        <v>3</v>
      </c>
      <c r="LK256">
        <v>3</v>
      </c>
      <c r="LL256">
        <v>3</v>
      </c>
      <c r="LM256">
        <v>3</v>
      </c>
      <c r="LN256">
        <v>3</v>
      </c>
      <c r="LO256">
        <v>8.6999999999999993</v>
      </c>
      <c r="LP256">
        <v>8.6999999999999993</v>
      </c>
      <c r="LQ256">
        <v>8.6999999999999993</v>
      </c>
      <c r="LR256">
        <v>8.6999999999999993</v>
      </c>
      <c r="LS256">
        <v>8.6999999999999993</v>
      </c>
      <c r="LT256">
        <v>8.6999999999999993</v>
      </c>
      <c r="LU256">
        <v>8.6999999999999993</v>
      </c>
      <c r="LV256">
        <v>8.6999999999999993</v>
      </c>
      <c r="LW256">
        <v>158.5</v>
      </c>
      <c r="LX256">
        <v>134.5</v>
      </c>
      <c r="LY256">
        <v>77.400000000000006</v>
      </c>
      <c r="LZ256">
        <v>40</v>
      </c>
      <c r="MA256">
        <v>11.5</v>
      </c>
      <c r="MB256">
        <v>2.5</v>
      </c>
      <c r="MC256">
        <v>22</v>
      </c>
      <c r="MD256">
        <v>74.400000000000006</v>
      </c>
      <c r="ME256">
        <v>105.3</v>
      </c>
      <c r="MF256">
        <v>6</v>
      </c>
      <c r="MG256">
        <v>6</v>
      </c>
      <c r="MH256">
        <v>6</v>
      </c>
      <c r="MI256">
        <v>6</v>
      </c>
      <c r="MJ256">
        <v>6</v>
      </c>
      <c r="MK256">
        <v>6</v>
      </c>
      <c r="ML256">
        <v>6</v>
      </c>
      <c r="MM256">
        <v>300</v>
      </c>
      <c r="MN256">
        <v>304</v>
      </c>
      <c r="MO256">
        <v>304</v>
      </c>
      <c r="MP256">
        <v>304</v>
      </c>
      <c r="MQ256">
        <v>307</v>
      </c>
      <c r="MR256">
        <v>307</v>
      </c>
      <c r="MS256">
        <v>312.5</v>
      </c>
      <c r="MT256">
        <v>313</v>
      </c>
      <c r="MU256">
        <v>313</v>
      </c>
      <c r="MV256">
        <v>315</v>
      </c>
      <c r="MW256">
        <v>257</v>
      </c>
      <c r="MX256">
        <v>258</v>
      </c>
      <c r="MY256">
        <v>258</v>
      </c>
      <c r="MZ256">
        <v>265</v>
      </c>
      <c r="NA256">
        <v>301.5</v>
      </c>
      <c r="NB256">
        <v>301.5</v>
      </c>
      <c r="NC256">
        <v>283</v>
      </c>
      <c r="ND256">
        <v>283</v>
      </c>
      <c r="NE256">
        <v>283</v>
      </c>
      <c r="NF256">
        <v>283</v>
      </c>
      <c r="NG256">
        <v>283</v>
      </c>
      <c r="NH256">
        <v>283</v>
      </c>
      <c r="NI256">
        <v>283</v>
      </c>
      <c r="NJ256">
        <v>283</v>
      </c>
      <c r="NK256">
        <v>283</v>
      </c>
      <c r="NL256">
        <v>283</v>
      </c>
      <c r="NM256">
        <v>283</v>
      </c>
      <c r="NN256">
        <v>17.100000000000001</v>
      </c>
      <c r="NO256">
        <v>17.100000000000001</v>
      </c>
      <c r="NP256">
        <v>17.100000000000001</v>
      </c>
      <c r="NQ256">
        <v>17.100000000000001</v>
      </c>
      <c r="NR256">
        <v>17.100000000000001</v>
      </c>
      <c r="NS256">
        <v>17.100000000000001</v>
      </c>
      <c r="NT256">
        <v>17.100000000000001</v>
      </c>
      <c r="NU256">
        <v>17.100000000000001</v>
      </c>
      <c r="NV256">
        <v>17.100000000000001</v>
      </c>
      <c r="NW256">
        <v>17.100000000000001</v>
      </c>
      <c r="NX256">
        <v>17.100000000000001</v>
      </c>
      <c r="NY256">
        <v>17.100000000000001</v>
      </c>
      <c r="NZ256">
        <v>17.100000000000001</v>
      </c>
      <c r="OA256">
        <v>17.100000000000001</v>
      </c>
      <c r="OB256">
        <v>17.100000000000001</v>
      </c>
      <c r="OC256">
        <v>17.100000000000001</v>
      </c>
      <c r="OD256">
        <v>17.100000000000001</v>
      </c>
      <c r="OE256">
        <v>17.100000000000001</v>
      </c>
      <c r="OF256">
        <v>17.100000000000001</v>
      </c>
      <c r="OG256">
        <v>17.100000000000001</v>
      </c>
      <c r="OH256">
        <v>17.100000000000001</v>
      </c>
      <c r="OI256">
        <v>17.100000000000001</v>
      </c>
      <c r="OJ256">
        <v>17.100000000000001</v>
      </c>
      <c r="OK256">
        <v>17.100000000000001</v>
      </c>
      <c r="OL256">
        <v>17.100000000000001</v>
      </c>
      <c r="OM256">
        <v>17.100000000000001</v>
      </c>
      <c r="ON256">
        <v>17.100000000000001</v>
      </c>
      <c r="OO256">
        <v>17.100000000000001</v>
      </c>
      <c r="OP256">
        <v>17.100000000000001</v>
      </c>
      <c r="OQ256">
        <v>17.100000000000001</v>
      </c>
      <c r="OR256">
        <v>17.100000000000001</v>
      </c>
      <c r="OS256">
        <v>17.100000000000001</v>
      </c>
      <c r="OT256">
        <v>17.100000000000001</v>
      </c>
      <c r="OU256">
        <v>17.100000000000001</v>
      </c>
      <c r="OV256">
        <v>17.100000000000001</v>
      </c>
      <c r="OW256">
        <v>17.100000000000001</v>
      </c>
      <c r="OX256">
        <v>17.100000000000001</v>
      </c>
      <c r="OY256">
        <v>17.100000000000001</v>
      </c>
      <c r="OZ256">
        <v>17.100000000000001</v>
      </c>
      <c r="PA256">
        <v>17.100000000000001</v>
      </c>
      <c r="PB256">
        <v>17.100000000000001</v>
      </c>
      <c r="PC256">
        <v>17.100000000000001</v>
      </c>
      <c r="PD256">
        <v>17.100000000000001</v>
      </c>
      <c r="PE256">
        <v>17.100000000000001</v>
      </c>
      <c r="PF256">
        <v>17.100000000000001</v>
      </c>
      <c r="PG256">
        <v>17.100000000000001</v>
      </c>
      <c r="PH256">
        <v>17.100000000000001</v>
      </c>
      <c r="PI256">
        <v>17.100000000000001</v>
      </c>
      <c r="PJ256">
        <v>17.100000000000001</v>
      </c>
      <c r="PK256">
        <v>17.100000000000001</v>
      </c>
      <c r="PL256">
        <v>17.100000000000001</v>
      </c>
      <c r="PM256">
        <v>17.100000000000001</v>
      </c>
      <c r="PN256">
        <v>17.100000000000001</v>
      </c>
      <c r="PO256">
        <v>17.100000000000001</v>
      </c>
      <c r="PP256">
        <v>17.100000000000001</v>
      </c>
      <c r="PQ256">
        <v>17.100000000000001</v>
      </c>
      <c r="PR256">
        <v>17.100000000000001</v>
      </c>
      <c r="PS256">
        <v>17.100000000000001</v>
      </c>
      <c r="PT256">
        <v>17.100000000000001</v>
      </c>
      <c r="PU256">
        <v>17.100000000000001</v>
      </c>
      <c r="PV256">
        <v>17.100000000000001</v>
      </c>
      <c r="PW256">
        <v>17.100000000000001</v>
      </c>
      <c r="PX256">
        <v>17.100000000000001</v>
      </c>
      <c r="PY256">
        <v>17.100000000000001</v>
      </c>
      <c r="PZ256">
        <v>17.100000000000001</v>
      </c>
      <c r="QA256">
        <v>17.100000000000001</v>
      </c>
      <c r="QB256">
        <v>17.100000000000001</v>
      </c>
      <c r="QC256">
        <v>17.100000000000001</v>
      </c>
      <c r="QD256">
        <v>17.100000000000001</v>
      </c>
      <c r="QE256">
        <v>17.100000000000001</v>
      </c>
      <c r="QF256">
        <v>17.100000000000001</v>
      </c>
      <c r="QG256">
        <v>17.100000000000001</v>
      </c>
      <c r="QH256">
        <v>17.100000000000001</v>
      </c>
      <c r="QI256">
        <v>17.100000000000001</v>
      </c>
      <c r="QJ256">
        <v>17.100000000000001</v>
      </c>
      <c r="QK256">
        <v>17.100000000000001</v>
      </c>
      <c r="QL256">
        <v>17.100000000000001</v>
      </c>
      <c r="QM256">
        <v>17.100000000000001</v>
      </c>
      <c r="QN256">
        <v>17.100000000000001</v>
      </c>
      <c r="QO256">
        <v>17.100000000000001</v>
      </c>
      <c r="QP256">
        <v>17.100000000000001</v>
      </c>
      <c r="QQ256">
        <v>17.100000000000001</v>
      </c>
      <c r="QR256">
        <v>17.100000000000001</v>
      </c>
      <c r="QS256">
        <v>17.100000000000001</v>
      </c>
      <c r="QT256">
        <v>17.100000000000001</v>
      </c>
      <c r="QU256">
        <v>17.100000000000001</v>
      </c>
      <c r="QV256">
        <v>17.100000000000001</v>
      </c>
      <c r="QW256">
        <v>17.100000000000001</v>
      </c>
      <c r="QX256">
        <v>17.100000000000001</v>
      </c>
      <c r="QY256">
        <v>17.100000000000001</v>
      </c>
      <c r="QZ256">
        <v>17.100000000000001</v>
      </c>
      <c r="RA256">
        <v>17.100000000000001</v>
      </c>
      <c r="RB256">
        <v>17.100000000000001</v>
      </c>
      <c r="RC256">
        <v>17.100000000000001</v>
      </c>
      <c r="RD256">
        <v>17.100000000000001</v>
      </c>
      <c r="RE256">
        <v>17.100000000000001</v>
      </c>
      <c r="RF256">
        <v>17.100000000000001</v>
      </c>
      <c r="RG256">
        <v>17.100000000000001</v>
      </c>
      <c r="RH256">
        <v>17.100000000000001</v>
      </c>
      <c r="RI256">
        <v>17.100000000000001</v>
      </c>
      <c r="RJ256">
        <v>17.100000000000001</v>
      </c>
      <c r="RK256">
        <v>17.100000000000001</v>
      </c>
      <c r="RL256">
        <v>17.100000000000001</v>
      </c>
      <c r="RM256">
        <v>17.100000000000001</v>
      </c>
      <c r="RN256">
        <v>17.100000000000001</v>
      </c>
      <c r="RO256">
        <v>17.100000000000001</v>
      </c>
      <c r="RP256">
        <v>17.100000000000001</v>
      </c>
      <c r="RQ256">
        <v>3</v>
      </c>
      <c r="RR256">
        <v>3</v>
      </c>
      <c r="RS256">
        <v>3</v>
      </c>
      <c r="RT256">
        <v>3</v>
      </c>
      <c r="RU256">
        <v>3</v>
      </c>
      <c r="RV256">
        <v>3</v>
      </c>
      <c r="RW256">
        <v>3</v>
      </c>
      <c r="RX256">
        <v>3</v>
      </c>
      <c r="RY256">
        <v>3</v>
      </c>
      <c r="RZ256">
        <v>3</v>
      </c>
      <c r="SA256">
        <v>3</v>
      </c>
      <c r="SB256">
        <v>3</v>
      </c>
      <c r="SC256">
        <v>3</v>
      </c>
      <c r="SD256">
        <v>3</v>
      </c>
      <c r="SE256">
        <v>3</v>
      </c>
      <c r="SF256">
        <v>3</v>
      </c>
      <c r="SG256">
        <v>3</v>
      </c>
      <c r="SH256">
        <v>3</v>
      </c>
      <c r="SI256">
        <v>3</v>
      </c>
      <c r="SJ256">
        <v>3</v>
      </c>
      <c r="SK256">
        <v>3</v>
      </c>
      <c r="SL256">
        <v>3</v>
      </c>
      <c r="SM256">
        <v>3</v>
      </c>
      <c r="SN256">
        <v>3</v>
      </c>
      <c r="SO256">
        <v>3</v>
      </c>
      <c r="SP256">
        <v>3</v>
      </c>
      <c r="SQ256">
        <v>3</v>
      </c>
      <c r="SR256">
        <v>3</v>
      </c>
      <c r="SS256">
        <v>3</v>
      </c>
      <c r="ST256">
        <v>3</v>
      </c>
      <c r="SU256">
        <v>17.100000000000001</v>
      </c>
      <c r="SV256">
        <v>17.100000000000001</v>
      </c>
      <c r="SW256">
        <v>17.100000000000001</v>
      </c>
      <c r="SX256">
        <v>17.100000000000001</v>
      </c>
      <c r="SY256">
        <v>17.100000000000001</v>
      </c>
      <c r="SZ256">
        <v>17.100000000000001</v>
      </c>
      <c r="TA256">
        <v>17.100000000000001</v>
      </c>
      <c r="TB256">
        <v>17.100000000000001</v>
      </c>
      <c r="TC256">
        <v>17.100000000000001</v>
      </c>
      <c r="TD256">
        <v>17.100000000000001</v>
      </c>
      <c r="TE256">
        <v>17.100000000000001</v>
      </c>
      <c r="TF256">
        <v>17.100000000000001</v>
      </c>
      <c r="TG256">
        <v>17.100000000000001</v>
      </c>
      <c r="TH256">
        <v>17.100000000000001</v>
      </c>
      <c r="TI256">
        <v>17.100000000000001</v>
      </c>
      <c r="TJ256">
        <v>17.100000000000001</v>
      </c>
      <c r="TK256">
        <v>17.100000000000001</v>
      </c>
      <c r="TL256">
        <v>17.100000000000001</v>
      </c>
      <c r="TM256">
        <v>17.100000000000001</v>
      </c>
      <c r="TN256">
        <v>17.100000000000001</v>
      </c>
      <c r="TO256">
        <v>17.100000000000001</v>
      </c>
      <c r="TP256">
        <v>17.100000000000001</v>
      </c>
      <c r="TQ256">
        <v>17.100000000000001</v>
      </c>
      <c r="TR256">
        <v>17.100000000000001</v>
      </c>
      <c r="TS256">
        <v>17.100000000000001</v>
      </c>
      <c r="TT256">
        <v>17.100000000000001</v>
      </c>
      <c r="TU256">
        <v>17.100000000000001</v>
      </c>
      <c r="TV256">
        <v>17.100000000000001</v>
      </c>
      <c r="TW256">
        <v>17.100000000000001</v>
      </c>
      <c r="TX256">
        <v>17.100000000000001</v>
      </c>
      <c r="TY256">
        <v>17.100000000000001</v>
      </c>
      <c r="TZ256">
        <v>17.100000000000001</v>
      </c>
      <c r="UA256">
        <v>17.100000000000001</v>
      </c>
      <c r="UB256">
        <v>17.100000000000001</v>
      </c>
      <c r="UC256">
        <v>17.100000000000001</v>
      </c>
      <c r="UD256">
        <v>17.100000000000001</v>
      </c>
      <c r="UE256">
        <v>17.100000000000001</v>
      </c>
      <c r="UF256">
        <v>17.100000000000001</v>
      </c>
      <c r="UG256">
        <v>17.100000000000001</v>
      </c>
      <c r="UH256">
        <v>17.100000000000001</v>
      </c>
      <c r="UI256">
        <v>17.100000000000001</v>
      </c>
      <c r="UJ256">
        <v>17.100000000000001</v>
      </c>
      <c r="UK256">
        <v>17.100000000000001</v>
      </c>
      <c r="UL256">
        <v>17.100000000000001</v>
      </c>
      <c r="UM256">
        <v>17.100000000000001</v>
      </c>
      <c r="UN256">
        <v>17.100000000000001</v>
      </c>
      <c r="UO256">
        <v>17.100000000000001</v>
      </c>
      <c r="UP256">
        <v>17.100000000000001</v>
      </c>
      <c r="UQ256">
        <v>17.100000000000001</v>
      </c>
      <c r="UR256">
        <v>17.100000000000001</v>
      </c>
      <c r="US256">
        <v>17.100000000000001</v>
      </c>
      <c r="UT256">
        <v>17.100000000000001</v>
      </c>
      <c r="UU256">
        <v>17.100000000000001</v>
      </c>
      <c r="UV256">
        <v>17.100000000000001</v>
      </c>
      <c r="UW256">
        <v>17.100000000000001</v>
      </c>
      <c r="UX256">
        <v>17.100000000000001</v>
      </c>
      <c r="UY256">
        <v>17.100000000000001</v>
      </c>
      <c r="UZ256">
        <v>17.100000000000001</v>
      </c>
      <c r="VA256">
        <v>17.100000000000001</v>
      </c>
      <c r="VB256">
        <v>17.100000000000001</v>
      </c>
      <c r="VC256">
        <v>17.100000000000001</v>
      </c>
      <c r="VD256">
        <v>17.100000000000001</v>
      </c>
      <c r="VE256">
        <v>17.100000000000001</v>
      </c>
      <c r="VF256" s="1304">
        <v>17.100000000000001</v>
      </c>
      <c r="VG256" s="1304">
        <v>17.100000000000001</v>
      </c>
      <c r="VH256" s="1304">
        <v>17.100000000000001</v>
      </c>
      <c r="VI256" s="1304">
        <v>17.100000000000001</v>
      </c>
      <c r="VJ256" s="1304">
        <v>17.100000000000001</v>
      </c>
      <c r="VK256">
        <v>17.100000000000001</v>
      </c>
      <c r="VL256" s="1304">
        <v>17.100000000000001</v>
      </c>
      <c r="VM256" s="1304">
        <v>17.100000000000001</v>
      </c>
      <c r="VN256" s="1304">
        <v>17.100000000000001</v>
      </c>
      <c r="VO256" s="1304">
        <v>17.100000000000001</v>
      </c>
      <c r="VP256" s="1304">
        <v>17.100000000000001</v>
      </c>
      <c r="VQ256" s="1304">
        <v>17.100000000000001</v>
      </c>
      <c r="VR256" s="1304">
        <v>17.100000000000001</v>
      </c>
      <c r="VS256" s="1304">
        <v>17.100000000000001</v>
      </c>
      <c r="VT256" s="1304">
        <v>17.100000000000001</v>
      </c>
      <c r="VU256" s="1304">
        <v>17.100000000000001</v>
      </c>
      <c r="VV256" s="1304">
        <v>17.100000000000001</v>
      </c>
      <c r="VW256" s="1304">
        <v>17.100000000000001</v>
      </c>
      <c r="VX256" s="1304">
        <v>17.100000000000001</v>
      </c>
      <c r="VY256" s="1304">
        <v>17.100000000000001</v>
      </c>
      <c r="VZ256" s="1304">
        <v>17.11</v>
      </c>
      <c r="WA256" s="1304">
        <v>17.100000000000001</v>
      </c>
      <c r="WB256" s="1304">
        <v>17.100000000000001</v>
      </c>
      <c r="WC256" s="1304">
        <v>17.100000000000001</v>
      </c>
      <c r="WD256" s="1304">
        <v>17.100000000000001</v>
      </c>
      <c r="WE256" s="1304">
        <v>17.100000000000001</v>
      </c>
      <c r="WF256" s="1304">
        <v>17.100000000000001</v>
      </c>
      <c r="WG256" s="1304">
        <v>17.100000000000001</v>
      </c>
      <c r="WH256" s="1304">
        <v>17.100000000000001</v>
      </c>
      <c r="WI256" s="1304">
        <v>17.100000000000001</v>
      </c>
      <c r="WJ256" s="1304">
        <v>17.100000000000001</v>
      </c>
      <c r="WK256" s="1304">
        <v>17.100000000000001</v>
      </c>
      <c r="WL256" s="1304">
        <v>17.100000000000001</v>
      </c>
      <c r="WM256" s="1304">
        <v>17.100000000000001</v>
      </c>
      <c r="WN256" s="1304">
        <v>17.100000000000001</v>
      </c>
      <c r="WO256" s="1304">
        <v>17.100000000000001</v>
      </c>
      <c r="WP256" s="1304">
        <v>17.100000000000001</v>
      </c>
      <c r="WQ256" s="1304">
        <v>17.100000000000001</v>
      </c>
      <c r="WR256" s="1304">
        <v>17.100000000000001</v>
      </c>
      <c r="WS256" s="1304">
        <v>17.100000000000001</v>
      </c>
      <c r="WT256" s="1304">
        <v>17.100000000000001</v>
      </c>
      <c r="WU256" s="1304">
        <v>17.100000000000001</v>
      </c>
      <c r="WV256" s="1304">
        <v>17.100000000000001</v>
      </c>
      <c r="WW256" s="1304">
        <v>17.100000000000001</v>
      </c>
      <c r="WX256" s="1304">
        <v>17.100000000000001</v>
      </c>
      <c r="WY256" s="1304">
        <v>17.100000000000001</v>
      </c>
      <c r="WZ256" s="1304">
        <v>17.100000000000001</v>
      </c>
      <c r="XA256" s="1304">
        <v>17.100000000000001</v>
      </c>
      <c r="XB256" s="1304">
        <v>17.100000000000001</v>
      </c>
      <c r="XC256" s="1304">
        <v>17.100000000000001</v>
      </c>
      <c r="XD256" s="1304">
        <v>17.100000000000001</v>
      </c>
      <c r="XE256" s="1304">
        <v>17.100000000000001</v>
      </c>
      <c r="XF256" s="1304">
        <v>17.100000000000001</v>
      </c>
      <c r="XG256" s="1304">
        <v>17.100000000000001</v>
      </c>
      <c r="XH256" s="1304">
        <v>17.100000000000001</v>
      </c>
      <c r="XI256" s="1304">
        <v>17.100000000000001</v>
      </c>
      <c r="XJ256" s="1304">
        <v>17.100000000000001</v>
      </c>
      <c r="XK256" s="1304">
        <v>17.100000000000001</v>
      </c>
      <c r="XL256" s="1304">
        <v>17.100000000000001</v>
      </c>
      <c r="XM256" s="1304">
        <v>17.100000000000001</v>
      </c>
      <c r="XN256" s="1304">
        <v>17.100000000000001</v>
      </c>
      <c r="XO256" s="1304">
        <v>17.100000000000001</v>
      </c>
      <c r="XP256" s="1304">
        <v>17.100000000000001</v>
      </c>
      <c r="XQ256" s="1304">
        <v>17.100000000000001</v>
      </c>
      <c r="XR256" s="1304">
        <v>17.100000000000001</v>
      </c>
      <c r="XS256" s="1304">
        <v>17.100000000000001</v>
      </c>
      <c r="XT256" s="1304">
        <v>17.100000000000001</v>
      </c>
      <c r="XU256" s="1304">
        <v>17.100000000000001</v>
      </c>
      <c r="XV256" s="1304">
        <v>17.100000000000001</v>
      </c>
      <c r="XW256" s="1304">
        <v>17.100000000000001</v>
      </c>
      <c r="XX256" s="1304">
        <v>17.100000000000001</v>
      </c>
      <c r="XY256" s="1304">
        <v>17.100000000000001</v>
      </c>
      <c r="XZ256" s="1304">
        <v>17.100000000000001</v>
      </c>
      <c r="YA256" s="1304">
        <v>17.100000000000001</v>
      </c>
      <c r="YB256" s="1304">
        <v>17.100000000000001</v>
      </c>
      <c r="YC256" s="1304">
        <v>17.100000000000001</v>
      </c>
      <c r="YD256" s="1304">
        <v>17.100000000000001</v>
      </c>
      <c r="YE256" s="1304">
        <v>17.100000000000001</v>
      </c>
      <c r="YF256" s="1304">
        <v>17.100000000000001</v>
      </c>
      <c r="YG256" s="1304">
        <v>17.100000000000001</v>
      </c>
      <c r="YH256" s="1304">
        <v>17.100000000000001</v>
      </c>
      <c r="YI256" s="1304">
        <v>17.100000000000001</v>
      </c>
      <c r="YJ256" s="1304">
        <v>17.100000000000001</v>
      </c>
      <c r="YK256" s="1304">
        <v>17.100000000000001</v>
      </c>
      <c r="YL256" s="1304">
        <v>17.100000000000001</v>
      </c>
      <c r="YM256" s="1304">
        <v>17.100000000000001</v>
      </c>
      <c r="YN256" s="1304">
        <v>17.100000000000001</v>
      </c>
      <c r="YO256" s="1304">
        <v>17.100000000000001</v>
      </c>
      <c r="YP256" s="1304">
        <v>17.100000000000001</v>
      </c>
      <c r="YQ256" s="1304">
        <v>17.100000000000001</v>
      </c>
      <c r="YR256" s="1304">
        <v>17.100000000000001</v>
      </c>
      <c r="YS256" s="1304">
        <v>17.100000000000001</v>
      </c>
      <c r="YT256" s="1304">
        <v>17.100000000000001</v>
      </c>
      <c r="YU256" s="1304">
        <v>17.100000000000001</v>
      </c>
      <c r="YV256" s="1304">
        <v>17.100000000000001</v>
      </c>
      <c r="YW256" s="1304">
        <v>17.100000000000001</v>
      </c>
      <c r="YX256" s="1304">
        <v>17.100000000000001</v>
      </c>
      <c r="YY256" s="1304">
        <v>17.100000000000001</v>
      </c>
      <c r="YZ256" s="1304">
        <v>17.100000000000001</v>
      </c>
      <c r="ZA256" s="1304">
        <v>17.100000000000001</v>
      </c>
      <c r="ZB256" s="1304">
        <v>17.100000000000001</v>
      </c>
      <c r="ZC256" s="1304">
        <v>17.100000000000001</v>
      </c>
      <c r="ZD256" s="1304">
        <v>17.100000000000001</v>
      </c>
      <c r="ZE256" s="1304">
        <v>17.100000000000001</v>
      </c>
      <c r="ZF256" s="1304">
        <v>17.100000000000001</v>
      </c>
      <c r="ZG256" s="1304">
        <v>17.100000000000001</v>
      </c>
      <c r="ZH256" s="1304">
        <v>17.100000000000001</v>
      </c>
      <c r="ZI256" s="1304">
        <v>17.100000000000001</v>
      </c>
      <c r="ZJ256" s="1304">
        <v>17.100000000000001</v>
      </c>
      <c r="ZK256" s="1304">
        <v>17.100000000000001</v>
      </c>
      <c r="ZL256" s="1304">
        <v>17.100000000000001</v>
      </c>
      <c r="ZM256" s="1304">
        <v>17.100000000000001</v>
      </c>
      <c r="ZN256" s="1304">
        <v>17.100000000000001</v>
      </c>
      <c r="ZO256" s="1304">
        <v>17.100000000000001</v>
      </c>
      <c r="ZP256" s="1304">
        <v>17.100000000000001</v>
      </c>
      <c r="ZQ256" s="1304">
        <v>17.100000000000001</v>
      </c>
      <c r="ZR256" s="1304">
        <v>17.100000000000001</v>
      </c>
      <c r="ZS256" s="1304">
        <v>17.100000000000001</v>
      </c>
      <c r="ZT256" s="1304">
        <v>17.100000000000001</v>
      </c>
      <c r="ZU256" s="1304">
        <v>17.100000000000001</v>
      </c>
      <c r="ZV256" s="1304">
        <v>17.100000000000001</v>
      </c>
      <c r="ZW256" s="1304">
        <v>17.100000000000001</v>
      </c>
      <c r="ZX256" s="1304">
        <v>17.100000000000001</v>
      </c>
      <c r="ZY256" s="1304">
        <v>17.100000000000001</v>
      </c>
      <c r="ZZ256" s="1304">
        <v>17.100000000000001</v>
      </c>
      <c r="AAA256" s="1304">
        <v>17.100000000000001</v>
      </c>
      <c r="AAB256" s="1304">
        <v>17.100000000000001</v>
      </c>
      <c r="AAC256" s="1304">
        <v>17.100000000000001</v>
      </c>
      <c r="AAD256" s="1304">
        <v>17.100000000000001</v>
      </c>
      <c r="AAE256" s="1304">
        <v>17.100000000000001</v>
      </c>
      <c r="AAF256" s="1304">
        <v>17.100000000000001</v>
      </c>
      <c r="AAG256" s="1304">
        <v>17.100000000000001</v>
      </c>
      <c r="AAH256" s="1304">
        <v>17.100000000000001</v>
      </c>
      <c r="AAI256" s="1304">
        <v>17.100000000000001</v>
      </c>
      <c r="AAJ256" s="1304">
        <v>17.100000000000001</v>
      </c>
      <c r="AAK256" s="1304">
        <v>17.100000000000001</v>
      </c>
      <c r="AAL256" s="1304">
        <v>17.100000000000001</v>
      </c>
      <c r="AAM256" s="1304">
        <v>17.100000000000001</v>
      </c>
      <c r="AAN256" s="1304">
        <v>17.100000000000001</v>
      </c>
      <c r="AAO256" s="1304">
        <v>17.100000000000001</v>
      </c>
      <c r="AAP256" s="1304">
        <v>17.100000000000001</v>
      </c>
      <c r="AAQ256" s="1304">
        <v>17.100000000000001</v>
      </c>
      <c r="AAR256" s="1304">
        <v>17.100000000000001</v>
      </c>
      <c r="AAS256" s="1304">
        <v>17.100000000000001</v>
      </c>
      <c r="AAT256" s="1304">
        <v>17.100000000000001</v>
      </c>
      <c r="AAU256" s="1304">
        <v>17.100000000000001</v>
      </c>
      <c r="AAV256" s="1304">
        <v>17.100000000000001</v>
      </c>
      <c r="AAW256" s="1304">
        <v>17.100000000000001</v>
      </c>
      <c r="AAX256" s="1304">
        <v>17.100000000000001</v>
      </c>
      <c r="AAY256" s="1304">
        <v>17.100000000000001</v>
      </c>
      <c r="AAZ256" s="1304">
        <v>17.100000000000001</v>
      </c>
      <c r="ABA256" s="1304">
        <v>17.100000000000001</v>
      </c>
      <c r="ABB256" s="1304">
        <v>17.100000000000001</v>
      </c>
      <c r="ABC256" s="1304">
        <v>17.100000000000001</v>
      </c>
      <c r="ABD256" s="1304">
        <v>17.100000000000001</v>
      </c>
      <c r="ABE256" s="1304">
        <v>17.100000000000001</v>
      </c>
      <c r="ABF256" s="1304">
        <v>17.100000000000001</v>
      </c>
      <c r="ABG256" s="1304">
        <v>17.100000000000001</v>
      </c>
      <c r="ABH256" s="1304">
        <v>17.100000000000001</v>
      </c>
      <c r="ABI256" s="1304">
        <v>17.100000000000001</v>
      </c>
      <c r="ABJ256" s="1304">
        <v>17.100000000000001</v>
      </c>
      <c r="ABK256" s="1304">
        <v>17.100000000000001</v>
      </c>
      <c r="ABL256" s="1304">
        <v>17.100000000000001</v>
      </c>
      <c r="ABM256" s="1304">
        <v>17.100000000000001</v>
      </c>
      <c r="ABN256" s="1304">
        <v>17.100000000000001</v>
      </c>
      <c r="ABO256" s="1304">
        <v>17.100000000000001</v>
      </c>
      <c r="ABP256" s="1304">
        <v>17.100000000000001</v>
      </c>
      <c r="ABQ256" s="1304">
        <v>17.100000000000001</v>
      </c>
      <c r="ABR256" s="1304">
        <v>17.100000000000001</v>
      </c>
      <c r="ABS256" s="1304">
        <v>17.100000000000001</v>
      </c>
      <c r="ABT256" s="1304">
        <v>17.100000000000001</v>
      </c>
      <c r="ABU256" s="1304">
        <v>17.100000000000001</v>
      </c>
      <c r="ABV256" s="1304">
        <v>17.100000000000001</v>
      </c>
      <c r="ABW256" s="1304">
        <v>17.100000000000001</v>
      </c>
      <c r="ABX256" s="1304">
        <v>17.100000000000001</v>
      </c>
      <c r="ABY256" s="1304">
        <v>17.100000000000001</v>
      </c>
      <c r="ABZ256" s="1304">
        <v>17.100000000000001</v>
      </c>
      <c r="ACA256" s="1304">
        <v>17.100000000000001</v>
      </c>
      <c r="ACB256" s="1304">
        <v>17.100000000000001</v>
      </c>
      <c r="ACC256" s="1304">
        <v>17.100000000000001</v>
      </c>
      <c r="ACD256" s="1304">
        <v>17.100000000000001</v>
      </c>
      <c r="ACE256" s="1304">
        <v>17.100000000000001</v>
      </c>
      <c r="ACF256" s="1304">
        <v>17.100000000000001</v>
      </c>
      <c r="ACG256" s="1304">
        <v>17.100000000000001</v>
      </c>
      <c r="ACH256" s="1304">
        <v>17.100000000000001</v>
      </c>
      <c r="ACI256" s="1304">
        <v>17.100000000000001</v>
      </c>
      <c r="ACJ256" s="1304">
        <v>17.100000000000001</v>
      </c>
      <c r="ACK256" s="1304">
        <v>17.100000000000001</v>
      </c>
      <c r="ACL256" s="1304">
        <v>17.100000000000001</v>
      </c>
      <c r="ACM256" s="1304">
        <v>17.100000000000001</v>
      </c>
      <c r="ACN256" s="1304">
        <v>17.100000000000001</v>
      </c>
      <c r="ACO256" s="1304">
        <v>17.100000000000001</v>
      </c>
      <c r="ACP256" s="1304">
        <v>17.100000000000001</v>
      </c>
      <c r="ACQ256" s="1304">
        <v>17.100000000000001</v>
      </c>
      <c r="ACR256" s="1304">
        <v>17.100000000000001</v>
      </c>
      <c r="ACS256" s="1304">
        <v>17.100000000000001</v>
      </c>
      <c r="ACT256" s="1304">
        <v>17.100000000000001</v>
      </c>
      <c r="ACU256" s="1304">
        <v>17.100000000000001</v>
      </c>
      <c r="ACV256" s="1304">
        <v>17.100000000000001</v>
      </c>
      <c r="ACW256" s="1304">
        <v>17.100000000000001</v>
      </c>
      <c r="ACX256" s="1304">
        <v>17.100000000000001</v>
      </c>
      <c r="ACY256" s="1304">
        <v>17.100000000000001</v>
      </c>
      <c r="ACZ256" s="1304">
        <v>17.100000000000001</v>
      </c>
      <c r="ADA256" s="1304">
        <v>17.100000000000001</v>
      </c>
      <c r="ADB256" s="1304">
        <v>17.100000000000001</v>
      </c>
      <c r="ADC256" s="1304">
        <v>17.100000000000001</v>
      </c>
      <c r="ADD256" s="1304">
        <v>17.100000000000001</v>
      </c>
      <c r="ADE256" s="1304">
        <v>17.100000000000001</v>
      </c>
      <c r="ADF256" s="1304">
        <v>17.100000000000001</v>
      </c>
      <c r="ADG256" s="1304">
        <v>17.100000000000001</v>
      </c>
      <c r="ADH256" s="1304">
        <v>17.100000000000001</v>
      </c>
      <c r="ADI256" s="1304">
        <v>17.100000000000001</v>
      </c>
      <c r="ADJ256" s="1304">
        <v>17.100000000000001</v>
      </c>
      <c r="ADK256" s="1304">
        <v>17.100000000000001</v>
      </c>
      <c r="ADL256" s="1304">
        <v>17.100000000000001</v>
      </c>
      <c r="ADM256" s="1304">
        <v>17.100000000000001</v>
      </c>
      <c r="ADN256" s="1304">
        <v>17.100000000000001</v>
      </c>
      <c r="ADO256" s="1304">
        <v>17.100000000000001</v>
      </c>
      <c r="ADP256" s="1304">
        <v>17.100000000000001</v>
      </c>
      <c r="ADQ256" s="1304">
        <v>17.100000000000001</v>
      </c>
      <c r="ADR256" s="1304">
        <v>17.100000000000001</v>
      </c>
      <c r="ADS256" s="1304">
        <v>17.100000000000001</v>
      </c>
      <c r="ADT256" s="1304">
        <v>17.100000000000001</v>
      </c>
      <c r="ADU256" s="1304">
        <v>17.100000000000001</v>
      </c>
      <c r="ADV256" s="1304">
        <v>17.100000000000001</v>
      </c>
      <c r="ADW256" s="1304">
        <v>17.100000000000001</v>
      </c>
      <c r="ADX256" s="1304">
        <v>17.100000000000001</v>
      </c>
      <c r="ADY256" s="1304">
        <v>17.100000000000001</v>
      </c>
      <c r="ADZ256" s="1304">
        <v>17.100000000000001</v>
      </c>
      <c r="AEA256" s="1304">
        <v>17.100000000000001</v>
      </c>
      <c r="AEB256" s="1304">
        <v>17.100000000000001</v>
      </c>
      <c r="AEC256" s="1304">
        <v>17.100000000000001</v>
      </c>
      <c r="AED256" s="1304">
        <v>17.100000000000001</v>
      </c>
      <c r="AEE256" s="1304">
        <v>17.100000000000001</v>
      </c>
      <c r="AEF256" s="1304">
        <v>17.100000000000001</v>
      </c>
      <c r="AEG256" s="1304">
        <v>17.100000000000001</v>
      </c>
      <c r="AEH256" s="1304">
        <v>17.100000000000001</v>
      </c>
      <c r="AEI256" s="1304">
        <v>17.100000000000001</v>
      </c>
      <c r="AJT256">
        <v>3</v>
      </c>
      <c r="AJU256">
        <v>3</v>
      </c>
      <c r="AJV256">
        <v>3</v>
      </c>
      <c r="AJW256">
        <v>3</v>
      </c>
      <c r="AJX256">
        <v>3</v>
      </c>
      <c r="AJY256">
        <v>3</v>
      </c>
      <c r="AJZ256">
        <v>3</v>
      </c>
      <c r="AKA256">
        <v>3</v>
      </c>
      <c r="AKB256">
        <v>3</v>
      </c>
    </row>
    <row r="257" spans="2:964">
      <c r="J257">
        <v>23</v>
      </c>
      <c r="L257" s="1304">
        <v>30</v>
      </c>
      <c r="R257">
        <v>49.5</v>
      </c>
      <c r="LA257">
        <v>56</v>
      </c>
      <c r="LB257">
        <v>56</v>
      </c>
      <c r="LC257">
        <v>-721.35</v>
      </c>
      <c r="LD257">
        <v>-721.35</v>
      </c>
      <c r="LE257">
        <v>-755.7</v>
      </c>
      <c r="LF257">
        <f>-755.7+500+114.5</f>
        <v>-141.20000000000005</v>
      </c>
      <c r="LG257">
        <v>-8.6999999999999993</v>
      </c>
      <c r="LH257">
        <v>11.5</v>
      </c>
      <c r="LI257">
        <v>11.5</v>
      </c>
      <c r="LJ257">
        <v>11.4</v>
      </c>
      <c r="LK257">
        <v>11.4</v>
      </c>
      <c r="LL257">
        <v>11.4</v>
      </c>
      <c r="LM257">
        <v>11.4</v>
      </c>
      <c r="LN257">
        <v>11.4</v>
      </c>
      <c r="LO257">
        <v>11.5</v>
      </c>
      <c r="LP257">
        <v>-951.5</v>
      </c>
      <c r="LQ257">
        <v>-951</v>
      </c>
      <c r="LR257">
        <v>-877</v>
      </c>
      <c r="LS257">
        <v>-277</v>
      </c>
      <c r="LT257">
        <v>-1387.4</v>
      </c>
      <c r="LU257">
        <v>-788.5</v>
      </c>
      <c r="LV257">
        <v>-788.5</v>
      </c>
      <c r="LW257">
        <v>11.6</v>
      </c>
      <c r="LX257">
        <v>11.6</v>
      </c>
      <c r="LY257">
        <v>11.6</v>
      </c>
      <c r="LZ257">
        <v>11.6</v>
      </c>
      <c r="MA257">
        <v>11.6</v>
      </c>
      <c r="MB257">
        <v>11.6</v>
      </c>
      <c r="MC257">
        <v>11.6</v>
      </c>
      <c r="MD257">
        <v>275</v>
      </c>
      <c r="ME257">
        <v>392</v>
      </c>
      <c r="MF257">
        <v>154.5</v>
      </c>
      <c r="MG257">
        <v>206.1</v>
      </c>
      <c r="MH257">
        <v>18.3</v>
      </c>
      <c r="MI257">
        <v>73.8</v>
      </c>
      <c r="MJ257">
        <v>125.9</v>
      </c>
      <c r="MK257">
        <v>156.80000000000001</v>
      </c>
      <c r="ML257">
        <v>217.2</v>
      </c>
      <c r="MM257">
        <v>6</v>
      </c>
      <c r="MN257">
        <v>6</v>
      </c>
      <c r="MO257">
        <v>6</v>
      </c>
      <c r="MP257">
        <v>6</v>
      </c>
      <c r="MQ257">
        <v>6</v>
      </c>
      <c r="MR257">
        <v>6</v>
      </c>
      <c r="MS257">
        <v>6</v>
      </c>
      <c r="MT257">
        <v>6</v>
      </c>
      <c r="MU257">
        <v>6</v>
      </c>
      <c r="MV257">
        <v>6</v>
      </c>
      <c r="MW257">
        <v>6</v>
      </c>
      <c r="MX257">
        <v>6</v>
      </c>
      <c r="MY257">
        <v>6</v>
      </c>
      <c r="MZ257">
        <v>6</v>
      </c>
      <c r="NA257">
        <v>6</v>
      </c>
      <c r="NB257">
        <v>6</v>
      </c>
      <c r="NC257">
        <v>301.5</v>
      </c>
      <c r="ND257">
        <v>301.5</v>
      </c>
      <c r="NE257">
        <v>302.3</v>
      </c>
      <c r="NF257">
        <v>302.3</v>
      </c>
      <c r="NG257">
        <v>302.3</v>
      </c>
      <c r="NH257">
        <v>322.8</v>
      </c>
      <c r="NI257">
        <v>324</v>
      </c>
      <c r="NJ257">
        <v>324</v>
      </c>
      <c r="NK257">
        <v>328</v>
      </c>
      <c r="NL257">
        <v>328</v>
      </c>
      <c r="NM257">
        <v>333</v>
      </c>
      <c r="NN257">
        <v>283</v>
      </c>
      <c r="NO257">
        <v>283</v>
      </c>
      <c r="NP257">
        <v>283</v>
      </c>
      <c r="NQ257">
        <v>394</v>
      </c>
      <c r="NR257">
        <v>417</v>
      </c>
      <c r="NS257">
        <v>384</v>
      </c>
      <c r="NT257">
        <v>384</v>
      </c>
      <c r="NU257">
        <v>384</v>
      </c>
      <c r="NV257">
        <v>547</v>
      </c>
      <c r="NW257">
        <v>547</v>
      </c>
      <c r="NX257">
        <v>547</v>
      </c>
      <c r="NY257">
        <v>547</v>
      </c>
      <c r="NZ257">
        <v>547</v>
      </c>
      <c r="OA257">
        <v>547</v>
      </c>
      <c r="OB257">
        <v>570</v>
      </c>
      <c r="OC257">
        <v>628</v>
      </c>
      <c r="OD257">
        <v>626</v>
      </c>
      <c r="OE257">
        <v>626</v>
      </c>
      <c r="OF257">
        <v>626</v>
      </c>
      <c r="OG257">
        <v>649</v>
      </c>
      <c r="OH257">
        <v>704</v>
      </c>
      <c r="OI257">
        <v>704</v>
      </c>
      <c r="OJ257">
        <v>704</v>
      </c>
      <c r="OK257">
        <v>704</v>
      </c>
      <c r="OL257">
        <v>649</v>
      </c>
      <c r="OM257">
        <v>601</v>
      </c>
      <c r="ON257">
        <v>581</v>
      </c>
      <c r="OO257">
        <v>581</v>
      </c>
      <c r="OP257">
        <v>500</v>
      </c>
      <c r="OQ257">
        <v>500</v>
      </c>
      <c r="OR257">
        <v>500</v>
      </c>
      <c r="OS257">
        <v>500</v>
      </c>
      <c r="OT257">
        <v>500</v>
      </c>
      <c r="OU257">
        <v>500</v>
      </c>
      <c r="OV257">
        <v>500</v>
      </c>
      <c r="OW257">
        <v>500</v>
      </c>
      <c r="OX257">
        <v>500</v>
      </c>
      <c r="OY257">
        <v>500</v>
      </c>
      <c r="OZ257">
        <v>467</v>
      </c>
      <c r="PA257">
        <v>559</v>
      </c>
      <c r="PB257">
        <v>623</v>
      </c>
      <c r="PC257">
        <v>623</v>
      </c>
      <c r="PD257">
        <v>623</v>
      </c>
      <c r="PE257">
        <v>652</v>
      </c>
      <c r="PF257">
        <v>652</v>
      </c>
      <c r="PG257">
        <v>652</v>
      </c>
      <c r="PH257">
        <v>652</v>
      </c>
      <c r="PI257">
        <v>652</v>
      </c>
      <c r="PJ257">
        <v>652</v>
      </c>
      <c r="PK257">
        <v>652</v>
      </c>
      <c r="PL257">
        <v>652</v>
      </c>
      <c r="PM257">
        <v>652</v>
      </c>
      <c r="PN257">
        <v>652</v>
      </c>
      <c r="PO257">
        <v>652</v>
      </c>
      <c r="PP257">
        <v>652</v>
      </c>
      <c r="PQ257">
        <v>652</v>
      </c>
      <c r="PR257">
        <v>652</v>
      </c>
      <c r="PS257">
        <v>652</v>
      </c>
      <c r="PT257">
        <v>652</v>
      </c>
      <c r="PU257">
        <v>652</v>
      </c>
      <c r="PV257">
        <v>652</v>
      </c>
      <c r="PW257">
        <v>652</v>
      </c>
      <c r="PX257">
        <v>652</v>
      </c>
      <c r="PY257">
        <v>661</v>
      </c>
      <c r="PZ257">
        <v>661</v>
      </c>
      <c r="QA257">
        <v>661</v>
      </c>
      <c r="QB257">
        <v>661</v>
      </c>
      <c r="QC257">
        <v>661</v>
      </c>
      <c r="QD257">
        <v>661</v>
      </c>
      <c r="QE257">
        <v>661</v>
      </c>
      <c r="QF257">
        <v>661</v>
      </c>
      <c r="QG257">
        <v>637</v>
      </c>
      <c r="QH257">
        <v>637</v>
      </c>
      <c r="QI257">
        <v>637</v>
      </c>
      <c r="QJ257">
        <v>637</v>
      </c>
      <c r="QK257">
        <v>637</v>
      </c>
      <c r="QL257">
        <v>637</v>
      </c>
      <c r="QM257">
        <v>637</v>
      </c>
      <c r="QN257">
        <v>637</v>
      </c>
      <c r="QO257">
        <v>637</v>
      </c>
      <c r="QP257">
        <v>637</v>
      </c>
      <c r="QQ257">
        <v>637</v>
      </c>
      <c r="QR257">
        <v>590</v>
      </c>
      <c r="QS257">
        <v>590</v>
      </c>
      <c r="QT257">
        <v>590</v>
      </c>
      <c r="QU257">
        <v>590</v>
      </c>
      <c r="QV257">
        <v>590</v>
      </c>
      <c r="QW257">
        <v>590</v>
      </c>
      <c r="QX257">
        <v>590</v>
      </c>
      <c r="QY257">
        <v>590</v>
      </c>
      <c r="QZ257">
        <v>590</v>
      </c>
      <c r="RA257">
        <v>590</v>
      </c>
      <c r="RB257">
        <v>590</v>
      </c>
      <c r="RC257">
        <v>590</v>
      </c>
      <c r="RD257">
        <v>590</v>
      </c>
      <c r="RE257">
        <v>590</v>
      </c>
      <c r="RF257">
        <v>590</v>
      </c>
      <c r="RG257">
        <v>590</v>
      </c>
      <c r="RH257">
        <v>590</v>
      </c>
      <c r="RI257">
        <v>590</v>
      </c>
      <c r="RJ257">
        <v>590</v>
      </c>
      <c r="RK257">
        <v>590</v>
      </c>
      <c r="RL257">
        <v>590</v>
      </c>
      <c r="RM257">
        <v>590</v>
      </c>
      <c r="RN257">
        <v>590</v>
      </c>
      <c r="RO257">
        <v>590</v>
      </c>
      <c r="RP257">
        <v>590</v>
      </c>
      <c r="RQ257">
        <f>11.4+11.5-2.28-2.3</f>
        <v>18.319999999999997</v>
      </c>
      <c r="RR257">
        <v>18.32</v>
      </c>
      <c r="RS257">
        <v>18.32</v>
      </c>
      <c r="RT257">
        <v>18.32</v>
      </c>
      <c r="RU257">
        <v>18.32</v>
      </c>
      <c r="RV257">
        <v>18.32</v>
      </c>
      <c r="RW257">
        <v>18.32</v>
      </c>
      <c r="RX257">
        <v>18.32</v>
      </c>
      <c r="SU257">
        <v>590</v>
      </c>
      <c r="SV257">
        <v>590</v>
      </c>
      <c r="SW257">
        <v>590</v>
      </c>
      <c r="SX257">
        <v>590</v>
      </c>
      <c r="SY257">
        <v>590</v>
      </c>
      <c r="SZ257">
        <v>590</v>
      </c>
      <c r="TA257">
        <v>590</v>
      </c>
      <c r="TB257">
        <v>590</v>
      </c>
      <c r="TC257">
        <v>590</v>
      </c>
      <c r="TD257">
        <v>590</v>
      </c>
      <c r="TE257">
        <v>590</v>
      </c>
      <c r="TF257">
        <v>590</v>
      </c>
      <c r="TG257">
        <v>590</v>
      </c>
      <c r="TH257">
        <v>590</v>
      </c>
      <c r="TI257">
        <v>590</v>
      </c>
      <c r="TJ257">
        <v>590</v>
      </c>
      <c r="TK257">
        <v>590</v>
      </c>
      <c r="TL257">
        <v>590</v>
      </c>
      <c r="TM257">
        <v>590</v>
      </c>
      <c r="TN257">
        <v>590</v>
      </c>
      <c r="TO257">
        <v>590</v>
      </c>
      <c r="TP257">
        <v>590</v>
      </c>
      <c r="TQ257">
        <v>590</v>
      </c>
      <c r="TR257">
        <v>590</v>
      </c>
      <c r="TS257">
        <v>590</v>
      </c>
      <c r="TT257">
        <v>590</v>
      </c>
      <c r="TU257">
        <v>590</v>
      </c>
      <c r="TV257">
        <v>590</v>
      </c>
      <c r="TW257">
        <v>590</v>
      </c>
      <c r="TX257">
        <v>590</v>
      </c>
      <c r="TY257">
        <v>590</v>
      </c>
      <c r="TZ257">
        <v>590</v>
      </c>
      <c r="UA257">
        <v>590</v>
      </c>
      <c r="UB257">
        <v>590</v>
      </c>
      <c r="UC257">
        <v>590</v>
      </c>
      <c r="UD257">
        <v>590</v>
      </c>
      <c r="UE257">
        <v>590</v>
      </c>
      <c r="UF257">
        <v>590</v>
      </c>
      <c r="UG257">
        <v>590</v>
      </c>
      <c r="UH257">
        <v>590</v>
      </c>
      <c r="UI257">
        <v>590</v>
      </c>
      <c r="UJ257">
        <v>590</v>
      </c>
      <c r="UK257">
        <v>590</v>
      </c>
      <c r="UL257">
        <v>590</v>
      </c>
      <c r="UM257">
        <v>590</v>
      </c>
      <c r="UN257">
        <v>590</v>
      </c>
      <c r="UO257">
        <v>590</v>
      </c>
      <c r="UP257">
        <v>590</v>
      </c>
      <c r="UQ257">
        <v>590</v>
      </c>
      <c r="UR257">
        <v>590</v>
      </c>
      <c r="US257">
        <v>590</v>
      </c>
      <c r="UT257">
        <v>590</v>
      </c>
      <c r="UU257">
        <v>590</v>
      </c>
      <c r="UV257">
        <v>590</v>
      </c>
      <c r="UW257">
        <v>590</v>
      </c>
      <c r="UX257">
        <v>590</v>
      </c>
      <c r="UY257">
        <v>590</v>
      </c>
      <c r="UZ257">
        <v>590</v>
      </c>
      <c r="VA257">
        <v>590</v>
      </c>
      <c r="VB257">
        <v>590</v>
      </c>
      <c r="VC257">
        <v>590</v>
      </c>
      <c r="VD257">
        <v>590</v>
      </c>
      <c r="VE257">
        <v>590</v>
      </c>
      <c r="VF257" s="1304">
        <v>590</v>
      </c>
      <c r="VG257" s="1304">
        <v>590</v>
      </c>
      <c r="VH257" s="1304">
        <v>590</v>
      </c>
      <c r="VI257" s="1304">
        <v>590</v>
      </c>
      <c r="VJ257" s="1304">
        <v>590</v>
      </c>
      <c r="VK257">
        <v>590</v>
      </c>
      <c r="VL257" s="1304">
        <v>590</v>
      </c>
      <c r="VM257" s="1304">
        <v>590</v>
      </c>
      <c r="VN257" s="1304">
        <v>590</v>
      </c>
      <c r="VO257" s="1304">
        <v>590</v>
      </c>
      <c r="VP257" s="1304">
        <v>590</v>
      </c>
      <c r="VQ257" s="1304">
        <v>590</v>
      </c>
      <c r="VR257" s="1304">
        <v>590</v>
      </c>
      <c r="VS257" s="1304">
        <v>590</v>
      </c>
      <c r="VT257" s="1304">
        <v>590</v>
      </c>
      <c r="VU257" s="1304">
        <v>590</v>
      </c>
      <c r="VV257" s="1304">
        <v>590</v>
      </c>
      <c r="VW257" s="1304">
        <v>590</v>
      </c>
      <c r="VX257" s="1304">
        <v>590</v>
      </c>
      <c r="VY257" s="1304">
        <v>590</v>
      </c>
      <c r="VZ257" s="1304">
        <v>590</v>
      </c>
      <c r="WA257" s="1304">
        <v>590</v>
      </c>
      <c r="WB257" s="1304">
        <v>590</v>
      </c>
      <c r="WC257" s="1304">
        <v>590</v>
      </c>
      <c r="WD257" s="1304">
        <v>590</v>
      </c>
      <c r="WE257" s="1304">
        <v>590</v>
      </c>
      <c r="WF257" s="1304">
        <v>590</v>
      </c>
      <c r="WG257" s="1304">
        <v>590</v>
      </c>
      <c r="WH257" s="1304">
        <v>590</v>
      </c>
      <c r="WI257" s="1304">
        <v>590</v>
      </c>
      <c r="WJ257" s="1304">
        <v>590</v>
      </c>
      <c r="WK257" s="1304">
        <v>590</v>
      </c>
      <c r="WL257" s="1304">
        <v>590</v>
      </c>
      <c r="WM257" s="1304">
        <v>590</v>
      </c>
      <c r="WN257" s="1304">
        <v>590</v>
      </c>
      <c r="WO257" s="1304">
        <v>590</v>
      </c>
      <c r="WP257" s="1304">
        <v>590</v>
      </c>
      <c r="WQ257" s="1304">
        <v>590</v>
      </c>
      <c r="WR257" s="1304">
        <v>590</v>
      </c>
      <c r="WS257" s="1304">
        <v>590</v>
      </c>
      <c r="WT257" s="1304">
        <v>590</v>
      </c>
      <c r="WU257" s="1304">
        <v>590</v>
      </c>
      <c r="WV257" s="1304">
        <v>590</v>
      </c>
      <c r="WW257" s="1304">
        <v>590</v>
      </c>
      <c r="WX257" s="1304">
        <v>590</v>
      </c>
      <c r="WY257" s="1304">
        <v>590</v>
      </c>
      <c r="WZ257" s="1304">
        <v>590</v>
      </c>
      <c r="XA257" s="1304">
        <v>590</v>
      </c>
      <c r="XB257" s="1304">
        <v>590</v>
      </c>
      <c r="XC257" s="1304">
        <v>590</v>
      </c>
      <c r="XD257" s="1304">
        <v>590</v>
      </c>
      <c r="XE257" s="1304">
        <v>590</v>
      </c>
      <c r="XF257" s="1304">
        <v>590</v>
      </c>
      <c r="XG257" s="1304">
        <v>590</v>
      </c>
      <c r="XH257" s="1304">
        <v>590</v>
      </c>
      <c r="XI257" s="1304">
        <v>590</v>
      </c>
      <c r="XJ257" s="1304">
        <v>590</v>
      </c>
      <c r="XK257" s="1304">
        <v>590</v>
      </c>
      <c r="XL257" s="1304">
        <v>590</v>
      </c>
      <c r="XM257" s="1304">
        <v>590</v>
      </c>
      <c r="XN257" s="1304">
        <v>590</v>
      </c>
      <c r="XO257" s="1304">
        <v>590</v>
      </c>
      <c r="XP257" s="1304">
        <v>590</v>
      </c>
      <c r="XQ257" s="1304">
        <v>590</v>
      </c>
      <c r="XR257" s="1304">
        <v>590</v>
      </c>
      <c r="XS257" s="1304">
        <v>590</v>
      </c>
      <c r="XT257" s="1304">
        <v>590</v>
      </c>
      <c r="XU257" s="1304">
        <v>590</v>
      </c>
      <c r="XV257" s="1304">
        <v>590</v>
      </c>
      <c r="XW257" s="1304">
        <v>590</v>
      </c>
      <c r="XX257" s="1304">
        <v>590</v>
      </c>
      <c r="XY257" s="1304">
        <v>590</v>
      </c>
      <c r="XZ257" s="1304">
        <v>590</v>
      </c>
      <c r="YA257" s="1304">
        <v>590</v>
      </c>
      <c r="YB257" s="1304">
        <v>590</v>
      </c>
      <c r="YC257" s="1304">
        <v>590</v>
      </c>
      <c r="YD257" s="1304">
        <v>590</v>
      </c>
      <c r="YE257" s="1304">
        <v>590</v>
      </c>
      <c r="YF257" s="1304">
        <v>590</v>
      </c>
      <c r="YG257" s="1304">
        <v>590</v>
      </c>
      <c r="YH257" s="1304">
        <v>590</v>
      </c>
      <c r="YI257" s="1304">
        <v>590</v>
      </c>
      <c r="YJ257" s="1304">
        <v>590</v>
      </c>
      <c r="YK257" s="1304">
        <v>590</v>
      </c>
      <c r="YL257" s="1304">
        <v>590</v>
      </c>
      <c r="YM257" s="1304">
        <v>590</v>
      </c>
      <c r="YN257" s="1304">
        <v>590</v>
      </c>
      <c r="YO257" s="1304">
        <v>590</v>
      </c>
      <c r="YP257" s="1304">
        <v>590</v>
      </c>
      <c r="YQ257" s="1304">
        <v>590</v>
      </c>
      <c r="YR257" s="1304">
        <v>590</v>
      </c>
      <c r="YS257" s="1304">
        <v>590</v>
      </c>
      <c r="YT257" s="1304">
        <v>590</v>
      </c>
      <c r="YU257" s="1304">
        <v>590</v>
      </c>
      <c r="YV257" s="1304">
        <v>590</v>
      </c>
      <c r="YW257" s="1304">
        <v>590</v>
      </c>
      <c r="YX257" s="1304">
        <v>590</v>
      </c>
      <c r="YY257" s="1304">
        <v>590</v>
      </c>
      <c r="YZ257" s="1304">
        <v>590</v>
      </c>
      <c r="ZA257" s="1304">
        <v>590</v>
      </c>
      <c r="ZB257" s="1304">
        <v>590</v>
      </c>
      <c r="ZC257" s="1304">
        <v>590</v>
      </c>
      <c r="ZD257" s="1304">
        <v>590</v>
      </c>
      <c r="ZE257" s="1304">
        <v>590</v>
      </c>
      <c r="ZF257" s="1304">
        <v>590</v>
      </c>
      <c r="ZG257" s="1304">
        <v>590</v>
      </c>
      <c r="ZH257" s="1304">
        <v>590</v>
      </c>
      <c r="ZI257" s="1304">
        <v>590</v>
      </c>
      <c r="ZJ257" s="1304">
        <v>590</v>
      </c>
      <c r="ZK257" s="1304">
        <v>590</v>
      </c>
      <c r="ZL257" s="1304">
        <v>590</v>
      </c>
      <c r="ZM257" s="1304">
        <v>590</v>
      </c>
      <c r="ZN257" s="1304">
        <v>590</v>
      </c>
      <c r="ZO257" s="1304">
        <v>590</v>
      </c>
      <c r="ZP257" s="1304">
        <v>590</v>
      </c>
      <c r="ZQ257" s="1304">
        <v>590</v>
      </c>
      <c r="ZR257" s="1304">
        <v>590</v>
      </c>
      <c r="ZS257" s="1304">
        <v>590</v>
      </c>
      <c r="ZT257" s="1304">
        <v>590</v>
      </c>
      <c r="ZU257" s="1304">
        <v>590</v>
      </c>
      <c r="ZV257" s="1304">
        <v>590</v>
      </c>
      <c r="ZW257" s="1304">
        <v>590</v>
      </c>
      <c r="ZX257" s="1304">
        <v>590</v>
      </c>
      <c r="ZY257" s="1304">
        <f>590-23-33</f>
        <v>534</v>
      </c>
      <c r="ZZ257" s="1304">
        <v>534</v>
      </c>
      <c r="AAA257" s="1304">
        <v>534</v>
      </c>
      <c r="AAB257" s="1304">
        <v>534</v>
      </c>
      <c r="AAC257" s="1304">
        <v>534</v>
      </c>
      <c r="AAD257" s="1304">
        <v>534</v>
      </c>
      <c r="AAE257" s="1304">
        <v>534</v>
      </c>
      <c r="AAF257" s="1304">
        <v>534</v>
      </c>
      <c r="AAG257" s="1304">
        <v>534</v>
      </c>
      <c r="AAH257" s="1304">
        <v>534</v>
      </c>
      <c r="AAI257" s="1304">
        <v>534</v>
      </c>
      <c r="AAJ257" s="1304">
        <v>534</v>
      </c>
      <c r="AAK257" s="1304">
        <v>534</v>
      </c>
      <c r="AAL257" s="1304">
        <v>534</v>
      </c>
      <c r="AAM257" s="1304">
        <v>534</v>
      </c>
      <c r="AAN257" s="1304">
        <v>534</v>
      </c>
      <c r="AAO257" s="1304">
        <v>534</v>
      </c>
      <c r="AAP257" s="1304">
        <v>534</v>
      </c>
      <c r="AAQ257" s="1304">
        <v>534</v>
      </c>
      <c r="AAR257" s="1304">
        <v>534</v>
      </c>
      <c r="AAS257" s="1304">
        <v>534</v>
      </c>
      <c r="AAT257" s="1304">
        <v>534</v>
      </c>
      <c r="AAU257" s="1304">
        <v>534</v>
      </c>
      <c r="AAV257" s="1304">
        <v>534</v>
      </c>
      <c r="AAW257" s="1304">
        <v>534</v>
      </c>
      <c r="AAX257" s="1304">
        <v>534</v>
      </c>
      <c r="AAY257" s="1304">
        <v>534</v>
      </c>
      <c r="AAZ257" s="1304">
        <v>534</v>
      </c>
      <c r="ABA257" s="1304">
        <v>534</v>
      </c>
      <c r="ABB257" s="1304">
        <v>534</v>
      </c>
      <c r="ABC257" s="1304">
        <v>534</v>
      </c>
      <c r="ABD257" s="1304">
        <v>534</v>
      </c>
      <c r="ABE257" s="1304">
        <v>534</v>
      </c>
      <c r="ABF257" s="1304">
        <v>534</v>
      </c>
      <c r="ABG257" s="1304">
        <v>534</v>
      </c>
      <c r="ABH257" s="1304">
        <v>534</v>
      </c>
      <c r="ABI257" s="1304">
        <v>534</v>
      </c>
      <c r="ABJ257" s="1304">
        <v>534</v>
      </c>
      <c r="ABK257" s="1304">
        <v>534</v>
      </c>
      <c r="ABL257" s="1304">
        <v>534</v>
      </c>
      <c r="ABM257" s="1304">
        <v>534</v>
      </c>
      <c r="ABN257" s="1304">
        <v>534</v>
      </c>
      <c r="ABO257" s="1304">
        <v>534</v>
      </c>
      <c r="ABP257" s="1304">
        <v>534</v>
      </c>
      <c r="ABQ257" s="1304">
        <v>534</v>
      </c>
      <c r="ABR257" s="1304">
        <v>534</v>
      </c>
      <c r="ABS257" s="1304">
        <v>534</v>
      </c>
      <c r="ABT257" s="1304">
        <v>534</v>
      </c>
      <c r="ABU257" s="1304">
        <v>534</v>
      </c>
      <c r="ABV257" s="1304">
        <v>534</v>
      </c>
      <c r="ABW257" s="1304">
        <v>534</v>
      </c>
      <c r="ABX257" s="1304">
        <v>534</v>
      </c>
      <c r="ABY257" s="1304">
        <v>534</v>
      </c>
      <c r="ABZ257" s="1304">
        <v>534</v>
      </c>
      <c r="ACA257" s="1304">
        <v>534</v>
      </c>
      <c r="ACB257" s="1304">
        <v>534</v>
      </c>
      <c r="ACC257" s="1304">
        <v>534</v>
      </c>
      <c r="ACD257" s="1304">
        <v>534</v>
      </c>
      <c r="ACE257" s="1304">
        <v>534</v>
      </c>
      <c r="ACF257" s="1304">
        <v>534</v>
      </c>
      <c r="ACG257" s="1304">
        <v>534</v>
      </c>
      <c r="ACH257" s="1304">
        <v>534</v>
      </c>
      <c r="ACI257" s="1304">
        <v>534</v>
      </c>
      <c r="ACJ257" s="1304">
        <v>534</v>
      </c>
      <c r="ACK257" s="1304">
        <v>534</v>
      </c>
      <c r="ACL257" s="1304">
        <v>534</v>
      </c>
      <c r="ACM257" s="1304">
        <v>534</v>
      </c>
      <c r="ACN257" s="1304">
        <v>534</v>
      </c>
      <c r="ACO257" s="1304">
        <v>534</v>
      </c>
      <c r="ACP257" s="1304">
        <v>534</v>
      </c>
      <c r="ACQ257" s="1304">
        <v>534</v>
      </c>
      <c r="ACR257" s="1304">
        <v>534</v>
      </c>
      <c r="ACS257" s="1304">
        <v>534</v>
      </c>
      <c r="ACT257" s="1304">
        <v>534</v>
      </c>
      <c r="ACU257" s="1304">
        <v>534</v>
      </c>
      <c r="ACV257" s="1304">
        <v>534</v>
      </c>
      <c r="ACW257" s="1304">
        <v>534</v>
      </c>
      <c r="ACX257" s="1304">
        <v>534</v>
      </c>
      <c r="ACY257" s="1304">
        <v>534</v>
      </c>
      <c r="ACZ257" s="1304">
        <v>534</v>
      </c>
      <c r="ADA257" s="1304">
        <v>534</v>
      </c>
      <c r="ADB257" s="1304">
        <v>534</v>
      </c>
      <c r="ADC257" s="1304">
        <v>534</v>
      </c>
      <c r="ADD257" s="1304">
        <v>534</v>
      </c>
      <c r="ADE257" s="1304">
        <v>534</v>
      </c>
      <c r="ADF257" s="1304">
        <v>534</v>
      </c>
      <c r="ADG257" s="1304">
        <v>534</v>
      </c>
      <c r="ADH257" s="1304">
        <v>534</v>
      </c>
      <c r="ADI257" s="1304">
        <v>534</v>
      </c>
      <c r="ADJ257" s="1304">
        <v>534</v>
      </c>
      <c r="ADK257" s="1304">
        <v>534</v>
      </c>
      <c r="ADL257" s="1304">
        <v>534</v>
      </c>
      <c r="ADM257" s="1304">
        <v>534</v>
      </c>
      <c r="ADN257" s="1304">
        <v>534</v>
      </c>
      <c r="ADO257" s="1304">
        <v>534</v>
      </c>
      <c r="ADP257" s="1304">
        <v>534</v>
      </c>
      <c r="ADQ257" s="1304">
        <v>534</v>
      </c>
      <c r="ADR257" s="1304">
        <v>534</v>
      </c>
      <c r="ADS257" s="1304">
        <v>534</v>
      </c>
      <c r="ADT257" s="1304">
        <v>534</v>
      </c>
      <c r="ADU257" s="1304">
        <v>534</v>
      </c>
      <c r="ADV257" s="1304">
        <v>534</v>
      </c>
      <c r="ADW257" s="1304">
        <v>534</v>
      </c>
      <c r="ADX257" s="1304">
        <v>534</v>
      </c>
      <c r="ADY257" s="1304">
        <v>534</v>
      </c>
      <c r="ADZ257" s="1304">
        <v>534</v>
      </c>
      <c r="AEA257" s="1304">
        <v>534</v>
      </c>
      <c r="AEB257" s="1304">
        <v>534</v>
      </c>
      <c r="AEC257" s="1304">
        <v>534</v>
      </c>
      <c r="AED257" s="1304">
        <v>534</v>
      </c>
      <c r="AEE257" s="1304">
        <v>534</v>
      </c>
      <c r="AEF257" s="1304">
        <v>534</v>
      </c>
      <c r="AEG257" s="1304">
        <v>534</v>
      </c>
      <c r="AEH257" s="1304">
        <v>534</v>
      </c>
      <c r="AEI257" s="1304">
        <v>534</v>
      </c>
    </row>
    <row r="258" spans="2:964">
      <c r="J258">
        <v>33</v>
      </c>
      <c r="L258" s="1304">
        <v>50</v>
      </c>
      <c r="R258">
        <v>20</v>
      </c>
      <c r="LA258">
        <v>609.70000000000005</v>
      </c>
      <c r="LB258">
        <v>56</v>
      </c>
      <c r="LC258">
        <v>17</v>
      </c>
      <c r="LD258">
        <v>17</v>
      </c>
      <c r="LE258">
        <v>17</v>
      </c>
      <c r="LF258">
        <v>17</v>
      </c>
      <c r="LG258">
        <v>-142.5</v>
      </c>
      <c r="LH258">
        <v>-944</v>
      </c>
      <c r="LI258">
        <v>-544</v>
      </c>
      <c r="LJ258">
        <v>3</v>
      </c>
      <c r="LK258">
        <v>3</v>
      </c>
      <c r="LO258">
        <v>-544</v>
      </c>
      <c r="LP258">
        <v>17</v>
      </c>
      <c r="LQ258">
        <v>17</v>
      </c>
      <c r="LR258">
        <v>17</v>
      </c>
      <c r="LS258">
        <v>17</v>
      </c>
      <c r="LT258">
        <v>34.700000000000003</v>
      </c>
      <c r="LU258">
        <v>34.700000000000003</v>
      </c>
      <c r="LV258">
        <v>9.6999999999999993</v>
      </c>
      <c r="LW258">
        <v>-1057.2</v>
      </c>
      <c r="LX258">
        <v>-1007.2</v>
      </c>
      <c r="LY258">
        <v>-1757.4</v>
      </c>
      <c r="LZ258">
        <v>-1316.2</v>
      </c>
      <c r="MA258">
        <v>-1281.8499999999999</v>
      </c>
      <c r="MB258">
        <v>-998</v>
      </c>
      <c r="MC258">
        <v>-948.1</v>
      </c>
      <c r="MD258">
        <v>11.6</v>
      </c>
      <c r="ME258">
        <v>11.6</v>
      </c>
      <c r="MF258">
        <v>346.5</v>
      </c>
      <c r="MG258">
        <v>323.2</v>
      </c>
      <c r="MH258">
        <v>288.5</v>
      </c>
      <c r="MI258">
        <v>231.5</v>
      </c>
      <c r="MJ258">
        <v>185</v>
      </c>
      <c r="MK258">
        <v>164</v>
      </c>
      <c r="ML258">
        <v>173.4</v>
      </c>
      <c r="MM258">
        <v>208</v>
      </c>
      <c r="MN258">
        <v>199.8</v>
      </c>
      <c r="MO258">
        <v>217</v>
      </c>
      <c r="MP258">
        <v>0</v>
      </c>
      <c r="MQ258">
        <v>17.28</v>
      </c>
      <c r="MR258">
        <v>32.200000000000003</v>
      </c>
      <c r="MS258">
        <v>0</v>
      </c>
      <c r="MT258">
        <v>56.3</v>
      </c>
      <c r="MU258">
        <v>17.3</v>
      </c>
      <c r="MV258">
        <v>53.3</v>
      </c>
      <c r="MW258">
        <v>-27.8</v>
      </c>
      <c r="MX258">
        <v>-55.68</v>
      </c>
      <c r="MY258">
        <v>-83.5</v>
      </c>
      <c r="MZ258">
        <v>-83.5</v>
      </c>
      <c r="NA258">
        <v>-83.5</v>
      </c>
      <c r="NB258">
        <v>-83.5</v>
      </c>
      <c r="NC258">
        <v>6</v>
      </c>
      <c r="ND258">
        <v>6</v>
      </c>
      <c r="NE258">
        <v>6</v>
      </c>
      <c r="NF258">
        <v>6</v>
      </c>
      <c r="NG258">
        <v>6</v>
      </c>
      <c r="NH258">
        <v>6</v>
      </c>
      <c r="NI258">
        <v>6</v>
      </c>
      <c r="NJ258">
        <v>6</v>
      </c>
      <c r="NK258">
        <v>6</v>
      </c>
      <c r="NL258">
        <v>6</v>
      </c>
      <c r="NM258">
        <v>6</v>
      </c>
      <c r="NN258">
        <v>333</v>
      </c>
      <c r="NO258">
        <v>333.5</v>
      </c>
      <c r="NP258">
        <v>333.5</v>
      </c>
      <c r="NQ258">
        <v>333.5</v>
      </c>
      <c r="NR258">
        <v>333.5</v>
      </c>
      <c r="NS258">
        <v>339</v>
      </c>
      <c r="NT258">
        <v>367</v>
      </c>
      <c r="NU258">
        <v>367</v>
      </c>
      <c r="NV258">
        <v>367</v>
      </c>
      <c r="NW258">
        <v>367</v>
      </c>
      <c r="NX258">
        <v>371</v>
      </c>
      <c r="NY258">
        <v>371.5</v>
      </c>
      <c r="NZ258">
        <v>371.5</v>
      </c>
      <c r="OA258">
        <v>371.5</v>
      </c>
      <c r="OB258">
        <v>371.5</v>
      </c>
      <c r="OC258">
        <v>379</v>
      </c>
      <c r="OD258">
        <v>379</v>
      </c>
      <c r="OE258">
        <v>379</v>
      </c>
      <c r="OF258">
        <v>383.6</v>
      </c>
      <c r="OG258">
        <v>390.6</v>
      </c>
      <c r="OH258">
        <v>410.6</v>
      </c>
      <c r="OI258">
        <v>410.6</v>
      </c>
      <c r="OJ258">
        <v>444.6</v>
      </c>
      <c r="OK258">
        <v>444.6</v>
      </c>
      <c r="OL258">
        <v>449</v>
      </c>
      <c r="OM258">
        <v>450</v>
      </c>
      <c r="ON258">
        <v>450</v>
      </c>
      <c r="OO258">
        <v>459</v>
      </c>
      <c r="OP258">
        <v>394</v>
      </c>
      <c r="OQ258">
        <v>403</v>
      </c>
      <c r="OR258">
        <v>403</v>
      </c>
      <c r="OS258">
        <v>408</v>
      </c>
      <c r="OT258">
        <v>421</v>
      </c>
      <c r="OU258">
        <v>421</v>
      </c>
      <c r="OV258">
        <v>426</v>
      </c>
      <c r="OW258">
        <v>426</v>
      </c>
      <c r="OX258">
        <v>426</v>
      </c>
      <c r="OY258">
        <v>429.5</v>
      </c>
      <c r="OZ258">
        <v>430</v>
      </c>
      <c r="PA258">
        <v>432</v>
      </c>
      <c r="PB258">
        <v>432</v>
      </c>
      <c r="PC258">
        <v>432</v>
      </c>
      <c r="PD258">
        <v>435.3</v>
      </c>
      <c r="PE258">
        <v>435.3</v>
      </c>
      <c r="PF258">
        <v>440.3</v>
      </c>
      <c r="PG258">
        <v>452</v>
      </c>
      <c r="PH258">
        <v>459.5</v>
      </c>
      <c r="PI258">
        <v>400.5</v>
      </c>
      <c r="PJ258">
        <v>417.8</v>
      </c>
      <c r="PK258">
        <v>418</v>
      </c>
      <c r="PL258">
        <v>426.3</v>
      </c>
      <c r="PM258">
        <v>429</v>
      </c>
      <c r="PN258">
        <v>442</v>
      </c>
      <c r="PO258">
        <v>449</v>
      </c>
      <c r="PP258">
        <v>449</v>
      </c>
      <c r="PQ258">
        <v>449</v>
      </c>
      <c r="PR258">
        <v>463</v>
      </c>
      <c r="PS258">
        <v>483.7</v>
      </c>
      <c r="PT258">
        <v>487</v>
      </c>
      <c r="PU258">
        <v>487</v>
      </c>
      <c r="PV258">
        <v>492</v>
      </c>
      <c r="PW258">
        <v>492</v>
      </c>
      <c r="PX258">
        <v>495.5</v>
      </c>
      <c r="PY258">
        <v>499</v>
      </c>
      <c r="PZ258">
        <v>500.5</v>
      </c>
      <c r="QA258">
        <v>505.5</v>
      </c>
      <c r="QB258">
        <v>509.5</v>
      </c>
      <c r="QC258">
        <v>510.5</v>
      </c>
      <c r="QD258">
        <v>510.5</v>
      </c>
      <c r="QE258">
        <v>513</v>
      </c>
      <c r="QF258">
        <v>514</v>
      </c>
      <c r="QG258">
        <v>519</v>
      </c>
      <c r="QH258">
        <v>519</v>
      </c>
      <c r="QI258">
        <v>519</v>
      </c>
      <c r="QJ258">
        <v>529</v>
      </c>
      <c r="QK258">
        <v>529</v>
      </c>
      <c r="QL258">
        <v>534</v>
      </c>
      <c r="QM258">
        <v>534</v>
      </c>
      <c r="QN258">
        <v>542</v>
      </c>
      <c r="QO258">
        <v>550</v>
      </c>
      <c r="QP258">
        <v>551</v>
      </c>
      <c r="QQ258">
        <v>559</v>
      </c>
      <c r="QR258">
        <v>560</v>
      </c>
      <c r="QS258">
        <v>560</v>
      </c>
      <c r="QT258">
        <v>565</v>
      </c>
      <c r="QU258">
        <v>571</v>
      </c>
      <c r="QV258">
        <v>571</v>
      </c>
      <c r="QW258">
        <v>571</v>
      </c>
      <c r="QX258">
        <v>571</v>
      </c>
      <c r="QY258">
        <v>574</v>
      </c>
      <c r="QZ258">
        <v>583</v>
      </c>
      <c r="RA258">
        <v>586</v>
      </c>
      <c r="RB258">
        <v>586</v>
      </c>
      <c r="RC258">
        <v>609.29999999999995</v>
      </c>
      <c r="RD258">
        <v>618</v>
      </c>
      <c r="RE258">
        <v>620.5</v>
      </c>
      <c r="RF258">
        <v>620.5</v>
      </c>
      <c r="RG258">
        <v>620.5</v>
      </c>
      <c r="RH258">
        <v>658</v>
      </c>
      <c r="RI258">
        <v>670</v>
      </c>
      <c r="RJ258">
        <v>695.4</v>
      </c>
      <c r="RK258">
        <v>711.8</v>
      </c>
      <c r="RL258">
        <v>741.8</v>
      </c>
      <c r="RM258">
        <v>761.8</v>
      </c>
      <c r="RN258">
        <v>762</v>
      </c>
      <c r="RO258">
        <v>762</v>
      </c>
      <c r="RP258">
        <v>764</v>
      </c>
      <c r="SU258">
        <v>764.5</v>
      </c>
      <c r="SV258">
        <v>767</v>
      </c>
      <c r="SW258">
        <v>767</v>
      </c>
      <c r="SX258">
        <v>767</v>
      </c>
      <c r="SY258">
        <v>770</v>
      </c>
      <c r="SZ258">
        <v>770</v>
      </c>
      <c r="TA258">
        <v>770</v>
      </c>
      <c r="TB258">
        <v>772</v>
      </c>
      <c r="TC258">
        <v>775</v>
      </c>
      <c r="TD258">
        <v>775.5</v>
      </c>
      <c r="TE258">
        <v>775.5</v>
      </c>
      <c r="TF258">
        <v>775.5</v>
      </c>
      <c r="TG258">
        <v>775.5</v>
      </c>
      <c r="TH258">
        <v>780.5</v>
      </c>
      <c r="TI258">
        <v>782</v>
      </c>
      <c r="TJ258">
        <v>782</v>
      </c>
      <c r="TK258">
        <v>782</v>
      </c>
      <c r="TL258">
        <v>785.7</v>
      </c>
      <c r="TM258">
        <v>791</v>
      </c>
      <c r="TN258">
        <v>782.5</v>
      </c>
      <c r="TO258">
        <v>793.5</v>
      </c>
      <c r="TP258">
        <v>793.5</v>
      </c>
      <c r="TQ258">
        <v>793.5</v>
      </c>
      <c r="TR258">
        <v>793.5</v>
      </c>
      <c r="TS258">
        <v>796</v>
      </c>
      <c r="TT258">
        <v>797</v>
      </c>
      <c r="TU258">
        <v>797.5</v>
      </c>
      <c r="TV258">
        <v>799</v>
      </c>
      <c r="TW258">
        <v>804</v>
      </c>
      <c r="TX258">
        <v>804</v>
      </c>
      <c r="TY258">
        <v>806.5</v>
      </c>
      <c r="TZ258">
        <v>807</v>
      </c>
      <c r="UA258">
        <v>811</v>
      </c>
      <c r="UB258">
        <v>814.7</v>
      </c>
      <c r="UC258">
        <v>814.7</v>
      </c>
      <c r="UD258">
        <v>814.7</v>
      </c>
      <c r="UE258">
        <v>817.7</v>
      </c>
      <c r="UF258">
        <v>827.7</v>
      </c>
      <c r="UG258">
        <v>830.7</v>
      </c>
      <c r="UH258">
        <v>830.7</v>
      </c>
      <c r="UI258">
        <v>831.2</v>
      </c>
      <c r="UJ258">
        <v>834.8</v>
      </c>
      <c r="UK258">
        <v>836.3</v>
      </c>
      <c r="UL258">
        <v>841.4</v>
      </c>
      <c r="UM258">
        <v>844.4</v>
      </c>
      <c r="UN258">
        <v>847.4</v>
      </c>
      <c r="UO258">
        <v>847.4</v>
      </c>
      <c r="UP258">
        <v>847.4</v>
      </c>
      <c r="UQ258">
        <v>847.4</v>
      </c>
      <c r="UR258">
        <v>847.4</v>
      </c>
      <c r="US258">
        <v>848</v>
      </c>
      <c r="UT258">
        <v>852</v>
      </c>
      <c r="UU258">
        <v>852</v>
      </c>
      <c r="UV258">
        <v>852</v>
      </c>
      <c r="UW258">
        <v>852</v>
      </c>
      <c r="UX258">
        <v>855.5</v>
      </c>
      <c r="UY258">
        <v>856</v>
      </c>
      <c r="UZ258">
        <v>856.6</v>
      </c>
      <c r="VA258">
        <v>857.6</v>
      </c>
      <c r="VB258">
        <v>859.6</v>
      </c>
      <c r="VC258">
        <v>869.6</v>
      </c>
      <c r="VD258">
        <v>870.2</v>
      </c>
      <c r="VE258">
        <v>870.5</v>
      </c>
      <c r="VF258" s="1304">
        <v>876.2</v>
      </c>
      <c r="VG258" s="1304">
        <v>877</v>
      </c>
      <c r="VH258" s="1304">
        <v>877</v>
      </c>
      <c r="VI258" s="1304">
        <v>877</v>
      </c>
      <c r="VJ258" s="1304">
        <v>878.5</v>
      </c>
      <c r="VK258">
        <v>882.5</v>
      </c>
      <c r="VL258" s="1304">
        <v>882.8</v>
      </c>
      <c r="VM258" s="1304">
        <v>883</v>
      </c>
      <c r="VN258" s="1304">
        <v>883</v>
      </c>
      <c r="VO258" s="1304">
        <v>883</v>
      </c>
      <c r="VP258" s="1304">
        <v>884</v>
      </c>
      <c r="VQ258" s="1304">
        <v>889</v>
      </c>
      <c r="VR258" s="1304">
        <v>889</v>
      </c>
      <c r="VS258" s="1304">
        <v>889</v>
      </c>
      <c r="VT258" s="1304">
        <v>889</v>
      </c>
      <c r="VU258" s="1304">
        <v>889</v>
      </c>
      <c r="VV258" s="1304">
        <v>890</v>
      </c>
      <c r="VW258" s="1304">
        <v>890.5</v>
      </c>
      <c r="VX258" s="1304">
        <v>890.5</v>
      </c>
      <c r="VY258" s="1304">
        <v>896</v>
      </c>
      <c r="VZ258" s="1304">
        <v>896</v>
      </c>
      <c r="WA258" s="1304">
        <v>896</v>
      </c>
      <c r="WB258" s="1304">
        <v>896</v>
      </c>
      <c r="WC258" s="1304">
        <v>896</v>
      </c>
      <c r="WD258" s="1304">
        <v>900</v>
      </c>
      <c r="WE258" s="1304">
        <v>900</v>
      </c>
      <c r="WF258" s="1304">
        <v>900</v>
      </c>
      <c r="WG258" s="1304">
        <v>900</v>
      </c>
      <c r="WH258" s="1304">
        <v>900</v>
      </c>
      <c r="WI258" s="1304">
        <v>900</v>
      </c>
      <c r="WJ258" s="1304">
        <v>900</v>
      </c>
      <c r="WK258" s="1304">
        <v>903</v>
      </c>
      <c r="WL258" s="1304">
        <v>903</v>
      </c>
      <c r="WM258" s="1304">
        <v>903</v>
      </c>
      <c r="WN258" s="1304">
        <v>903</v>
      </c>
      <c r="WO258" s="1304">
        <v>903</v>
      </c>
      <c r="WP258" s="1304">
        <v>903</v>
      </c>
      <c r="WQ258" s="1304">
        <v>903</v>
      </c>
      <c r="WR258" s="1304">
        <v>903</v>
      </c>
      <c r="WS258" s="1304">
        <v>903</v>
      </c>
      <c r="WT258" s="1304">
        <v>903</v>
      </c>
      <c r="WU258" s="1304">
        <v>906.6</v>
      </c>
      <c r="WV258" s="1304">
        <v>906.6</v>
      </c>
      <c r="WW258" s="1304">
        <v>907</v>
      </c>
      <c r="WX258" s="1304">
        <v>907</v>
      </c>
      <c r="WY258" s="1304">
        <v>907</v>
      </c>
      <c r="WZ258" s="1304">
        <v>925</v>
      </c>
      <c r="XA258" s="1304">
        <v>925</v>
      </c>
      <c r="XB258" s="1304">
        <v>926</v>
      </c>
      <c r="XC258" s="1304">
        <v>926</v>
      </c>
      <c r="XD258" s="1304">
        <v>927</v>
      </c>
      <c r="XE258" s="1304">
        <v>927</v>
      </c>
      <c r="XF258" s="1304">
        <v>929</v>
      </c>
      <c r="XG258" s="1304">
        <v>929</v>
      </c>
      <c r="XH258" s="1304">
        <v>929</v>
      </c>
      <c r="XI258" s="1304">
        <v>930</v>
      </c>
      <c r="XJ258" s="1304">
        <v>930.5</v>
      </c>
      <c r="XK258" s="1304">
        <v>930.5</v>
      </c>
      <c r="XL258" s="1304">
        <v>930.5</v>
      </c>
      <c r="XM258" s="1304">
        <v>931</v>
      </c>
      <c r="XN258" s="1304">
        <v>936</v>
      </c>
      <c r="XO258" s="1304">
        <v>936</v>
      </c>
      <c r="XP258" s="1304">
        <v>936</v>
      </c>
      <c r="XQ258" s="1304">
        <v>937</v>
      </c>
      <c r="XR258" s="1304">
        <v>941</v>
      </c>
      <c r="XS258" s="1304">
        <v>941</v>
      </c>
      <c r="XT258" s="1304">
        <v>941</v>
      </c>
      <c r="XU258" s="1304">
        <v>941</v>
      </c>
      <c r="XV258" s="1304">
        <v>941</v>
      </c>
      <c r="XW258" s="1304">
        <v>941</v>
      </c>
      <c r="XX258" s="1304">
        <v>941</v>
      </c>
      <c r="XY258" s="1304">
        <v>942</v>
      </c>
      <c r="XZ258" s="1304">
        <v>944</v>
      </c>
      <c r="YA258" s="1304">
        <v>948</v>
      </c>
      <c r="YB258" s="1304">
        <v>948</v>
      </c>
      <c r="YC258" s="1304">
        <v>948</v>
      </c>
      <c r="YD258" s="1304">
        <v>948</v>
      </c>
      <c r="YE258" s="1304">
        <v>949</v>
      </c>
      <c r="YF258" s="1304">
        <v>949.5</v>
      </c>
      <c r="YG258" s="1304">
        <v>950</v>
      </c>
      <c r="YH258" s="1304">
        <v>950.5</v>
      </c>
      <c r="YI258" s="1304">
        <v>950.5</v>
      </c>
      <c r="YJ258" s="1304">
        <v>951.5</v>
      </c>
      <c r="YK258" s="1304">
        <v>954.5</v>
      </c>
      <c r="YL258" s="1304">
        <v>954.5</v>
      </c>
      <c r="YM258" s="1304">
        <v>954.5</v>
      </c>
      <c r="YN258" s="1304">
        <v>954.5</v>
      </c>
      <c r="YO258" s="1304">
        <v>955.5</v>
      </c>
      <c r="YP258" s="1304">
        <v>956.5</v>
      </c>
      <c r="YQ258" s="1304">
        <v>956.5</v>
      </c>
      <c r="YR258" s="1304">
        <v>956.5</v>
      </c>
      <c r="YS258" s="1304">
        <v>956.5</v>
      </c>
      <c r="YT258" s="1304">
        <v>958.5</v>
      </c>
      <c r="YU258" s="1304">
        <v>960</v>
      </c>
      <c r="YV258" s="1304">
        <v>961.5</v>
      </c>
      <c r="YW258" s="1304">
        <v>961.5</v>
      </c>
      <c r="YX258" s="1304">
        <v>961.5</v>
      </c>
      <c r="YY258" s="1304">
        <v>961.5</v>
      </c>
      <c r="YZ258" s="1304">
        <v>962.5</v>
      </c>
      <c r="ZA258" s="1304">
        <v>962.5</v>
      </c>
      <c r="ZB258" s="1304">
        <v>963</v>
      </c>
      <c r="ZC258" s="1304">
        <v>967.5</v>
      </c>
      <c r="ZD258" s="1304">
        <v>968</v>
      </c>
      <c r="ZE258" s="1304">
        <v>969</v>
      </c>
      <c r="ZF258" s="1304">
        <v>969</v>
      </c>
      <c r="ZG258" s="1304">
        <v>970</v>
      </c>
      <c r="ZH258" s="1304">
        <v>970</v>
      </c>
      <c r="ZI258" s="1304">
        <v>1005</v>
      </c>
      <c r="ZJ258" s="1304">
        <v>1006</v>
      </c>
      <c r="ZK258" s="1304">
        <v>1007</v>
      </c>
      <c r="ZL258" s="1304">
        <v>1011</v>
      </c>
      <c r="ZM258" s="1304">
        <v>1011</v>
      </c>
      <c r="ZN258" s="1304">
        <v>1019</v>
      </c>
      <c r="ZO258" s="1304">
        <v>1023</v>
      </c>
      <c r="ZP258" s="1304">
        <v>1023</v>
      </c>
      <c r="ZQ258" s="1304">
        <v>1023</v>
      </c>
      <c r="ZR258" s="1304">
        <v>1024</v>
      </c>
      <c r="ZS258" s="1304">
        <v>1028</v>
      </c>
      <c r="ZT258" s="1304">
        <v>1028</v>
      </c>
      <c r="ZU258" s="1304">
        <v>1030</v>
      </c>
      <c r="ZV258" s="1304">
        <v>1034</v>
      </c>
      <c r="ZW258" s="1304">
        <v>1035</v>
      </c>
      <c r="ZX258" s="1304">
        <v>1055</v>
      </c>
      <c r="ZY258" s="1304">
        <v>1075</v>
      </c>
      <c r="ZZ258" s="1304">
        <v>1090</v>
      </c>
      <c r="AAA258" s="1304">
        <v>1091</v>
      </c>
      <c r="AAB258" s="1304">
        <v>1094</v>
      </c>
      <c r="AAC258" s="1304">
        <v>1100</v>
      </c>
      <c r="AAD258" s="1304">
        <v>1101</v>
      </c>
      <c r="AAE258" s="1304">
        <v>1104</v>
      </c>
      <c r="AAF258" s="1304">
        <v>1105</v>
      </c>
      <c r="AAG258" s="1304">
        <v>1108</v>
      </c>
      <c r="AAH258" s="1304">
        <v>1110</v>
      </c>
      <c r="AAI258" s="1304">
        <v>1110</v>
      </c>
      <c r="AAJ258" s="1304">
        <v>1111</v>
      </c>
      <c r="AAK258" s="1304">
        <v>1112</v>
      </c>
      <c r="AAL258" s="1304">
        <v>1113</v>
      </c>
      <c r="AAM258" s="1304">
        <v>1116</v>
      </c>
      <c r="AAN258" s="1304">
        <v>1118</v>
      </c>
      <c r="AAO258" s="1304">
        <v>1119</v>
      </c>
      <c r="AAP258" s="1304">
        <v>1123</v>
      </c>
      <c r="AAQ258" s="1304">
        <v>1125</v>
      </c>
      <c r="AAR258" s="1304">
        <v>1125</v>
      </c>
      <c r="AAS258" s="1304">
        <v>1126</v>
      </c>
      <c r="AAT258" s="1304">
        <v>1128</v>
      </c>
      <c r="AAU258" s="1304">
        <v>1130</v>
      </c>
      <c r="AAV258" s="1304">
        <v>1131</v>
      </c>
      <c r="AAW258" s="1304">
        <v>1132</v>
      </c>
      <c r="AAX258" s="1304">
        <v>1132</v>
      </c>
      <c r="AAY258" s="1304">
        <v>1133</v>
      </c>
      <c r="AAZ258" s="1304">
        <v>1134</v>
      </c>
      <c r="ABA258" s="1304">
        <v>1134</v>
      </c>
      <c r="ABB258" s="1304">
        <v>1135</v>
      </c>
      <c r="ABC258" s="1304">
        <v>1136</v>
      </c>
      <c r="ABD258" s="1304">
        <v>1137</v>
      </c>
      <c r="ABE258" s="1304">
        <v>1138</v>
      </c>
      <c r="ABF258" s="1304">
        <v>1139</v>
      </c>
      <c r="ABG258" s="1304">
        <v>1139</v>
      </c>
      <c r="ABH258" s="1304">
        <v>1144</v>
      </c>
      <c r="ABI258" s="1304">
        <v>1146</v>
      </c>
      <c r="ABJ258" s="1304">
        <v>1147</v>
      </c>
      <c r="ABK258" s="1304">
        <v>1147</v>
      </c>
      <c r="ABL258" s="1304">
        <v>1148</v>
      </c>
      <c r="ABM258" s="1304">
        <v>1149</v>
      </c>
      <c r="ABN258" s="1304">
        <v>1149</v>
      </c>
      <c r="ABO258" s="1304">
        <v>1149</v>
      </c>
      <c r="ABP258" s="1304">
        <v>1150</v>
      </c>
      <c r="ABQ258" s="1304">
        <v>1150</v>
      </c>
      <c r="ABR258" s="1304">
        <v>1151</v>
      </c>
      <c r="ABS258" s="1304">
        <v>1152</v>
      </c>
      <c r="ABT258" s="1304">
        <v>1152</v>
      </c>
      <c r="ABU258" s="1304">
        <v>1155</v>
      </c>
      <c r="ABV258" s="1304">
        <v>1156</v>
      </c>
      <c r="ABW258" s="1304">
        <v>1156</v>
      </c>
      <c r="ABX258" s="1304">
        <v>1157</v>
      </c>
      <c r="ABY258" s="1304">
        <v>1158</v>
      </c>
      <c r="ABZ258" s="1304">
        <v>1159</v>
      </c>
      <c r="ACA258" s="1304">
        <v>1160</v>
      </c>
      <c r="ACB258" s="1304">
        <v>1162</v>
      </c>
      <c r="ACC258" s="1304">
        <v>1166</v>
      </c>
      <c r="ACD258" s="1304">
        <v>1167</v>
      </c>
      <c r="ACE258" s="1304">
        <v>1168</v>
      </c>
      <c r="ACF258" s="1304">
        <v>1169</v>
      </c>
      <c r="ACG258" s="1304">
        <v>1170</v>
      </c>
      <c r="ACH258" s="1304">
        <v>1171</v>
      </c>
      <c r="ACI258" s="1304">
        <v>1171</v>
      </c>
      <c r="ACJ258" s="1304">
        <v>1174</v>
      </c>
      <c r="ACK258" s="1304">
        <v>1176</v>
      </c>
      <c r="ACL258" s="1304">
        <v>1176</v>
      </c>
      <c r="ACM258" s="1304">
        <v>1176</v>
      </c>
      <c r="ACN258" s="1304">
        <v>1176</v>
      </c>
      <c r="ACO258" s="1304">
        <v>1177</v>
      </c>
      <c r="ACP258" s="1304">
        <v>1178</v>
      </c>
      <c r="ACQ258" s="1304">
        <v>1179</v>
      </c>
      <c r="ACR258" s="1304">
        <v>1182</v>
      </c>
      <c r="ACS258" s="1304">
        <v>1183</v>
      </c>
      <c r="ACT258" s="1304">
        <v>1185</v>
      </c>
      <c r="ACU258" s="1304">
        <v>1186</v>
      </c>
      <c r="ACV258" s="1304">
        <v>1187</v>
      </c>
      <c r="ACW258" s="1304">
        <v>1188</v>
      </c>
      <c r="ACX258" s="1304">
        <v>1195</v>
      </c>
      <c r="ACY258" s="1304">
        <v>1197</v>
      </c>
      <c r="ACZ258" s="1304">
        <v>1198</v>
      </c>
      <c r="ADA258" s="1304">
        <v>1199</v>
      </c>
      <c r="ADB258" s="1304">
        <v>1200</v>
      </c>
      <c r="ADC258" s="1304">
        <v>1210</v>
      </c>
      <c r="ADD258" s="1304">
        <v>1214</v>
      </c>
      <c r="ADE258" s="1304">
        <v>1224</v>
      </c>
      <c r="ADF258" s="1304">
        <v>1225</v>
      </c>
      <c r="ADG258" s="1304">
        <v>1235</v>
      </c>
      <c r="ADH258" s="1304">
        <v>1240</v>
      </c>
      <c r="ADI258" s="1304">
        <v>1242</v>
      </c>
      <c r="ADJ258" s="1304">
        <v>1242</v>
      </c>
      <c r="ADK258" s="1304">
        <v>1245</v>
      </c>
      <c r="ADL258" s="1304">
        <v>1246</v>
      </c>
      <c r="ADM258" s="1304">
        <v>1246</v>
      </c>
      <c r="ADN258" s="1304">
        <v>1246</v>
      </c>
      <c r="ADO258" s="1304">
        <v>1247</v>
      </c>
      <c r="ADP258" s="1304">
        <v>1247</v>
      </c>
      <c r="ADQ258" s="1304">
        <v>1247</v>
      </c>
      <c r="ADR258" s="1304">
        <v>1257</v>
      </c>
      <c r="ADS258" s="1304">
        <v>1257</v>
      </c>
      <c r="ADT258" s="1304">
        <v>1260</v>
      </c>
      <c r="ADU258" s="1304">
        <v>1260</v>
      </c>
      <c r="ADV258" s="1304">
        <v>1260</v>
      </c>
      <c r="ADW258" s="1304">
        <v>1260</v>
      </c>
      <c r="ADX258" s="1304">
        <v>1260</v>
      </c>
      <c r="ADY258" s="1304">
        <v>1260</v>
      </c>
      <c r="ADZ258" s="1304">
        <v>1260</v>
      </c>
      <c r="AEA258" s="1304">
        <v>1260</v>
      </c>
      <c r="AEB258" s="1304">
        <v>1260</v>
      </c>
      <c r="AEC258" s="1304">
        <v>1260</v>
      </c>
      <c r="AED258" s="1304">
        <v>1260</v>
      </c>
      <c r="AEE258" s="1304">
        <v>1260</v>
      </c>
      <c r="AEF258" s="1304">
        <v>1260</v>
      </c>
      <c r="AEG258" s="1304">
        <v>1260</v>
      </c>
      <c r="AEH258" s="1304">
        <v>1260</v>
      </c>
      <c r="AEI258" s="1304">
        <v>1260</v>
      </c>
    </row>
    <row r="259" spans="2:964" s="1304" customFormat="1">
      <c r="G259" s="4"/>
      <c r="J259">
        <v>33</v>
      </c>
      <c r="L259" s="1304">
        <v>50</v>
      </c>
      <c r="R259" s="1304">
        <v>100</v>
      </c>
      <c r="ABP259" s="1304">
        <v>3</v>
      </c>
      <c r="ABQ259" s="1304">
        <v>3</v>
      </c>
      <c r="ABR259" s="1304">
        <v>3</v>
      </c>
      <c r="ABS259" s="1304">
        <f>3+4.2+4.8</f>
        <v>12</v>
      </c>
      <c r="ABT259" s="1304">
        <v>13</v>
      </c>
      <c r="ABU259" s="1304">
        <v>13</v>
      </c>
      <c r="ABV259" s="1304">
        <v>13</v>
      </c>
      <c r="ABW259" s="1304">
        <v>17</v>
      </c>
      <c r="ABX259" s="1304">
        <v>17</v>
      </c>
      <c r="ABY259" s="1304">
        <f>17+6</f>
        <v>23</v>
      </c>
      <c r="ABZ259" s="1304">
        <v>23</v>
      </c>
      <c r="ACA259" s="1304">
        <f>23+10</f>
        <v>33</v>
      </c>
      <c r="ACB259" s="1304">
        <v>34</v>
      </c>
      <c r="ACC259" s="1304">
        <v>34</v>
      </c>
      <c r="ACD259" s="1304">
        <v>34</v>
      </c>
      <c r="ACE259" s="1304">
        <v>34</v>
      </c>
      <c r="ACF259" s="1304">
        <v>34</v>
      </c>
      <c r="ACG259" s="1304">
        <v>40</v>
      </c>
      <c r="ACH259" s="1304">
        <v>50</v>
      </c>
      <c r="ACI259" s="1304">
        <v>50</v>
      </c>
      <c r="ACJ259" s="1304">
        <v>50</v>
      </c>
      <c r="ACK259" s="1304">
        <v>57</v>
      </c>
      <c r="ACL259" s="1304">
        <v>60</v>
      </c>
      <c r="ACM259" s="1304">
        <v>66</v>
      </c>
      <c r="ACN259" s="1304">
        <v>66</v>
      </c>
      <c r="ACO259" s="1304">
        <v>79</v>
      </c>
      <c r="ACP259" s="1304">
        <v>83</v>
      </c>
      <c r="ACQ259" s="1304">
        <v>113</v>
      </c>
      <c r="ACR259" s="1304">
        <v>123</v>
      </c>
      <c r="ACS259" s="1304">
        <v>124</v>
      </c>
      <c r="ACT259" s="1304">
        <v>125</v>
      </c>
      <c r="ACU259" s="1304">
        <v>126</v>
      </c>
      <c r="ACV259" s="1304">
        <v>128</v>
      </c>
      <c r="ACW259" s="1304">
        <v>132</v>
      </c>
      <c r="ACX259" s="1304">
        <v>134</v>
      </c>
      <c r="ACY259" s="1304">
        <v>158</v>
      </c>
      <c r="ACZ259" s="1304">
        <v>159</v>
      </c>
      <c r="ADA259" s="1304">
        <v>159</v>
      </c>
      <c r="ADB259" s="1304">
        <v>159</v>
      </c>
      <c r="ADC259" s="1304">
        <v>190</v>
      </c>
      <c r="ADD259" s="1304">
        <v>190</v>
      </c>
      <c r="ADE259" s="1304">
        <v>290</v>
      </c>
      <c r="ADF259" s="1304">
        <v>330</v>
      </c>
      <c r="ADG259" s="1304">
        <v>350</v>
      </c>
      <c r="ADH259" s="1304">
        <v>410</v>
      </c>
      <c r="ADI259" s="1304">
        <v>455</v>
      </c>
      <c r="ADJ259" s="1304">
        <v>485</v>
      </c>
      <c r="ADK259" s="1304">
        <v>515</v>
      </c>
      <c r="ADL259" s="1304">
        <v>520</v>
      </c>
      <c r="ADM259" s="1304">
        <v>532</v>
      </c>
      <c r="ADN259" s="1304">
        <v>652</v>
      </c>
      <c r="ADO259" s="1304">
        <v>688</v>
      </c>
      <c r="ADP259" s="1304">
        <v>691</v>
      </c>
      <c r="ADQ259" s="1304">
        <v>750</v>
      </c>
      <c r="ADR259" s="1304">
        <v>750</v>
      </c>
      <c r="ADS259" s="1304">
        <v>755</v>
      </c>
      <c r="ADT259" s="1304">
        <v>788</v>
      </c>
      <c r="ADU259" s="1304">
        <v>800</v>
      </c>
      <c r="ADV259" s="1304">
        <v>800</v>
      </c>
      <c r="ADW259" s="1304">
        <v>800</v>
      </c>
      <c r="ADX259" s="1304">
        <v>800</v>
      </c>
      <c r="ADY259" s="1304">
        <v>800</v>
      </c>
      <c r="ADZ259" s="1304">
        <v>807</v>
      </c>
      <c r="AEA259" s="1304">
        <v>807</v>
      </c>
      <c r="AEB259" s="1304">
        <v>807</v>
      </c>
      <c r="AEC259" s="1304">
        <v>807</v>
      </c>
      <c r="AED259" s="1304">
        <v>807</v>
      </c>
      <c r="AEE259" s="1304">
        <v>820</v>
      </c>
      <c r="AEF259" s="1304">
        <v>820</v>
      </c>
      <c r="AEG259" s="1304">
        <v>820</v>
      </c>
      <c r="AEH259" s="1304">
        <v>820</v>
      </c>
      <c r="AEI259" s="1304">
        <v>820</v>
      </c>
    </row>
    <row r="260" spans="2:964" s="1304" customFormat="1">
      <c r="G260" s="4"/>
      <c r="J260">
        <v>15</v>
      </c>
      <c r="L260" s="1304">
        <v>20</v>
      </c>
      <c r="R260" s="1304">
        <v>17</v>
      </c>
      <c r="WQ260" s="1304">
        <v>10</v>
      </c>
      <c r="WR260" s="1304">
        <v>158</v>
      </c>
      <c r="WS260" s="1304">
        <v>158</v>
      </c>
      <c r="WT260" s="1304">
        <v>158</v>
      </c>
      <c r="WU260" s="1304">
        <v>162</v>
      </c>
      <c r="WV260" s="1304">
        <v>165.1</v>
      </c>
      <c r="WW260" s="1304">
        <v>165.3</v>
      </c>
      <c r="WX260" s="1304">
        <v>165.3</v>
      </c>
      <c r="WY260" s="1304">
        <v>167</v>
      </c>
      <c r="WZ260" s="1304">
        <v>169</v>
      </c>
      <c r="XA260" s="1304">
        <v>169</v>
      </c>
      <c r="XB260" s="1304">
        <v>171</v>
      </c>
      <c r="XC260" s="1304">
        <v>171</v>
      </c>
      <c r="XD260" s="1304">
        <v>172</v>
      </c>
      <c r="XE260" s="1304">
        <v>172</v>
      </c>
      <c r="XF260" s="1304">
        <v>180</v>
      </c>
      <c r="XG260" s="1304">
        <v>180</v>
      </c>
      <c r="XH260" s="1304">
        <v>181</v>
      </c>
      <c r="XI260" s="1304">
        <v>182</v>
      </c>
      <c r="XJ260" s="1304">
        <v>182</v>
      </c>
      <c r="XK260" s="1304">
        <v>182</v>
      </c>
      <c r="XL260" s="1304">
        <v>182</v>
      </c>
      <c r="XM260" s="1304">
        <v>184</v>
      </c>
      <c r="XN260" s="1304">
        <v>187</v>
      </c>
      <c r="XO260" s="1304">
        <v>188</v>
      </c>
      <c r="XP260" s="1304">
        <v>188</v>
      </c>
      <c r="XQ260" s="1304">
        <v>189</v>
      </c>
      <c r="XR260" s="1304">
        <v>189.5</v>
      </c>
      <c r="XS260" s="1304">
        <v>189.5</v>
      </c>
      <c r="XT260" s="1304">
        <v>189.5</v>
      </c>
      <c r="XU260" s="1304">
        <v>190</v>
      </c>
      <c r="XV260" s="1304">
        <v>190.5</v>
      </c>
      <c r="XW260" s="1304">
        <v>190.5</v>
      </c>
      <c r="XX260" s="1304">
        <v>190.5</v>
      </c>
      <c r="XY260" s="1304">
        <v>192.5</v>
      </c>
      <c r="XZ260" s="1304">
        <v>192.5</v>
      </c>
      <c r="YA260" s="1304">
        <v>196</v>
      </c>
      <c r="YB260" s="1304">
        <v>196.2</v>
      </c>
      <c r="YC260" s="1304">
        <v>196.3</v>
      </c>
      <c r="YD260" s="1304">
        <v>196.3</v>
      </c>
      <c r="YE260" s="1304">
        <v>197</v>
      </c>
      <c r="YF260" s="1304">
        <v>197</v>
      </c>
      <c r="YG260" s="1304">
        <v>197.5</v>
      </c>
      <c r="YH260" s="1304">
        <v>198</v>
      </c>
      <c r="YI260" s="1304">
        <v>198</v>
      </c>
      <c r="YJ260" s="1304">
        <v>199</v>
      </c>
      <c r="YK260" s="1304">
        <v>200</v>
      </c>
      <c r="YL260" s="1304">
        <v>200</v>
      </c>
      <c r="YM260" s="1304">
        <v>200</v>
      </c>
      <c r="YN260" s="1304">
        <v>200</v>
      </c>
      <c r="YO260" s="1304">
        <v>201</v>
      </c>
      <c r="YP260" s="1304">
        <v>201.5</v>
      </c>
      <c r="YQ260" s="1304">
        <v>201.5</v>
      </c>
      <c r="YR260" s="1304">
        <v>201.5</v>
      </c>
      <c r="YS260" s="1304">
        <v>202</v>
      </c>
      <c r="YT260" s="1304">
        <v>203</v>
      </c>
      <c r="YU260" s="1304">
        <v>204</v>
      </c>
      <c r="YV260" s="1304">
        <v>204.5</v>
      </c>
      <c r="YW260" s="1304">
        <v>204.5</v>
      </c>
      <c r="YX260" s="1304">
        <v>204.5</v>
      </c>
      <c r="YY260" s="1304">
        <v>214.5</v>
      </c>
      <c r="YZ260" s="1304">
        <v>214.5</v>
      </c>
      <c r="ZA260" s="1304">
        <v>215</v>
      </c>
      <c r="ZB260" s="1304">
        <v>215.5</v>
      </c>
      <c r="ZC260" s="1304">
        <v>216</v>
      </c>
      <c r="ZD260" s="1304">
        <v>218</v>
      </c>
      <c r="ZE260" s="1304">
        <v>219</v>
      </c>
      <c r="ZF260" s="1304">
        <v>219</v>
      </c>
      <c r="ZG260" s="1304">
        <v>225</v>
      </c>
      <c r="ZH260" s="1304">
        <v>225</v>
      </c>
      <c r="ZI260" s="1304">
        <v>266</v>
      </c>
      <c r="ZJ260" s="1304">
        <v>267</v>
      </c>
      <c r="ZK260" s="1304">
        <v>268</v>
      </c>
      <c r="ZL260" s="1304">
        <v>269</v>
      </c>
      <c r="ZM260" s="1304">
        <v>270</v>
      </c>
      <c r="ZN260" s="1304">
        <v>276</v>
      </c>
      <c r="ZO260" s="1304">
        <v>280</v>
      </c>
      <c r="ZP260" s="1304">
        <v>281</v>
      </c>
      <c r="ZQ260" s="1304">
        <v>282</v>
      </c>
      <c r="ZR260" s="1304">
        <v>283</v>
      </c>
      <c r="ZS260" s="1304">
        <v>285</v>
      </c>
      <c r="ZT260" s="1304">
        <v>286</v>
      </c>
      <c r="ZU260" s="1304">
        <v>287</v>
      </c>
      <c r="ZV260" s="1304">
        <v>287</v>
      </c>
      <c r="ZW260" s="1304">
        <v>288</v>
      </c>
      <c r="ZX260" s="1304">
        <v>300</v>
      </c>
      <c r="ZY260" s="1304">
        <v>320</v>
      </c>
      <c r="ZZ260" s="1304">
        <v>330</v>
      </c>
      <c r="AAA260" s="1304">
        <v>331</v>
      </c>
      <c r="AAB260" s="1304">
        <v>333</v>
      </c>
      <c r="AAC260" s="1304">
        <v>335</v>
      </c>
      <c r="AAD260" s="1304">
        <v>336</v>
      </c>
      <c r="AAE260" s="1304">
        <v>338</v>
      </c>
      <c r="AAF260" s="1304">
        <v>339</v>
      </c>
      <c r="AAG260" s="1304">
        <v>340</v>
      </c>
      <c r="AAH260" s="1304">
        <v>341</v>
      </c>
      <c r="AAI260" s="1304">
        <v>343</v>
      </c>
      <c r="AAJ260" s="1304">
        <v>344</v>
      </c>
      <c r="AAK260" s="1304">
        <v>345</v>
      </c>
      <c r="AAL260" s="1304">
        <v>345</v>
      </c>
      <c r="AAM260" s="1304">
        <v>347</v>
      </c>
      <c r="AAN260" s="1304">
        <v>348</v>
      </c>
      <c r="AAO260" s="1304">
        <v>349</v>
      </c>
      <c r="AAP260" s="1304">
        <v>349</v>
      </c>
      <c r="AAQ260" s="1304">
        <v>351</v>
      </c>
      <c r="AAR260" s="1304">
        <v>351</v>
      </c>
      <c r="AAS260" s="1304">
        <v>352</v>
      </c>
      <c r="AAT260" s="1304">
        <v>356</v>
      </c>
      <c r="AAU260" s="1304">
        <v>359</v>
      </c>
      <c r="AAV260" s="1304">
        <v>363</v>
      </c>
      <c r="AAW260" s="1304">
        <v>364</v>
      </c>
      <c r="AAX260" s="1304">
        <v>365</v>
      </c>
      <c r="AAY260" s="1304">
        <v>366</v>
      </c>
      <c r="AAZ260" s="1304">
        <v>368</v>
      </c>
      <c r="ABA260" s="1304">
        <v>368</v>
      </c>
      <c r="ABB260" s="1304">
        <v>369</v>
      </c>
      <c r="ABC260" s="1304">
        <v>370</v>
      </c>
      <c r="ABD260" s="1304">
        <v>371</v>
      </c>
      <c r="ABE260" s="1304">
        <v>372</v>
      </c>
      <c r="ABF260" s="1304">
        <v>373</v>
      </c>
      <c r="ABG260" s="1304">
        <v>376</v>
      </c>
      <c r="ABH260" s="1304">
        <v>378</v>
      </c>
      <c r="ABI260" s="1304">
        <v>379</v>
      </c>
      <c r="ABJ260" s="1304">
        <v>380</v>
      </c>
      <c r="ABK260" s="1304">
        <v>381</v>
      </c>
      <c r="ABL260" s="1304">
        <v>382</v>
      </c>
      <c r="ABM260" s="1304">
        <v>383</v>
      </c>
      <c r="ABN260" s="1304">
        <v>384</v>
      </c>
      <c r="ABO260" s="1304">
        <v>385</v>
      </c>
      <c r="ABP260" s="1304">
        <v>385</v>
      </c>
      <c r="ABQ260" s="1304">
        <v>390</v>
      </c>
      <c r="ABR260" s="1304">
        <v>391</v>
      </c>
      <c r="ABS260" s="1304">
        <v>391</v>
      </c>
      <c r="ABT260" s="1304">
        <v>392</v>
      </c>
      <c r="ABU260" s="1304">
        <v>394</v>
      </c>
      <c r="ABV260" s="1304">
        <v>395</v>
      </c>
      <c r="ABW260" s="1304">
        <v>396</v>
      </c>
      <c r="ABX260" s="1304">
        <v>397</v>
      </c>
      <c r="ABY260" s="1304">
        <v>397</v>
      </c>
      <c r="ABZ260" s="1304">
        <v>398</v>
      </c>
      <c r="ACA260" s="1304">
        <v>398</v>
      </c>
      <c r="ACB260" s="1304">
        <v>400</v>
      </c>
      <c r="ACC260" s="1304">
        <v>400</v>
      </c>
      <c r="ACD260" s="1304">
        <v>400</v>
      </c>
      <c r="ACE260" s="1304">
        <v>400</v>
      </c>
      <c r="ACF260" s="1304">
        <v>408</v>
      </c>
      <c r="ACG260" s="1304">
        <v>410</v>
      </c>
      <c r="ACH260" s="1304">
        <v>410</v>
      </c>
      <c r="ACI260" s="1304">
        <v>411</v>
      </c>
      <c r="ACJ260" s="1304">
        <v>413</v>
      </c>
      <c r="ACK260" s="1304">
        <v>431</v>
      </c>
      <c r="ACL260" s="1304">
        <v>432</v>
      </c>
      <c r="ACM260" s="1304">
        <v>433</v>
      </c>
      <c r="ACN260" s="1304">
        <v>433</v>
      </c>
      <c r="ACO260" s="1304">
        <v>435</v>
      </c>
      <c r="ACP260" s="1304">
        <v>436</v>
      </c>
      <c r="ACQ260" s="1304">
        <v>441</v>
      </c>
      <c r="ACR260" s="1304">
        <v>445</v>
      </c>
      <c r="ACS260" s="1304">
        <v>447</v>
      </c>
      <c r="ACT260" s="1304">
        <v>451</v>
      </c>
      <c r="ACU260" s="1304">
        <v>453</v>
      </c>
      <c r="ACV260" s="1304">
        <v>454</v>
      </c>
      <c r="ACW260" s="1304">
        <v>455</v>
      </c>
      <c r="ACX260" s="1304">
        <v>459</v>
      </c>
      <c r="ACY260" s="1304">
        <v>463</v>
      </c>
      <c r="ACZ260" s="1304">
        <v>465</v>
      </c>
      <c r="ADA260" s="1304">
        <v>467</v>
      </c>
      <c r="ADB260" s="1304">
        <v>469</v>
      </c>
      <c r="ADC260" s="1304">
        <v>480</v>
      </c>
      <c r="ADD260" s="1304">
        <v>483</v>
      </c>
      <c r="ADE260" s="1304">
        <v>493</v>
      </c>
      <c r="ADF260" s="1304">
        <v>496</v>
      </c>
      <c r="ADG260" s="1304">
        <v>500</v>
      </c>
      <c r="ADH260" s="1304">
        <v>505</v>
      </c>
      <c r="ADI260" s="1304">
        <v>515</v>
      </c>
      <c r="ADJ260" s="1304">
        <v>525</v>
      </c>
      <c r="ADK260" s="1304">
        <v>540</v>
      </c>
      <c r="ADL260" s="1304">
        <v>545</v>
      </c>
      <c r="ADM260" s="1304">
        <v>547</v>
      </c>
      <c r="ADN260" s="1304">
        <v>552</v>
      </c>
      <c r="ADO260" s="1304">
        <v>555</v>
      </c>
      <c r="ADP260" s="1304">
        <v>558</v>
      </c>
      <c r="ADQ260" s="1304">
        <v>560</v>
      </c>
      <c r="ADR260" s="1304">
        <v>570</v>
      </c>
      <c r="ADS260" s="1304">
        <v>571</v>
      </c>
      <c r="ADT260" s="1304">
        <v>575</v>
      </c>
      <c r="ADU260" s="1304">
        <v>580</v>
      </c>
      <c r="ADV260" s="1304">
        <v>585</v>
      </c>
      <c r="ADW260" s="1304">
        <v>590</v>
      </c>
      <c r="ADX260" s="1304">
        <v>595</v>
      </c>
      <c r="ADY260" s="1304">
        <v>600</v>
      </c>
      <c r="ADZ260" s="1304">
        <v>605</v>
      </c>
      <c r="AEA260" s="1304">
        <v>615</v>
      </c>
      <c r="AEB260" s="1304">
        <v>620</v>
      </c>
      <c r="AEC260" s="1304">
        <v>630</v>
      </c>
      <c r="AED260" s="1304">
        <v>645</v>
      </c>
      <c r="AEE260" s="1304">
        <v>660</v>
      </c>
      <c r="AEF260" s="1304">
        <v>670</v>
      </c>
      <c r="AEG260" s="1304">
        <v>675</v>
      </c>
      <c r="AEH260" s="1304">
        <v>680</v>
      </c>
      <c r="AEI260" s="1304">
        <v>690</v>
      </c>
    </row>
    <row r="261" spans="2:964">
      <c r="J261">
        <v>20</v>
      </c>
      <c r="L261" s="1304">
        <v>50</v>
      </c>
      <c r="R261">
        <v>33</v>
      </c>
      <c r="LB261">
        <v>562.20000000000005</v>
      </c>
      <c r="LC261">
        <v>56</v>
      </c>
      <c r="LD261">
        <v>56</v>
      </c>
      <c r="LE261">
        <v>56</v>
      </c>
      <c r="LF261">
        <v>56</v>
      </c>
      <c r="LG261">
        <v>17</v>
      </c>
      <c r="LH261">
        <v>17</v>
      </c>
      <c r="LI261">
        <v>17</v>
      </c>
      <c r="LK261">
        <v>1</v>
      </c>
      <c r="LL261">
        <v>1.5</v>
      </c>
      <c r="LM261">
        <v>0.5</v>
      </c>
      <c r="LO261">
        <v>17</v>
      </c>
      <c r="LP261">
        <v>-33</v>
      </c>
      <c r="LQ261">
        <v>17.3</v>
      </c>
      <c r="LW261">
        <v>1560</v>
      </c>
      <c r="LX261">
        <v>62</v>
      </c>
      <c r="LY261">
        <v>62</v>
      </c>
      <c r="LZ261">
        <v>62</v>
      </c>
      <c r="MA261">
        <v>62</v>
      </c>
      <c r="MB261">
        <v>72.900000000000006</v>
      </c>
      <c r="MC261">
        <v>72.900000000000006</v>
      </c>
      <c r="MD261">
        <v>-1438.1</v>
      </c>
      <c r="ME261">
        <v>-1167.3</v>
      </c>
      <c r="MF261">
        <v>11.6</v>
      </c>
      <c r="MG261">
        <v>11.6</v>
      </c>
      <c r="MH261">
        <v>11.6</v>
      </c>
      <c r="MI261">
        <v>11.6</v>
      </c>
      <c r="MJ261">
        <v>11.6</v>
      </c>
      <c r="MK261">
        <v>11.6</v>
      </c>
      <c r="ML261">
        <v>11.6</v>
      </c>
      <c r="MM261">
        <v>115.5</v>
      </c>
      <c r="MN261">
        <v>172</v>
      </c>
      <c r="MO261">
        <v>201</v>
      </c>
      <c r="MP261">
        <v>200</v>
      </c>
      <c r="MQ261">
        <v>83</v>
      </c>
      <c r="MR261">
        <v>71.3</v>
      </c>
      <c r="MS261">
        <v>95.5</v>
      </c>
      <c r="MT261">
        <v>116.5</v>
      </c>
      <c r="MU261">
        <v>262.7</v>
      </c>
      <c r="MV261">
        <v>311.60000000000002</v>
      </c>
      <c r="MW261">
        <v>17.3</v>
      </c>
      <c r="MX261">
        <v>35.65</v>
      </c>
      <c r="MY261">
        <v>49.88</v>
      </c>
      <c r="MZ261">
        <v>62.6</v>
      </c>
      <c r="NA261">
        <v>18.559999999999999</v>
      </c>
      <c r="NB261">
        <v>40.6</v>
      </c>
      <c r="NC261">
        <v>-83.5</v>
      </c>
      <c r="ND261">
        <v>-111.36</v>
      </c>
      <c r="NE261">
        <v>-139.19999999999999</v>
      </c>
      <c r="NF261">
        <v>-139.19999999999999</v>
      </c>
      <c r="NG261">
        <v>-167</v>
      </c>
      <c r="NH261">
        <v>-195</v>
      </c>
      <c r="NI261">
        <v>-195</v>
      </c>
      <c r="NJ261">
        <v>-195</v>
      </c>
      <c r="NK261">
        <v>-195</v>
      </c>
      <c r="NL261">
        <v>-195</v>
      </c>
      <c r="NM261">
        <v>-195</v>
      </c>
      <c r="NN261">
        <v>6</v>
      </c>
      <c r="NO261">
        <v>6</v>
      </c>
      <c r="NP261">
        <v>6</v>
      </c>
      <c r="NQ261">
        <v>6</v>
      </c>
      <c r="NR261">
        <v>6</v>
      </c>
      <c r="NS261">
        <v>6</v>
      </c>
      <c r="NT261">
        <v>6</v>
      </c>
      <c r="NU261">
        <v>6</v>
      </c>
      <c r="NV261">
        <v>6</v>
      </c>
      <c r="NW261">
        <v>6</v>
      </c>
      <c r="NX261">
        <v>6</v>
      </c>
      <c r="NY261">
        <v>6</v>
      </c>
      <c r="NZ261">
        <v>66</v>
      </c>
      <c r="OA261">
        <v>66</v>
      </c>
      <c r="OB261">
        <v>66</v>
      </c>
      <c r="OC261">
        <v>66</v>
      </c>
      <c r="OD261">
        <v>126</v>
      </c>
      <c r="OE261">
        <v>126</v>
      </c>
      <c r="OF261">
        <v>126</v>
      </c>
      <c r="OG261">
        <v>126</v>
      </c>
      <c r="OH261">
        <v>126</v>
      </c>
      <c r="OI261">
        <v>126</v>
      </c>
      <c r="OJ261">
        <v>126</v>
      </c>
      <c r="OK261">
        <v>126</v>
      </c>
      <c r="OL261">
        <v>126</v>
      </c>
      <c r="OM261">
        <v>126</v>
      </c>
      <c r="ON261">
        <v>176</v>
      </c>
      <c r="OO261">
        <v>176</v>
      </c>
      <c r="OP261">
        <v>176</v>
      </c>
      <c r="OQ261">
        <v>176</v>
      </c>
      <c r="OR261">
        <v>176</v>
      </c>
      <c r="OS261">
        <v>176</v>
      </c>
      <c r="OT261">
        <v>176</v>
      </c>
      <c r="OU261">
        <v>176</v>
      </c>
      <c r="OV261">
        <v>176</v>
      </c>
      <c r="OW261">
        <v>176</v>
      </c>
      <c r="OX261">
        <v>176</v>
      </c>
      <c r="OY261">
        <v>176</v>
      </c>
      <c r="OZ261">
        <v>206</v>
      </c>
      <c r="PA261">
        <v>-261.60000000000002</v>
      </c>
      <c r="PB261">
        <v>-261.60000000000002</v>
      </c>
      <c r="PC261">
        <v>-261.60000000000002</v>
      </c>
      <c r="PD261">
        <v>-261.60000000000002</v>
      </c>
      <c r="PE261">
        <v>-261.60000000000002</v>
      </c>
      <c r="PF261">
        <v>-261.60000000000002</v>
      </c>
      <c r="PG261">
        <v>-261.60000000000002</v>
      </c>
      <c r="PH261">
        <v>-261.60000000000002</v>
      </c>
      <c r="PI261">
        <v>-261.60000000000002</v>
      </c>
      <c r="PJ261">
        <v>-261.60000000000002</v>
      </c>
      <c r="PK261">
        <v>-261.60000000000002</v>
      </c>
      <c r="PL261">
        <v>-261.60000000000002</v>
      </c>
      <c r="PM261">
        <v>-261.60000000000002</v>
      </c>
      <c r="PN261">
        <v>-261.60000000000002</v>
      </c>
      <c r="PO261">
        <v>-261.60000000000002</v>
      </c>
      <c r="PP261">
        <v>-261.60000000000002</v>
      </c>
      <c r="PQ261">
        <v>-261.60000000000002</v>
      </c>
      <c r="PR261">
        <v>-320.2</v>
      </c>
      <c r="PS261">
        <v>-260.10000000000002</v>
      </c>
      <c r="PT261">
        <v>-260.10000000000002</v>
      </c>
      <c r="PU261">
        <v>-260.10000000000002</v>
      </c>
      <c r="PV261">
        <v>-190.1</v>
      </c>
      <c r="PW261">
        <v>-190.1</v>
      </c>
      <c r="PX261">
        <v>-190.1</v>
      </c>
      <c r="PY261">
        <v>-190.1</v>
      </c>
      <c r="PZ261">
        <v>-190.1</v>
      </c>
      <c r="QA261">
        <v>-190.1</v>
      </c>
      <c r="QB261">
        <v>-190.1</v>
      </c>
      <c r="QC261">
        <v>-190.1</v>
      </c>
      <c r="QD261">
        <v>-190.1</v>
      </c>
      <c r="QE261">
        <v>-190</v>
      </c>
      <c r="QF261">
        <v>-190.1</v>
      </c>
      <c r="QG261">
        <v>-190.1</v>
      </c>
      <c r="QH261">
        <v>-190.1</v>
      </c>
      <c r="QI261">
        <v>-133.4</v>
      </c>
      <c r="QJ261">
        <v>-133.4</v>
      </c>
      <c r="QK261">
        <v>-133.4</v>
      </c>
      <c r="QL261">
        <v>-133.4</v>
      </c>
      <c r="QM261">
        <v>-133.4</v>
      </c>
      <c r="QN261">
        <v>-133.4</v>
      </c>
      <c r="QO261">
        <v>-133.4</v>
      </c>
      <c r="QP261">
        <v>-133.4</v>
      </c>
      <c r="QQ261">
        <v>-133.4</v>
      </c>
      <c r="QR261">
        <v>-133.4</v>
      </c>
      <c r="QS261">
        <v>-133.4</v>
      </c>
      <c r="QT261">
        <v>-133.4</v>
      </c>
      <c r="QU261">
        <v>-133.4</v>
      </c>
      <c r="QV261">
        <v>-133.4</v>
      </c>
      <c r="QW261">
        <v>-133.4</v>
      </c>
      <c r="QX261">
        <v>-133.4</v>
      </c>
      <c r="QY261">
        <v>-103.4</v>
      </c>
      <c r="QZ261">
        <v>-103.4</v>
      </c>
      <c r="RA261">
        <v>-103.4</v>
      </c>
      <c r="RB261">
        <v>-3.4</v>
      </c>
      <c r="RC261">
        <v>-103.4</v>
      </c>
      <c r="RD261">
        <v>-103.4</v>
      </c>
      <c r="RE261">
        <v>-103.4</v>
      </c>
      <c r="RF261">
        <v>-73.400000000000006</v>
      </c>
      <c r="RG261">
        <v>-73.400000000000006</v>
      </c>
      <c r="RH261">
        <v>-73.400000000000006</v>
      </c>
      <c r="RI261">
        <v>-73.400000000000006</v>
      </c>
      <c r="RJ261">
        <v>-68.5</v>
      </c>
      <c r="RK261">
        <v>-68.5</v>
      </c>
      <c r="RL261">
        <v>-68.5</v>
      </c>
      <c r="RM261">
        <v>-68.5</v>
      </c>
      <c r="RN261">
        <v>-68.5</v>
      </c>
      <c r="RO261">
        <v>-68.5</v>
      </c>
      <c r="RP261">
        <v>-68.5</v>
      </c>
      <c r="SU261">
        <v>-68.5</v>
      </c>
      <c r="SV261">
        <v>-68.5</v>
      </c>
      <c r="SW261">
        <v>-68.5</v>
      </c>
      <c r="SX261">
        <v>-68.5</v>
      </c>
      <c r="SY261">
        <v>-68.5</v>
      </c>
      <c r="SZ261">
        <v>-68.5</v>
      </c>
      <c r="TA261">
        <v>-68.5</v>
      </c>
      <c r="TB261">
        <v>-68.5</v>
      </c>
      <c r="TC261">
        <v>-68.5</v>
      </c>
      <c r="TD261">
        <v>-68.5</v>
      </c>
      <c r="TE261">
        <v>-68.5</v>
      </c>
      <c r="TF261">
        <v>-68.5</v>
      </c>
      <c r="TG261">
        <v>-68.5</v>
      </c>
      <c r="TH261">
        <v>-68.5</v>
      </c>
      <c r="TI261">
        <v>-68.5</v>
      </c>
      <c r="TJ261">
        <v>-68.5</v>
      </c>
      <c r="TK261">
        <v>-68.5</v>
      </c>
      <c r="TL261">
        <v>-68.5</v>
      </c>
      <c r="TM261">
        <v>-62.4</v>
      </c>
      <c r="TN261">
        <v>-62.4</v>
      </c>
      <c r="TO261">
        <v>-62.4</v>
      </c>
      <c r="TP261">
        <v>-62.4</v>
      </c>
      <c r="TQ261">
        <v>-62.4</v>
      </c>
      <c r="TR261">
        <v>34.6</v>
      </c>
      <c r="TS261">
        <v>-18.5</v>
      </c>
      <c r="TT261">
        <v>-45.2</v>
      </c>
      <c r="TU261">
        <v>-45.2</v>
      </c>
      <c r="TV261">
        <v>-54.1</v>
      </c>
      <c r="TW261">
        <v>-102.3</v>
      </c>
      <c r="TX261">
        <v>-10.199999999999999</v>
      </c>
      <c r="TY261">
        <f>-68.6+50</f>
        <v>-18.599999999999994</v>
      </c>
      <c r="TZ261">
        <v>70.3</v>
      </c>
      <c r="UA261">
        <v>70.3</v>
      </c>
      <c r="UB261">
        <v>70.3</v>
      </c>
      <c r="UC261">
        <v>70.3</v>
      </c>
      <c r="UD261">
        <v>45.1</v>
      </c>
      <c r="UE261">
        <v>45.1</v>
      </c>
      <c r="UF261">
        <v>45.1</v>
      </c>
      <c r="UG261">
        <v>16.100000000000001</v>
      </c>
      <c r="UH261">
        <v>8.1</v>
      </c>
      <c r="UI261">
        <v>-21</v>
      </c>
      <c r="UJ261">
        <v>-21</v>
      </c>
      <c r="UK261">
        <v>-99.7</v>
      </c>
      <c r="UL261">
        <v>-123.9</v>
      </c>
      <c r="UM261">
        <v>-148.1</v>
      </c>
      <c r="UN261">
        <v>-48.1</v>
      </c>
      <c r="UO261">
        <v>-73.5</v>
      </c>
      <c r="UP261">
        <v>-60.75</v>
      </c>
      <c r="UQ261">
        <v>-89.8</v>
      </c>
      <c r="UR261">
        <v>-143.1</v>
      </c>
      <c r="US261">
        <v>-143.1</v>
      </c>
      <c r="UT261">
        <v>-167.2</v>
      </c>
      <c r="UU261">
        <v>-167.2</v>
      </c>
      <c r="UV261">
        <v>-167.2</v>
      </c>
      <c r="UW261">
        <v>-96.5</v>
      </c>
      <c r="UX261">
        <v>-96.5</v>
      </c>
      <c r="UY261">
        <v>3.5</v>
      </c>
      <c r="UZ261">
        <v>3.5</v>
      </c>
      <c r="VA261">
        <v>3.5</v>
      </c>
      <c r="VB261">
        <v>-20.6</v>
      </c>
      <c r="VC261">
        <v>-20.6</v>
      </c>
      <c r="VD261">
        <v>-44.7</v>
      </c>
      <c r="VE261">
        <v>-44.7</v>
      </c>
      <c r="VF261" s="1304">
        <v>-73.7</v>
      </c>
      <c r="VG261" s="1304">
        <v>-73.7</v>
      </c>
      <c r="VH261" s="1304">
        <v>-73.7</v>
      </c>
      <c r="VI261" s="1304">
        <v>-123.2</v>
      </c>
      <c r="VJ261" s="1304">
        <v>3.3</v>
      </c>
      <c r="VK261">
        <v>-23.7</v>
      </c>
      <c r="VL261" s="1304">
        <v>-50.3</v>
      </c>
      <c r="VM261" s="1304">
        <v>173.7</v>
      </c>
      <c r="VN261" s="1304">
        <v>173.7</v>
      </c>
      <c r="VO261" s="1304">
        <v>173.4</v>
      </c>
      <c r="VP261" s="1304">
        <v>173.4</v>
      </c>
      <c r="VQ261" s="1304">
        <f>173.4+253</f>
        <v>426.4</v>
      </c>
      <c r="VR261" s="1304">
        <v>401.8</v>
      </c>
      <c r="VS261" s="1304">
        <v>401.8</v>
      </c>
      <c r="VT261" s="1304">
        <f>401.8-25.3</f>
        <v>376.5</v>
      </c>
      <c r="VU261" s="1304">
        <v>349.3</v>
      </c>
      <c r="VV261" s="1304">
        <v>265.8</v>
      </c>
      <c r="VW261" s="1304">
        <v>289.5</v>
      </c>
      <c r="VX261" s="1304">
        <v>264.7</v>
      </c>
      <c r="VY261" s="1304">
        <v>238.6</v>
      </c>
      <c r="VZ261" s="1304">
        <f>238.6+66.95</f>
        <v>305.55</v>
      </c>
      <c r="WA261" s="1304">
        <v>305.5</v>
      </c>
      <c r="WB261" s="1304">
        <v>277.7</v>
      </c>
      <c r="WC261" s="1304">
        <v>225.6</v>
      </c>
      <c r="WD261" s="1304">
        <v>225.6</v>
      </c>
      <c r="WE261" s="1304">
        <f>225.6-28</f>
        <v>197.6</v>
      </c>
      <c r="WF261" s="1304">
        <v>197.6</v>
      </c>
      <c r="WG261" s="1304">
        <v>197.6</v>
      </c>
      <c r="WH261" s="1304">
        <v>278.8</v>
      </c>
      <c r="WI261" s="1304">
        <v>278.8</v>
      </c>
      <c r="WJ261" s="1304">
        <v>278.8</v>
      </c>
      <c r="WK261" s="1304">
        <f>278.8-53.3</f>
        <v>225.5</v>
      </c>
      <c r="WL261" s="1304">
        <v>225.5</v>
      </c>
      <c r="WM261" s="1304">
        <v>225.5</v>
      </c>
      <c r="WN261" s="1304">
        <v>294.10000000000002</v>
      </c>
      <c r="WO261" s="1304">
        <v>294.10000000000002</v>
      </c>
      <c r="WP261" s="1304">
        <f>294.1-31.7</f>
        <v>262.40000000000003</v>
      </c>
      <c r="WQ261" s="1304">
        <v>206.4</v>
      </c>
      <c r="WR261" s="1304">
        <f>206.4-31.75-28-31.75-28</f>
        <v>86.9</v>
      </c>
      <c r="WS261" s="1304">
        <f>86.9-25.4</f>
        <v>61.500000000000007</v>
      </c>
      <c r="WT261" s="1304">
        <v>61.5</v>
      </c>
      <c r="WU261" s="1304">
        <f>61.5+34.9-29.2</f>
        <v>67.2</v>
      </c>
      <c r="WV261" s="1304">
        <v>229.1</v>
      </c>
      <c r="WW261" s="1304">
        <f>229.1-29.1</f>
        <v>200</v>
      </c>
      <c r="WX261" s="1304">
        <v>200</v>
      </c>
      <c r="WY261" s="1304">
        <f>200-59.7</f>
        <v>140.30000000000001</v>
      </c>
      <c r="WZ261" s="1304">
        <f>140.3-28</f>
        <v>112.30000000000001</v>
      </c>
      <c r="XA261" s="1304">
        <f>112.3+127</f>
        <v>239.3</v>
      </c>
      <c r="XB261" s="1304">
        <f>239.3-28</f>
        <v>211.3</v>
      </c>
      <c r="XC261" s="1304">
        <v>211.3</v>
      </c>
      <c r="XD261" s="1304">
        <v>211.3</v>
      </c>
      <c r="XE261" s="1304">
        <f>211.3+27.3</f>
        <v>238.60000000000002</v>
      </c>
      <c r="XF261" s="1304">
        <f>238.6-31.75</f>
        <v>206.85</v>
      </c>
      <c r="XG261" s="1304">
        <v>206.85</v>
      </c>
      <c r="XH261" s="1304">
        <v>206.8</v>
      </c>
      <c r="XI261" s="1304">
        <f>206.8-130.8</f>
        <v>76</v>
      </c>
      <c r="XJ261" s="1304">
        <f>76+30*1.274</f>
        <v>114.22</v>
      </c>
      <c r="XK261" s="1304">
        <v>114.2</v>
      </c>
      <c r="XL261" s="1304">
        <v>229</v>
      </c>
      <c r="XM261" s="1304">
        <v>229</v>
      </c>
      <c r="XN261" s="1304">
        <v>201</v>
      </c>
      <c r="XO261" s="1304">
        <f>201-32.5</f>
        <v>168.5</v>
      </c>
      <c r="XP261" s="1304">
        <f>168.5+62.3</f>
        <v>230.8</v>
      </c>
      <c r="XQ261" s="1304">
        <f>230.8-28-32.5</f>
        <v>170.3</v>
      </c>
      <c r="XR261" s="1304">
        <v>208.6</v>
      </c>
      <c r="XS261" s="1304">
        <v>208.6</v>
      </c>
      <c r="XT261" s="1304">
        <f>208.6+50-32.5</f>
        <v>226.10000000000002</v>
      </c>
      <c r="XU261" s="1304">
        <v>198</v>
      </c>
      <c r="XV261" s="1304">
        <v>210.8</v>
      </c>
      <c r="XW261" s="1304">
        <v>210.8</v>
      </c>
      <c r="XX261" s="1304">
        <v>210.8</v>
      </c>
      <c r="XY261" s="1304">
        <f>210.8+64</f>
        <v>274.8</v>
      </c>
      <c r="XZ261" s="1304">
        <v>274.8</v>
      </c>
      <c r="YA261" s="1304">
        <v>274.8</v>
      </c>
      <c r="YB261" s="1304">
        <v>274.8</v>
      </c>
      <c r="YC261" s="1304">
        <f>274.8+25.6-21.1</f>
        <v>279.3</v>
      </c>
      <c r="YD261" s="1304">
        <v>279.3</v>
      </c>
      <c r="YE261" s="1304">
        <v>279.3</v>
      </c>
      <c r="YF261" s="1304">
        <v>279.3</v>
      </c>
      <c r="YG261" s="1304">
        <v>279.3</v>
      </c>
      <c r="YH261" s="1304">
        <f>279.3+12.8</f>
        <v>292.10000000000002</v>
      </c>
      <c r="YI261" s="1304">
        <v>292.10000000000002</v>
      </c>
      <c r="YJ261" s="1304">
        <f>292.1-32.5</f>
        <v>259.60000000000002</v>
      </c>
      <c r="YK261" s="1304">
        <v>259.60000000000002</v>
      </c>
      <c r="YL261" s="1304">
        <v>259.60000000000002</v>
      </c>
      <c r="YM261" s="1304">
        <f>259.6-25.4-32</f>
        <v>202.20000000000002</v>
      </c>
      <c r="YN261" s="1304">
        <v>202.2</v>
      </c>
      <c r="YO261" s="1304">
        <v>202.2</v>
      </c>
      <c r="YP261" s="1304">
        <f>202.2+38.4</f>
        <v>240.6</v>
      </c>
      <c r="YQ261" s="1304">
        <v>240.6</v>
      </c>
      <c r="YR261" s="1304">
        <v>240.6</v>
      </c>
      <c r="YS261" s="1304">
        <v>240.6</v>
      </c>
      <c r="YT261" s="1304">
        <f>240.6-58.2</f>
        <v>182.39999999999998</v>
      </c>
      <c r="YU261" s="1304">
        <f>182.4+19.2</f>
        <v>201.6</v>
      </c>
      <c r="YV261" s="1304">
        <v>201.5</v>
      </c>
      <c r="YW261" s="1304">
        <v>201.5</v>
      </c>
      <c r="YX261" s="1304">
        <v>201.5</v>
      </c>
      <c r="YY261" s="1304">
        <f>201.5-25.4</f>
        <v>176.1</v>
      </c>
      <c r="YZ261" s="1304">
        <f>176.1-25.4</f>
        <v>150.69999999999999</v>
      </c>
      <c r="ZA261" s="1304">
        <f>150.7+40</f>
        <v>190.7</v>
      </c>
      <c r="ZB261" s="1304">
        <v>190.7</v>
      </c>
      <c r="ZC261" s="1304">
        <v>190.7</v>
      </c>
      <c r="ZD261" s="1304">
        <v>190.7</v>
      </c>
      <c r="ZE261" s="1304">
        <v>190.7</v>
      </c>
      <c r="ZF261" s="1304">
        <v>190.7</v>
      </c>
      <c r="ZG261" s="1304">
        <f>190.7-40</f>
        <v>150.69999999999999</v>
      </c>
      <c r="ZH261" s="1304">
        <v>150.69999999999999</v>
      </c>
      <c r="ZI261" s="1304">
        <v>150.69999999999999</v>
      </c>
      <c r="ZJ261" s="1304">
        <v>150.69999999999999</v>
      </c>
      <c r="ZK261" s="1304">
        <v>150.69999999999999</v>
      </c>
      <c r="ZL261" s="1304">
        <v>150.69999999999999</v>
      </c>
      <c r="ZM261" s="1304">
        <v>157.69999999999999</v>
      </c>
      <c r="ZN261" s="1304">
        <v>157.69999999999999</v>
      </c>
      <c r="ZO261" s="1304">
        <v>157.69999999999999</v>
      </c>
      <c r="ZP261" s="1304">
        <v>157.69999999999999</v>
      </c>
      <c r="ZQ261" s="1304">
        <v>157.69999999999999</v>
      </c>
      <c r="ZR261" s="1304">
        <f>157.7-29.5</f>
        <v>128.19999999999999</v>
      </c>
      <c r="ZS261" s="1304">
        <f>128.2+7.74</f>
        <v>135.94</v>
      </c>
      <c r="ZT261" s="1304">
        <v>136</v>
      </c>
      <c r="ZU261" s="1304">
        <v>136</v>
      </c>
      <c r="ZV261" s="1304">
        <v>136</v>
      </c>
      <c r="ZW261" s="1304">
        <v>136</v>
      </c>
      <c r="ZX261" s="1304">
        <v>136</v>
      </c>
      <c r="ZY261" s="1304">
        <v>136</v>
      </c>
      <c r="ZZ261" s="1304">
        <f>136-65.3</f>
        <v>70.7</v>
      </c>
      <c r="AAA261" s="1304">
        <v>110</v>
      </c>
      <c r="AAB261" s="1304">
        <v>110</v>
      </c>
      <c r="AAC261" s="1304">
        <v>110</v>
      </c>
      <c r="AAD261" s="1304">
        <v>110</v>
      </c>
      <c r="AAE261" s="1304">
        <f>110-38</f>
        <v>72</v>
      </c>
      <c r="AAF261" s="1304">
        <v>72</v>
      </c>
      <c r="AAG261" s="1304">
        <v>72</v>
      </c>
      <c r="AAH261" s="1304">
        <f>72+39</f>
        <v>111</v>
      </c>
      <c r="AAI261" s="1304">
        <v>111</v>
      </c>
      <c r="AAJ261" s="1304">
        <v>111</v>
      </c>
      <c r="AAK261" s="1304">
        <v>111</v>
      </c>
      <c r="AAL261" s="1304">
        <v>111</v>
      </c>
      <c r="AAM261" s="1304">
        <f>111-26</f>
        <v>85</v>
      </c>
      <c r="AAN261" s="1304">
        <v>85</v>
      </c>
      <c r="AAO261" s="1304">
        <f>85+39</f>
        <v>124</v>
      </c>
      <c r="AAP261" s="1304">
        <v>124</v>
      </c>
      <c r="AAQ261" s="1304">
        <v>124</v>
      </c>
      <c r="AAR261" s="1304">
        <v>124</v>
      </c>
      <c r="AAS261" s="1304">
        <v>124</v>
      </c>
      <c r="AAT261" s="1304">
        <v>124</v>
      </c>
      <c r="AAU261" s="1304">
        <v>124</v>
      </c>
      <c r="AAV261" s="1304">
        <v>124</v>
      </c>
      <c r="AAW261" s="1304">
        <v>124</v>
      </c>
      <c r="AAX261" s="1304">
        <v>124</v>
      </c>
      <c r="AAY261" s="1304">
        <f>124-30</f>
        <v>94</v>
      </c>
      <c r="AAZ261" s="1304">
        <v>94</v>
      </c>
      <c r="ABA261" s="1304">
        <v>102</v>
      </c>
      <c r="ABB261" s="1304">
        <v>102</v>
      </c>
      <c r="ABC261" s="1304">
        <v>102</v>
      </c>
      <c r="ABD261" s="1304">
        <v>102</v>
      </c>
      <c r="ABE261" s="1304">
        <f>102-33.8</f>
        <v>68.2</v>
      </c>
      <c r="ABF261" s="1304">
        <v>68.2</v>
      </c>
      <c r="ABG261" s="1304">
        <v>68.2</v>
      </c>
      <c r="ABH261" s="1304">
        <v>68.2</v>
      </c>
      <c r="ABI261" s="1304">
        <v>68.2</v>
      </c>
      <c r="ABJ261" s="1304">
        <f>68.2-33.6</f>
        <v>34.6</v>
      </c>
      <c r="ABK261" s="1304">
        <v>34.6</v>
      </c>
      <c r="ABL261" s="1304">
        <v>34.6</v>
      </c>
      <c r="ABM261" s="1304">
        <v>34.6</v>
      </c>
      <c r="ABN261" s="1304">
        <v>34.6</v>
      </c>
      <c r="ABO261" s="1304">
        <f>34.6+45.5-30</f>
        <v>50.099999999999994</v>
      </c>
      <c r="ABP261" s="1304">
        <v>50.1</v>
      </c>
      <c r="ABQ261" s="1304">
        <v>50.1</v>
      </c>
      <c r="ABR261" s="1304">
        <v>50.1</v>
      </c>
      <c r="ABS261" s="1304">
        <v>50.1</v>
      </c>
      <c r="ABT261" s="1304">
        <v>50.1</v>
      </c>
      <c r="ABU261" s="1304">
        <f>50.1-33</f>
        <v>17.100000000000001</v>
      </c>
      <c r="ABV261" s="1304">
        <v>17.100000000000001</v>
      </c>
      <c r="ABW261" s="1304">
        <f>17.1+39</f>
        <v>56.1</v>
      </c>
      <c r="ABX261" s="1304">
        <v>56.1</v>
      </c>
      <c r="ABY261" s="1304">
        <f>56.1+28</f>
        <v>84.1</v>
      </c>
      <c r="ABZ261" s="1304">
        <v>84.1</v>
      </c>
      <c r="ACA261" s="1304">
        <v>84.1</v>
      </c>
      <c r="ACB261" s="1304">
        <f>84.1</f>
        <v>84.1</v>
      </c>
      <c r="ACC261" s="1304">
        <f>84.1+7</f>
        <v>91.1</v>
      </c>
      <c r="ACD261" s="1304">
        <f>91.1-39.1</f>
        <v>51.999999999999993</v>
      </c>
      <c r="ACE261" s="1304">
        <v>52</v>
      </c>
      <c r="ACF261" s="1304">
        <v>52</v>
      </c>
      <c r="ACG261" s="1304">
        <f>52-24.6+4</f>
        <v>31.4</v>
      </c>
      <c r="ACH261" s="1304">
        <v>31.4</v>
      </c>
      <c r="ACI261" s="1304">
        <v>31.4</v>
      </c>
      <c r="ACJ261" s="1304">
        <f>31.4-29.1</f>
        <v>2.2999999999999972</v>
      </c>
      <c r="ACK261" s="1304">
        <f>2.3-33.8</f>
        <v>-31.499999999999996</v>
      </c>
      <c r="ACL261" s="1304">
        <v>-31.5</v>
      </c>
      <c r="ACM261" s="1304">
        <f>-31.5-33.8</f>
        <v>-65.3</v>
      </c>
      <c r="ACN261" s="1304">
        <f>-65.3-33.8</f>
        <v>-99.1</v>
      </c>
      <c r="ACO261" s="1304">
        <v>-99.1</v>
      </c>
      <c r="ACP261" s="1304">
        <v>-99.1</v>
      </c>
      <c r="ACQ261" s="1304">
        <v>-167.1</v>
      </c>
      <c r="ACR261" s="1304">
        <v>-128.1</v>
      </c>
      <c r="ACS261" s="1304">
        <f>-128.1-33</f>
        <v>-161.1</v>
      </c>
      <c r="ACT261" s="1304">
        <f>-161.1-34</f>
        <v>-195.1</v>
      </c>
      <c r="ACU261" s="1304">
        <v>-195.1</v>
      </c>
      <c r="ACV261" s="1304">
        <f>-195+65</f>
        <v>-130</v>
      </c>
      <c r="ACW261" s="1304">
        <v>-161.80000000000001</v>
      </c>
      <c r="ACX261" s="1304">
        <f>-161.8-33.2</f>
        <v>-195</v>
      </c>
      <c r="ACY261" s="1304">
        <v>-251.6</v>
      </c>
      <c r="ACZ261" s="1304">
        <f>-251.6+70</f>
        <v>-181.6</v>
      </c>
      <c r="ADA261" s="1304">
        <f>-181.6-25</f>
        <v>-206.6</v>
      </c>
      <c r="ADB261" s="1304">
        <v>-195.4</v>
      </c>
      <c r="ADC261" s="1304">
        <v>-276.39999999999998</v>
      </c>
      <c r="ADD261" s="1304">
        <v>-276.39999999999998</v>
      </c>
      <c r="ADE261" s="1304">
        <v>-309</v>
      </c>
      <c r="ADF261" s="1304">
        <f>-309+50</f>
        <v>-259</v>
      </c>
      <c r="ADG261" s="1304">
        <v>-259</v>
      </c>
      <c r="ADH261" s="1304">
        <v>-234</v>
      </c>
      <c r="ADI261" s="1304">
        <v>-194.3</v>
      </c>
      <c r="ADJ261" s="1304">
        <f>-194.3+42.7</f>
        <v>-151.60000000000002</v>
      </c>
      <c r="ADK261" s="1304">
        <f>-184+48</f>
        <v>-136</v>
      </c>
      <c r="ADL261" s="1304">
        <v>-103.5</v>
      </c>
      <c r="ADM261" s="1304">
        <v>-73.5</v>
      </c>
      <c r="ADN261" s="1304">
        <v>-36</v>
      </c>
      <c r="ADO261" s="1304">
        <f>-36+152</f>
        <v>116</v>
      </c>
      <c r="ADP261" s="1304">
        <v>116</v>
      </c>
      <c r="ADQ261" s="1304">
        <v>116</v>
      </c>
      <c r="ADR261" s="1304">
        <v>116</v>
      </c>
      <c r="ADS261" s="1304">
        <v>116</v>
      </c>
      <c r="ADT261" s="1304">
        <v>116</v>
      </c>
      <c r="ADU261" s="1304">
        <v>116</v>
      </c>
      <c r="ADV261" s="1304">
        <v>116</v>
      </c>
      <c r="ADW261" s="1304">
        <v>116</v>
      </c>
      <c r="ADX261" s="1304">
        <v>116</v>
      </c>
      <c r="ADY261" s="1304">
        <v>116</v>
      </c>
      <c r="ADZ261" s="1304">
        <v>116</v>
      </c>
      <c r="AEA261" s="1304">
        <v>116</v>
      </c>
      <c r="AEB261" s="1304">
        <v>116</v>
      </c>
      <c r="AEC261" s="1304">
        <v>116</v>
      </c>
      <c r="AED261" s="1304">
        <v>116</v>
      </c>
      <c r="AEE261" s="1304">
        <v>116</v>
      </c>
      <c r="AEF261" s="1304">
        <v>116</v>
      </c>
      <c r="AEG261" s="1304">
        <v>116</v>
      </c>
      <c r="AEH261" s="1304">
        <v>116</v>
      </c>
      <c r="AEI261" s="1304">
        <v>116</v>
      </c>
    </row>
    <row r="262" spans="2:964">
      <c r="J262">
        <v>22</v>
      </c>
      <c r="L262" s="1304">
        <v>50</v>
      </c>
      <c r="R262">
        <v>23</v>
      </c>
      <c r="LC262">
        <v>56</v>
      </c>
      <c r="LD262">
        <v>56</v>
      </c>
      <c r="LG262">
        <v>56</v>
      </c>
      <c r="LH262">
        <v>56</v>
      </c>
      <c r="LI262">
        <v>56</v>
      </c>
      <c r="LK262">
        <v>5.2</v>
      </c>
      <c r="LL262">
        <v>5.2</v>
      </c>
      <c r="LM262">
        <v>1.52</v>
      </c>
      <c r="LN262">
        <v>1.52</v>
      </c>
      <c r="LO262">
        <v>56</v>
      </c>
      <c r="LP262">
        <v>28</v>
      </c>
      <c r="LQ262">
        <v>51.3</v>
      </c>
      <c r="LX262">
        <v>1344.7</v>
      </c>
      <c r="LY262">
        <v>2134.1</v>
      </c>
      <c r="LZ262">
        <v>1936</v>
      </c>
      <c r="MA262">
        <v>-17.5</v>
      </c>
      <c r="MD262">
        <v>92.1</v>
      </c>
      <c r="ME262">
        <v>92.1</v>
      </c>
      <c r="MF262">
        <v>-1063.0999999999999</v>
      </c>
      <c r="MG262">
        <v>-1063.0999999999999</v>
      </c>
      <c r="MH262">
        <v>-1424.6</v>
      </c>
      <c r="MI262">
        <v>-1124</v>
      </c>
      <c r="MJ262">
        <v>-1124</v>
      </c>
      <c r="MK262">
        <v>-1926.1</v>
      </c>
      <c r="ML262">
        <v>-2429.1</v>
      </c>
      <c r="MM262">
        <v>11.6</v>
      </c>
      <c r="MN262">
        <v>11.6</v>
      </c>
      <c r="MO262">
        <v>11.6</v>
      </c>
      <c r="MP262">
        <v>11.6</v>
      </c>
      <c r="MQ262">
        <v>11.6</v>
      </c>
      <c r="MR262">
        <v>11.6</v>
      </c>
      <c r="MS262">
        <v>11.6</v>
      </c>
      <c r="MT262">
        <v>11.6</v>
      </c>
      <c r="MU262">
        <v>11.6</v>
      </c>
      <c r="MV262">
        <v>11.6</v>
      </c>
      <c r="MW262">
        <v>325.5</v>
      </c>
      <c r="MX262">
        <v>376.5</v>
      </c>
      <c r="MY262">
        <v>236</v>
      </c>
      <c r="MZ262">
        <v>261.2</v>
      </c>
      <c r="NA262">
        <v>254</v>
      </c>
      <c r="NB262">
        <v>275.60000000000002</v>
      </c>
      <c r="ND262">
        <v>32.5</v>
      </c>
      <c r="NE262">
        <v>0</v>
      </c>
      <c r="NF262">
        <v>15</v>
      </c>
      <c r="NG262">
        <v>54.5</v>
      </c>
      <c r="NH262">
        <v>0</v>
      </c>
      <c r="NI262">
        <v>44.08</v>
      </c>
      <c r="NJ262">
        <v>76.5</v>
      </c>
      <c r="NK262">
        <v>23.2</v>
      </c>
      <c r="NL262">
        <v>74.3</v>
      </c>
      <c r="NM262">
        <v>8</v>
      </c>
      <c r="NN262">
        <v>-195</v>
      </c>
      <c r="NO262">
        <v>-195</v>
      </c>
      <c r="NP262">
        <v>-195</v>
      </c>
      <c r="NQ262">
        <v>-222.7</v>
      </c>
      <c r="NR262">
        <v>-222.7</v>
      </c>
      <c r="NS262">
        <v>-222.7</v>
      </c>
      <c r="NT262">
        <v>-250.5</v>
      </c>
      <c r="NU262">
        <v>-278.39999999999998</v>
      </c>
      <c r="NV262">
        <v>-278.39999999999998</v>
      </c>
      <c r="NW262">
        <v>-278.39999999999998</v>
      </c>
      <c r="NX262">
        <v>-306.3</v>
      </c>
      <c r="NY262">
        <v>-306.3</v>
      </c>
      <c r="NZ262">
        <v>-306.3</v>
      </c>
      <c r="OA262">
        <v>-306.39999999999998</v>
      </c>
      <c r="OB262">
        <v>-306.39999999999998</v>
      </c>
      <c r="OC262">
        <v>-306.39999999999998</v>
      </c>
      <c r="OD262">
        <v>-334.08</v>
      </c>
      <c r="OE262">
        <v>-334.08</v>
      </c>
      <c r="OF262">
        <v>-334.08</v>
      </c>
      <c r="OG262">
        <v>-334.08</v>
      </c>
      <c r="OH262">
        <v>-334.08</v>
      </c>
      <c r="OI262">
        <v>-334.08</v>
      </c>
      <c r="OJ262">
        <v>-334.08</v>
      </c>
      <c r="OK262">
        <v>-334.8</v>
      </c>
      <c r="OL262">
        <v>-334.8</v>
      </c>
      <c r="OM262">
        <v>-334.8</v>
      </c>
      <c r="ON262">
        <v>-334.08</v>
      </c>
      <c r="OO262">
        <v>-334.08</v>
      </c>
      <c r="OP262">
        <v>-334.08</v>
      </c>
      <c r="OQ262">
        <v>-334.08</v>
      </c>
      <c r="OR262">
        <v>-334.08</v>
      </c>
      <c r="OS262">
        <v>-334.08</v>
      </c>
      <c r="OT262">
        <v>-334.08</v>
      </c>
      <c r="OU262">
        <v>-334.08</v>
      </c>
      <c r="OV262">
        <v>-334.08</v>
      </c>
      <c r="OW262">
        <v>-334.08</v>
      </c>
      <c r="OX262">
        <v>-334.08</v>
      </c>
      <c r="OY262">
        <v>-334.08</v>
      </c>
      <c r="OZ262">
        <v>-334.08</v>
      </c>
      <c r="PA262">
        <v>-141.80000000000001</v>
      </c>
      <c r="PB262">
        <v>-188.17</v>
      </c>
      <c r="PC262">
        <v>-188.17</v>
      </c>
      <c r="PD262">
        <v>-181.17</v>
      </c>
      <c r="PE262">
        <v>-181.17</v>
      </c>
      <c r="PF262">
        <v>-269</v>
      </c>
      <c r="PG262">
        <v>-149</v>
      </c>
      <c r="PH262">
        <v>-149</v>
      </c>
      <c r="PI262">
        <v>-178.3</v>
      </c>
      <c r="PJ262">
        <v>-178.3</v>
      </c>
      <c r="PK262">
        <v>-207.57</v>
      </c>
      <c r="PL262">
        <v>-207.57</v>
      </c>
      <c r="PM262">
        <v>-147.5</v>
      </c>
      <c r="PN262">
        <v>-147.5</v>
      </c>
      <c r="PO262">
        <v>-147.5</v>
      </c>
      <c r="PP262">
        <v>-147.5</v>
      </c>
      <c r="PQ262">
        <v>-147.5</v>
      </c>
      <c r="PR262">
        <v>-147.5</v>
      </c>
      <c r="PS262">
        <v>-176.3</v>
      </c>
      <c r="PT262">
        <v>-205.6</v>
      </c>
      <c r="PU262">
        <v>-234.9</v>
      </c>
      <c r="PV262">
        <v>-212.9</v>
      </c>
      <c r="PW262">
        <v>-271.5</v>
      </c>
      <c r="PX262">
        <v>-271.5</v>
      </c>
      <c r="PY262">
        <v>-180.8</v>
      </c>
      <c r="PZ262">
        <v>-150.9</v>
      </c>
      <c r="QA262">
        <v>-150.9</v>
      </c>
      <c r="QB262">
        <v>-180.2</v>
      </c>
      <c r="QC262">
        <v>-238.1</v>
      </c>
      <c r="QD262">
        <v>-238.1</v>
      </c>
      <c r="QE262">
        <f>-245+160</f>
        <v>-85</v>
      </c>
      <c r="QF262">
        <v>-143.5</v>
      </c>
      <c r="QG262">
        <v>-143.5</v>
      </c>
      <c r="QH262">
        <v>-143.5</v>
      </c>
      <c r="QI262">
        <v>-173.4</v>
      </c>
      <c r="QJ262">
        <v>-173.4</v>
      </c>
      <c r="QK262">
        <f>-202+7+96</f>
        <v>-99</v>
      </c>
      <c r="QL262">
        <v>-150.69999999999999</v>
      </c>
      <c r="QM262">
        <v>-194.6</v>
      </c>
      <c r="QN262">
        <v>-245.8</v>
      </c>
      <c r="QO262">
        <v>-149.5</v>
      </c>
      <c r="QP262">
        <v>-149.5</v>
      </c>
      <c r="QQ262">
        <v>-164.5</v>
      </c>
      <c r="QR262">
        <v>-267</v>
      </c>
      <c r="QS262">
        <v>-293.8</v>
      </c>
      <c r="QT262">
        <v>-293.8</v>
      </c>
      <c r="QU262">
        <v>-293.8</v>
      </c>
      <c r="QV262">
        <v>-293.8</v>
      </c>
      <c r="QW262">
        <v>-293.8</v>
      </c>
      <c r="QX262">
        <v>-233.8</v>
      </c>
      <c r="QY262">
        <v>-309.39999999999998</v>
      </c>
      <c r="QZ262">
        <v>-239.4</v>
      </c>
      <c r="RA262">
        <v>-217.5</v>
      </c>
      <c r="RB262">
        <v>-217.5</v>
      </c>
      <c r="RC262">
        <v>-217.5</v>
      </c>
      <c r="RD262">
        <v>-217.5</v>
      </c>
      <c r="RE262">
        <v>-244</v>
      </c>
      <c r="RF262">
        <v>-244</v>
      </c>
      <c r="RG262">
        <v>-191.1</v>
      </c>
      <c r="RH262">
        <v>-191.1</v>
      </c>
      <c r="RI262">
        <v>-191.1</v>
      </c>
      <c r="RJ262">
        <v>-191.2</v>
      </c>
      <c r="RK262">
        <v>-141.19999999999999</v>
      </c>
      <c r="RL262">
        <v>-184.8</v>
      </c>
      <c r="RM262">
        <v>-78.900000000000006</v>
      </c>
      <c r="RN262">
        <v>-138.69999999999999</v>
      </c>
      <c r="RO262">
        <v>-141.6</v>
      </c>
      <c r="RP262">
        <v>-141.6</v>
      </c>
      <c r="RQ262">
        <v>1.52</v>
      </c>
      <c r="RR262">
        <v>1.52</v>
      </c>
      <c r="RS262">
        <v>1.52</v>
      </c>
      <c r="SU262">
        <v>-156.9</v>
      </c>
      <c r="SV262">
        <v>-176.8</v>
      </c>
      <c r="SW262">
        <v>-164.3</v>
      </c>
      <c r="SX262">
        <v>-164.3</v>
      </c>
      <c r="SY262">
        <v>-145.69999999999999</v>
      </c>
      <c r="SZ262">
        <v>-145.69999999999999</v>
      </c>
      <c r="TA262">
        <v>-145.69999999999999</v>
      </c>
      <c r="TB262">
        <v>-125.7</v>
      </c>
      <c r="TC262">
        <v>-95.7</v>
      </c>
      <c r="TD262">
        <v>-45.7</v>
      </c>
      <c r="TE262">
        <v>-45.8</v>
      </c>
      <c r="TF262">
        <v>-45.8</v>
      </c>
      <c r="TG262">
        <v>-33.4</v>
      </c>
      <c r="TH262">
        <v>-33.4</v>
      </c>
      <c r="TI262">
        <v>67.099999999999994</v>
      </c>
      <c r="TJ262">
        <v>45.9</v>
      </c>
      <c r="TK262">
        <v>45.9</v>
      </c>
      <c r="TL262">
        <v>45.9</v>
      </c>
      <c r="TM262">
        <v>45.9</v>
      </c>
      <c r="TN262">
        <v>25.9</v>
      </c>
      <c r="TO262">
        <f>5.9-50</f>
        <v>-44.1</v>
      </c>
      <c r="TP262">
        <v>-44.1</v>
      </c>
      <c r="TQ262">
        <v>-44.1</v>
      </c>
      <c r="TR262">
        <v>-17.100000000000001</v>
      </c>
      <c r="TS262">
        <v>-41.5</v>
      </c>
      <c r="TT262">
        <v>-41.5</v>
      </c>
      <c r="TU262">
        <v>-41.5</v>
      </c>
      <c r="TV262">
        <v>-64.3</v>
      </c>
      <c r="TW262">
        <v>-87.1</v>
      </c>
      <c r="TX262">
        <v>-87.1</v>
      </c>
      <c r="TY262">
        <v>-77.099999999999994</v>
      </c>
      <c r="TZ262">
        <v>-77.099999999999994</v>
      </c>
      <c r="UA262">
        <v>-77.099999999999994</v>
      </c>
      <c r="UB262">
        <v>-77.099999999999994</v>
      </c>
      <c r="UC262">
        <v>-47.1</v>
      </c>
      <c r="UD262">
        <v>-47.1</v>
      </c>
      <c r="UE262">
        <v>-47.1</v>
      </c>
      <c r="UF262">
        <v>-67.3</v>
      </c>
      <c r="UG262">
        <v>-37.299999999999997</v>
      </c>
      <c r="UH262">
        <v>-82.7</v>
      </c>
      <c r="UI262">
        <v>-105.4</v>
      </c>
      <c r="UJ262">
        <v>-100.4</v>
      </c>
      <c r="UK262">
        <v>-40.4</v>
      </c>
      <c r="UL262">
        <v>-40.4</v>
      </c>
      <c r="UM262">
        <v>-40.4</v>
      </c>
      <c r="UN262">
        <v>23.1</v>
      </c>
      <c r="UO262">
        <v>23.1</v>
      </c>
      <c r="UP262">
        <v>23.1</v>
      </c>
      <c r="UQ262">
        <v>23.1</v>
      </c>
      <c r="UR262">
        <v>23.1</v>
      </c>
      <c r="US262">
        <v>23.1</v>
      </c>
      <c r="UT262">
        <v>23.1</v>
      </c>
      <c r="UU262">
        <v>23.1</v>
      </c>
      <c r="UV262">
        <v>23.1</v>
      </c>
      <c r="UW262">
        <v>23.1</v>
      </c>
      <c r="UX262">
        <v>23.1</v>
      </c>
      <c r="UY262">
        <f>23.1+94</f>
        <v>117.1</v>
      </c>
      <c r="UZ262">
        <f>23.1+94</f>
        <v>117.1</v>
      </c>
      <c r="VA262">
        <f>23.1+94</f>
        <v>117.1</v>
      </c>
      <c r="VB262">
        <f>23.1+70.5</f>
        <v>93.6</v>
      </c>
      <c r="VC262">
        <v>93.6</v>
      </c>
      <c r="VD262">
        <v>93.6</v>
      </c>
      <c r="VE262">
        <f>23.1+47</f>
        <v>70.099999999999994</v>
      </c>
      <c r="VF262" s="1304">
        <f>23.1+23.5</f>
        <v>46.6</v>
      </c>
      <c r="VG262" s="1304">
        <v>46.6</v>
      </c>
      <c r="VH262" s="1304">
        <v>46.6</v>
      </c>
      <c r="VI262" s="1304">
        <v>46.6</v>
      </c>
      <c r="VJ262" s="1304">
        <v>46.6</v>
      </c>
      <c r="VK262">
        <v>46.6</v>
      </c>
      <c r="VL262" s="1304">
        <v>46.6</v>
      </c>
      <c r="VM262" s="1304">
        <v>46.6</v>
      </c>
      <c r="VN262" s="1304">
        <v>46.6</v>
      </c>
      <c r="VO262" s="1304">
        <f>23.1+126.5+23.5</f>
        <v>173.1</v>
      </c>
      <c r="VP262" s="1304">
        <f>161+23.5</f>
        <v>184.5</v>
      </c>
      <c r="VQ262" s="1304">
        <f>161+23.5</f>
        <v>184.5</v>
      </c>
      <c r="VR262" s="1304">
        <v>184.5</v>
      </c>
      <c r="VS262" s="1304">
        <v>184.5</v>
      </c>
      <c r="VT262" s="1304">
        <v>184.5</v>
      </c>
      <c r="VU262" s="1304">
        <v>184.5</v>
      </c>
      <c r="VV262" s="1304">
        <v>184.5</v>
      </c>
      <c r="VW262" s="1304">
        <v>184.5</v>
      </c>
      <c r="VX262" s="1304">
        <v>184.5</v>
      </c>
      <c r="VY262" s="1304">
        <v>184.5</v>
      </c>
      <c r="VZ262" s="1304">
        <v>184.5</v>
      </c>
      <c r="WA262" s="1304">
        <v>184.5</v>
      </c>
      <c r="WB262" s="1304">
        <v>184</v>
      </c>
      <c r="WC262" s="1304">
        <v>184</v>
      </c>
      <c r="WD262" s="1304">
        <v>184</v>
      </c>
      <c r="WE262" s="1304">
        <v>184</v>
      </c>
      <c r="WF262" s="1304">
        <v>184</v>
      </c>
      <c r="WG262" s="1304">
        <v>184</v>
      </c>
      <c r="WH262" s="1304">
        <v>184</v>
      </c>
      <c r="WI262" s="1304">
        <v>184</v>
      </c>
      <c r="WJ262" s="1304">
        <v>184</v>
      </c>
      <c r="WK262" s="1304">
        <v>184</v>
      </c>
      <c r="WL262" s="1304">
        <v>184</v>
      </c>
      <c r="WM262" s="1304">
        <v>184</v>
      </c>
      <c r="WN262" s="1304">
        <v>184</v>
      </c>
      <c r="WO262" s="1304">
        <v>184</v>
      </c>
      <c r="WP262" s="1304">
        <v>184</v>
      </c>
      <c r="WQ262" s="1304">
        <v>184</v>
      </c>
      <c r="WR262" s="1304">
        <v>184</v>
      </c>
      <c r="WS262" s="1304">
        <v>184</v>
      </c>
      <c r="WT262" s="1304">
        <v>184</v>
      </c>
      <c r="WU262" s="1304">
        <v>184</v>
      </c>
      <c r="WV262" s="1304">
        <v>184</v>
      </c>
      <c r="WW262" s="1304">
        <v>184</v>
      </c>
      <c r="WX262" s="1304">
        <v>184</v>
      </c>
      <c r="WY262" s="1304">
        <v>184</v>
      </c>
      <c r="WZ262" s="1304">
        <v>184</v>
      </c>
      <c r="XA262" s="1304">
        <v>184</v>
      </c>
      <c r="XB262" s="1304">
        <v>184</v>
      </c>
      <c r="XC262" s="1304">
        <v>184</v>
      </c>
      <c r="XD262" s="1304">
        <v>184</v>
      </c>
      <c r="XE262" s="1304">
        <v>184</v>
      </c>
      <c r="XF262" s="1304">
        <v>184</v>
      </c>
      <c r="XG262" s="1304">
        <v>184.5</v>
      </c>
      <c r="XH262" s="1304">
        <v>184.5</v>
      </c>
      <c r="XI262" s="1304">
        <v>184.5</v>
      </c>
      <c r="XJ262" s="1304">
        <v>184.5</v>
      </c>
      <c r="XK262" s="1304">
        <v>184.5</v>
      </c>
      <c r="XL262" s="1304">
        <v>184.5</v>
      </c>
      <c r="XM262" s="1304">
        <v>184.5</v>
      </c>
      <c r="XN262" s="1304">
        <v>184.5</v>
      </c>
      <c r="XO262" s="1304">
        <v>186.2</v>
      </c>
      <c r="XP262" s="1304">
        <v>186.2</v>
      </c>
      <c r="XQ262" s="1304">
        <f>186.2+2.5</f>
        <v>188.7</v>
      </c>
      <c r="XR262" s="1304">
        <v>188.7</v>
      </c>
      <c r="XS262" s="1304">
        <f>188.7+10.3</f>
        <v>199</v>
      </c>
      <c r="XT262" s="1304">
        <f>199-25.4</f>
        <v>173.6</v>
      </c>
      <c r="XU262" s="1304">
        <v>173.6</v>
      </c>
      <c r="XV262" s="1304">
        <v>173.6</v>
      </c>
      <c r="XW262" s="1304">
        <v>173.6</v>
      </c>
      <c r="XX262" s="1304">
        <v>173.6</v>
      </c>
      <c r="XY262" s="1304">
        <v>173.8</v>
      </c>
      <c r="XZ262" s="1304">
        <f>173.8-25.4</f>
        <v>148.4</v>
      </c>
      <c r="YA262" s="1304">
        <v>148.4</v>
      </c>
      <c r="YB262" s="1304">
        <v>148.4</v>
      </c>
      <c r="YC262" s="1304">
        <v>148.4</v>
      </c>
      <c r="YD262" s="1304">
        <v>166.1</v>
      </c>
      <c r="YE262" s="1304">
        <v>166.1</v>
      </c>
      <c r="YF262" s="1304">
        <v>166.1</v>
      </c>
      <c r="YG262" s="1304">
        <f>166.1-25.4</f>
        <v>140.69999999999999</v>
      </c>
      <c r="YH262" s="1304">
        <v>140.69999999999999</v>
      </c>
      <c r="YI262" s="1304">
        <v>140.4</v>
      </c>
      <c r="YJ262" s="1304">
        <v>140.4</v>
      </c>
      <c r="YK262" s="1304">
        <f>140.4-25.4</f>
        <v>115</v>
      </c>
      <c r="YL262" s="1304">
        <v>115</v>
      </c>
      <c r="YM262" s="1304">
        <v>115</v>
      </c>
      <c r="YN262" s="1304">
        <v>115</v>
      </c>
      <c r="YO262" s="1304">
        <v>115</v>
      </c>
      <c r="YP262" s="1304">
        <f>115-25.4</f>
        <v>89.6</v>
      </c>
      <c r="YQ262" s="1304">
        <v>89.6</v>
      </c>
      <c r="YR262" s="1304">
        <v>89.6</v>
      </c>
      <c r="YS262" s="1304">
        <f>89.6-25.4</f>
        <v>64.199999999999989</v>
      </c>
      <c r="YT262" s="1304">
        <v>64.2</v>
      </c>
      <c r="YU262" s="1304">
        <v>64.2</v>
      </c>
      <c r="YV262" s="1304">
        <v>64.2</v>
      </c>
      <c r="YW262" s="1304">
        <v>64.2</v>
      </c>
      <c r="YX262" s="1304">
        <v>64.2</v>
      </c>
      <c r="YY262" s="1304">
        <v>64.2</v>
      </c>
      <c r="YZ262" s="1304">
        <v>64.2</v>
      </c>
      <c r="ZA262" s="1304">
        <v>64.2</v>
      </c>
      <c r="ZB262" s="1304">
        <v>64.2</v>
      </c>
      <c r="ZC262" s="1304">
        <v>64.2</v>
      </c>
      <c r="ZD262" s="1304">
        <v>64.2</v>
      </c>
      <c r="ZE262" s="1304">
        <v>64.2</v>
      </c>
      <c r="ZF262" s="1304">
        <v>64.2</v>
      </c>
      <c r="ZG262" s="1304">
        <v>64.2</v>
      </c>
      <c r="ZH262" s="1304">
        <f>64.2+120.6</f>
        <v>184.8</v>
      </c>
      <c r="ZI262" s="1304">
        <v>184.8</v>
      </c>
      <c r="ZJ262" s="1304">
        <v>184.8</v>
      </c>
      <c r="ZK262" s="1304">
        <v>184.8</v>
      </c>
      <c r="ZL262" s="1304">
        <v>184.8</v>
      </c>
      <c r="ZM262" s="1304">
        <v>184.8</v>
      </c>
      <c r="ZN262" s="1304">
        <v>184.8</v>
      </c>
      <c r="ZO262" s="1304">
        <v>184.8</v>
      </c>
      <c r="ZP262" s="1304">
        <v>184.4</v>
      </c>
      <c r="ZQ262" s="1304">
        <v>184.4</v>
      </c>
      <c r="ZR262" s="1304">
        <v>184.4</v>
      </c>
      <c r="ZS262" s="1304">
        <v>184.8</v>
      </c>
      <c r="ZT262" s="1304">
        <v>184.5</v>
      </c>
      <c r="ZU262" s="1304">
        <v>184.5</v>
      </c>
      <c r="ZV262" s="1304">
        <v>184.5</v>
      </c>
      <c r="ZW262" s="1304">
        <v>184.5</v>
      </c>
      <c r="ZX262" s="1304">
        <v>184.5</v>
      </c>
      <c r="ZY262" s="1304">
        <v>184.5</v>
      </c>
      <c r="ZZ262" s="1304">
        <f>184.5-25.4</f>
        <v>159.1</v>
      </c>
      <c r="AAA262" s="1304">
        <v>159</v>
      </c>
      <c r="AAB262" s="1304">
        <v>159</v>
      </c>
      <c r="AAC262" s="1304">
        <v>159</v>
      </c>
      <c r="AAD262" s="1304">
        <f>159+6</f>
        <v>165</v>
      </c>
      <c r="AAE262" s="1304">
        <v>165</v>
      </c>
      <c r="AAF262" s="1304">
        <f>165-26.5</f>
        <v>138.5</v>
      </c>
      <c r="AAG262" s="1304">
        <v>138.5</v>
      </c>
      <c r="AAH262" s="1304">
        <v>138.5</v>
      </c>
      <c r="AAI262" s="1304">
        <v>138.5</v>
      </c>
      <c r="AAJ262" s="1304">
        <v>138.5</v>
      </c>
      <c r="AAK262" s="1304">
        <v>138.5</v>
      </c>
      <c r="AAL262" s="1304">
        <v>138.5</v>
      </c>
      <c r="AAM262" s="1304">
        <v>138.5</v>
      </c>
      <c r="AAN262" s="1304">
        <v>138.5</v>
      </c>
      <c r="AAO262" s="1304">
        <v>138.5</v>
      </c>
      <c r="AAP262" s="1304">
        <v>138.5</v>
      </c>
      <c r="AAQ262" s="1304">
        <v>138.5</v>
      </c>
      <c r="AAR262" s="1304">
        <v>138.5</v>
      </c>
      <c r="AAS262" s="1304">
        <v>138.5</v>
      </c>
      <c r="AAT262" s="1304">
        <v>138.5</v>
      </c>
      <c r="AAU262" s="1304">
        <v>138.5</v>
      </c>
      <c r="AAV262" s="1304">
        <v>138.5</v>
      </c>
      <c r="AAW262" s="1304">
        <v>138.5</v>
      </c>
      <c r="AAX262" s="1304">
        <v>138.5</v>
      </c>
      <c r="AAY262" s="1304">
        <v>138.5</v>
      </c>
      <c r="AAZ262" s="1304">
        <v>138.5</v>
      </c>
      <c r="ABA262" s="1304">
        <v>138.5</v>
      </c>
      <c r="ABB262" s="1304">
        <v>138.5</v>
      </c>
      <c r="ABC262" s="1304">
        <v>138.5</v>
      </c>
      <c r="ABD262" s="1304">
        <v>138.5</v>
      </c>
      <c r="ABE262" s="1304">
        <v>138.5</v>
      </c>
      <c r="ABF262" s="1304">
        <v>138.5</v>
      </c>
      <c r="ABG262" s="1304">
        <v>138.5</v>
      </c>
      <c r="ABH262" s="1304">
        <v>138.5</v>
      </c>
      <c r="ABI262" s="1304">
        <v>138.5</v>
      </c>
      <c r="ABJ262" s="1304">
        <v>138.5</v>
      </c>
      <c r="ABK262" s="1304">
        <v>138.5</v>
      </c>
      <c r="ABL262" s="1304">
        <v>138.5</v>
      </c>
      <c r="ABM262" s="1304">
        <v>138.5</v>
      </c>
      <c r="ABN262" s="1304">
        <v>138.5</v>
      </c>
      <c r="ABO262" s="1304">
        <v>138.5</v>
      </c>
      <c r="ABP262" s="1304">
        <v>138.5</v>
      </c>
      <c r="ABQ262" s="1304">
        <v>138.5</v>
      </c>
      <c r="ABR262" s="1304">
        <v>138.5</v>
      </c>
      <c r="ABS262" s="1304">
        <v>138.5</v>
      </c>
      <c r="ABT262" s="1304">
        <v>138.5</v>
      </c>
      <c r="ABU262" s="1304">
        <v>138.5</v>
      </c>
      <c r="ABV262" s="1304">
        <v>138.5</v>
      </c>
      <c r="ABW262" s="1304">
        <v>138.5</v>
      </c>
      <c r="ABX262" s="1304">
        <v>138.5</v>
      </c>
      <c r="ABY262" s="1304">
        <v>138.5</v>
      </c>
      <c r="ABZ262" s="1304">
        <v>138.5</v>
      </c>
      <c r="ACA262" s="1304">
        <v>138.5</v>
      </c>
      <c r="ACB262" s="1304">
        <v>138.5</v>
      </c>
      <c r="ACC262" s="1304">
        <v>138.5</v>
      </c>
      <c r="ACD262" s="1304">
        <v>138.5</v>
      </c>
      <c r="ACE262" s="1304">
        <v>138.5</v>
      </c>
      <c r="ACF262" s="1304">
        <v>138.5</v>
      </c>
      <c r="ACG262" s="1304">
        <v>138.5</v>
      </c>
      <c r="ACH262" s="1304">
        <v>138.5</v>
      </c>
      <c r="ACI262" s="1304">
        <v>138.5</v>
      </c>
      <c r="ACJ262" s="1304">
        <v>138.5</v>
      </c>
      <c r="ACK262" s="1304">
        <v>138.5</v>
      </c>
      <c r="ACL262" s="1304">
        <v>138.5</v>
      </c>
      <c r="ACM262" s="1304">
        <v>138.5</v>
      </c>
      <c r="ACN262" s="1304">
        <v>138.5</v>
      </c>
      <c r="ACO262" s="1304">
        <v>138.5</v>
      </c>
      <c r="ACP262" s="1304">
        <v>138.5</v>
      </c>
      <c r="ACQ262" s="1304">
        <v>138.5</v>
      </c>
      <c r="ACR262" s="1304">
        <v>138.5</v>
      </c>
      <c r="ACS262" s="1304">
        <f>138.5-26</f>
        <v>112.5</v>
      </c>
      <c r="ACT262" s="1304">
        <v>112.5</v>
      </c>
      <c r="ACU262" s="1304">
        <v>112.5</v>
      </c>
      <c r="ACV262" s="1304">
        <v>112.5</v>
      </c>
      <c r="ACW262" s="1304">
        <v>112.5</v>
      </c>
      <c r="ACX262" s="1304">
        <f>112.5+23</f>
        <v>135.5</v>
      </c>
      <c r="ACY262" s="1304">
        <v>135.5</v>
      </c>
      <c r="ACZ262" s="1304">
        <v>135.5</v>
      </c>
      <c r="ADA262" s="1304">
        <v>135.5</v>
      </c>
      <c r="ADB262" s="1304">
        <v>135.5</v>
      </c>
      <c r="ADC262" s="1304">
        <v>135.5</v>
      </c>
      <c r="ADD262" s="1304">
        <v>135.5</v>
      </c>
      <c r="ADE262" s="1304">
        <v>135.5</v>
      </c>
      <c r="ADF262" s="1304">
        <v>135.5</v>
      </c>
      <c r="ADG262" s="1304">
        <v>135.5</v>
      </c>
      <c r="ADH262" s="1304">
        <v>135.5</v>
      </c>
      <c r="ADI262" s="1304">
        <v>135.5</v>
      </c>
      <c r="ADJ262" s="1304">
        <v>135.5</v>
      </c>
      <c r="ADK262" s="1304">
        <v>135.5</v>
      </c>
      <c r="ADL262" s="1304">
        <v>135.5</v>
      </c>
      <c r="ADM262" s="1304">
        <v>135.5</v>
      </c>
      <c r="ADN262" s="1304">
        <v>135.5</v>
      </c>
      <c r="ADO262" s="1304">
        <v>135.5</v>
      </c>
      <c r="ADP262" s="1304">
        <v>135.5</v>
      </c>
      <c r="ADQ262" s="1304">
        <v>135.5</v>
      </c>
      <c r="ADR262" s="1304">
        <v>135.5</v>
      </c>
      <c r="ADS262" s="1304">
        <v>135.5</v>
      </c>
      <c r="ADT262" s="1304">
        <v>135.5</v>
      </c>
      <c r="ADU262" s="1304">
        <v>135.5</v>
      </c>
      <c r="ADV262" s="1304">
        <v>135.5</v>
      </c>
      <c r="ADW262" s="1304">
        <f>135.5-24</f>
        <v>111.5</v>
      </c>
      <c r="ADX262" s="1304">
        <v>111.5</v>
      </c>
      <c r="ADY262" s="1304">
        <v>111.5</v>
      </c>
      <c r="ADZ262" s="1304">
        <v>111.5</v>
      </c>
      <c r="AEA262" s="1304">
        <v>111.5</v>
      </c>
      <c r="AEB262" s="1304">
        <v>111.5</v>
      </c>
      <c r="AEC262" s="1304">
        <v>50</v>
      </c>
      <c r="AED262" s="1304">
        <v>50</v>
      </c>
      <c r="AEE262" s="1304">
        <v>50</v>
      </c>
      <c r="AEF262" s="1304">
        <v>50</v>
      </c>
      <c r="AEG262" s="1304">
        <v>50</v>
      </c>
      <c r="AEH262" s="1304">
        <v>50</v>
      </c>
      <c r="AEI262" s="1304">
        <v>50</v>
      </c>
    </row>
    <row r="263" spans="2:964">
      <c r="J263">
        <v>33</v>
      </c>
      <c r="L263" s="1304">
        <v>50</v>
      </c>
      <c r="R263">
        <v>33</v>
      </c>
      <c r="LC263">
        <v>1075.0999999999999</v>
      </c>
      <c r="LD263">
        <v>963</v>
      </c>
      <c r="LE263">
        <v>814</v>
      </c>
      <c r="LF263">
        <v>732.8</v>
      </c>
      <c r="LG263">
        <v>473</v>
      </c>
      <c r="LH263">
        <v>1192.4000000000001</v>
      </c>
      <c r="LI263">
        <v>1032</v>
      </c>
      <c r="LK263">
        <v>1.5</v>
      </c>
      <c r="LL263">
        <v>1.5</v>
      </c>
      <c r="LO263">
        <v>695.5</v>
      </c>
      <c r="LP263">
        <v>1272.5</v>
      </c>
      <c r="LQ263">
        <v>1012.6</v>
      </c>
      <c r="LR263">
        <v>1009.2</v>
      </c>
      <c r="LS263">
        <v>869.5</v>
      </c>
      <c r="LT263">
        <v>1573.68</v>
      </c>
      <c r="LU263">
        <v>1249.5999999999999</v>
      </c>
      <c r="LV263">
        <v>986.3</v>
      </c>
      <c r="LW263">
        <v>180</v>
      </c>
      <c r="LX263">
        <v>180</v>
      </c>
      <c r="MA263">
        <v>1711.08</v>
      </c>
      <c r="MB263">
        <v>1351.5</v>
      </c>
      <c r="MC263">
        <v>1049.8</v>
      </c>
      <c r="MD263">
        <v>1607</v>
      </c>
      <c r="ME263">
        <v>1094.5</v>
      </c>
      <c r="MF263">
        <v>92.1</v>
      </c>
      <c r="MG263">
        <v>-21.7</v>
      </c>
      <c r="MH263">
        <v>-21.7</v>
      </c>
      <c r="MI263">
        <v>-21.7</v>
      </c>
      <c r="MJ263">
        <v>-21.7</v>
      </c>
      <c r="MK263">
        <v>-21.7</v>
      </c>
      <c r="ML263">
        <v>-43.5</v>
      </c>
      <c r="MM263">
        <v>-2329.3000000000002</v>
      </c>
      <c r="MN263">
        <v>34.6</v>
      </c>
      <c r="MR263">
        <v>17</v>
      </c>
      <c r="MS263">
        <v>0</v>
      </c>
      <c r="MW263">
        <v>34.6</v>
      </c>
      <c r="MX263">
        <v>11.6</v>
      </c>
      <c r="MY263">
        <v>11.6</v>
      </c>
      <c r="MZ263">
        <v>11.6</v>
      </c>
      <c r="NA263">
        <v>74</v>
      </c>
      <c r="NB263">
        <v>17.149999999999999</v>
      </c>
      <c r="NC263">
        <v>317.10000000000002</v>
      </c>
      <c r="ND263">
        <v>214.4</v>
      </c>
      <c r="NE263">
        <v>85</v>
      </c>
      <c r="NF263">
        <v>139.5</v>
      </c>
      <c r="NG263">
        <v>70.5</v>
      </c>
      <c r="NH263">
        <v>101</v>
      </c>
      <c r="NI263">
        <v>80.5</v>
      </c>
      <c r="NJ263">
        <v>96</v>
      </c>
      <c r="NK263">
        <v>275.39999999999998</v>
      </c>
      <c r="NL263">
        <v>285.3</v>
      </c>
      <c r="NM263">
        <v>317.5</v>
      </c>
      <c r="NN263">
        <v>24.4</v>
      </c>
      <c r="NO263">
        <v>7</v>
      </c>
      <c r="NP263">
        <v>7</v>
      </c>
      <c r="NQ263">
        <v>48.7</v>
      </c>
      <c r="NR263">
        <v>48.7</v>
      </c>
      <c r="NS263">
        <v>69.599999999999994</v>
      </c>
      <c r="NT263">
        <v>16.28</v>
      </c>
      <c r="NU263">
        <v>18.7</v>
      </c>
      <c r="NV263">
        <v>7</v>
      </c>
      <c r="NW263">
        <v>14.2</v>
      </c>
      <c r="NX263">
        <v>97.2</v>
      </c>
      <c r="NY263">
        <v>144</v>
      </c>
      <c r="NZ263">
        <v>7</v>
      </c>
      <c r="OA263">
        <v>15.4</v>
      </c>
      <c r="OB263">
        <v>28.6</v>
      </c>
      <c r="OC263">
        <v>7</v>
      </c>
      <c r="OD263">
        <v>14.2</v>
      </c>
      <c r="OE263">
        <v>134.19999999999999</v>
      </c>
      <c r="OF263">
        <v>28.6</v>
      </c>
      <c r="OG263">
        <v>43.2</v>
      </c>
      <c r="OH263">
        <v>109</v>
      </c>
      <c r="OI263">
        <v>15.4</v>
      </c>
      <c r="OJ263">
        <v>41.8</v>
      </c>
      <c r="OK263">
        <v>46.7</v>
      </c>
      <c r="OL263">
        <v>58.8</v>
      </c>
      <c r="OM263">
        <v>9.4</v>
      </c>
      <c r="ON263">
        <v>-22.9</v>
      </c>
      <c r="OO263">
        <v>-22.9</v>
      </c>
      <c r="OP263">
        <v>-22.9</v>
      </c>
      <c r="OQ263">
        <v>-22.9</v>
      </c>
      <c r="OR263">
        <v>-22.9</v>
      </c>
      <c r="OS263">
        <v>-22.9</v>
      </c>
      <c r="OT263">
        <v>-22.9</v>
      </c>
      <c r="OU263">
        <v>-22.9</v>
      </c>
      <c r="OV263">
        <v>-22.9</v>
      </c>
      <c r="OW263">
        <v>-22.9</v>
      </c>
      <c r="OX263">
        <v>-22.9</v>
      </c>
      <c r="OY263">
        <v>-22.09</v>
      </c>
      <c r="OZ263">
        <v>-22.9</v>
      </c>
      <c r="QK263">
        <f>100-24.3-29.8</f>
        <v>45.900000000000006</v>
      </c>
      <c r="QL263">
        <v>45.9</v>
      </c>
      <c r="QM263">
        <v>45.9</v>
      </c>
      <c r="QN263">
        <v>45.9</v>
      </c>
      <c r="QO263">
        <v>45.9</v>
      </c>
      <c r="QP263">
        <v>45.9</v>
      </c>
      <c r="QQ263">
        <v>45.9</v>
      </c>
      <c r="QR263">
        <v>45.9</v>
      </c>
      <c r="QS263">
        <v>45.9</v>
      </c>
      <c r="QT263">
        <v>45.9</v>
      </c>
      <c r="QU263">
        <v>45.9</v>
      </c>
      <c r="QV263">
        <v>45.9</v>
      </c>
      <c r="QW263">
        <v>45.9</v>
      </c>
      <c r="QX263">
        <v>45.9</v>
      </c>
      <c r="QY263">
        <v>45.9</v>
      </c>
      <c r="QZ263">
        <v>45.9</v>
      </c>
      <c r="RA263">
        <v>16.100000000000001</v>
      </c>
      <c r="RB263">
        <v>16.100000000000001</v>
      </c>
      <c r="RC263">
        <v>16.100000000000001</v>
      </c>
      <c r="RD263">
        <v>16.100000000000001</v>
      </c>
      <c r="RE263">
        <v>16.100000000000001</v>
      </c>
      <c r="RF263">
        <v>16.100000000000001</v>
      </c>
      <c r="RG263">
        <v>16.100000000000001</v>
      </c>
      <c r="RH263">
        <v>16.100000000000001</v>
      </c>
      <c r="RI263">
        <v>16.100000000000001</v>
      </c>
      <c r="RJ263">
        <v>16.100000000000001</v>
      </c>
      <c r="RK263">
        <v>16.100000000000001</v>
      </c>
      <c r="RL263">
        <v>16.100000000000001</v>
      </c>
      <c r="RM263">
        <v>-13.7</v>
      </c>
      <c r="RN263">
        <v>-13.7</v>
      </c>
      <c r="RO263">
        <v>-13.7</v>
      </c>
      <c r="RP263">
        <v>-42.7</v>
      </c>
      <c r="SU263">
        <v>-42.7</v>
      </c>
      <c r="SV263">
        <v>-42.7</v>
      </c>
      <c r="SW263">
        <v>-42.7</v>
      </c>
      <c r="SX263">
        <v>-42.7</v>
      </c>
      <c r="SY263">
        <v>-42.7</v>
      </c>
      <c r="SZ263">
        <v>-42.7</v>
      </c>
      <c r="TA263">
        <v>-42.7</v>
      </c>
      <c r="TB263">
        <v>-42.7</v>
      </c>
      <c r="TC263">
        <v>-42.7</v>
      </c>
      <c r="TD263">
        <v>-42.7</v>
      </c>
      <c r="TE263">
        <v>-42.7</v>
      </c>
      <c r="TF263">
        <v>-42.7</v>
      </c>
      <c r="TG263">
        <v>-42.7</v>
      </c>
      <c r="TH263">
        <v>-42.7</v>
      </c>
      <c r="TI263">
        <v>7.3</v>
      </c>
      <c r="TJ263">
        <v>7.3</v>
      </c>
      <c r="TK263">
        <v>7.3</v>
      </c>
      <c r="TL263">
        <v>7.3</v>
      </c>
      <c r="TM263">
        <v>7.3</v>
      </c>
      <c r="TN263">
        <v>7.3</v>
      </c>
      <c r="TO263">
        <v>7.3</v>
      </c>
      <c r="TP263">
        <v>7.3</v>
      </c>
      <c r="TQ263">
        <v>7.3</v>
      </c>
      <c r="TR263">
        <v>7.3</v>
      </c>
      <c r="TS263">
        <v>7.3</v>
      </c>
      <c r="TT263">
        <v>-21.7</v>
      </c>
      <c r="TU263">
        <v>-21.7</v>
      </c>
      <c r="TV263">
        <v>-21.7</v>
      </c>
      <c r="TW263">
        <v>-21.7</v>
      </c>
      <c r="TX263">
        <v>-21.7</v>
      </c>
      <c r="TY263">
        <v>-21.7</v>
      </c>
      <c r="TZ263">
        <v>-21.7</v>
      </c>
      <c r="UA263">
        <v>-21.7</v>
      </c>
      <c r="UB263">
        <v>-21.7</v>
      </c>
      <c r="UC263">
        <v>-21.7</v>
      </c>
      <c r="UD263">
        <v>-21.7</v>
      </c>
      <c r="UE263">
        <v>-21.7</v>
      </c>
      <c r="UF263">
        <v>-21.7</v>
      </c>
      <c r="UG263">
        <v>-21.7</v>
      </c>
      <c r="UH263">
        <v>-21.7</v>
      </c>
      <c r="UI263">
        <v>-21.7</v>
      </c>
      <c r="UJ263">
        <v>-21.7</v>
      </c>
      <c r="UK263">
        <v>-45.8</v>
      </c>
      <c r="UL263">
        <v>-42.9</v>
      </c>
      <c r="UM263">
        <v>-6</v>
      </c>
      <c r="UN263">
        <v>-6</v>
      </c>
      <c r="UO263">
        <v>-61.5</v>
      </c>
      <c r="UP263">
        <v>-61.5</v>
      </c>
      <c r="UQ263">
        <v>-88.8</v>
      </c>
      <c r="UR263">
        <v>-165.2</v>
      </c>
      <c r="US263">
        <v>-165.2</v>
      </c>
      <c r="UT263">
        <v>-192.5</v>
      </c>
      <c r="UU263">
        <v>-217.9</v>
      </c>
      <c r="UV263">
        <v>-217.9</v>
      </c>
      <c r="UW263">
        <v>-241.9</v>
      </c>
      <c r="UX263">
        <v>-142.9</v>
      </c>
      <c r="UY263">
        <v>-142.9</v>
      </c>
      <c r="UZ263">
        <v>-142.9</v>
      </c>
      <c r="VA263">
        <f>-142.9+200-27.3</f>
        <v>29.799999999999994</v>
      </c>
      <c r="VB263">
        <v>29.8</v>
      </c>
      <c r="VC263">
        <v>29.8</v>
      </c>
      <c r="VD263">
        <f>29.8-24.1-25.4-27.3</f>
        <v>-47</v>
      </c>
      <c r="VE263">
        <v>-71.099999999999994</v>
      </c>
      <c r="VF263" s="1304">
        <v>-71.099999999999994</v>
      </c>
      <c r="VG263" s="1304">
        <v>-71.099999999999994</v>
      </c>
      <c r="VH263" s="1304">
        <v>-71.099999999999994</v>
      </c>
      <c r="VI263" s="1304">
        <v>-71.099999999999994</v>
      </c>
      <c r="VJ263" s="1304">
        <v>-71.099999999999994</v>
      </c>
      <c r="VK263">
        <v>55.5</v>
      </c>
      <c r="VL263" s="1304">
        <v>55.5</v>
      </c>
      <c r="VM263" s="1304">
        <v>55.5</v>
      </c>
      <c r="VN263" s="1304">
        <v>28.3</v>
      </c>
      <c r="VO263" s="1304">
        <v>28.3</v>
      </c>
      <c r="VP263" s="1304">
        <f>28.3+126.5</f>
        <v>154.80000000000001</v>
      </c>
      <c r="VQ263" s="1304">
        <v>154.80000000000001</v>
      </c>
      <c r="VR263" s="1304">
        <v>104.2</v>
      </c>
      <c r="VS263" s="1304">
        <v>104.2</v>
      </c>
      <c r="VT263" s="1304">
        <v>104.2</v>
      </c>
      <c r="VU263" s="1304">
        <v>78.2</v>
      </c>
      <c r="VV263" s="1304">
        <v>78.2</v>
      </c>
      <c r="VW263" s="1304">
        <v>233.2</v>
      </c>
      <c r="VX263" s="1304">
        <v>233.2</v>
      </c>
      <c r="VY263" s="1304">
        <v>233.2</v>
      </c>
      <c r="VZ263" s="1304">
        <v>233.2</v>
      </c>
      <c r="WA263" s="1304">
        <v>233.2</v>
      </c>
      <c r="WB263" s="1304">
        <v>335</v>
      </c>
      <c r="WC263" s="1304">
        <v>309.8</v>
      </c>
      <c r="WD263" s="1304">
        <v>284.39999999999998</v>
      </c>
      <c r="WE263" s="1304">
        <v>284.39999999999998</v>
      </c>
      <c r="WF263" s="1304">
        <f>284.4-25.4</f>
        <v>259</v>
      </c>
      <c r="WG263" s="1304">
        <v>259</v>
      </c>
      <c r="WH263" s="1304">
        <v>386</v>
      </c>
      <c r="WI263" s="1304">
        <v>386</v>
      </c>
      <c r="WJ263" s="1304">
        <v>386</v>
      </c>
      <c r="WK263" s="1304">
        <f>386-50.8</f>
        <v>335.2</v>
      </c>
      <c r="WL263" s="1304">
        <v>335.2</v>
      </c>
      <c r="WM263" s="1304">
        <f>309.8+88.9</f>
        <v>398.70000000000005</v>
      </c>
      <c r="WN263" s="1304">
        <v>373.3</v>
      </c>
      <c r="WO263" s="1304">
        <v>373.3</v>
      </c>
      <c r="WP263" s="1304">
        <f>373.3+127-25.2</f>
        <v>475.1</v>
      </c>
      <c r="WQ263" s="1304">
        <v>417.1</v>
      </c>
      <c r="WR263" s="1304">
        <f>417.1-27.5-25.4</f>
        <v>364.20000000000005</v>
      </c>
      <c r="WS263" s="1304">
        <v>364.2</v>
      </c>
      <c r="WT263" s="1304">
        <f>364.2+72.4</f>
        <v>436.6</v>
      </c>
      <c r="WU263" s="1304">
        <f>436.6-52.7+18.4</f>
        <v>402.3</v>
      </c>
      <c r="WV263" s="1304">
        <f>402.3-57.9</f>
        <v>344.40000000000003</v>
      </c>
      <c r="WW263" s="1304">
        <f>344.4-50.8</f>
        <v>293.59999999999997</v>
      </c>
      <c r="WX263" s="1304">
        <v>293.60000000000002</v>
      </c>
      <c r="WY263" s="1304">
        <v>293.60000000000002</v>
      </c>
      <c r="WZ263" s="1304">
        <f>293.6-28.5</f>
        <v>265.10000000000002</v>
      </c>
      <c r="XA263" s="1304">
        <f>265.1+127</f>
        <v>392.1</v>
      </c>
      <c r="XB263" s="1304">
        <f>392.1-50.8</f>
        <v>341.3</v>
      </c>
      <c r="XC263" s="1304">
        <v>341.3</v>
      </c>
      <c r="XD263" s="1304">
        <v>341.3</v>
      </c>
      <c r="XE263" s="1304">
        <v>341.3</v>
      </c>
      <c r="XF263" s="1304">
        <f>341.3-19.5</f>
        <v>321.8</v>
      </c>
      <c r="XG263" s="1304">
        <f>321.8+21.6</f>
        <v>343.40000000000003</v>
      </c>
      <c r="XH263" s="1304">
        <f>343.4-52.7</f>
        <v>290.7</v>
      </c>
      <c r="XI263" s="1304">
        <v>290.7</v>
      </c>
      <c r="XJ263" s="1304">
        <v>290.7</v>
      </c>
      <c r="XK263" s="1304">
        <v>236.6</v>
      </c>
      <c r="XL263" s="1304">
        <v>187.1</v>
      </c>
      <c r="XM263" s="1304">
        <v>260</v>
      </c>
      <c r="XN263" s="1304">
        <v>260</v>
      </c>
      <c r="XO263" s="1304">
        <v>260</v>
      </c>
      <c r="XP263" s="1304">
        <v>263.10000000000002</v>
      </c>
      <c r="XQ263" s="1304">
        <f>263.1+63.7</f>
        <v>326.8</v>
      </c>
      <c r="XR263" s="1304">
        <v>326.8</v>
      </c>
      <c r="XS263" s="1304">
        <v>326.8</v>
      </c>
      <c r="XT263" s="1304">
        <v>326.8</v>
      </c>
      <c r="XU263" s="1304">
        <f>326.8-55+67.7</f>
        <v>339.5</v>
      </c>
      <c r="XV263" s="1304">
        <f>339.5-25.6</f>
        <v>313.89999999999998</v>
      </c>
      <c r="XW263" s="1304">
        <v>314</v>
      </c>
      <c r="XX263" s="1304">
        <f>314+30</f>
        <v>344</v>
      </c>
      <c r="XY263" s="1304">
        <v>344</v>
      </c>
      <c r="XZ263" s="1304">
        <v>344</v>
      </c>
      <c r="YA263" s="1304">
        <v>344</v>
      </c>
      <c r="YB263" s="1304">
        <v>344</v>
      </c>
      <c r="YC263" s="1304">
        <v>344</v>
      </c>
      <c r="YD263" s="1304">
        <v>344</v>
      </c>
      <c r="YE263" s="1304">
        <v>344</v>
      </c>
      <c r="YF263" s="1304">
        <v>344</v>
      </c>
      <c r="YG263" s="1304">
        <f>344-25.4</f>
        <v>318.60000000000002</v>
      </c>
      <c r="YH263" s="1304">
        <v>318.60000000000002</v>
      </c>
      <c r="YI263" s="1304">
        <v>318.60000000000002</v>
      </c>
      <c r="YJ263" s="1304">
        <v>318.60000000000002</v>
      </c>
      <c r="YK263" s="1304">
        <f>318.6-25.4</f>
        <v>293.20000000000005</v>
      </c>
      <c r="YL263" s="1304">
        <v>293.2</v>
      </c>
      <c r="YM263" s="1304">
        <f>293.2-27.5</f>
        <v>265.7</v>
      </c>
      <c r="YN263" s="1304">
        <v>265.7</v>
      </c>
      <c r="YO263" s="1304">
        <v>265.7</v>
      </c>
      <c r="YP263" s="1304">
        <v>265.7</v>
      </c>
      <c r="YQ263" s="1304">
        <v>265.7</v>
      </c>
      <c r="YR263" s="1304">
        <f>265.7-27.5</f>
        <v>238.2</v>
      </c>
      <c r="YS263" s="1304">
        <v>238.2</v>
      </c>
      <c r="YT263" s="1304">
        <v>238.2</v>
      </c>
      <c r="YU263" s="1304">
        <v>238.2</v>
      </c>
      <c r="YV263" s="1304">
        <v>238.2</v>
      </c>
      <c r="YW263" s="1304">
        <v>238.2</v>
      </c>
      <c r="YX263" s="1304">
        <v>238.2</v>
      </c>
      <c r="YY263" s="1304">
        <v>238.2</v>
      </c>
      <c r="YZ263" s="1304">
        <v>238.2</v>
      </c>
      <c r="ZA263" s="1304">
        <v>238.2</v>
      </c>
      <c r="ZB263" s="1304">
        <v>238.2</v>
      </c>
      <c r="ZC263" s="1304">
        <v>238.2</v>
      </c>
      <c r="ZD263" s="1304">
        <v>238.2</v>
      </c>
      <c r="ZE263" s="1304">
        <f>238.2-20</f>
        <v>218.2</v>
      </c>
      <c r="ZF263" s="1304">
        <v>218.2</v>
      </c>
      <c r="ZG263" s="1304">
        <v>218.2</v>
      </c>
      <c r="ZH263" s="1304">
        <f>218.2-20</f>
        <v>198.2</v>
      </c>
      <c r="ZI263" s="1304">
        <f>198.2+72</f>
        <v>270.2</v>
      </c>
      <c r="ZJ263" s="1304">
        <v>270.2</v>
      </c>
      <c r="ZK263" s="1304">
        <v>270.2</v>
      </c>
      <c r="ZL263" s="1304">
        <v>270.2</v>
      </c>
      <c r="ZM263" s="1304">
        <v>270.2</v>
      </c>
      <c r="ZN263" s="1304">
        <v>270.2</v>
      </c>
      <c r="ZO263" s="1304">
        <v>270.2</v>
      </c>
      <c r="ZP263" s="1304">
        <f>270.2-27.6</f>
        <v>242.6</v>
      </c>
      <c r="ZQ263" s="1304">
        <v>242.6</v>
      </c>
      <c r="ZR263" s="1304">
        <f>242.6-32</f>
        <v>210.6</v>
      </c>
      <c r="ZS263" s="1304">
        <f>210.6-25.5</f>
        <v>185.1</v>
      </c>
      <c r="ZT263" s="1304">
        <v>185.1</v>
      </c>
      <c r="ZU263" s="1304">
        <f>185.1-25.5-27.5</f>
        <v>132.1</v>
      </c>
      <c r="ZV263" s="1304">
        <v>132.1</v>
      </c>
      <c r="ZW263" s="1304">
        <f>132.1-25.5</f>
        <v>106.6</v>
      </c>
      <c r="ZX263" s="1304">
        <v>106.6</v>
      </c>
      <c r="ZY263" s="1304">
        <v>106.6</v>
      </c>
      <c r="ZZ263" s="1304">
        <f>106.6-20</f>
        <v>86.6</v>
      </c>
      <c r="AAA263" s="1304">
        <v>86.6</v>
      </c>
      <c r="AAB263" s="1304">
        <f>86.6-28</f>
        <v>58.599999999999994</v>
      </c>
      <c r="AAC263" s="1304">
        <f>58.6+78</f>
        <v>136.6</v>
      </c>
      <c r="AAD263" s="1304">
        <f>136.6-56</f>
        <v>80.599999999999994</v>
      </c>
      <c r="AAE263" s="1304">
        <f>80.6+28</f>
        <v>108.6</v>
      </c>
      <c r="AAF263" s="1304">
        <f>108.6+41.6</f>
        <v>150.19999999999999</v>
      </c>
      <c r="AAG263" s="1304">
        <v>150.19999999999999</v>
      </c>
      <c r="AAH263" s="1304">
        <v>150.19999999999999</v>
      </c>
      <c r="AAI263" s="1304">
        <v>150.19999999999999</v>
      </c>
      <c r="AAJ263" s="1304">
        <v>150.19999999999999</v>
      </c>
      <c r="AAK263" s="1304">
        <v>150.19999999999999</v>
      </c>
      <c r="AAL263" s="1304">
        <f>150.2+45.6</f>
        <v>195.79999999999998</v>
      </c>
      <c r="AAM263" s="1304">
        <v>195.8</v>
      </c>
      <c r="AAN263" s="1304">
        <v>195.8</v>
      </c>
      <c r="AAO263" s="1304">
        <v>195.8</v>
      </c>
      <c r="AAP263" s="1304">
        <f>195.8+29.85</f>
        <v>225.65</v>
      </c>
      <c r="AAQ263" s="1304">
        <v>225.65</v>
      </c>
      <c r="AAR263" s="1304">
        <v>225.65</v>
      </c>
      <c r="AAS263" s="1304">
        <v>225.65</v>
      </c>
      <c r="AAT263" s="1304">
        <v>225.6</v>
      </c>
      <c r="AAU263" s="1304">
        <v>225.6</v>
      </c>
      <c r="AAV263" s="1304">
        <v>225.6</v>
      </c>
      <c r="AAW263" s="1304">
        <v>225.6</v>
      </c>
      <c r="AAX263" s="1304">
        <v>225.6</v>
      </c>
      <c r="AAY263" s="1304">
        <v>225.6</v>
      </c>
      <c r="AAZ263" s="1304">
        <v>225.6</v>
      </c>
      <c r="ABA263" s="1304">
        <v>225.6</v>
      </c>
      <c r="ABB263" s="1304">
        <v>225.6</v>
      </c>
      <c r="ABC263" s="1304">
        <v>225.6</v>
      </c>
      <c r="ABD263" s="1304">
        <v>225.6</v>
      </c>
      <c r="ABE263" s="1304">
        <v>225.6</v>
      </c>
      <c r="ABF263" s="1304">
        <v>225.6</v>
      </c>
      <c r="ABG263" s="1304">
        <v>225.6</v>
      </c>
      <c r="ABH263" s="1304">
        <v>225.6</v>
      </c>
      <c r="ABI263" s="1304">
        <v>225.6</v>
      </c>
      <c r="ABJ263" s="1304">
        <v>225.6</v>
      </c>
      <c r="ABK263" s="1304">
        <v>225.6</v>
      </c>
      <c r="ABL263" s="1304">
        <v>225.6</v>
      </c>
      <c r="ABM263" s="1304">
        <v>265</v>
      </c>
      <c r="ABN263" s="1304">
        <v>265</v>
      </c>
      <c r="ABO263" s="1304">
        <v>265</v>
      </c>
      <c r="ABP263" s="1304">
        <v>265</v>
      </c>
      <c r="ABQ263" s="1304">
        <v>265</v>
      </c>
      <c r="ABR263" s="1304">
        <v>265</v>
      </c>
      <c r="ABS263" s="1304">
        <v>265</v>
      </c>
      <c r="ABT263" s="1304">
        <v>265</v>
      </c>
      <c r="ABU263" s="1304">
        <v>265</v>
      </c>
      <c r="ABV263" s="1304">
        <v>240</v>
      </c>
      <c r="ABW263" s="1304">
        <v>240</v>
      </c>
      <c r="ABX263" s="1304">
        <v>240</v>
      </c>
      <c r="ABY263" s="1304">
        <f>240+32.5</f>
        <v>272.5</v>
      </c>
      <c r="ABZ263" s="1304">
        <v>272.5</v>
      </c>
      <c r="ACA263" s="1304">
        <f>272.5-29.3</f>
        <v>243.2</v>
      </c>
      <c r="ACB263" s="1304">
        <f>243.2+10</f>
        <v>253.2</v>
      </c>
      <c r="ACC263" s="1304">
        <v>253.2</v>
      </c>
      <c r="ACD263" s="1304">
        <v>253.2</v>
      </c>
      <c r="ACE263" s="1304">
        <v>253.2</v>
      </c>
      <c r="ACF263" s="1304">
        <v>253.2</v>
      </c>
      <c r="ACG263" s="1304">
        <v>253.2</v>
      </c>
      <c r="ACH263" s="1304">
        <v>257.55</v>
      </c>
      <c r="ACI263" s="1304">
        <v>257.55</v>
      </c>
      <c r="ACJ263" s="1304">
        <v>257.55</v>
      </c>
      <c r="ACK263" s="1304">
        <v>231.55</v>
      </c>
      <c r="ACL263" s="1304">
        <v>202.55</v>
      </c>
      <c r="ACM263" s="1304">
        <f>202.55-27.8</f>
        <v>174.75</v>
      </c>
      <c r="ACN263" s="1304">
        <v>214</v>
      </c>
      <c r="ACO263" s="1304">
        <f>214-22</f>
        <v>192</v>
      </c>
      <c r="ACP263" s="1304">
        <v>192</v>
      </c>
      <c r="ACQ263" s="1304">
        <f>192-29.8</f>
        <v>162.19999999999999</v>
      </c>
      <c r="ACR263" s="1304">
        <v>162.69999999999999</v>
      </c>
      <c r="ACS263" s="1304">
        <v>162.69999999999999</v>
      </c>
      <c r="ACT263" s="1304">
        <v>202</v>
      </c>
      <c r="ACU263" s="1304">
        <v>202</v>
      </c>
      <c r="ACV263" s="1304">
        <v>202</v>
      </c>
      <c r="ACW263" s="1304">
        <v>202</v>
      </c>
      <c r="ACX263" s="1304">
        <f>202-20-27-23</f>
        <v>132</v>
      </c>
      <c r="ACY263" s="1304">
        <v>107.5</v>
      </c>
      <c r="ACZ263" s="1304">
        <f>107.5+28.5</f>
        <v>136</v>
      </c>
      <c r="ADA263" s="1304">
        <v>136</v>
      </c>
      <c r="ADB263" s="1304">
        <v>168.5</v>
      </c>
      <c r="ADC263" s="1304">
        <f>168.5-24</f>
        <v>144.5</v>
      </c>
      <c r="ADD263" s="1304">
        <v>176</v>
      </c>
      <c r="ADE263" s="1304">
        <f>176-23.7</f>
        <v>152.30000000000001</v>
      </c>
      <c r="ADF263" s="1304">
        <v>152.30000000000001</v>
      </c>
      <c r="ADG263" s="1304">
        <v>127.3</v>
      </c>
      <c r="ADH263" s="1304">
        <f>127.3-24</f>
        <v>103.3</v>
      </c>
      <c r="ADI263" s="1304">
        <v>78.3</v>
      </c>
      <c r="ADJ263" s="1304">
        <v>78.3</v>
      </c>
      <c r="ADK263" s="1304">
        <v>-1.7</v>
      </c>
      <c r="ADL263" s="1304">
        <v>-1.7</v>
      </c>
      <c r="ADM263" s="1304">
        <v>-1.7</v>
      </c>
      <c r="ADN263" s="1304">
        <v>-14</v>
      </c>
      <c r="ADO263" s="1304">
        <v>-14</v>
      </c>
      <c r="ADP263" s="1304">
        <v>-14</v>
      </c>
      <c r="ADQ263" s="1304">
        <v>-14</v>
      </c>
      <c r="ADR263" s="1304">
        <v>-14</v>
      </c>
      <c r="ADS263" s="1304">
        <v>-14</v>
      </c>
      <c r="ADT263" s="1304">
        <v>-14</v>
      </c>
      <c r="ADU263" s="1304">
        <v>-14</v>
      </c>
      <c r="ADV263" s="1304">
        <v>-14</v>
      </c>
      <c r="ADW263" s="1304">
        <v>-14</v>
      </c>
      <c r="ADX263" s="1304">
        <v>-14</v>
      </c>
      <c r="ADY263" s="1304">
        <v>-14</v>
      </c>
      <c r="ADZ263" s="1304">
        <v>-14</v>
      </c>
      <c r="AEA263" s="1304">
        <v>-14</v>
      </c>
      <c r="AEB263" s="1304">
        <v>-14</v>
      </c>
      <c r="AEC263" s="1304">
        <v>-14</v>
      </c>
      <c r="AED263" s="1304">
        <v>5</v>
      </c>
      <c r="AEE263" s="1304">
        <v>5</v>
      </c>
      <c r="AEF263" s="1304">
        <v>5</v>
      </c>
      <c r="AEG263" s="1304">
        <v>5</v>
      </c>
      <c r="AEH263" s="1304">
        <v>5</v>
      </c>
      <c r="AEI263" s="1304">
        <v>35</v>
      </c>
    </row>
    <row r="264" spans="2:964">
      <c r="F264" s="808"/>
      <c r="G264" s="2522"/>
      <c r="H264" s="808"/>
      <c r="I264" s="808"/>
      <c r="J264">
        <v>15</v>
      </c>
      <c r="K264" s="808"/>
      <c r="L264" s="808">
        <v>60</v>
      </c>
      <c r="M264" s="808"/>
      <c r="N264" s="808"/>
      <c r="O264" s="808">
        <v>32</v>
      </c>
      <c r="P264" s="808"/>
      <c r="Q264" s="808"/>
      <c r="R264" s="808">
        <v>100</v>
      </c>
      <c r="S264" s="808"/>
      <c r="T264" s="808"/>
      <c r="U264" s="808"/>
      <c r="V264" s="808"/>
      <c r="W264" s="808"/>
      <c r="X264" s="808"/>
      <c r="Y264" s="808"/>
      <c r="Z264" s="808"/>
      <c r="AA264" s="808"/>
      <c r="AB264" s="808"/>
      <c r="AC264" s="808"/>
      <c r="AD264" s="808"/>
      <c r="AE264" s="808"/>
      <c r="AF264" s="808"/>
      <c r="AG264" s="808"/>
      <c r="AH264" s="808"/>
      <c r="AI264" s="808"/>
      <c r="AJ264" s="808"/>
      <c r="AK264" s="808"/>
      <c r="AL264" s="808"/>
      <c r="AM264" s="808"/>
      <c r="AN264" s="808"/>
      <c r="AO264" s="808"/>
      <c r="AP264" s="808"/>
      <c r="AQ264" s="808"/>
      <c r="AR264" s="808"/>
      <c r="AS264" s="808"/>
      <c r="AT264" s="808"/>
      <c r="AU264" s="808"/>
      <c r="AV264" s="808"/>
      <c r="AW264" s="808"/>
      <c r="AX264" s="808"/>
      <c r="AY264" s="808"/>
      <c r="AZ264" s="808"/>
      <c r="BA264" s="808"/>
      <c r="BB264" s="808"/>
      <c r="BC264" s="808"/>
      <c r="BD264" s="808"/>
      <c r="BE264" s="808"/>
      <c r="BF264" s="808"/>
      <c r="BG264" s="808"/>
      <c r="BH264" s="808"/>
      <c r="BI264" s="808"/>
      <c r="BJ264" s="808"/>
      <c r="BK264" s="808"/>
      <c r="BL264" s="808"/>
      <c r="BM264" s="808"/>
      <c r="BN264" s="808"/>
      <c r="BO264" s="808"/>
      <c r="BP264" s="808"/>
      <c r="BQ264" s="808"/>
      <c r="BR264" s="808"/>
      <c r="BS264" s="808"/>
      <c r="BT264" s="808"/>
      <c r="BU264" s="808"/>
      <c r="BV264" s="808"/>
      <c r="BW264" s="808"/>
      <c r="BX264" s="808"/>
      <c r="BY264" s="808"/>
      <c r="BZ264" s="808"/>
      <c r="CA264" s="808"/>
      <c r="CB264" s="808"/>
      <c r="CC264" s="808"/>
      <c r="CD264" s="808"/>
      <c r="CE264" s="808"/>
      <c r="CF264" s="808"/>
      <c r="CG264" s="808"/>
      <c r="CH264" s="808"/>
      <c r="CI264" s="808"/>
      <c r="CJ264" s="808"/>
      <c r="CK264" s="808"/>
      <c r="CL264" s="808"/>
      <c r="CM264" s="808"/>
      <c r="CN264" s="808"/>
      <c r="CO264" s="808"/>
      <c r="CP264" s="808"/>
      <c r="CQ264" s="808"/>
      <c r="CR264" s="808"/>
      <c r="CS264" s="808"/>
      <c r="CT264" s="808"/>
      <c r="CU264" s="808"/>
      <c r="LL264">
        <v>2</v>
      </c>
      <c r="LM264">
        <v>2</v>
      </c>
      <c r="LN264">
        <v>2.2000000000000002</v>
      </c>
      <c r="LQ264">
        <v>28</v>
      </c>
      <c r="LR264">
        <v>28</v>
      </c>
      <c r="LV264">
        <v>176.3</v>
      </c>
      <c r="LW264">
        <v>43.7</v>
      </c>
      <c r="MD264">
        <v>33.5</v>
      </c>
      <c r="MG264">
        <v>92.1</v>
      </c>
      <c r="MH264">
        <v>71.099999999999994</v>
      </c>
      <c r="MI264">
        <v>39.700000000000003</v>
      </c>
      <c r="MJ264">
        <v>39.700000000000003</v>
      </c>
      <c r="MK264">
        <v>39.700000000000003</v>
      </c>
      <c r="ML264">
        <v>90.7</v>
      </c>
      <c r="MM264">
        <v>-43.5</v>
      </c>
      <c r="MN264">
        <v>-2329.3000000000002</v>
      </c>
      <c r="MO264">
        <v>-2329.3000000000002</v>
      </c>
      <c r="MP264">
        <v>-2700</v>
      </c>
      <c r="MQ264">
        <v>-2595</v>
      </c>
      <c r="MR264">
        <v>-2495</v>
      </c>
      <c r="MS264">
        <v>-3265</v>
      </c>
      <c r="MT264">
        <v>-3196.9</v>
      </c>
      <c r="MU264">
        <v>-3620</v>
      </c>
      <c r="MV264">
        <v>-3603</v>
      </c>
      <c r="MW264">
        <v>11.6</v>
      </c>
      <c r="MX264">
        <v>-3143</v>
      </c>
      <c r="MY264">
        <v>-3961</v>
      </c>
      <c r="MZ264">
        <v>34.200000000000003</v>
      </c>
      <c r="NA264">
        <v>11.6</v>
      </c>
      <c r="NB264">
        <v>74</v>
      </c>
      <c r="NC264">
        <v>74</v>
      </c>
      <c r="ND264">
        <v>74</v>
      </c>
      <c r="NE264">
        <v>74</v>
      </c>
      <c r="NF264">
        <v>74</v>
      </c>
      <c r="NG264">
        <v>74</v>
      </c>
      <c r="NH264">
        <v>74</v>
      </c>
      <c r="NI264">
        <v>40</v>
      </c>
      <c r="NJ264">
        <v>40</v>
      </c>
      <c r="NK264">
        <v>40</v>
      </c>
      <c r="NL264">
        <v>77</v>
      </c>
      <c r="NM264">
        <v>77</v>
      </c>
      <c r="NN264">
        <v>351</v>
      </c>
      <c r="NO264">
        <v>331</v>
      </c>
      <c r="NP264">
        <v>343.75</v>
      </c>
      <c r="NQ264">
        <v>469</v>
      </c>
      <c r="NR264">
        <v>448.5</v>
      </c>
      <c r="NS264">
        <v>290</v>
      </c>
      <c r="NT264">
        <v>244.8</v>
      </c>
      <c r="NU264">
        <v>374</v>
      </c>
      <c r="NV264">
        <v>375.5</v>
      </c>
      <c r="NW264">
        <v>353.7</v>
      </c>
      <c r="NX264">
        <v>360.5</v>
      </c>
      <c r="NY264">
        <v>292.7</v>
      </c>
      <c r="NZ264">
        <v>508.3</v>
      </c>
      <c r="OA264">
        <v>593</v>
      </c>
      <c r="OB264">
        <v>533.79999999999995</v>
      </c>
      <c r="OC264">
        <v>474.3</v>
      </c>
      <c r="OD264">
        <v>452.8</v>
      </c>
      <c r="OE264">
        <v>467.5</v>
      </c>
      <c r="OF264">
        <v>410</v>
      </c>
      <c r="OG264">
        <v>400</v>
      </c>
      <c r="OH264">
        <v>360</v>
      </c>
      <c r="OI264">
        <v>340.5</v>
      </c>
      <c r="OJ264">
        <v>308.7</v>
      </c>
      <c r="OK264">
        <v>303</v>
      </c>
      <c r="OL264">
        <v>355.7</v>
      </c>
      <c r="OM264">
        <v>261</v>
      </c>
      <c r="ON264">
        <v>7</v>
      </c>
      <c r="OO264">
        <v>27.5</v>
      </c>
      <c r="OP264">
        <v>7</v>
      </c>
      <c r="OQ264">
        <v>7</v>
      </c>
      <c r="OR264">
        <v>7</v>
      </c>
      <c r="OS264">
        <v>7</v>
      </c>
      <c r="OT264">
        <f>18+7</f>
        <v>25</v>
      </c>
      <c r="OU264">
        <v>26.3</v>
      </c>
      <c r="OV264">
        <v>31.4</v>
      </c>
      <c r="OW264">
        <v>36.299999999999997</v>
      </c>
      <c r="OX264">
        <v>0</v>
      </c>
      <c r="OY264">
        <v>-25.6</v>
      </c>
      <c r="OZ264">
        <v>-25.6</v>
      </c>
      <c r="RC264">
        <v>83</v>
      </c>
      <c r="RD264">
        <v>83</v>
      </c>
      <c r="RE264">
        <v>83</v>
      </c>
      <c r="RF264">
        <v>83</v>
      </c>
      <c r="RG264">
        <v>83</v>
      </c>
      <c r="RH264">
        <v>83</v>
      </c>
      <c r="RI264">
        <v>83</v>
      </c>
      <c r="RJ264">
        <v>83</v>
      </c>
      <c r="RK264">
        <v>83</v>
      </c>
      <c r="RL264">
        <v>83</v>
      </c>
      <c r="RM264">
        <v>83</v>
      </c>
      <c r="RN264">
        <v>83</v>
      </c>
      <c r="RO264">
        <v>83</v>
      </c>
      <c r="RP264">
        <v>83</v>
      </c>
      <c r="RQ264">
        <v>2.2000000000000002</v>
      </c>
      <c r="RR264">
        <v>2.2000000000000002</v>
      </c>
      <c r="RS264">
        <v>2.2000000000000002</v>
      </c>
      <c r="RT264">
        <v>2.2000000000000002</v>
      </c>
      <c r="RU264">
        <v>2.2000000000000002</v>
      </c>
      <c r="RV264">
        <v>2.2000000000000002</v>
      </c>
      <c r="RW264">
        <v>2.2000000000000002</v>
      </c>
      <c r="RX264">
        <v>2.2000000000000002</v>
      </c>
      <c r="RY264">
        <v>2.2000000000000002</v>
      </c>
      <c r="RZ264">
        <v>2.2000000000000002</v>
      </c>
      <c r="SA264">
        <v>2.2000000000000002</v>
      </c>
      <c r="SB264">
        <v>2.2000000000000002</v>
      </c>
      <c r="SC264">
        <v>2.2000000000000002</v>
      </c>
      <c r="SD264">
        <v>2.2000000000000002</v>
      </c>
      <c r="SE264">
        <v>2.2000000000000002</v>
      </c>
      <c r="SF264">
        <v>2.2000000000000002</v>
      </c>
      <c r="SG264">
        <v>2.2000000000000002</v>
      </c>
      <c r="SH264">
        <v>2.2000000000000002</v>
      </c>
      <c r="SI264">
        <v>2.2000000000000002</v>
      </c>
      <c r="SJ264">
        <v>2.2000000000000002</v>
      </c>
      <c r="SK264">
        <v>2.2000000000000002</v>
      </c>
      <c r="SL264">
        <v>2.2000000000000002</v>
      </c>
      <c r="SM264">
        <v>2.2000000000000002</v>
      </c>
      <c r="SN264">
        <v>2.2000000000000002</v>
      </c>
      <c r="SO264">
        <v>2.2000000000000002</v>
      </c>
      <c r="SP264">
        <v>2.2000000000000002</v>
      </c>
      <c r="SQ264">
        <v>2.2000000000000002</v>
      </c>
      <c r="SR264">
        <v>2.2000000000000002</v>
      </c>
      <c r="SS264">
        <v>2.2000000000000002</v>
      </c>
      <c r="ST264">
        <v>2.2000000000000002</v>
      </c>
      <c r="SU264">
        <v>83</v>
      </c>
      <c r="SV264">
        <v>83</v>
      </c>
      <c r="SW264">
        <v>83</v>
      </c>
      <c r="SX264">
        <v>83</v>
      </c>
      <c r="SY264">
        <v>83</v>
      </c>
      <c r="SZ264">
        <v>83</v>
      </c>
      <c r="TA264">
        <v>83</v>
      </c>
      <c r="TB264">
        <v>83</v>
      </c>
      <c r="TC264">
        <v>83</v>
      </c>
      <c r="TD264">
        <v>83</v>
      </c>
      <c r="TE264">
        <v>83</v>
      </c>
      <c r="TF264">
        <v>83</v>
      </c>
      <c r="TG264">
        <v>83</v>
      </c>
      <c r="TH264">
        <v>83</v>
      </c>
      <c r="TI264">
        <v>83</v>
      </c>
      <c r="TJ264">
        <v>83</v>
      </c>
      <c r="TK264">
        <v>83</v>
      </c>
      <c r="TL264">
        <v>83</v>
      </c>
      <c r="TM264">
        <v>83</v>
      </c>
      <c r="TN264">
        <v>83</v>
      </c>
      <c r="TO264">
        <v>83</v>
      </c>
      <c r="TP264">
        <v>83</v>
      </c>
      <c r="TQ264">
        <v>83</v>
      </c>
      <c r="TR264">
        <v>83</v>
      </c>
      <c r="TS264">
        <v>83</v>
      </c>
      <c r="TT264">
        <v>83</v>
      </c>
      <c r="TU264">
        <v>83</v>
      </c>
      <c r="TV264">
        <v>83</v>
      </c>
      <c r="TW264">
        <v>83</v>
      </c>
      <c r="TX264">
        <v>83</v>
      </c>
      <c r="TY264">
        <v>83</v>
      </c>
      <c r="TZ264">
        <v>83</v>
      </c>
      <c r="UA264">
        <v>83</v>
      </c>
      <c r="UB264">
        <v>83</v>
      </c>
      <c r="UC264">
        <v>83</v>
      </c>
      <c r="UD264">
        <v>83</v>
      </c>
      <c r="UE264">
        <v>83</v>
      </c>
      <c r="UF264">
        <v>83</v>
      </c>
      <c r="UG264">
        <v>83</v>
      </c>
      <c r="UH264">
        <v>83</v>
      </c>
      <c r="UI264">
        <v>83</v>
      </c>
      <c r="UJ264">
        <v>83</v>
      </c>
      <c r="UK264">
        <v>83</v>
      </c>
      <c r="UL264">
        <v>83</v>
      </c>
      <c r="UM264">
        <v>83</v>
      </c>
      <c r="UN264">
        <v>83</v>
      </c>
      <c r="UO264">
        <v>83</v>
      </c>
      <c r="UP264">
        <v>83</v>
      </c>
      <c r="UQ264">
        <v>83</v>
      </c>
      <c r="UR264">
        <v>83</v>
      </c>
      <c r="US264">
        <v>83</v>
      </c>
      <c r="UT264">
        <v>83</v>
      </c>
      <c r="UU264">
        <v>83</v>
      </c>
      <c r="UV264">
        <v>83</v>
      </c>
      <c r="UW264">
        <v>83</v>
      </c>
      <c r="UX264">
        <v>83</v>
      </c>
      <c r="UY264">
        <v>83</v>
      </c>
      <c r="UZ264">
        <v>83</v>
      </c>
      <c r="VA264">
        <v>83</v>
      </c>
      <c r="VB264">
        <v>83</v>
      </c>
      <c r="VC264">
        <v>83</v>
      </c>
      <c r="VD264">
        <v>83</v>
      </c>
      <c r="VE264">
        <v>83</v>
      </c>
      <c r="VF264" s="1304">
        <v>83</v>
      </c>
      <c r="VG264" s="1304">
        <v>83</v>
      </c>
      <c r="VH264" s="1304">
        <v>83</v>
      </c>
      <c r="VI264" s="1304">
        <v>83</v>
      </c>
      <c r="VJ264" s="1304">
        <v>83</v>
      </c>
      <c r="VK264">
        <v>83</v>
      </c>
      <c r="VL264" s="1304">
        <v>83</v>
      </c>
      <c r="VM264" s="1304">
        <v>83</v>
      </c>
      <c r="VN264" s="1304">
        <v>83</v>
      </c>
      <c r="VO264" s="1304">
        <v>83</v>
      </c>
      <c r="VP264" s="1304">
        <v>83</v>
      </c>
      <c r="VQ264" s="1304">
        <v>83</v>
      </c>
      <c r="VR264" s="1304">
        <v>83</v>
      </c>
      <c r="VS264" s="1304">
        <v>83</v>
      </c>
      <c r="VT264" s="1304">
        <v>83</v>
      </c>
      <c r="VU264" s="1304">
        <v>83</v>
      </c>
      <c r="VV264" s="1304">
        <v>83</v>
      </c>
      <c r="VW264" s="1304">
        <v>83</v>
      </c>
      <c r="VX264" s="1304">
        <v>83</v>
      </c>
      <c r="VY264" s="1304">
        <v>83</v>
      </c>
      <c r="VZ264" s="1304">
        <v>83</v>
      </c>
      <c r="WA264" s="1304">
        <v>83</v>
      </c>
      <c r="WB264" s="1304">
        <v>83</v>
      </c>
      <c r="WC264" s="1304">
        <v>83</v>
      </c>
      <c r="WD264" s="1304">
        <v>83</v>
      </c>
      <c r="WE264" s="1304">
        <v>83</v>
      </c>
      <c r="WF264" s="1304">
        <v>83</v>
      </c>
      <c r="WG264" s="1304">
        <v>83</v>
      </c>
      <c r="WH264" s="1304">
        <v>83</v>
      </c>
      <c r="WI264" s="1304">
        <v>83</v>
      </c>
      <c r="WJ264" s="1304">
        <v>83</v>
      </c>
      <c r="WK264" s="1304">
        <v>83</v>
      </c>
      <c r="WL264" s="1304">
        <v>83</v>
      </c>
      <c r="WM264" s="1304">
        <v>83</v>
      </c>
      <c r="WN264" s="1304">
        <v>83</v>
      </c>
      <c r="WO264" s="1304">
        <v>83</v>
      </c>
      <c r="WP264" s="1304">
        <v>83</v>
      </c>
      <c r="WQ264" s="1304">
        <v>83</v>
      </c>
      <c r="WR264" s="1304">
        <v>83</v>
      </c>
      <c r="WS264" s="1304">
        <v>83</v>
      </c>
      <c r="WT264" s="1304">
        <v>83</v>
      </c>
      <c r="WU264" s="1304">
        <v>83</v>
      </c>
      <c r="WV264" s="1304">
        <v>83</v>
      </c>
      <c r="WW264" s="1304">
        <v>83</v>
      </c>
      <c r="WX264" s="1304">
        <v>83</v>
      </c>
      <c r="WY264" s="1304">
        <v>83</v>
      </c>
      <c r="WZ264" s="1304">
        <v>83</v>
      </c>
      <c r="XA264" s="1304">
        <v>83</v>
      </c>
      <c r="XB264" s="1304">
        <v>83</v>
      </c>
      <c r="XC264" s="1304">
        <v>83</v>
      </c>
      <c r="XD264" s="1304">
        <v>83</v>
      </c>
      <c r="XE264" s="1304">
        <v>83</v>
      </c>
      <c r="XF264" s="1304">
        <v>83</v>
      </c>
      <c r="XG264" s="1304">
        <v>83</v>
      </c>
      <c r="XH264" s="1304">
        <v>83</v>
      </c>
      <c r="XI264" s="1304">
        <v>83</v>
      </c>
      <c r="XJ264" s="1304">
        <v>83</v>
      </c>
      <c r="XK264" s="1304">
        <v>83</v>
      </c>
      <c r="XL264" s="1304">
        <v>83</v>
      </c>
      <c r="XM264" s="1304">
        <v>83</v>
      </c>
      <c r="XN264" s="1304">
        <v>83</v>
      </c>
      <c r="XO264" s="1304">
        <v>83</v>
      </c>
      <c r="XP264" s="1304">
        <v>83</v>
      </c>
      <c r="XQ264" s="1304">
        <v>83</v>
      </c>
      <c r="XR264" s="1304">
        <v>83</v>
      </c>
      <c r="XS264" s="1304">
        <v>83</v>
      </c>
      <c r="XT264" s="1304">
        <v>83</v>
      </c>
      <c r="XU264" s="1304">
        <v>83</v>
      </c>
      <c r="XV264" s="1304">
        <v>83</v>
      </c>
      <c r="XW264" s="1304">
        <v>83</v>
      </c>
      <c r="XX264" s="1304">
        <v>83</v>
      </c>
      <c r="XY264" s="1304">
        <v>83</v>
      </c>
      <c r="XZ264" s="1304">
        <v>83</v>
      </c>
      <c r="YA264" s="1304">
        <v>83</v>
      </c>
      <c r="YB264" s="1304">
        <v>83</v>
      </c>
      <c r="YC264" s="1304">
        <v>83</v>
      </c>
      <c r="YD264" s="1304">
        <v>83</v>
      </c>
      <c r="YE264" s="1304">
        <v>83</v>
      </c>
      <c r="YF264" s="1304">
        <v>83</v>
      </c>
      <c r="YG264" s="1304">
        <v>83</v>
      </c>
      <c r="YH264" s="1304">
        <v>83</v>
      </c>
      <c r="YI264" s="1304">
        <v>83</v>
      </c>
      <c r="YJ264" s="1304">
        <v>83</v>
      </c>
      <c r="YK264" s="1304">
        <v>83</v>
      </c>
      <c r="YL264" s="1304">
        <v>83</v>
      </c>
      <c r="YM264" s="1304">
        <v>83</v>
      </c>
      <c r="YN264" s="1304">
        <v>83</v>
      </c>
      <c r="YO264" s="1304">
        <v>83</v>
      </c>
      <c r="YP264" s="1304">
        <v>83</v>
      </c>
      <c r="YQ264" s="1304">
        <v>83</v>
      </c>
      <c r="YR264" s="1304">
        <v>83</v>
      </c>
      <c r="YS264" s="1304">
        <v>83</v>
      </c>
      <c r="YT264" s="1304">
        <v>83</v>
      </c>
      <c r="YU264" s="1304">
        <v>83</v>
      </c>
      <c r="YV264" s="1304">
        <v>83</v>
      </c>
      <c r="YW264" s="1304">
        <v>83</v>
      </c>
      <c r="YX264" s="1304">
        <v>83</v>
      </c>
      <c r="YY264" s="1304">
        <v>83</v>
      </c>
      <c r="YZ264" s="1304">
        <v>83</v>
      </c>
      <c r="ZA264" s="1304">
        <v>83</v>
      </c>
      <c r="ZB264" s="1304">
        <v>83</v>
      </c>
      <c r="ZC264" s="1304">
        <v>83</v>
      </c>
      <c r="ZD264" s="1304">
        <v>83</v>
      </c>
      <c r="ZE264" s="1304">
        <v>83</v>
      </c>
      <c r="ZF264" s="1304">
        <v>83</v>
      </c>
      <c r="ZG264" s="1304">
        <v>83</v>
      </c>
      <c r="ZH264" s="1304">
        <v>83</v>
      </c>
      <c r="ZI264" s="1304">
        <v>83</v>
      </c>
      <c r="ZJ264" s="1304">
        <v>83</v>
      </c>
      <c r="ZK264" s="1304">
        <v>83</v>
      </c>
      <c r="ZL264" s="1304">
        <v>83</v>
      </c>
      <c r="ZM264" s="1304">
        <v>83</v>
      </c>
      <c r="ZN264" s="1304">
        <v>83</v>
      </c>
      <c r="ZO264" s="1304">
        <v>83</v>
      </c>
      <c r="ZP264" s="1304">
        <v>83</v>
      </c>
      <c r="ZQ264" s="1304">
        <v>83</v>
      </c>
      <c r="ZR264" s="1304">
        <v>83</v>
      </c>
      <c r="ZS264" s="1304">
        <v>83</v>
      </c>
      <c r="ZT264" s="1304">
        <v>83</v>
      </c>
      <c r="ZU264" s="1304">
        <v>83</v>
      </c>
      <c r="ZV264" s="1304">
        <v>83</v>
      </c>
      <c r="ZW264" s="1304">
        <v>83</v>
      </c>
      <c r="ZX264" s="1304">
        <v>83</v>
      </c>
      <c r="ZY264" s="1304">
        <v>83</v>
      </c>
      <c r="ZZ264" s="1304">
        <v>83</v>
      </c>
      <c r="AAA264" s="1304">
        <v>83</v>
      </c>
      <c r="AAB264" s="1304">
        <v>83</v>
      </c>
      <c r="AAC264" s="1304">
        <v>83</v>
      </c>
      <c r="AAD264" s="1304">
        <v>83</v>
      </c>
      <c r="AAE264" s="1304">
        <v>83</v>
      </c>
      <c r="AAF264" s="1304">
        <v>83</v>
      </c>
      <c r="AAG264" s="1304">
        <v>83</v>
      </c>
      <c r="AAH264" s="1304">
        <v>83</v>
      </c>
      <c r="AAI264" s="1304">
        <v>83</v>
      </c>
      <c r="AAJ264" s="1304">
        <v>83</v>
      </c>
      <c r="AAK264" s="1304">
        <v>83</v>
      </c>
      <c r="AAL264" s="1304">
        <v>83</v>
      </c>
      <c r="AAM264" s="1304">
        <v>83</v>
      </c>
      <c r="AAN264" s="1304">
        <v>83</v>
      </c>
      <c r="AAO264" s="1304">
        <v>83</v>
      </c>
      <c r="AAP264" s="1304">
        <v>83</v>
      </c>
      <c r="AAQ264" s="1304">
        <v>83</v>
      </c>
      <c r="AAR264" s="1304">
        <v>83</v>
      </c>
      <c r="AAS264" s="1304">
        <v>83</v>
      </c>
      <c r="AAT264" s="1304">
        <v>83</v>
      </c>
      <c r="AAU264" s="1304">
        <v>83</v>
      </c>
      <c r="AAV264" s="1304">
        <v>83</v>
      </c>
      <c r="AAW264" s="1304">
        <v>83</v>
      </c>
      <c r="AAX264" s="1304">
        <v>83</v>
      </c>
      <c r="AAY264" s="1304">
        <v>83</v>
      </c>
      <c r="AAZ264" s="1304">
        <v>83</v>
      </c>
      <c r="ABA264" s="1304">
        <v>83</v>
      </c>
      <c r="ABB264" s="1304">
        <v>83</v>
      </c>
      <c r="ABC264" s="1304">
        <v>83</v>
      </c>
      <c r="ABD264" s="1304">
        <v>83</v>
      </c>
      <c r="ABE264" s="1304">
        <v>83</v>
      </c>
      <c r="ABF264" s="1304">
        <v>83</v>
      </c>
      <c r="ABG264" s="1304">
        <v>83</v>
      </c>
      <c r="ABH264" s="1304">
        <v>83</v>
      </c>
      <c r="ABI264" s="1304">
        <v>83</v>
      </c>
      <c r="ABJ264" s="1304">
        <v>83</v>
      </c>
      <c r="ABK264" s="1304">
        <v>83</v>
      </c>
      <c r="ABL264" s="1304">
        <v>83</v>
      </c>
      <c r="ABM264" s="1304">
        <v>83</v>
      </c>
      <c r="ABN264" s="1304">
        <v>83</v>
      </c>
      <c r="ABO264" s="1304">
        <v>83</v>
      </c>
      <c r="ABP264" s="1304">
        <v>83</v>
      </c>
      <c r="ABQ264" s="1304">
        <v>83</v>
      </c>
      <c r="ABR264" s="1304">
        <v>83</v>
      </c>
      <c r="ABS264" s="1304">
        <v>83</v>
      </c>
      <c r="ABT264" s="1304">
        <v>83</v>
      </c>
      <c r="ABU264" s="1304">
        <v>83</v>
      </c>
      <c r="ABV264" s="1304">
        <v>83</v>
      </c>
      <c r="ABW264" s="1304">
        <v>83</v>
      </c>
      <c r="ABX264" s="1304">
        <v>83</v>
      </c>
      <c r="ABY264" s="1304">
        <v>83</v>
      </c>
      <c r="ABZ264" s="1304">
        <v>83</v>
      </c>
      <c r="ACA264" s="1304">
        <v>83</v>
      </c>
      <c r="ACB264" s="1304">
        <v>83</v>
      </c>
      <c r="ACC264" s="1304">
        <v>83</v>
      </c>
      <c r="ACD264" s="1304">
        <v>83</v>
      </c>
      <c r="ACE264" s="1304">
        <v>83</v>
      </c>
      <c r="ACF264" s="1304">
        <v>83</v>
      </c>
      <c r="ACG264" s="1304">
        <v>83</v>
      </c>
      <c r="ACH264" s="1304">
        <v>83</v>
      </c>
      <c r="ACI264" s="1304">
        <v>83</v>
      </c>
      <c r="ACJ264" s="1304">
        <v>83</v>
      </c>
      <c r="ACK264" s="1304">
        <v>83</v>
      </c>
      <c r="ACL264" s="1304">
        <v>83</v>
      </c>
      <c r="ACM264" s="1304">
        <v>83</v>
      </c>
      <c r="ACN264" s="1304">
        <v>83</v>
      </c>
      <c r="ACO264" s="1304">
        <v>83</v>
      </c>
      <c r="ACP264" s="1304">
        <v>83</v>
      </c>
      <c r="ACQ264" s="1304">
        <v>83</v>
      </c>
      <c r="ACR264" s="1304">
        <v>83</v>
      </c>
      <c r="ACS264" s="1304">
        <v>83</v>
      </c>
      <c r="ACT264" s="1304">
        <v>83</v>
      </c>
      <c r="ACU264" s="1304">
        <v>83</v>
      </c>
      <c r="ACV264" s="1304">
        <v>83</v>
      </c>
      <c r="ACW264" s="1304">
        <v>83</v>
      </c>
      <c r="ACX264" s="1304">
        <v>83</v>
      </c>
      <c r="ACY264" s="1304">
        <v>83</v>
      </c>
      <c r="ACZ264" s="1304">
        <v>83</v>
      </c>
      <c r="ADA264" s="1304">
        <v>83</v>
      </c>
      <c r="ADB264" s="1304">
        <v>83</v>
      </c>
      <c r="ADC264" s="1304">
        <v>83</v>
      </c>
      <c r="ADD264" s="1304">
        <v>83</v>
      </c>
      <c r="ADE264" s="1304">
        <v>83</v>
      </c>
      <c r="ADF264" s="1304">
        <v>83</v>
      </c>
      <c r="ADG264" s="1304">
        <v>83</v>
      </c>
      <c r="ADH264" s="1304">
        <v>83</v>
      </c>
      <c r="ADI264" s="1304">
        <v>83</v>
      </c>
      <c r="ADJ264" s="1304">
        <v>83</v>
      </c>
      <c r="ADK264" s="1304">
        <v>83</v>
      </c>
      <c r="ADL264" s="1304">
        <v>83</v>
      </c>
      <c r="ADM264" s="1304">
        <v>83</v>
      </c>
      <c r="ADN264" s="1304">
        <v>83</v>
      </c>
      <c r="ADO264" s="1304">
        <v>83</v>
      </c>
      <c r="ADP264" s="1304">
        <v>83</v>
      </c>
      <c r="ADQ264" s="1304">
        <v>83</v>
      </c>
      <c r="ADR264" s="1304">
        <v>83</v>
      </c>
      <c r="ADS264" s="1304">
        <v>83</v>
      </c>
      <c r="ADT264" s="1304">
        <v>83</v>
      </c>
      <c r="ADU264" s="1304">
        <v>83</v>
      </c>
      <c r="ADV264" s="1304">
        <v>83</v>
      </c>
      <c r="ADW264" s="1304">
        <v>83</v>
      </c>
      <c r="ADX264" s="1304">
        <v>83</v>
      </c>
      <c r="ADY264" s="1304">
        <v>83</v>
      </c>
      <c r="ADZ264" s="1304">
        <v>83</v>
      </c>
      <c r="AEA264" s="1304">
        <v>83</v>
      </c>
      <c r="AEB264" s="1304">
        <v>83</v>
      </c>
      <c r="AEC264" s="1304">
        <v>83</v>
      </c>
      <c r="AED264" s="1304">
        <v>83</v>
      </c>
      <c r="AEE264" s="1304">
        <v>83</v>
      </c>
      <c r="AEF264" s="1304">
        <v>83</v>
      </c>
      <c r="AEG264" s="1304">
        <v>83</v>
      </c>
      <c r="AEH264" s="1304">
        <v>83</v>
      </c>
      <c r="AEI264" s="1304">
        <v>83</v>
      </c>
      <c r="AJT264">
        <v>2.2000000000000002</v>
      </c>
      <c r="AJU264">
        <v>2.2000000000000002</v>
      </c>
      <c r="AJV264">
        <v>2.2000000000000002</v>
      </c>
      <c r="AJW264">
        <v>2.2000000000000002</v>
      </c>
      <c r="AJX264">
        <v>2.2000000000000002</v>
      </c>
      <c r="AJY264">
        <v>2.2000000000000002</v>
      </c>
      <c r="AJZ264">
        <v>2.2000000000000002</v>
      </c>
      <c r="AKA264">
        <v>2.2000000000000002</v>
      </c>
      <c r="AKB264">
        <v>2.2000000000000002</v>
      </c>
    </row>
    <row r="265" spans="2:964">
      <c r="J265">
        <v>33</v>
      </c>
      <c r="L265" s="1304">
        <v>50</v>
      </c>
      <c r="O265">
        <v>288</v>
      </c>
      <c r="R265">
        <v>23</v>
      </c>
      <c r="LL265">
        <v>3</v>
      </c>
      <c r="LM265">
        <v>3</v>
      </c>
      <c r="LN265">
        <v>3</v>
      </c>
      <c r="MF265">
        <v>883.3</v>
      </c>
      <c r="MG265">
        <v>687</v>
      </c>
      <c r="MH265">
        <v>1292.7</v>
      </c>
      <c r="MI265">
        <v>1080.0999999999999</v>
      </c>
      <c r="MJ265">
        <v>920.5</v>
      </c>
      <c r="MK265">
        <v>1657.9</v>
      </c>
      <c r="ML265">
        <v>2225.3000000000002</v>
      </c>
      <c r="MM265">
        <v>40.700000000000003</v>
      </c>
      <c r="MN265">
        <v>-43.5</v>
      </c>
      <c r="MO265">
        <v>-43.5</v>
      </c>
      <c r="MP265">
        <v>-43.5</v>
      </c>
      <c r="MQ265">
        <v>-43.5</v>
      </c>
      <c r="MR265">
        <v>-43.5</v>
      </c>
      <c r="MS265">
        <v>-43.5</v>
      </c>
      <c r="MT265">
        <v>-43.5</v>
      </c>
      <c r="MU265">
        <v>-65</v>
      </c>
      <c r="MV265">
        <v>-65.5</v>
      </c>
      <c r="MW265">
        <v>-3361</v>
      </c>
      <c r="MX265">
        <v>-65.5</v>
      </c>
      <c r="MY265">
        <v>-65.5</v>
      </c>
      <c r="MZ265">
        <v>55.5</v>
      </c>
      <c r="NB265">
        <v>11.6</v>
      </c>
      <c r="NC265">
        <v>11.6</v>
      </c>
      <c r="ND265">
        <v>17</v>
      </c>
      <c r="NE265">
        <v>17</v>
      </c>
      <c r="NF265">
        <v>17</v>
      </c>
      <c r="NG265">
        <v>17</v>
      </c>
      <c r="NH265">
        <v>17</v>
      </c>
      <c r="NI265">
        <v>17</v>
      </c>
      <c r="NJ265">
        <v>17</v>
      </c>
      <c r="NK265">
        <v>17</v>
      </c>
      <c r="NN265">
        <v>77</v>
      </c>
      <c r="NO265">
        <v>111</v>
      </c>
      <c r="NP265">
        <v>111</v>
      </c>
      <c r="NQ265">
        <v>128</v>
      </c>
      <c r="NR265">
        <v>128</v>
      </c>
      <c r="NS265">
        <v>128</v>
      </c>
      <c r="NT265">
        <v>128</v>
      </c>
      <c r="NU265">
        <v>128</v>
      </c>
      <c r="NV265">
        <v>128</v>
      </c>
      <c r="NW265">
        <v>107</v>
      </c>
      <c r="NX265">
        <v>107</v>
      </c>
      <c r="NY265">
        <v>107</v>
      </c>
      <c r="NZ265">
        <v>107</v>
      </c>
      <c r="OA265">
        <v>107</v>
      </c>
      <c r="OB265">
        <v>107</v>
      </c>
      <c r="OC265">
        <v>91</v>
      </c>
      <c r="OD265">
        <v>91</v>
      </c>
      <c r="OE265">
        <v>91</v>
      </c>
      <c r="OF265">
        <v>17.7</v>
      </c>
      <c r="OG265">
        <v>17.7</v>
      </c>
      <c r="OH265">
        <v>17.7</v>
      </c>
      <c r="OI265">
        <v>17.7</v>
      </c>
      <c r="OJ265">
        <v>17.7</v>
      </c>
      <c r="OK265">
        <v>17.8</v>
      </c>
      <c r="ON265">
        <v>294.8</v>
      </c>
      <c r="OO265">
        <v>198.6</v>
      </c>
      <c r="OP265">
        <v>308.60000000000002</v>
      </c>
      <c r="OQ265">
        <v>189.5</v>
      </c>
      <c r="OR265">
        <v>240.5</v>
      </c>
      <c r="OS265">
        <v>312.39999999999998</v>
      </c>
      <c r="OT265">
        <v>556.29999999999995</v>
      </c>
      <c r="OU265">
        <v>640.20000000000005</v>
      </c>
      <c r="OV265">
        <v>606</v>
      </c>
      <c r="OW265">
        <v>568</v>
      </c>
      <c r="OX265">
        <v>617.5</v>
      </c>
      <c r="OY265">
        <v>34.1</v>
      </c>
      <c r="OZ265">
        <v>23.18</v>
      </c>
      <c r="PA265">
        <v>26.84</v>
      </c>
      <c r="PB265">
        <v>137.19999999999999</v>
      </c>
      <c r="PC265">
        <v>0</v>
      </c>
      <c r="PD265">
        <v>24.4</v>
      </c>
      <c r="PE265">
        <v>1.2</v>
      </c>
      <c r="PF265">
        <v>13.4</v>
      </c>
      <c r="PH265">
        <v>66.5</v>
      </c>
      <c r="PI265">
        <v>29.3</v>
      </c>
      <c r="PJ265">
        <v>42.7</v>
      </c>
      <c r="PK265">
        <v>64.66</v>
      </c>
      <c r="PL265">
        <v>0</v>
      </c>
      <c r="PM265">
        <v>2.4</v>
      </c>
      <c r="PN265">
        <v>0</v>
      </c>
      <c r="PO265">
        <v>47.5</v>
      </c>
      <c r="PP265">
        <v>2.4</v>
      </c>
      <c r="PQ265">
        <v>4.8</v>
      </c>
      <c r="PR265">
        <v>0</v>
      </c>
      <c r="PS265">
        <v>20.7</v>
      </c>
      <c r="PT265">
        <v>51.2</v>
      </c>
      <c r="PU265">
        <v>81.7</v>
      </c>
      <c r="PV265">
        <v>75.599999999999994</v>
      </c>
      <c r="PW265">
        <v>75.599999999999994</v>
      </c>
      <c r="PX265">
        <v>0</v>
      </c>
      <c r="PY265">
        <v>28.06</v>
      </c>
      <c r="PZ265">
        <v>1.4</v>
      </c>
      <c r="QA265">
        <v>113.9</v>
      </c>
      <c r="QB265">
        <v>117.5</v>
      </c>
      <c r="QC265">
        <v>37.5</v>
      </c>
      <c r="QD265">
        <v>33</v>
      </c>
      <c r="QE265">
        <v>49</v>
      </c>
      <c r="QF265">
        <v>46.5</v>
      </c>
      <c r="QG265">
        <v>47.7</v>
      </c>
      <c r="QH265">
        <v>50.2</v>
      </c>
      <c r="QI265">
        <v>66.150000000000006</v>
      </c>
      <c r="QJ265">
        <v>2.4500000000000002</v>
      </c>
      <c r="QK265">
        <v>9.8000000000000007</v>
      </c>
      <c r="QL265">
        <v>12.25</v>
      </c>
      <c r="QM265">
        <v>13.5</v>
      </c>
      <c r="QN265">
        <v>14.7</v>
      </c>
      <c r="QO265">
        <v>9.8000000000000007</v>
      </c>
      <c r="QP265">
        <v>17.2</v>
      </c>
      <c r="QQ265">
        <v>33.200000000000003</v>
      </c>
      <c r="QS265">
        <v>2.5</v>
      </c>
      <c r="QT265">
        <v>13.5</v>
      </c>
      <c r="QU265">
        <v>0</v>
      </c>
      <c r="QV265">
        <v>104.5</v>
      </c>
      <c r="QW265">
        <v>110.7</v>
      </c>
      <c r="QX265">
        <v>113.1</v>
      </c>
      <c r="QY265">
        <v>44.3</v>
      </c>
      <c r="QZ265">
        <v>51.66</v>
      </c>
      <c r="RA265">
        <v>71.34</v>
      </c>
      <c r="RB265">
        <v>75</v>
      </c>
      <c r="RC265">
        <v>63.3</v>
      </c>
      <c r="RD265">
        <v>20.3</v>
      </c>
      <c r="RE265">
        <v>28.9</v>
      </c>
      <c r="RF265">
        <v>33.799999999999997</v>
      </c>
      <c r="RG265">
        <v>32.799999999999997</v>
      </c>
      <c r="RH265" s="7">
        <v>33.799999999999997</v>
      </c>
      <c r="RI265" s="7">
        <v>24.8</v>
      </c>
      <c r="RJ265" s="7">
        <v>0</v>
      </c>
      <c r="RK265" s="7">
        <v>12.4</v>
      </c>
      <c r="RL265" s="7">
        <v>24.8</v>
      </c>
      <c r="RM265" s="7">
        <v>22.5</v>
      </c>
      <c r="RN265" s="7">
        <v>22.5</v>
      </c>
      <c r="RO265" s="7">
        <v>22.5</v>
      </c>
      <c r="RP265" s="7">
        <v>18.7</v>
      </c>
      <c r="RQ265">
        <f>3+1</f>
        <v>4</v>
      </c>
      <c r="RR265">
        <v>4</v>
      </c>
      <c r="RS265">
        <v>4</v>
      </c>
      <c r="RT265">
        <v>4</v>
      </c>
      <c r="RU265">
        <v>4</v>
      </c>
      <c r="RV265">
        <v>4</v>
      </c>
      <c r="RW265">
        <v>4</v>
      </c>
      <c r="RX265">
        <v>4</v>
      </c>
      <c r="RY265">
        <v>4</v>
      </c>
      <c r="RZ265">
        <v>4</v>
      </c>
      <c r="SA265">
        <v>4</v>
      </c>
      <c r="SB265">
        <v>4</v>
      </c>
      <c r="SC265">
        <v>4</v>
      </c>
      <c r="SD265">
        <v>4</v>
      </c>
      <c r="SE265">
        <v>4</v>
      </c>
      <c r="SF265">
        <v>4</v>
      </c>
      <c r="SG265">
        <v>4</v>
      </c>
      <c r="SH265">
        <v>4</v>
      </c>
      <c r="SI265">
        <v>4</v>
      </c>
      <c r="SJ265">
        <v>4</v>
      </c>
      <c r="SK265">
        <v>4</v>
      </c>
      <c r="SL265">
        <v>4</v>
      </c>
      <c r="SM265">
        <v>4</v>
      </c>
      <c r="SN265">
        <v>4</v>
      </c>
      <c r="SO265">
        <v>4</v>
      </c>
      <c r="SP265">
        <v>4</v>
      </c>
      <c r="SQ265">
        <v>4</v>
      </c>
      <c r="SR265">
        <v>4</v>
      </c>
      <c r="SS265">
        <v>4</v>
      </c>
      <c r="ST265">
        <v>4</v>
      </c>
      <c r="SU265">
        <v>16.25</v>
      </c>
      <c r="SV265">
        <v>16.25</v>
      </c>
      <c r="SW265">
        <v>2.5</v>
      </c>
      <c r="SX265">
        <v>0</v>
      </c>
      <c r="SY265">
        <v>0</v>
      </c>
      <c r="SZ265">
        <v>0</v>
      </c>
      <c r="TA265">
        <v>0</v>
      </c>
      <c r="TB265">
        <v>2.5</v>
      </c>
      <c r="TC265">
        <v>10.6</v>
      </c>
      <c r="TD265">
        <v>0.7</v>
      </c>
      <c r="TE265">
        <v>13.12</v>
      </c>
      <c r="TF265">
        <v>1.87</v>
      </c>
      <c r="TG265">
        <v>1.87</v>
      </c>
      <c r="TH265">
        <v>2.5</v>
      </c>
      <c r="TI265">
        <v>3.7</v>
      </c>
      <c r="TJ265">
        <v>3.7</v>
      </c>
      <c r="TK265">
        <v>7.56</v>
      </c>
      <c r="TL265">
        <v>0</v>
      </c>
      <c r="TM265">
        <v>5.2</v>
      </c>
      <c r="TN265">
        <v>21.4</v>
      </c>
      <c r="TO265">
        <v>410.7</v>
      </c>
      <c r="TP265">
        <v>135.5</v>
      </c>
      <c r="TQ265">
        <v>19.5</v>
      </c>
      <c r="TR265">
        <v>44.7</v>
      </c>
      <c r="TS265">
        <v>49.3</v>
      </c>
      <c r="TT265">
        <v>0</v>
      </c>
      <c r="TU265">
        <v>0</v>
      </c>
      <c r="TV265">
        <v>78.7</v>
      </c>
      <c r="TW265">
        <v>95.2</v>
      </c>
      <c r="TX265">
        <v>113</v>
      </c>
      <c r="TY265">
        <v>160</v>
      </c>
      <c r="TZ265">
        <v>39.299999999999997</v>
      </c>
      <c r="UA265">
        <v>5.08</v>
      </c>
      <c r="UB265">
        <v>39.299999999999997</v>
      </c>
      <c r="UC265">
        <v>37.5</v>
      </c>
      <c r="UD265">
        <v>50.1</v>
      </c>
      <c r="UE265">
        <v>51.4</v>
      </c>
      <c r="UF265">
        <v>24.1</v>
      </c>
      <c r="UG265">
        <v>54.6</v>
      </c>
      <c r="UH265">
        <v>59.7</v>
      </c>
      <c r="UI265">
        <v>59.7</v>
      </c>
      <c r="UJ265">
        <v>3.8</v>
      </c>
      <c r="UK265">
        <v>28</v>
      </c>
      <c r="UL265">
        <v>0</v>
      </c>
      <c r="UM265">
        <v>0</v>
      </c>
      <c r="UN265">
        <v>3.8</v>
      </c>
      <c r="UO265">
        <v>147.69999999999999</v>
      </c>
      <c r="UP265">
        <v>416.6</v>
      </c>
      <c r="UQ265">
        <v>53.5</v>
      </c>
      <c r="UR265">
        <v>10.199999999999999</v>
      </c>
      <c r="US265">
        <v>188</v>
      </c>
      <c r="UT265">
        <v>190.5</v>
      </c>
      <c r="UU265">
        <v>127</v>
      </c>
      <c r="UV265">
        <v>365.7</v>
      </c>
      <c r="UW265">
        <v>261.60000000000002</v>
      </c>
      <c r="UX265">
        <v>191.7</v>
      </c>
      <c r="UY265">
        <v>170.2</v>
      </c>
      <c r="UZ265">
        <v>171.5</v>
      </c>
      <c r="VA265">
        <v>273</v>
      </c>
      <c r="VB265">
        <v>328.9</v>
      </c>
      <c r="VC265">
        <v>41.9</v>
      </c>
      <c r="VD265">
        <v>52</v>
      </c>
      <c r="VE265">
        <v>22.8</v>
      </c>
      <c r="VF265" s="1304">
        <v>10.119999999999999</v>
      </c>
      <c r="VG265" s="1304">
        <v>67.3</v>
      </c>
      <c r="VH265" s="1304">
        <v>198</v>
      </c>
      <c r="VI265" s="1304">
        <v>653.29999999999995</v>
      </c>
      <c r="VJ265" s="1304">
        <v>21.4</v>
      </c>
      <c r="VK265">
        <v>38.799999999999997</v>
      </c>
      <c r="VL265" s="1304">
        <v>418.3</v>
      </c>
      <c r="VM265" s="1304">
        <v>24</v>
      </c>
      <c r="VN265" s="1304">
        <v>73</v>
      </c>
      <c r="VO265" s="1304">
        <v>300.39999999999998</v>
      </c>
      <c r="VP265" s="1304">
        <v>310</v>
      </c>
      <c r="VQ265" s="1304">
        <v>215</v>
      </c>
      <c r="VR265" s="1304">
        <v>278.8</v>
      </c>
      <c r="VS265" s="1304">
        <v>349.3</v>
      </c>
      <c r="VT265" s="1304">
        <v>345.4</v>
      </c>
      <c r="VU265" s="1304">
        <v>25.4</v>
      </c>
      <c r="VV265" s="1304">
        <v>196.8</v>
      </c>
      <c r="VW265" s="1304">
        <v>304.8</v>
      </c>
      <c r="VX265" s="1304">
        <v>143.5</v>
      </c>
      <c r="VY265" s="1304">
        <v>221.1</v>
      </c>
      <c r="VZ265" s="1304">
        <v>1.6</v>
      </c>
      <c r="WA265" s="1304">
        <v>16</v>
      </c>
      <c r="WB265" s="1304">
        <v>123</v>
      </c>
      <c r="WC265" s="1304">
        <v>450</v>
      </c>
      <c r="WD265" s="1304">
        <v>354.5</v>
      </c>
      <c r="WE265" s="1304">
        <v>234.5</v>
      </c>
      <c r="WF265" s="1304">
        <v>170</v>
      </c>
      <c r="WG265" s="1304">
        <v>162</v>
      </c>
      <c r="WH265" s="1304">
        <v>2</v>
      </c>
      <c r="WI265" s="1304">
        <v>133.5</v>
      </c>
      <c r="WJ265" s="1304">
        <v>79</v>
      </c>
      <c r="WK265" s="1304">
        <v>60</v>
      </c>
      <c r="WL265" s="1304">
        <v>74</v>
      </c>
      <c r="WM265" s="1304">
        <v>189</v>
      </c>
      <c r="WN265" s="1304">
        <v>258</v>
      </c>
      <c r="WO265" s="1304">
        <v>471</v>
      </c>
      <c r="WP265" s="1304">
        <v>590</v>
      </c>
      <c r="WQ265" s="1304">
        <v>683</v>
      </c>
      <c r="WR265" s="1304">
        <v>481</v>
      </c>
      <c r="WS265" s="1304">
        <v>777</v>
      </c>
      <c r="WT265" s="1304">
        <v>526</v>
      </c>
      <c r="WU265" s="1304">
        <v>387</v>
      </c>
      <c r="WV265" s="1304">
        <v>382</v>
      </c>
      <c r="WW265" s="1304">
        <v>406</v>
      </c>
      <c r="WX265" s="1304">
        <v>481</v>
      </c>
      <c r="WY265" s="1304">
        <v>601</v>
      </c>
      <c r="WZ265" s="1304">
        <v>886</v>
      </c>
      <c r="XA265" s="1304">
        <v>1024</v>
      </c>
      <c r="XB265" s="1304">
        <v>1053</v>
      </c>
      <c r="XC265" s="1304">
        <v>770</v>
      </c>
      <c r="XD265" s="1304">
        <v>745.5</v>
      </c>
      <c r="XE265" s="1304">
        <v>710</v>
      </c>
      <c r="XF265" s="1304">
        <v>625</v>
      </c>
      <c r="XG265" s="1304">
        <v>540</v>
      </c>
      <c r="XH265" s="1304">
        <v>770</v>
      </c>
      <c r="XI265" s="1304">
        <v>800</v>
      </c>
      <c r="XJ265" s="1304">
        <v>847</v>
      </c>
      <c r="XK265" s="1304">
        <v>896</v>
      </c>
      <c r="XL265" s="1304">
        <v>895</v>
      </c>
      <c r="XM265" s="1304">
        <v>843</v>
      </c>
      <c r="XN265" s="1304">
        <v>1060</v>
      </c>
      <c r="XO265" s="1304">
        <v>1294</v>
      </c>
      <c r="XP265" s="1304">
        <v>1077</v>
      </c>
      <c r="XQ265" s="1304">
        <v>1090</v>
      </c>
      <c r="XR265" s="1304">
        <v>1075</v>
      </c>
      <c r="XS265" s="1304">
        <v>1030</v>
      </c>
      <c r="XT265" s="1304">
        <v>1090</v>
      </c>
      <c r="XU265" s="1304">
        <v>1238</v>
      </c>
      <c r="XV265" s="1304">
        <v>1151</v>
      </c>
      <c r="XW265" s="1304">
        <v>1001</v>
      </c>
      <c r="XX265" s="1304">
        <v>1090</v>
      </c>
      <c r="XY265" s="1304">
        <v>993</v>
      </c>
      <c r="XZ265" s="1304">
        <v>948</v>
      </c>
      <c r="YA265" s="1304">
        <v>1005</v>
      </c>
      <c r="YB265" s="1304">
        <v>1202</v>
      </c>
      <c r="YC265" s="1304">
        <v>1136</v>
      </c>
      <c r="YD265" s="1304">
        <v>1284</v>
      </c>
      <c r="YE265" s="1304">
        <v>1200</v>
      </c>
      <c r="YF265" s="1304">
        <v>1174</v>
      </c>
      <c r="YG265" s="1304">
        <v>1264</v>
      </c>
      <c r="YH265" s="1304">
        <v>1062</v>
      </c>
      <c r="YI265" s="1304">
        <v>1045</v>
      </c>
      <c r="YJ265" s="1304">
        <v>1213</v>
      </c>
      <c r="YK265" s="1304">
        <v>1132</v>
      </c>
      <c r="YL265" s="1304">
        <v>1282</v>
      </c>
      <c r="YM265" s="1304">
        <v>1249</v>
      </c>
      <c r="YN265" s="1304">
        <v>1217.5</v>
      </c>
      <c r="YO265" s="1304">
        <v>1344</v>
      </c>
      <c r="YP265" s="1304">
        <v>1391</v>
      </c>
      <c r="YQ265" s="1304">
        <v>1334</v>
      </c>
      <c r="YR265" s="1304">
        <v>1380</v>
      </c>
      <c r="YS265" s="1304">
        <v>1246</v>
      </c>
      <c r="YT265" s="1304">
        <v>1220.5</v>
      </c>
      <c r="YU265" s="1304">
        <v>1012</v>
      </c>
      <c r="YV265" s="1304">
        <v>1093</v>
      </c>
      <c r="YW265" s="1304">
        <v>821</v>
      </c>
      <c r="YX265" s="1304">
        <v>715</v>
      </c>
      <c r="YY265" s="1304">
        <v>710</v>
      </c>
      <c r="YZ265" s="1304">
        <v>581</v>
      </c>
      <c r="ZA265" s="1304">
        <v>321</v>
      </c>
      <c r="ZB265" s="1304">
        <v>281</v>
      </c>
      <c r="ZC265" s="1304">
        <v>179</v>
      </c>
      <c r="ZD265" s="1304">
        <v>333</v>
      </c>
      <c r="ZE265" s="1304">
        <v>333</v>
      </c>
      <c r="ZF265" s="1304">
        <v>323</v>
      </c>
      <c r="ZG265" s="1304">
        <v>210</v>
      </c>
      <c r="ZH265" s="1304">
        <v>218</v>
      </c>
      <c r="ZI265" s="1304">
        <v>388</v>
      </c>
      <c r="ZJ265" s="1304">
        <v>409</v>
      </c>
      <c r="ZK265" s="1304">
        <v>322</v>
      </c>
      <c r="ZL265" s="1304">
        <v>142</v>
      </c>
      <c r="ZM265" s="1304">
        <v>3</v>
      </c>
      <c r="ZN265" s="1304">
        <v>213</v>
      </c>
      <c r="ZO265" s="1304">
        <v>109</v>
      </c>
      <c r="ZP265" s="1304">
        <v>82</v>
      </c>
      <c r="ZQ265" s="1304">
        <v>123</v>
      </c>
      <c r="ZR265" s="1304">
        <v>175</v>
      </c>
      <c r="ZS265" s="1304">
        <v>303</v>
      </c>
      <c r="ZT265" s="1304">
        <v>300</v>
      </c>
      <c r="ZU265" s="1304">
        <v>221</v>
      </c>
      <c r="ZV265" s="1304">
        <v>285</v>
      </c>
      <c r="ZW265" s="1304">
        <v>17</v>
      </c>
      <c r="ZX265" s="1304">
        <v>8</v>
      </c>
      <c r="ZY265" s="1304">
        <v>165</v>
      </c>
      <c r="ZZ265" s="1304">
        <v>112</v>
      </c>
      <c r="AAA265" s="1304">
        <v>62</v>
      </c>
      <c r="AAB265" s="1304">
        <v>116</v>
      </c>
      <c r="AAC265" s="1304">
        <v>8</v>
      </c>
      <c r="AAD265" s="1304">
        <v>4</v>
      </c>
      <c r="AAE265" s="1304">
        <v>168</v>
      </c>
      <c r="AAF265" s="1304">
        <v>148</v>
      </c>
      <c r="AAG265" s="1304">
        <v>211</v>
      </c>
      <c r="AAH265" s="1304">
        <v>200</v>
      </c>
      <c r="AAI265" s="1304">
        <v>294</v>
      </c>
      <c r="AAJ265" s="1304">
        <v>115</v>
      </c>
      <c r="AAK265" s="1304">
        <v>227</v>
      </c>
      <c r="AAL265" s="1304">
        <v>401</v>
      </c>
      <c r="AAM265" s="1304">
        <v>499</v>
      </c>
      <c r="AAN265" s="1304">
        <v>515</v>
      </c>
      <c r="AAO265" s="1304">
        <v>448</v>
      </c>
      <c r="AAP265" s="1304">
        <v>474</v>
      </c>
      <c r="AAQ265" s="1304">
        <v>303</v>
      </c>
      <c r="AAR265" s="1304">
        <v>220</v>
      </c>
      <c r="AAS265" s="1304">
        <v>128</v>
      </c>
      <c r="AAT265" s="1304">
        <v>78</v>
      </c>
      <c r="AAU265" s="1304">
        <v>249</v>
      </c>
      <c r="AAV265" s="1304">
        <v>3</v>
      </c>
      <c r="AAW265" s="1304">
        <v>78</v>
      </c>
      <c r="AAX265" s="1304">
        <v>7.8</v>
      </c>
      <c r="AAY265" s="1304">
        <v>57.2</v>
      </c>
      <c r="AAZ265" s="1304">
        <v>89.7</v>
      </c>
      <c r="ABA265" s="1304">
        <v>107.9</v>
      </c>
      <c r="ABB265" s="1304">
        <v>132.6</v>
      </c>
      <c r="ABC265" s="1304">
        <v>143</v>
      </c>
      <c r="ABD265" s="1304">
        <v>171.6</v>
      </c>
      <c r="ABE265" s="1304">
        <v>40.299999999999997</v>
      </c>
      <c r="ABF265" s="1304">
        <v>39</v>
      </c>
      <c r="ABG265" s="1304">
        <v>36.4</v>
      </c>
      <c r="ABH265" s="1304">
        <v>66.3</v>
      </c>
      <c r="ABI265" s="1304">
        <v>171.6</v>
      </c>
      <c r="ABJ265" s="1304">
        <v>178</v>
      </c>
      <c r="ABK265" s="1304">
        <v>168</v>
      </c>
      <c r="ABL265" s="1304">
        <v>171.6</v>
      </c>
      <c r="ABM265" s="1304">
        <v>206.7</v>
      </c>
      <c r="ABN265" s="1304">
        <v>446</v>
      </c>
      <c r="ABO265" s="1304">
        <v>26</v>
      </c>
      <c r="ABP265" s="1304">
        <v>44.2</v>
      </c>
      <c r="ABQ265" s="1304">
        <v>71.5</v>
      </c>
      <c r="ABR265" s="1304">
        <v>79.3</v>
      </c>
      <c r="ABS265" s="1304">
        <v>135.19999999999999</v>
      </c>
      <c r="ABT265" s="1304">
        <v>132.6</v>
      </c>
      <c r="ABU265" s="1304">
        <v>143</v>
      </c>
      <c r="ABV265" s="1304">
        <v>109.2</v>
      </c>
      <c r="ABW265" s="1304">
        <v>132.6</v>
      </c>
      <c r="ABX265" s="1304">
        <v>174.2</v>
      </c>
      <c r="ABY265" s="1304">
        <v>188.5</v>
      </c>
      <c r="ABZ265" s="1304">
        <v>190</v>
      </c>
      <c r="ACA265" s="1304">
        <v>153</v>
      </c>
      <c r="ACB265" s="1304">
        <v>334</v>
      </c>
      <c r="ACC265" s="1304">
        <v>319</v>
      </c>
      <c r="ACD265" s="1304">
        <v>400.5</v>
      </c>
      <c r="ACE265" s="1304">
        <v>429</v>
      </c>
      <c r="ACF265" s="1304">
        <v>525.20000000000005</v>
      </c>
      <c r="ACG265" s="1304">
        <v>575</v>
      </c>
      <c r="ACH265" s="1304">
        <v>524</v>
      </c>
      <c r="ACI265" s="1304">
        <v>524</v>
      </c>
      <c r="ACJ265" s="1304">
        <v>535.6</v>
      </c>
      <c r="ACK265" s="1304">
        <v>135.19999999999999</v>
      </c>
      <c r="ACL265" s="1304">
        <v>163.80000000000001</v>
      </c>
      <c r="ACM265" s="1304">
        <v>348.4</v>
      </c>
      <c r="ACN265" s="1304">
        <v>22.1</v>
      </c>
      <c r="ACO265" s="1304">
        <v>41.6</v>
      </c>
      <c r="ACP265" s="1304">
        <v>93.6</v>
      </c>
      <c r="ACQ265" s="1304">
        <v>10.4</v>
      </c>
      <c r="ACR265" s="1304">
        <v>22.1</v>
      </c>
      <c r="ACS265" s="1304">
        <v>14.3</v>
      </c>
      <c r="ACT265" s="1304">
        <v>6.5</v>
      </c>
      <c r="ACU265" s="1304">
        <v>49.4</v>
      </c>
      <c r="ACV265" s="1304">
        <v>11.7</v>
      </c>
      <c r="ACW265" s="1304">
        <v>30</v>
      </c>
      <c r="ACX265" s="1304">
        <v>216</v>
      </c>
      <c r="ACY265" s="1304">
        <v>135.19999999999999</v>
      </c>
      <c r="ACZ265" s="1304">
        <v>19.5</v>
      </c>
      <c r="ADA265" s="1304">
        <v>35</v>
      </c>
      <c r="ADB265" s="1304">
        <v>154.69999999999999</v>
      </c>
      <c r="ADC265" s="1304">
        <v>22.8</v>
      </c>
      <c r="ADD265" s="1304">
        <v>75.400000000000006</v>
      </c>
      <c r="ADE265" s="1304">
        <v>23.4</v>
      </c>
      <c r="ADF265" s="1304">
        <v>6.5</v>
      </c>
      <c r="ADG265" s="1304">
        <v>1042</v>
      </c>
      <c r="ADH265" s="1304">
        <v>1000</v>
      </c>
      <c r="ADI265" s="1304">
        <v>790</v>
      </c>
      <c r="ADJ265" s="1304">
        <v>804</v>
      </c>
      <c r="ADK265" s="1304">
        <v>912.5</v>
      </c>
      <c r="ADL265" s="1304">
        <v>300</v>
      </c>
      <c r="ADM265" s="1304">
        <v>183</v>
      </c>
      <c r="ADN265" s="1304">
        <v>200</v>
      </c>
      <c r="ADO265" s="1304">
        <v>132.5</v>
      </c>
      <c r="ADP265" s="1304">
        <v>66.2</v>
      </c>
      <c r="ADQ265" s="1304">
        <v>88.7</v>
      </c>
      <c r="ADR265" s="1304">
        <v>4</v>
      </c>
      <c r="ADS265" s="1304">
        <v>21.2</v>
      </c>
      <c r="ADT265" s="1304">
        <v>87</v>
      </c>
      <c r="ADU265" s="1304">
        <v>55</v>
      </c>
      <c r="ADV265" s="1304">
        <v>26.25</v>
      </c>
      <c r="ADW265" s="1304">
        <v>66.540000000000006</v>
      </c>
      <c r="ADX265" s="1304">
        <v>1.3</v>
      </c>
      <c r="ADY265" s="1304">
        <v>34.5</v>
      </c>
      <c r="ADZ265" s="1304">
        <v>265.7</v>
      </c>
      <c r="AEA265" s="1304">
        <v>225</v>
      </c>
      <c r="AEB265" s="1304">
        <v>203</v>
      </c>
      <c r="AEC265" s="1304">
        <v>10</v>
      </c>
      <c r="AED265" s="1304">
        <v>129.30000000000001</v>
      </c>
      <c r="AEE265" s="1304">
        <v>37.799999999999997</v>
      </c>
      <c r="AEF265" s="1304">
        <v>132</v>
      </c>
      <c r="AEG265" s="1304">
        <v>6</v>
      </c>
      <c r="AEH265" s="1304">
        <v>200</v>
      </c>
      <c r="AEI265" s="1304">
        <v>397</v>
      </c>
    </row>
    <row r="266" spans="2:964">
      <c r="J266">
        <v>33</v>
      </c>
      <c r="L266" s="1304">
        <v>50</v>
      </c>
      <c r="O266">
        <v>390</v>
      </c>
      <c r="LM266">
        <v>2</v>
      </c>
      <c r="LN266">
        <v>2</v>
      </c>
      <c r="MM266">
        <v>2093.6</v>
      </c>
      <c r="MN266">
        <v>91.76</v>
      </c>
      <c r="MO266">
        <v>91.76</v>
      </c>
      <c r="MP266">
        <v>91.76</v>
      </c>
      <c r="MQ266">
        <v>91.76</v>
      </c>
      <c r="MR266">
        <v>91.76</v>
      </c>
      <c r="MS266">
        <v>41.76</v>
      </c>
      <c r="MT266">
        <v>41.76</v>
      </c>
      <c r="MU266">
        <v>-8.24</v>
      </c>
      <c r="MV266">
        <v>3</v>
      </c>
      <c r="MW266">
        <v>-65.5</v>
      </c>
      <c r="MZ266">
        <v>-3961</v>
      </c>
      <c r="NA266">
        <v>-3789</v>
      </c>
      <c r="NB266">
        <v>-3789</v>
      </c>
      <c r="NC266">
        <v>-3657</v>
      </c>
      <c r="ND266">
        <v>11.6</v>
      </c>
      <c r="NE266">
        <v>17</v>
      </c>
      <c r="NF266">
        <v>17</v>
      </c>
      <c r="NG266">
        <v>17</v>
      </c>
      <c r="NH266">
        <v>17</v>
      </c>
      <c r="NI266">
        <v>17</v>
      </c>
      <c r="NJ266">
        <v>17</v>
      </c>
      <c r="NT266">
        <v>17.399999999999999</v>
      </c>
      <c r="NU266">
        <v>17.399999999999999</v>
      </c>
      <c r="NW266">
        <v>17.399999999999999</v>
      </c>
      <c r="NX266">
        <v>17.399999999999999</v>
      </c>
      <c r="NY266">
        <v>17.399999999999999</v>
      </c>
      <c r="NZ266">
        <v>17.399999999999999</v>
      </c>
      <c r="OA266">
        <v>17.399999999999999</v>
      </c>
      <c r="OB266">
        <v>17.399999999999999</v>
      </c>
      <c r="OF266">
        <v>96.2</v>
      </c>
      <c r="OG266">
        <v>96.2</v>
      </c>
      <c r="OH266">
        <v>96.2</v>
      </c>
      <c r="OI266">
        <v>96.2</v>
      </c>
      <c r="OJ266">
        <v>96.2</v>
      </c>
      <c r="OK266">
        <v>96.2</v>
      </c>
      <c r="OL266">
        <v>96.2</v>
      </c>
      <c r="OM266">
        <v>96.2</v>
      </c>
      <c r="ON266">
        <v>96.2</v>
      </c>
      <c r="OO266">
        <v>113.7</v>
      </c>
      <c r="OP266">
        <v>113.7</v>
      </c>
      <c r="OQ266">
        <f>113.7+18.5</f>
        <v>132.19999999999999</v>
      </c>
      <c r="OR266">
        <v>150.69999999999999</v>
      </c>
      <c r="OS266">
        <v>150.69999999999999</v>
      </c>
      <c r="OT266">
        <v>150.69999999999999</v>
      </c>
      <c r="OU266">
        <v>116</v>
      </c>
      <c r="OV266">
        <v>116</v>
      </c>
      <c r="OW266">
        <v>116</v>
      </c>
      <c r="OX266">
        <v>116</v>
      </c>
      <c r="OY266">
        <v>595.5</v>
      </c>
      <c r="OZ266">
        <v>448.3</v>
      </c>
      <c r="PA266">
        <v>376.5</v>
      </c>
      <c r="PB266">
        <v>290.5</v>
      </c>
      <c r="PC266">
        <v>302</v>
      </c>
      <c r="PD266">
        <v>318.5</v>
      </c>
      <c r="PE266">
        <v>427.5</v>
      </c>
      <c r="PF266">
        <v>420</v>
      </c>
      <c r="PG266">
        <v>328</v>
      </c>
      <c r="PH266">
        <v>230</v>
      </c>
      <c r="PI266">
        <v>394</v>
      </c>
      <c r="PJ266">
        <v>377.5</v>
      </c>
      <c r="PK266">
        <v>322</v>
      </c>
      <c r="PL266">
        <v>295</v>
      </c>
      <c r="PM266">
        <v>314</v>
      </c>
      <c r="PN266">
        <v>299</v>
      </c>
      <c r="PO266">
        <v>253</v>
      </c>
      <c r="PP266">
        <v>275.5</v>
      </c>
      <c r="PQ266">
        <v>230.5</v>
      </c>
      <c r="PR266">
        <v>313</v>
      </c>
      <c r="PS266">
        <v>223</v>
      </c>
      <c r="PT266">
        <v>150</v>
      </c>
      <c r="PU266">
        <v>112</v>
      </c>
      <c r="PV266">
        <v>28.4</v>
      </c>
      <c r="PW266">
        <v>0</v>
      </c>
      <c r="PX266">
        <v>0.5</v>
      </c>
      <c r="PY266">
        <v>371.5</v>
      </c>
      <c r="PZ266">
        <v>266</v>
      </c>
      <c r="QA266">
        <v>311</v>
      </c>
      <c r="QB266">
        <v>196</v>
      </c>
      <c r="QC266">
        <v>71.5</v>
      </c>
      <c r="QD266">
        <v>195</v>
      </c>
      <c r="QE266">
        <v>509.1</v>
      </c>
      <c r="QF266">
        <v>571</v>
      </c>
      <c r="QG266">
        <v>486</v>
      </c>
      <c r="QH266">
        <v>469.2</v>
      </c>
      <c r="QI266">
        <v>406.3</v>
      </c>
      <c r="QJ266">
        <v>430</v>
      </c>
      <c r="QK266">
        <v>353</v>
      </c>
      <c r="QL266">
        <v>309</v>
      </c>
      <c r="QM266">
        <v>434</v>
      </c>
      <c r="QN266">
        <v>147</v>
      </c>
      <c r="QO266">
        <v>443</v>
      </c>
      <c r="QP266">
        <v>289</v>
      </c>
      <c r="QQ266">
        <v>162</v>
      </c>
      <c r="QR266">
        <v>216</v>
      </c>
      <c r="QS266">
        <v>91</v>
      </c>
      <c r="QT266">
        <v>111</v>
      </c>
      <c r="QU266">
        <v>74</v>
      </c>
      <c r="QV266">
        <v>190.5</v>
      </c>
      <c r="QW266">
        <v>120.5</v>
      </c>
      <c r="QX266">
        <v>181</v>
      </c>
      <c r="QY266">
        <v>13</v>
      </c>
      <c r="QZ266">
        <v>349</v>
      </c>
      <c r="RA266">
        <v>323</v>
      </c>
      <c r="RB266">
        <v>410</v>
      </c>
      <c r="RC266">
        <v>316</v>
      </c>
      <c r="RD266">
        <v>316</v>
      </c>
      <c r="RE266">
        <v>311.5</v>
      </c>
      <c r="RF266">
        <v>303.5</v>
      </c>
      <c r="RG266">
        <f>220-155.5</f>
        <v>64.5</v>
      </c>
      <c r="RH266" s="7">
        <v>218</v>
      </c>
      <c r="RI266" s="7">
        <v>21.2</v>
      </c>
      <c r="RJ266" s="7">
        <v>37</v>
      </c>
      <c r="RK266" s="7">
        <v>30</v>
      </c>
      <c r="RL266" s="7">
        <v>15</v>
      </c>
      <c r="RM266" s="7">
        <v>92</v>
      </c>
      <c r="RN266" s="7">
        <v>29</v>
      </c>
      <c r="RO266" s="7">
        <v>75</v>
      </c>
      <c r="RP266" s="7">
        <v>0</v>
      </c>
      <c r="RQ266">
        <v>2</v>
      </c>
      <c r="RR266">
        <v>2</v>
      </c>
      <c r="RS266">
        <v>2</v>
      </c>
      <c r="RT266">
        <v>2</v>
      </c>
      <c r="RU266">
        <v>2</v>
      </c>
      <c r="RV266">
        <v>2</v>
      </c>
      <c r="RW266">
        <v>2</v>
      </c>
      <c r="RX266">
        <v>2</v>
      </c>
      <c r="RY266">
        <v>2</v>
      </c>
      <c r="RZ266">
        <v>2</v>
      </c>
      <c r="SA266">
        <v>2</v>
      </c>
      <c r="SB266">
        <v>2</v>
      </c>
      <c r="SC266">
        <v>2</v>
      </c>
      <c r="SD266">
        <v>2</v>
      </c>
      <c r="SE266">
        <v>2</v>
      </c>
      <c r="SF266">
        <v>2</v>
      </c>
      <c r="SG266">
        <v>2</v>
      </c>
      <c r="SH266">
        <v>2</v>
      </c>
      <c r="SI266">
        <v>2</v>
      </c>
      <c r="SJ266">
        <v>2</v>
      </c>
      <c r="SK266">
        <v>2</v>
      </c>
      <c r="SL266">
        <v>2</v>
      </c>
      <c r="SM266">
        <v>2</v>
      </c>
      <c r="SN266">
        <v>2</v>
      </c>
      <c r="SO266">
        <v>2</v>
      </c>
      <c r="SP266">
        <v>2</v>
      </c>
      <c r="SQ266">
        <v>2</v>
      </c>
      <c r="SR266">
        <v>2</v>
      </c>
      <c r="SS266">
        <v>2</v>
      </c>
      <c r="ST266">
        <v>4.2</v>
      </c>
      <c r="SU266">
        <v>24</v>
      </c>
      <c r="SV266">
        <v>13</v>
      </c>
      <c r="SW266">
        <v>285.5</v>
      </c>
      <c r="SX266">
        <v>174</v>
      </c>
      <c r="SY266">
        <v>176</v>
      </c>
      <c r="SZ266">
        <v>128</v>
      </c>
      <c r="TA266">
        <v>6</v>
      </c>
      <c r="TB266">
        <v>181</v>
      </c>
      <c r="TC266">
        <v>143.5</v>
      </c>
      <c r="TD266">
        <v>71</v>
      </c>
      <c r="TE266">
        <v>98</v>
      </c>
      <c r="TF266">
        <v>88</v>
      </c>
      <c r="TG266">
        <v>20.5</v>
      </c>
      <c r="TH266">
        <v>2.6</v>
      </c>
      <c r="TI266">
        <v>96.5</v>
      </c>
      <c r="TJ266">
        <v>24</v>
      </c>
      <c r="TK266">
        <v>68</v>
      </c>
      <c r="TL266">
        <v>157.5</v>
      </c>
      <c r="TM266">
        <v>15</v>
      </c>
      <c r="TN266">
        <v>133</v>
      </c>
      <c r="TO266">
        <v>38</v>
      </c>
      <c r="TP266">
        <v>175</v>
      </c>
      <c r="TQ266">
        <v>505</v>
      </c>
      <c r="TR266">
        <v>444</v>
      </c>
      <c r="TS266">
        <v>61</v>
      </c>
      <c r="TT266">
        <v>25</v>
      </c>
      <c r="TU266">
        <v>1</v>
      </c>
      <c r="TV266">
        <v>116.5</v>
      </c>
      <c r="TW266">
        <v>292.5</v>
      </c>
      <c r="TX266">
        <v>293</v>
      </c>
      <c r="TY266">
        <v>174.5</v>
      </c>
      <c r="TZ266">
        <v>457</v>
      </c>
      <c r="UA266">
        <v>573</v>
      </c>
      <c r="UB266">
        <v>712.7</v>
      </c>
      <c r="UC266">
        <v>468</v>
      </c>
      <c r="UD266">
        <v>425</v>
      </c>
      <c r="UE266">
        <v>428.6</v>
      </c>
      <c r="UF266">
        <v>240</v>
      </c>
      <c r="UG266">
        <v>499</v>
      </c>
      <c r="UH266">
        <v>385</v>
      </c>
      <c r="UI266">
        <v>263</v>
      </c>
      <c r="UJ266">
        <v>221</v>
      </c>
      <c r="UK266">
        <v>77</v>
      </c>
      <c r="UL266">
        <v>1</v>
      </c>
      <c r="UM266">
        <v>84</v>
      </c>
      <c r="UN266">
        <v>175.3</v>
      </c>
      <c r="UO266">
        <v>3.5</v>
      </c>
      <c r="UP266">
        <v>92</v>
      </c>
      <c r="UQ266">
        <v>240</v>
      </c>
      <c r="UR266">
        <v>547.4</v>
      </c>
      <c r="US266">
        <v>605.5</v>
      </c>
      <c r="UT266">
        <v>625</v>
      </c>
      <c r="UU266">
        <v>374</v>
      </c>
      <c r="UV266">
        <v>565</v>
      </c>
      <c r="UW266">
        <v>468</v>
      </c>
      <c r="UX266">
        <v>553</v>
      </c>
      <c r="UY266">
        <v>604.5</v>
      </c>
      <c r="UZ266">
        <v>504</v>
      </c>
      <c r="VA266">
        <v>524</v>
      </c>
      <c r="VB266">
        <v>527</v>
      </c>
      <c r="VC266">
        <v>265</v>
      </c>
      <c r="VD266">
        <v>136</v>
      </c>
      <c r="VE266">
        <v>66</v>
      </c>
      <c r="VF266" s="1304">
        <v>432</v>
      </c>
      <c r="VG266" s="1304">
        <v>115</v>
      </c>
      <c r="VH266" s="1304">
        <v>156.19999999999999</v>
      </c>
      <c r="VI266" s="1304">
        <v>248</v>
      </c>
      <c r="VJ266" s="1304">
        <v>123</v>
      </c>
      <c r="VK266">
        <v>215</v>
      </c>
      <c r="VL266" s="1304">
        <v>195</v>
      </c>
      <c r="VM266" s="1304">
        <v>529</v>
      </c>
      <c r="VN266" s="1304">
        <v>460</v>
      </c>
      <c r="VO266" s="1304">
        <v>553</v>
      </c>
      <c r="VP266" s="1304">
        <v>398.5</v>
      </c>
      <c r="VQ266" s="1304">
        <v>417</v>
      </c>
      <c r="VR266" s="1304">
        <v>218</v>
      </c>
      <c r="VS266" s="1304">
        <v>78</v>
      </c>
      <c r="VT266" s="1304">
        <v>20.5</v>
      </c>
      <c r="VU266" s="1304">
        <v>71.5</v>
      </c>
      <c r="VV266" s="1304">
        <v>21</v>
      </c>
      <c r="VW266" s="1304">
        <v>24</v>
      </c>
      <c r="VX266" s="1304">
        <v>22</v>
      </c>
      <c r="VY266" s="1304">
        <v>213.4</v>
      </c>
      <c r="VZ266" s="1304">
        <v>34.299999999999997</v>
      </c>
      <c r="WA266" s="1304">
        <v>10.1</v>
      </c>
      <c r="WB266" s="1304">
        <v>40.6</v>
      </c>
      <c r="WC266" s="1304">
        <v>138.4</v>
      </c>
      <c r="WD266" s="1304">
        <v>224.8</v>
      </c>
      <c r="WE266" s="1304">
        <v>160</v>
      </c>
      <c r="WF266" s="1304">
        <v>33</v>
      </c>
      <c r="WG266" s="1304">
        <v>203.2</v>
      </c>
      <c r="WH266" s="1304">
        <v>0</v>
      </c>
      <c r="WI266" s="1304">
        <v>28</v>
      </c>
      <c r="WJ266" s="1304">
        <v>47</v>
      </c>
      <c r="WK266" s="1304">
        <v>122</v>
      </c>
      <c r="WL266" s="1304">
        <v>403.8</v>
      </c>
      <c r="WM266" s="1304">
        <v>387.3</v>
      </c>
      <c r="WN266" s="1304">
        <v>72.400000000000006</v>
      </c>
      <c r="WO266" s="1304">
        <v>141</v>
      </c>
      <c r="WP266" s="1304">
        <v>64.7</v>
      </c>
      <c r="WQ266" s="1304">
        <v>22.8</v>
      </c>
      <c r="WR266" s="1304">
        <v>266.7</v>
      </c>
      <c r="WS266" s="1304">
        <v>44.5</v>
      </c>
      <c r="WT266" s="1304">
        <v>116.8</v>
      </c>
      <c r="WU266" s="1304">
        <v>5</v>
      </c>
      <c r="WV266" s="1304">
        <v>-5</v>
      </c>
      <c r="WW266" s="1304">
        <v>92.7</v>
      </c>
      <c r="WX266" s="1304">
        <v>358.4</v>
      </c>
      <c r="WY266" s="1304">
        <v>91.5</v>
      </c>
      <c r="WZ266" s="1304">
        <v>343</v>
      </c>
      <c r="XA266" s="1304">
        <v>39.4</v>
      </c>
      <c r="XB266" s="1304">
        <v>85.1</v>
      </c>
      <c r="XC266" s="1304">
        <v>357.1</v>
      </c>
      <c r="XD266" s="1304">
        <v>245.3</v>
      </c>
      <c r="XE266" s="1304">
        <v>180.3</v>
      </c>
      <c r="XF266" s="1304">
        <v>34.299999999999997</v>
      </c>
      <c r="XG266" s="1304">
        <v>26.7</v>
      </c>
      <c r="XH266" s="1304">
        <v>51</v>
      </c>
      <c r="XI266" s="1304">
        <v>1.3</v>
      </c>
      <c r="XJ266" s="1304">
        <v>1.3</v>
      </c>
      <c r="XK266" s="1304">
        <v>17.8</v>
      </c>
      <c r="XL266" s="1304">
        <v>74</v>
      </c>
      <c r="XM266" s="1304">
        <v>23</v>
      </c>
      <c r="XN266" s="1304">
        <v>50</v>
      </c>
      <c r="XO266" s="1304">
        <v>1.3</v>
      </c>
      <c r="XP266" s="1304">
        <v>233.3</v>
      </c>
      <c r="XQ266" s="1304">
        <v>35.700000000000003</v>
      </c>
      <c r="XR266" s="1304">
        <v>53.6</v>
      </c>
      <c r="XS266" s="1304">
        <v>86.9</v>
      </c>
      <c r="XT266" s="1304">
        <v>115</v>
      </c>
      <c r="XU266" s="1304">
        <v>15.3</v>
      </c>
      <c r="XV266" s="1304">
        <v>103.6</v>
      </c>
      <c r="XW266" s="1304">
        <v>110</v>
      </c>
      <c r="XX266" s="1304">
        <v>143.30000000000001</v>
      </c>
      <c r="XY266" s="1304">
        <v>171.5</v>
      </c>
      <c r="XZ266" s="1304">
        <v>135.69999999999999</v>
      </c>
      <c r="YA266" s="1304">
        <v>165.1</v>
      </c>
      <c r="YB266" s="1304">
        <v>59.3</v>
      </c>
      <c r="YC266" s="1304">
        <v>62.7</v>
      </c>
      <c r="YD266" s="1304">
        <v>94.7</v>
      </c>
      <c r="YE266" s="1304">
        <v>217.6</v>
      </c>
      <c r="YF266" s="1304">
        <v>236.8</v>
      </c>
      <c r="YG266" s="1304">
        <v>60.1</v>
      </c>
      <c r="YH266" s="1304">
        <v>30.7</v>
      </c>
      <c r="YI266" s="1304">
        <v>74.239999999999995</v>
      </c>
      <c r="YJ266" s="1304">
        <v>156.19999999999999</v>
      </c>
      <c r="YK266" s="1304">
        <v>93.4</v>
      </c>
      <c r="YL266" s="1304">
        <v>144.6</v>
      </c>
      <c r="YM266" s="1304">
        <v>208.6</v>
      </c>
      <c r="YN266" s="1304">
        <v>115.2</v>
      </c>
      <c r="YO266" s="1304">
        <v>297</v>
      </c>
      <c r="YP266" s="1304">
        <v>261.10000000000002</v>
      </c>
      <c r="YQ266" s="1304">
        <v>143.4</v>
      </c>
      <c r="YR266" s="1304">
        <v>163.80000000000001</v>
      </c>
      <c r="YS266" s="1304">
        <v>179.2</v>
      </c>
      <c r="YT266" s="1304">
        <v>239.5</v>
      </c>
      <c r="YU266" s="1304">
        <v>285.8</v>
      </c>
      <c r="YV266" s="1304">
        <v>202.5</v>
      </c>
      <c r="YW266" s="1304">
        <v>222</v>
      </c>
      <c r="YX266" s="1304">
        <v>252.7</v>
      </c>
      <c r="YY266" s="1304">
        <v>381</v>
      </c>
      <c r="YZ266" s="1304">
        <v>433.6</v>
      </c>
      <c r="ZA266" s="1304">
        <v>596.6</v>
      </c>
      <c r="ZB266" s="1304">
        <v>682.5</v>
      </c>
      <c r="ZC266" s="1304">
        <v>867.6</v>
      </c>
      <c r="ZD266" s="1304">
        <v>927.7</v>
      </c>
      <c r="ZE266" s="1304">
        <v>821.2</v>
      </c>
      <c r="ZF266" s="1304">
        <v>825</v>
      </c>
      <c r="ZG266" s="1304">
        <v>828</v>
      </c>
      <c r="ZH266" s="1304">
        <v>837.8</v>
      </c>
      <c r="ZI266" s="1304">
        <v>659</v>
      </c>
      <c r="ZJ266" s="1304">
        <v>523</v>
      </c>
      <c r="ZK266" s="1304">
        <v>610.5</v>
      </c>
      <c r="ZL266" s="1304">
        <v>520</v>
      </c>
      <c r="ZM266" s="1304">
        <v>517</v>
      </c>
      <c r="ZN266" s="1304">
        <v>554.5</v>
      </c>
      <c r="ZO266" s="1304">
        <v>566.70000000000005</v>
      </c>
      <c r="ZP266" s="1304">
        <v>425</v>
      </c>
      <c r="ZQ266" s="1304">
        <v>428.5</v>
      </c>
      <c r="ZR266" s="1304">
        <v>463.5</v>
      </c>
      <c r="ZS266" s="1304">
        <v>338.5</v>
      </c>
      <c r="ZT266" s="1304">
        <v>351.6</v>
      </c>
      <c r="ZU266" s="1304">
        <v>300</v>
      </c>
      <c r="ZV266" s="1304">
        <v>312</v>
      </c>
      <c r="ZW266" s="1304">
        <v>154.69999999999999</v>
      </c>
      <c r="ZX266" s="1304">
        <v>227</v>
      </c>
      <c r="ZY266" s="1304">
        <v>142.5</v>
      </c>
      <c r="ZZ266" s="1304">
        <v>7.8</v>
      </c>
      <c r="AAA266" s="1304">
        <v>24.7</v>
      </c>
      <c r="AAB266" s="1304">
        <v>19.5</v>
      </c>
      <c r="AAC266" s="1304">
        <v>9.1</v>
      </c>
      <c r="AAD266" s="1304">
        <v>18.2</v>
      </c>
      <c r="AAE266" s="1304">
        <v>52</v>
      </c>
      <c r="AAF266" s="1304">
        <v>18.2</v>
      </c>
      <c r="AAG266" s="1304">
        <v>7.8</v>
      </c>
      <c r="AAH266" s="1304">
        <v>15.6</v>
      </c>
      <c r="AAI266" s="1304">
        <v>28.6</v>
      </c>
      <c r="AAJ266" s="1304">
        <v>99</v>
      </c>
      <c r="AAK266" s="1304">
        <v>51</v>
      </c>
      <c r="AAL266" s="1304">
        <v>9.1</v>
      </c>
      <c r="AAM266" s="1304">
        <v>67.599999999999994</v>
      </c>
      <c r="AAN266" s="1304">
        <v>97.5</v>
      </c>
      <c r="AAO266" s="1304">
        <v>74.099999999999994</v>
      </c>
      <c r="AAP266" s="1304">
        <v>15.6</v>
      </c>
      <c r="AAQ266" s="1304">
        <v>46.8</v>
      </c>
      <c r="AAR266" s="1304">
        <v>91</v>
      </c>
      <c r="AAS266" s="1304">
        <v>104</v>
      </c>
      <c r="AAT266" s="1304">
        <v>79.3</v>
      </c>
      <c r="AAU266" s="1304">
        <v>120.9</v>
      </c>
      <c r="AAV266" s="1304">
        <v>48.1</v>
      </c>
      <c r="AAW266" s="1304">
        <v>42</v>
      </c>
      <c r="AAX266" s="1304">
        <v>2</v>
      </c>
      <c r="AAY266" s="1304">
        <v>130</v>
      </c>
      <c r="AAZ266" s="1304">
        <v>134</v>
      </c>
      <c r="ABA266" s="1304">
        <v>140</v>
      </c>
      <c r="ABB266" s="1304">
        <v>34</v>
      </c>
      <c r="ABC266" s="1304">
        <v>2</v>
      </c>
      <c r="ABD266" s="1304">
        <v>11</v>
      </c>
      <c r="ABE266" s="1304">
        <v>2</v>
      </c>
      <c r="ABF266" s="1304">
        <v>110</v>
      </c>
      <c r="ABG266" s="1304">
        <v>20</v>
      </c>
      <c r="ABH266" s="1304">
        <v>22</v>
      </c>
      <c r="ABI266" s="1304">
        <v>76</v>
      </c>
      <c r="ABJ266" s="1304">
        <v>32</v>
      </c>
      <c r="ABK266" s="1304">
        <v>1</v>
      </c>
      <c r="ABL266" s="1304">
        <v>1</v>
      </c>
      <c r="ABM266" s="1304">
        <v>147</v>
      </c>
      <c r="ABN266" s="1304">
        <v>137</v>
      </c>
      <c r="ABO266" s="1304">
        <v>103</v>
      </c>
      <c r="ABP266" s="1304">
        <v>60</v>
      </c>
      <c r="ABQ266" s="1304">
        <v>129</v>
      </c>
      <c r="ABR266" s="1304">
        <v>300</v>
      </c>
      <c r="ABS266" s="1304">
        <v>376</v>
      </c>
      <c r="ABT266" s="1304">
        <v>484</v>
      </c>
      <c r="ABU266" s="1304">
        <v>389</v>
      </c>
      <c r="ABV266" s="1304">
        <v>354</v>
      </c>
      <c r="ABW266" s="1304">
        <v>335</v>
      </c>
      <c r="ABX266" s="1304">
        <v>542</v>
      </c>
      <c r="ABY266" s="1304">
        <v>630</v>
      </c>
      <c r="ABZ266" s="1304">
        <v>457</v>
      </c>
      <c r="ACA266" s="1304">
        <v>477</v>
      </c>
      <c r="ACB266" s="1304">
        <v>602</v>
      </c>
      <c r="ACC266" s="1304">
        <v>560</v>
      </c>
      <c r="ACD266" s="1304">
        <v>672</v>
      </c>
      <c r="ACE266" s="1304">
        <v>705</v>
      </c>
      <c r="ACF266" s="1304">
        <v>852.5</v>
      </c>
      <c r="ACG266" s="1304">
        <v>810</v>
      </c>
      <c r="ACH266" s="1304">
        <v>629</v>
      </c>
      <c r="ACI266" s="1304">
        <v>609</v>
      </c>
      <c r="ACJ266" s="1304">
        <v>362</v>
      </c>
      <c r="ACK266" s="1304">
        <v>305</v>
      </c>
      <c r="ACL266" s="1304">
        <v>126</v>
      </c>
      <c r="ACM266" s="1304">
        <v>9</v>
      </c>
      <c r="ACN266" s="1304">
        <v>94</v>
      </c>
      <c r="ACO266" s="1304">
        <v>102</v>
      </c>
      <c r="ACP266" s="1304">
        <v>213</v>
      </c>
      <c r="ACQ266" s="1304">
        <v>575</v>
      </c>
      <c r="ACR266" s="1304">
        <v>870</v>
      </c>
      <c r="ACS266" s="1304">
        <v>610</v>
      </c>
      <c r="ACT266" s="1304">
        <v>286</v>
      </c>
      <c r="ACU266" s="1304">
        <v>293</v>
      </c>
      <c r="ACV266" s="1304">
        <v>321</v>
      </c>
      <c r="ACW266" s="1304">
        <v>376</v>
      </c>
      <c r="ACX266" s="1304">
        <v>925</v>
      </c>
      <c r="ACY266" s="1304">
        <f>260+910+5</f>
        <v>1175</v>
      </c>
      <c r="ACZ266" s="1304">
        <v>1198</v>
      </c>
      <c r="ADA266" s="1304">
        <v>1630</v>
      </c>
      <c r="ADB266" s="1304">
        <v>1502</v>
      </c>
      <c r="ADC266" s="1304">
        <f>167+660</f>
        <v>827</v>
      </c>
      <c r="ADD266" s="1304">
        <v>176</v>
      </c>
      <c r="ADE266" s="1304">
        <v>880</v>
      </c>
      <c r="ADF266" s="1304">
        <v>1958</v>
      </c>
      <c r="ADG266" s="1304">
        <f>40+110+300</f>
        <v>450</v>
      </c>
      <c r="ADH266" s="1304">
        <v>505</v>
      </c>
      <c r="ADI266" s="1304">
        <v>800</v>
      </c>
      <c r="ADJ266" s="1304">
        <v>170</v>
      </c>
      <c r="ADK266" s="1304">
        <v>450</v>
      </c>
      <c r="ADL266" s="1304">
        <v>1026</v>
      </c>
      <c r="ADM266" s="1304">
        <v>1670</v>
      </c>
      <c r="ADN266" s="1304">
        <v>670</v>
      </c>
      <c r="ADO266" s="1304">
        <v>1548</v>
      </c>
      <c r="ADP266" s="1304">
        <v>1658</v>
      </c>
      <c r="ADQ266" s="1304">
        <v>1352</v>
      </c>
      <c r="ADR266" s="1304">
        <v>1210</v>
      </c>
      <c r="ADS266" s="1304">
        <v>950</v>
      </c>
      <c r="ADT266" s="1304">
        <v>686</v>
      </c>
      <c r="ADU266" s="1304">
        <v>1169</v>
      </c>
      <c r="ADV266" s="1304">
        <v>1362</v>
      </c>
      <c r="ADW266" s="1304">
        <v>1232</v>
      </c>
      <c r="ADX266" s="1304">
        <v>1037</v>
      </c>
      <c r="ADY266" s="1304">
        <v>1100</v>
      </c>
      <c r="ADZ266" s="1304">
        <v>2182</v>
      </c>
      <c r="AEA266" s="1304">
        <v>1693.4</v>
      </c>
      <c r="AEB266" s="1304">
        <v>2325</v>
      </c>
      <c r="AEC266" s="1304">
        <v>5351</v>
      </c>
      <c r="AED266" s="1304">
        <v>3637.8</v>
      </c>
      <c r="AEE266" s="1304">
        <v>3195</v>
      </c>
      <c r="AEF266" s="1304">
        <v>2435</v>
      </c>
      <c r="AEG266" s="1304">
        <v>2120</v>
      </c>
      <c r="AEH266" s="1304">
        <v>1500</v>
      </c>
      <c r="AEI266" s="1304">
        <v>4045</v>
      </c>
      <c r="AJT266">
        <v>4.2</v>
      </c>
      <c r="AJU266">
        <v>4.2</v>
      </c>
      <c r="AJV266">
        <v>4.7</v>
      </c>
      <c r="AJW266">
        <v>4.7</v>
      </c>
      <c r="AJX266">
        <v>4.7</v>
      </c>
      <c r="AJY266">
        <v>4.7</v>
      </c>
      <c r="AJZ266">
        <v>4.7</v>
      </c>
      <c r="AKA266">
        <v>4.7</v>
      </c>
      <c r="AKB266">
        <v>4.7</v>
      </c>
    </row>
    <row r="267" spans="2:964">
      <c r="J267">
        <v>29</v>
      </c>
      <c r="L267" s="1304">
        <v>50</v>
      </c>
      <c r="O267">
        <v>785</v>
      </c>
      <c r="LN267">
        <v>1.2</v>
      </c>
      <c r="MN267">
        <v>1869.21</v>
      </c>
      <c r="MO267">
        <v>1753.5</v>
      </c>
      <c r="MP267">
        <v>2371.8000000000002</v>
      </c>
      <c r="MQ267">
        <v>1993.4</v>
      </c>
      <c r="MR267">
        <v>1691</v>
      </c>
      <c r="MS267">
        <v>2351</v>
      </c>
      <c r="MT267">
        <v>2029</v>
      </c>
      <c r="MU267">
        <v>2760.5</v>
      </c>
      <c r="MV267">
        <v>2425</v>
      </c>
      <c r="MW267">
        <v>3</v>
      </c>
      <c r="MX267">
        <v>2057.3000000000002</v>
      </c>
      <c r="MY267">
        <v>2798.5</v>
      </c>
      <c r="MZ267">
        <v>-65.5</v>
      </c>
      <c r="NA267">
        <v>-44</v>
      </c>
      <c r="NB267">
        <v>-44</v>
      </c>
      <c r="NC267">
        <v>-44</v>
      </c>
      <c r="ND267">
        <v>-3546.8</v>
      </c>
      <c r="NE267">
        <v>11.6</v>
      </c>
      <c r="NF267">
        <v>11.6</v>
      </c>
      <c r="NG267">
        <v>11.3</v>
      </c>
      <c r="NH267">
        <v>11.6</v>
      </c>
      <c r="NI267">
        <v>18.100000000000001</v>
      </c>
      <c r="NJ267">
        <v>18.100000000000001</v>
      </c>
      <c r="NK267">
        <v>18.100000000000001</v>
      </c>
      <c r="NL267">
        <v>18.100000000000001</v>
      </c>
      <c r="NM267">
        <v>18.100000000000001</v>
      </c>
      <c r="NN267">
        <v>18.100000000000001</v>
      </c>
      <c r="NO267">
        <v>18.100000000000001</v>
      </c>
      <c r="NP267">
        <v>18.100000000000001</v>
      </c>
      <c r="NQ267">
        <v>18.100000000000001</v>
      </c>
      <c r="NR267">
        <v>18.100000000000001</v>
      </c>
      <c r="NS267">
        <v>18.100000000000001</v>
      </c>
      <c r="NT267">
        <v>18.100000000000001</v>
      </c>
      <c r="NU267">
        <v>18.100000000000001</v>
      </c>
      <c r="NV267">
        <v>18.100000000000001</v>
      </c>
      <c r="NW267">
        <v>18.100000000000001</v>
      </c>
      <c r="NX267">
        <v>118.1</v>
      </c>
      <c r="NY267">
        <v>118.1</v>
      </c>
      <c r="NZ267">
        <v>118.1</v>
      </c>
      <c r="OA267">
        <v>118.1</v>
      </c>
      <c r="OB267">
        <v>118.1</v>
      </c>
      <c r="OC267">
        <v>118.1</v>
      </c>
      <c r="OD267">
        <v>118.1</v>
      </c>
      <c r="OE267">
        <v>118.1</v>
      </c>
      <c r="OF267">
        <v>118.1</v>
      </c>
      <c r="OG267">
        <v>118.1</v>
      </c>
      <c r="OH267">
        <v>118.1</v>
      </c>
      <c r="OI267">
        <v>118.1</v>
      </c>
      <c r="OJ267">
        <v>118.1</v>
      </c>
      <c r="OK267">
        <v>118.1</v>
      </c>
      <c r="OL267">
        <v>118.1</v>
      </c>
      <c r="OM267">
        <v>118.1</v>
      </c>
      <c r="ON267">
        <f>118.1+50</f>
        <v>168.1</v>
      </c>
      <c r="OO267">
        <v>168.1</v>
      </c>
      <c r="OP267">
        <v>168.1</v>
      </c>
      <c r="OQ267">
        <v>168.1</v>
      </c>
      <c r="OR267">
        <v>168.1</v>
      </c>
      <c r="OS267">
        <v>168.1</v>
      </c>
      <c r="OT267">
        <v>168.1</v>
      </c>
      <c r="OU267">
        <v>168.1</v>
      </c>
      <c r="OV267">
        <v>168.1</v>
      </c>
      <c r="OW267">
        <v>168.1</v>
      </c>
      <c r="OX267">
        <v>168.1</v>
      </c>
      <c r="OY267">
        <v>116</v>
      </c>
      <c r="OZ267">
        <v>116</v>
      </c>
      <c r="PA267">
        <v>116</v>
      </c>
      <c r="PB267">
        <v>116</v>
      </c>
      <c r="PC267">
        <v>116</v>
      </c>
      <c r="PD267">
        <v>116</v>
      </c>
      <c r="PE267">
        <v>116</v>
      </c>
      <c r="PF267">
        <v>94</v>
      </c>
      <c r="PG267">
        <v>94</v>
      </c>
      <c r="PH267">
        <v>94</v>
      </c>
      <c r="PI267">
        <v>94</v>
      </c>
      <c r="PJ267">
        <v>94</v>
      </c>
      <c r="PK267">
        <v>94</v>
      </c>
      <c r="PL267">
        <v>94</v>
      </c>
      <c r="PM267">
        <v>72</v>
      </c>
      <c r="PN267">
        <v>72</v>
      </c>
      <c r="PO267">
        <v>72</v>
      </c>
      <c r="PP267">
        <v>72</v>
      </c>
      <c r="PQ267">
        <v>72</v>
      </c>
      <c r="PR267">
        <v>72</v>
      </c>
      <c r="PS267">
        <v>72</v>
      </c>
      <c r="PT267">
        <v>72</v>
      </c>
      <c r="PU267">
        <v>72</v>
      </c>
      <c r="PV267">
        <v>72</v>
      </c>
      <c r="PW267">
        <v>57</v>
      </c>
      <c r="PX267">
        <v>57</v>
      </c>
      <c r="PY267">
        <v>57</v>
      </c>
      <c r="PZ267">
        <v>57</v>
      </c>
      <c r="QA267">
        <v>57</v>
      </c>
      <c r="QB267">
        <v>57</v>
      </c>
      <c r="QC267">
        <v>37</v>
      </c>
      <c r="QD267">
        <v>37</v>
      </c>
      <c r="QE267">
        <f>37+17+19</f>
        <v>73</v>
      </c>
      <c r="QF267">
        <v>73</v>
      </c>
      <c r="QG267">
        <v>73</v>
      </c>
      <c r="QH267">
        <v>73</v>
      </c>
      <c r="QI267">
        <v>73</v>
      </c>
      <c r="QJ267">
        <v>73</v>
      </c>
      <c r="QK267">
        <v>73</v>
      </c>
      <c r="QL267">
        <v>73</v>
      </c>
      <c r="QM267">
        <v>73</v>
      </c>
      <c r="QN267">
        <v>73</v>
      </c>
      <c r="QO267">
        <v>73</v>
      </c>
      <c r="QP267">
        <f>73-20</f>
        <v>53</v>
      </c>
      <c r="QQ267">
        <v>53</v>
      </c>
      <c r="QR267">
        <v>53</v>
      </c>
      <c r="QS267">
        <v>53</v>
      </c>
      <c r="QT267">
        <v>53</v>
      </c>
      <c r="QU267">
        <v>53</v>
      </c>
      <c r="QV267">
        <v>53</v>
      </c>
      <c r="QW267">
        <v>53</v>
      </c>
      <c r="QX267">
        <v>53</v>
      </c>
      <c r="QY267">
        <v>53</v>
      </c>
      <c r="QZ267">
        <v>53</v>
      </c>
      <c r="RA267">
        <v>53</v>
      </c>
      <c r="RB267">
        <v>53</v>
      </c>
      <c r="RC267">
        <v>53</v>
      </c>
      <c r="RD267">
        <v>53</v>
      </c>
      <c r="RE267">
        <v>42.5</v>
      </c>
      <c r="RF267">
        <v>42.5</v>
      </c>
      <c r="RG267">
        <v>42.5</v>
      </c>
      <c r="RH267">
        <v>42.5</v>
      </c>
      <c r="RI267" s="7">
        <v>42.5</v>
      </c>
      <c r="RJ267" s="7">
        <v>18.5</v>
      </c>
      <c r="RK267" s="7">
        <v>18.5</v>
      </c>
      <c r="RL267" s="7">
        <v>18.5</v>
      </c>
      <c r="RM267" s="7">
        <v>18.5</v>
      </c>
      <c r="RN267" s="7">
        <v>18.5</v>
      </c>
      <c r="RO267" s="7">
        <v>18.5</v>
      </c>
      <c r="RP267" s="7">
        <v>18.5</v>
      </c>
      <c r="RQ267">
        <v>1.2</v>
      </c>
      <c r="RR267">
        <v>1.2</v>
      </c>
      <c r="RS267">
        <v>1.2</v>
      </c>
      <c r="RT267">
        <v>1.2</v>
      </c>
      <c r="RU267">
        <v>1.2</v>
      </c>
      <c r="RV267">
        <v>1.2</v>
      </c>
      <c r="RW267">
        <v>1.2</v>
      </c>
      <c r="RX267">
        <v>1.2</v>
      </c>
      <c r="RY267">
        <v>1.2</v>
      </c>
      <c r="RZ267">
        <v>1.2</v>
      </c>
      <c r="SA267">
        <v>1.2</v>
      </c>
      <c r="SB267">
        <v>1.2</v>
      </c>
      <c r="SC267">
        <v>1.2</v>
      </c>
      <c r="SD267">
        <v>1.2</v>
      </c>
      <c r="SE267">
        <v>1.2</v>
      </c>
      <c r="SF267">
        <v>1.2</v>
      </c>
      <c r="SG267">
        <v>1.2</v>
      </c>
      <c r="SH267">
        <v>1.2</v>
      </c>
      <c r="SI267">
        <v>1.2</v>
      </c>
      <c r="SJ267">
        <v>1.2</v>
      </c>
      <c r="SK267">
        <v>1.2</v>
      </c>
      <c r="SL267">
        <v>1.2</v>
      </c>
      <c r="SM267">
        <v>1.2</v>
      </c>
      <c r="SN267">
        <v>1.2</v>
      </c>
      <c r="SO267">
        <v>1.2</v>
      </c>
      <c r="SP267">
        <v>1.2</v>
      </c>
      <c r="SQ267">
        <v>1.2</v>
      </c>
      <c r="SR267">
        <v>1.2</v>
      </c>
      <c r="SS267">
        <v>1.2</v>
      </c>
      <c r="ST267">
        <v>1.2</v>
      </c>
      <c r="SU267">
        <v>18.5</v>
      </c>
      <c r="SV267">
        <v>18.5</v>
      </c>
      <c r="SW267">
        <v>18.5</v>
      </c>
      <c r="SX267">
        <v>18.5</v>
      </c>
      <c r="SY267">
        <v>18.5</v>
      </c>
      <c r="SZ267">
        <v>18.5</v>
      </c>
      <c r="TA267">
        <v>18.5</v>
      </c>
      <c r="TB267">
        <v>18.5</v>
      </c>
      <c r="TC267">
        <v>18.5</v>
      </c>
      <c r="TD267">
        <v>18.5</v>
      </c>
      <c r="TE267">
        <v>18.5</v>
      </c>
      <c r="TF267">
        <v>18.5</v>
      </c>
      <c r="TG267">
        <v>18.5</v>
      </c>
      <c r="TH267">
        <v>18.5</v>
      </c>
      <c r="TI267">
        <v>18.5</v>
      </c>
      <c r="TJ267">
        <v>18.5</v>
      </c>
      <c r="TK267">
        <v>18.5</v>
      </c>
      <c r="TL267">
        <v>18.5</v>
      </c>
      <c r="TM267">
        <v>18.5</v>
      </c>
      <c r="TN267">
        <v>18.5</v>
      </c>
      <c r="TO267">
        <v>18.5</v>
      </c>
      <c r="TP267">
        <v>18.5</v>
      </c>
      <c r="TQ267">
        <v>18.5</v>
      </c>
      <c r="TR267">
        <v>18.5</v>
      </c>
      <c r="TS267">
        <v>18.5</v>
      </c>
      <c r="TT267">
        <v>18.5</v>
      </c>
      <c r="TU267">
        <v>18.5</v>
      </c>
      <c r="TV267">
        <v>18.5</v>
      </c>
      <c r="TW267">
        <v>18.5</v>
      </c>
      <c r="TX267">
        <v>18.5</v>
      </c>
      <c r="TY267">
        <v>18.5</v>
      </c>
      <c r="TZ267">
        <v>18.5</v>
      </c>
      <c r="UA267">
        <v>18.5</v>
      </c>
      <c r="UB267">
        <v>18.5</v>
      </c>
      <c r="UC267">
        <v>18.5</v>
      </c>
      <c r="UD267">
        <v>18.5</v>
      </c>
      <c r="UE267">
        <v>18.5</v>
      </c>
      <c r="UF267">
        <v>18.5</v>
      </c>
      <c r="UG267">
        <v>18.5</v>
      </c>
      <c r="UH267">
        <v>18.5</v>
      </c>
      <c r="UI267">
        <v>18.5</v>
      </c>
      <c r="UJ267">
        <v>18.5</v>
      </c>
      <c r="UK267">
        <v>82</v>
      </c>
      <c r="UL267">
        <v>82</v>
      </c>
      <c r="UM267">
        <v>82</v>
      </c>
      <c r="UN267">
        <v>82</v>
      </c>
      <c r="UO267">
        <v>82</v>
      </c>
      <c r="UP267">
        <v>82</v>
      </c>
      <c r="UQ267">
        <v>82</v>
      </c>
      <c r="UR267">
        <v>82</v>
      </c>
      <c r="US267">
        <v>81</v>
      </c>
      <c r="UT267">
        <v>81</v>
      </c>
      <c r="UU267">
        <v>81</v>
      </c>
      <c r="UV267">
        <v>81</v>
      </c>
      <c r="UW267">
        <v>81</v>
      </c>
      <c r="UX267">
        <v>81</v>
      </c>
      <c r="UY267">
        <v>81</v>
      </c>
      <c r="UZ267">
        <v>81</v>
      </c>
      <c r="VA267">
        <v>81</v>
      </c>
      <c r="VB267">
        <v>81</v>
      </c>
      <c r="VC267">
        <v>81</v>
      </c>
      <c r="VD267">
        <v>81</v>
      </c>
      <c r="VE267">
        <v>81</v>
      </c>
      <c r="VF267" s="1304">
        <v>81</v>
      </c>
      <c r="VG267" s="1304">
        <v>81</v>
      </c>
      <c r="VH267" s="1304">
        <v>81</v>
      </c>
      <c r="VI267" s="1304">
        <v>81</v>
      </c>
      <c r="VJ267" s="1304">
        <v>81</v>
      </c>
      <c r="VK267">
        <v>81</v>
      </c>
      <c r="VL267" s="1304">
        <v>81</v>
      </c>
      <c r="VM267" s="1304">
        <v>81</v>
      </c>
      <c r="VN267" s="1304">
        <v>81</v>
      </c>
      <c r="VO267" s="1304">
        <v>81</v>
      </c>
      <c r="VP267" s="1304">
        <f>81-32.3+42</f>
        <v>90.7</v>
      </c>
      <c r="VQ267" s="1304">
        <v>90.7</v>
      </c>
      <c r="VR267" s="1304">
        <v>90.7</v>
      </c>
      <c r="VS267" s="1304">
        <v>90.7</v>
      </c>
      <c r="VT267" s="1304">
        <v>90.7</v>
      </c>
      <c r="VU267" s="1304">
        <f>90.7+14*3</f>
        <v>132.69999999999999</v>
      </c>
      <c r="VV267" s="1304">
        <v>132.69999999999999</v>
      </c>
      <c r="VW267" s="1304">
        <v>132.69999999999999</v>
      </c>
      <c r="VX267" s="1304">
        <v>132.69999999999999</v>
      </c>
      <c r="VY267" s="1304">
        <v>132.69999999999999</v>
      </c>
      <c r="VZ267" s="1304">
        <v>132.5</v>
      </c>
      <c r="WA267" s="1304">
        <v>132.5</v>
      </c>
      <c r="WB267" s="1304">
        <v>132.5</v>
      </c>
      <c r="WC267" s="1304">
        <v>132.5</v>
      </c>
      <c r="WD267" s="1304">
        <v>131.5</v>
      </c>
      <c r="WE267" s="1304">
        <v>131.5</v>
      </c>
      <c r="WF267" s="1304">
        <v>99.75</v>
      </c>
      <c r="WG267" s="1304">
        <v>99.75</v>
      </c>
      <c r="WH267" s="1304">
        <v>99.75</v>
      </c>
      <c r="WI267" s="1304">
        <v>99.75</v>
      </c>
      <c r="WJ267" s="1304">
        <v>99.75</v>
      </c>
      <c r="WK267" s="1304">
        <v>99.75</v>
      </c>
      <c r="WL267" s="1304">
        <v>99.75</v>
      </c>
      <c r="WM267" s="1304">
        <v>99.75</v>
      </c>
      <c r="WN267" s="1304">
        <v>99.75</v>
      </c>
      <c r="WO267" s="1304">
        <v>99.75</v>
      </c>
      <c r="WP267" s="1304">
        <v>99.75</v>
      </c>
      <c r="WQ267" s="1304">
        <f>99.75-21.85</f>
        <v>77.900000000000006</v>
      </c>
      <c r="WR267" s="1304">
        <v>77.900000000000006</v>
      </c>
      <c r="WS267" s="1304">
        <v>77.900000000000006</v>
      </c>
      <c r="WT267" s="1304">
        <v>116.8</v>
      </c>
      <c r="WU267" s="1304">
        <v>80.099999999999994</v>
      </c>
      <c r="WV267" s="1304">
        <v>102.95</v>
      </c>
      <c r="WW267" s="1304">
        <v>102.95</v>
      </c>
      <c r="WX267" s="1304">
        <v>102.95</v>
      </c>
      <c r="WY267" s="1304">
        <v>102.95</v>
      </c>
      <c r="WZ267" s="1304">
        <f>102.95-22.8</f>
        <v>80.150000000000006</v>
      </c>
      <c r="XA267" s="1304">
        <v>80.150000000000006</v>
      </c>
      <c r="XB267" s="1304">
        <v>80.150000000000006</v>
      </c>
      <c r="XC267" s="1304">
        <v>80.150000000000006</v>
      </c>
      <c r="XD267" s="1304">
        <v>80.150000000000006</v>
      </c>
      <c r="XE267" s="1304">
        <v>80.150000000000006</v>
      </c>
      <c r="XF267" s="1304">
        <v>80.150000000000006</v>
      </c>
      <c r="XG267" s="1304">
        <v>80.150000000000006</v>
      </c>
      <c r="XH267" s="1304">
        <v>80.150000000000006</v>
      </c>
      <c r="XI267" s="1304">
        <v>80.150000000000006</v>
      </c>
      <c r="XJ267" s="1304">
        <v>80.150000000000006</v>
      </c>
      <c r="XK267" s="1304">
        <v>80.150000000000006</v>
      </c>
      <c r="XL267" s="1304">
        <v>80.150000000000006</v>
      </c>
      <c r="XM267" s="1304">
        <v>80.150000000000006</v>
      </c>
      <c r="XN267" s="1304">
        <v>80.150000000000006</v>
      </c>
      <c r="XO267" s="1304">
        <v>80.150000000000006</v>
      </c>
      <c r="XP267" s="1304">
        <v>80.150000000000006</v>
      </c>
      <c r="XQ267" s="1304">
        <v>80.150000000000006</v>
      </c>
      <c r="XR267" s="1304">
        <v>80.150000000000006</v>
      </c>
      <c r="XS267" s="1304">
        <v>81.150000000000006</v>
      </c>
      <c r="XT267" s="1304">
        <v>80.150000000000006</v>
      </c>
      <c r="XU267" s="1304">
        <v>80.150000000000006</v>
      </c>
      <c r="XV267" s="1304">
        <f>80.15+26.8</f>
        <v>106.95</v>
      </c>
      <c r="XW267" s="1304">
        <v>106.95</v>
      </c>
      <c r="XX267" s="1304">
        <v>85.1</v>
      </c>
      <c r="XY267" s="1304">
        <v>85.1</v>
      </c>
      <c r="XZ267" s="1304">
        <v>85.1</v>
      </c>
      <c r="YA267" s="1304">
        <v>85.1</v>
      </c>
      <c r="YB267" s="1304">
        <v>85.1</v>
      </c>
      <c r="YC267" s="1304">
        <v>85.1</v>
      </c>
      <c r="YD267" s="1304">
        <v>85.1</v>
      </c>
      <c r="YE267" s="1304">
        <v>85.1</v>
      </c>
      <c r="YF267" s="1304">
        <v>85.1</v>
      </c>
      <c r="YG267" s="1304">
        <f>85.1+6.6</f>
        <v>91.699999999999989</v>
      </c>
      <c r="YH267" s="1304">
        <f>91.7-31.35</f>
        <v>60.35</v>
      </c>
      <c r="YI267" s="1304">
        <v>60.35</v>
      </c>
      <c r="YJ267" s="1304">
        <v>60.35</v>
      </c>
      <c r="YK267" s="1304">
        <v>60.35</v>
      </c>
      <c r="YL267" s="1304">
        <v>60.35</v>
      </c>
      <c r="YM267" s="1304">
        <v>60.35</v>
      </c>
      <c r="YN267" s="1304">
        <v>60.35</v>
      </c>
      <c r="YO267" s="1304">
        <v>60.35</v>
      </c>
      <c r="YP267" s="1304">
        <f>60.35-23.75</f>
        <v>36.6</v>
      </c>
      <c r="YQ267" s="1304">
        <v>36.6</v>
      </c>
      <c r="YR267" s="1304">
        <v>36.6</v>
      </c>
      <c r="YS267" s="1304">
        <v>36.6</v>
      </c>
      <c r="YT267" s="1304">
        <v>36.6</v>
      </c>
      <c r="YU267" s="1304">
        <v>36.6</v>
      </c>
      <c r="YV267" s="1304">
        <v>36.6</v>
      </c>
      <c r="YW267" s="1304">
        <v>36.6</v>
      </c>
      <c r="YX267" s="1304">
        <v>36.6</v>
      </c>
      <c r="YY267" s="1304">
        <v>36.6</v>
      </c>
      <c r="YZ267" s="1304">
        <v>36.6</v>
      </c>
      <c r="ZA267" s="1304">
        <v>36.6</v>
      </c>
      <c r="ZB267" s="1304">
        <v>36.6</v>
      </c>
      <c r="ZC267" s="1304">
        <v>36.6</v>
      </c>
      <c r="ZD267" s="1304">
        <v>36.6</v>
      </c>
      <c r="ZE267" s="1304">
        <v>36.6</v>
      </c>
      <c r="ZF267" s="1304">
        <v>36.6</v>
      </c>
      <c r="ZG267" s="1304">
        <v>36.6</v>
      </c>
      <c r="ZH267" s="1304">
        <v>36.6</v>
      </c>
      <c r="ZI267" s="1304">
        <v>36.6</v>
      </c>
      <c r="ZJ267" s="1304">
        <v>36.6</v>
      </c>
      <c r="ZK267" s="1304">
        <v>36.6</v>
      </c>
      <c r="ZL267" s="1304">
        <v>36.6</v>
      </c>
      <c r="ZM267" s="1304">
        <v>36.6</v>
      </c>
      <c r="ZN267" s="1304">
        <v>36.6</v>
      </c>
      <c r="ZO267" s="1304">
        <v>36.6</v>
      </c>
      <c r="ZP267" s="1304">
        <v>36.6</v>
      </c>
      <c r="ZQ267" s="1304">
        <v>36.6</v>
      </c>
      <c r="ZR267" s="1304">
        <v>36.6</v>
      </c>
      <c r="ZS267" s="1304">
        <v>36.6</v>
      </c>
      <c r="ZT267" s="1304">
        <v>36.6</v>
      </c>
      <c r="ZU267" s="1304">
        <v>36.6</v>
      </c>
      <c r="ZV267" s="1304">
        <v>36.6</v>
      </c>
      <c r="ZW267" s="1304">
        <v>36.6</v>
      </c>
      <c r="ZX267" s="1304">
        <v>36.6</v>
      </c>
      <c r="ZY267" s="1304">
        <v>26.6</v>
      </c>
      <c r="ZZ267" s="1304">
        <v>26.6</v>
      </c>
      <c r="AAA267" s="1304">
        <v>26.6</v>
      </c>
      <c r="AAB267" s="1304">
        <v>26.6</v>
      </c>
      <c r="AAC267" s="1304">
        <v>26.6</v>
      </c>
      <c r="AAD267" s="1304">
        <v>26.6</v>
      </c>
      <c r="AAE267" s="1304">
        <v>26.6</v>
      </c>
      <c r="AAF267" s="1304">
        <v>26.6</v>
      </c>
      <c r="AAG267" s="1304">
        <v>26.6</v>
      </c>
      <c r="AAH267" s="1304">
        <v>26.6</v>
      </c>
      <c r="AAI267" s="1304">
        <v>26.6</v>
      </c>
      <c r="AAJ267" s="1304">
        <v>26.6</v>
      </c>
      <c r="AAK267" s="1304">
        <v>26.6</v>
      </c>
      <c r="AAL267" s="1304">
        <v>26.6</v>
      </c>
      <c r="AAM267" s="1304">
        <v>26.6</v>
      </c>
      <c r="AAN267" s="1304">
        <v>26.6</v>
      </c>
      <c r="AAO267" s="1304">
        <v>26.6</v>
      </c>
      <c r="AAP267" s="1304">
        <v>26.6</v>
      </c>
      <c r="AAQ267" s="1304">
        <v>26.6</v>
      </c>
      <c r="AAR267" s="1304">
        <v>26.6</v>
      </c>
      <c r="AAS267" s="1304">
        <v>26.6</v>
      </c>
      <c r="AAT267" s="1304">
        <v>26.6</v>
      </c>
      <c r="AAU267" s="1304">
        <v>26.6</v>
      </c>
      <c r="AAV267" s="1304">
        <v>26.6</v>
      </c>
      <c r="AAW267" s="1304">
        <v>26.6</v>
      </c>
      <c r="AAX267" s="1304">
        <v>26.6</v>
      </c>
      <c r="AAY267" s="1304">
        <v>26.6</v>
      </c>
      <c r="AAZ267" s="1304">
        <v>26.6</v>
      </c>
      <c r="ABA267" s="1304">
        <v>26.6</v>
      </c>
      <c r="ABB267" s="1304">
        <v>26.6</v>
      </c>
      <c r="ABC267" s="1304">
        <v>26.6</v>
      </c>
      <c r="ABD267" s="1304">
        <v>26.6</v>
      </c>
      <c r="ABE267" s="1304">
        <v>26.6</v>
      </c>
      <c r="ABF267" s="1304">
        <v>26.6</v>
      </c>
      <c r="ABG267" s="1304">
        <v>26.6</v>
      </c>
      <c r="ABH267" s="1304">
        <v>26.6</v>
      </c>
      <c r="ABI267" s="1304">
        <v>26.6</v>
      </c>
      <c r="ABJ267" s="1304">
        <v>26.6</v>
      </c>
      <c r="ABK267" s="1304">
        <v>26.6</v>
      </c>
      <c r="ABL267" s="1304">
        <v>26.6</v>
      </c>
      <c r="ABM267" s="1304">
        <v>26.6</v>
      </c>
      <c r="ABN267" s="1304">
        <v>26.6</v>
      </c>
      <c r="ABO267" s="1304">
        <v>26.6</v>
      </c>
      <c r="ABP267" s="1304">
        <v>26.6</v>
      </c>
      <c r="ABQ267" s="1304">
        <v>26.6</v>
      </c>
      <c r="ABR267" s="1304">
        <v>26.6</v>
      </c>
      <c r="ABS267" s="1304">
        <v>26.6</v>
      </c>
      <c r="ABT267" s="1304">
        <v>26.6</v>
      </c>
      <c r="ABU267" s="1304">
        <v>26.6</v>
      </c>
      <c r="ABV267" s="1304">
        <v>26.6</v>
      </c>
      <c r="ABW267" s="1304">
        <v>26.6</v>
      </c>
      <c r="ABX267" s="1304">
        <v>26.6</v>
      </c>
      <c r="ABY267" s="1304">
        <v>26.6</v>
      </c>
      <c r="ABZ267" s="1304">
        <f>26.6-20</f>
        <v>6.6000000000000014</v>
      </c>
      <c r="ACA267" s="1304">
        <v>6.6</v>
      </c>
      <c r="ACB267" s="1304">
        <v>6.6</v>
      </c>
      <c r="ACC267" s="1304">
        <v>6.6</v>
      </c>
      <c r="ACD267" s="1304">
        <v>6.6</v>
      </c>
      <c r="ACE267" s="1304">
        <v>6.6</v>
      </c>
      <c r="ACF267" s="1304">
        <v>6.6</v>
      </c>
      <c r="ACG267" s="1304">
        <v>6.6</v>
      </c>
      <c r="ACH267" s="1304">
        <v>6.6</v>
      </c>
      <c r="ACI267" s="1304">
        <v>6.6</v>
      </c>
      <c r="ACJ267" s="1304">
        <v>6.6</v>
      </c>
      <c r="ACK267" s="1304">
        <v>6.6</v>
      </c>
      <c r="ACL267" s="1304">
        <v>6.6</v>
      </c>
      <c r="ACM267" s="1304">
        <v>6.6</v>
      </c>
      <c r="ACN267" s="1304">
        <v>6.6</v>
      </c>
      <c r="ACO267" s="1304">
        <v>6.6</v>
      </c>
      <c r="ACP267" s="1304">
        <v>6.6</v>
      </c>
      <c r="ACQ267" s="1304">
        <v>6.6</v>
      </c>
      <c r="ACR267" s="1304">
        <v>6.6</v>
      </c>
      <c r="ACS267" s="1304">
        <v>6.6</v>
      </c>
      <c r="ACT267" s="1304">
        <v>6.6</v>
      </c>
      <c r="ACU267" s="1304">
        <v>6.6</v>
      </c>
      <c r="ACV267" s="1304">
        <v>6.6</v>
      </c>
      <c r="ACW267" s="1304">
        <v>6.6</v>
      </c>
      <c r="ACX267" s="1304">
        <v>0</v>
      </c>
      <c r="ACY267" s="1304">
        <v>0</v>
      </c>
      <c r="ACZ267" s="1304">
        <v>0</v>
      </c>
      <c r="ADA267" s="1304">
        <v>0</v>
      </c>
      <c r="ADB267" s="1304">
        <v>0</v>
      </c>
      <c r="ADC267" s="1304">
        <v>0</v>
      </c>
      <c r="ADD267" s="1304">
        <v>0</v>
      </c>
      <c r="ADE267" s="1304">
        <v>0</v>
      </c>
      <c r="ADF267" s="1304">
        <v>0</v>
      </c>
      <c r="ADG267" s="1304">
        <v>0</v>
      </c>
      <c r="ADH267" s="1304">
        <v>0</v>
      </c>
      <c r="ADI267" s="1304">
        <v>0</v>
      </c>
      <c r="ADJ267" s="1304">
        <v>0</v>
      </c>
      <c r="ADK267" s="1304">
        <v>0</v>
      </c>
      <c r="ADL267" s="1304">
        <v>0</v>
      </c>
      <c r="ADM267" s="1304">
        <v>0</v>
      </c>
      <c r="ADN267" s="1304">
        <v>0</v>
      </c>
      <c r="ADO267" s="1304">
        <v>0</v>
      </c>
      <c r="ADP267" s="1304">
        <v>0</v>
      </c>
      <c r="ADQ267" s="1304">
        <v>0</v>
      </c>
      <c r="ADR267" s="1304">
        <v>0</v>
      </c>
      <c r="ADS267" s="1304">
        <v>0</v>
      </c>
      <c r="ADT267" s="1304">
        <v>0</v>
      </c>
      <c r="ADU267" s="1304">
        <v>0</v>
      </c>
      <c r="ADV267" s="1304">
        <v>0</v>
      </c>
      <c r="ADW267" s="1304">
        <v>0</v>
      </c>
      <c r="ADX267" s="1304">
        <v>0</v>
      </c>
      <c r="ADY267" s="1304">
        <v>0</v>
      </c>
      <c r="ADZ267" s="1304">
        <v>0</v>
      </c>
      <c r="AEA267" s="1304">
        <v>0</v>
      </c>
      <c r="AEB267" s="1304">
        <v>0</v>
      </c>
      <c r="AEC267" s="1304">
        <v>0</v>
      </c>
      <c r="AED267" s="1304">
        <v>0</v>
      </c>
      <c r="AEE267" s="1304">
        <v>0</v>
      </c>
      <c r="AEF267" s="1304">
        <v>0</v>
      </c>
      <c r="AEG267" s="1304">
        <v>0</v>
      </c>
      <c r="AEH267" s="1304">
        <v>0</v>
      </c>
      <c r="AEI267" s="1304">
        <v>0</v>
      </c>
      <c r="AJT267">
        <v>1.2</v>
      </c>
      <c r="AJU267">
        <v>1.2</v>
      </c>
      <c r="AJV267">
        <v>1.2</v>
      </c>
      <c r="AJW267">
        <v>1.2</v>
      </c>
      <c r="AJX267">
        <v>1.2</v>
      </c>
      <c r="AJY267">
        <v>1.2</v>
      </c>
      <c r="AJZ267">
        <v>1.2</v>
      </c>
      <c r="AKA267">
        <v>1.2</v>
      </c>
      <c r="AKB267">
        <v>1.2</v>
      </c>
    </row>
    <row r="268" spans="2:964">
      <c r="J268">
        <v>33</v>
      </c>
      <c r="L268" s="1304">
        <v>47</v>
      </c>
      <c r="O268">
        <v>44</v>
      </c>
      <c r="LN268">
        <v>3.03</v>
      </c>
      <c r="MW268">
        <v>2260.9</v>
      </c>
      <c r="MZ268">
        <v>2585</v>
      </c>
      <c r="NA268">
        <v>2568.8000000000002</v>
      </c>
      <c r="NB268">
        <v>2332.1</v>
      </c>
      <c r="NC268">
        <v>2182.5</v>
      </c>
      <c r="ND268">
        <v>-44</v>
      </c>
      <c r="NE268">
        <v>-3392.2</v>
      </c>
      <c r="NF268">
        <v>-3275.2</v>
      </c>
      <c r="NG268">
        <v>-4098.8</v>
      </c>
      <c r="NH268">
        <v>-3915.2</v>
      </c>
      <c r="NI268">
        <v>-22</v>
      </c>
      <c r="NJ268">
        <v>-22</v>
      </c>
      <c r="NK268">
        <v>-22</v>
      </c>
      <c r="NL268">
        <v>-22</v>
      </c>
      <c r="NM268">
        <v>-22</v>
      </c>
      <c r="NN268">
        <v>-22</v>
      </c>
      <c r="NO268">
        <v>-22</v>
      </c>
      <c r="NP268">
        <v>-22</v>
      </c>
      <c r="NQ268">
        <v>-22</v>
      </c>
      <c r="NR268">
        <v>-22</v>
      </c>
      <c r="NS268">
        <v>-44</v>
      </c>
      <c r="NT268">
        <v>-44</v>
      </c>
      <c r="NU268">
        <v>-66.099999999999994</v>
      </c>
      <c r="NV268">
        <v>-66.099999999999994</v>
      </c>
      <c r="NW268">
        <v>-66.099999999999994</v>
      </c>
      <c r="NX268">
        <v>-66.099999999999994</v>
      </c>
      <c r="NY268">
        <v>-66.099999999999994</v>
      </c>
      <c r="NZ268">
        <v>-66.099999999999994</v>
      </c>
      <c r="OA268">
        <v>-66.099999999999994</v>
      </c>
      <c r="OB268">
        <v>-88.1</v>
      </c>
      <c r="OC268">
        <v>-88.1</v>
      </c>
      <c r="OD268">
        <v>-110.2</v>
      </c>
      <c r="OE268">
        <v>-110.2</v>
      </c>
      <c r="OF268">
        <v>-110.2</v>
      </c>
      <c r="OG268">
        <v>-110.2</v>
      </c>
      <c r="OH268">
        <v>-110.2</v>
      </c>
      <c r="OI268">
        <v>-110.2</v>
      </c>
      <c r="OJ268">
        <v>-110.2</v>
      </c>
      <c r="OK268">
        <v>-110.2</v>
      </c>
      <c r="OL268">
        <v>-110.2</v>
      </c>
      <c r="OM268">
        <v>-110.2</v>
      </c>
      <c r="ON268">
        <v>-110.2</v>
      </c>
      <c r="OO268">
        <v>-110.2</v>
      </c>
      <c r="OP268">
        <v>-132.19999999999999</v>
      </c>
      <c r="OQ268">
        <v>-132.19999999999999</v>
      </c>
      <c r="OR268">
        <v>-132.19999999999999</v>
      </c>
      <c r="OS268">
        <v>-132.19999999999999</v>
      </c>
      <c r="OT268">
        <v>-132.19999999999999</v>
      </c>
      <c r="OU268">
        <v>-132</v>
      </c>
      <c r="OV268">
        <v>-132.19999999999999</v>
      </c>
      <c r="OW268">
        <v>-132.19999999999999</v>
      </c>
      <c r="OX268">
        <v>-132.19999999999999</v>
      </c>
      <c r="OY268">
        <v>168.1</v>
      </c>
      <c r="OZ268">
        <v>229.3</v>
      </c>
      <c r="RA268">
        <v>15</v>
      </c>
      <c r="RB268">
        <v>15</v>
      </c>
      <c r="RC268">
        <v>15</v>
      </c>
      <c r="RD268">
        <v>32</v>
      </c>
      <c r="RE268">
        <v>32</v>
      </c>
      <c r="RF268">
        <v>32</v>
      </c>
      <c r="RG268">
        <v>32</v>
      </c>
      <c r="RQ268">
        <v>0</v>
      </c>
      <c r="TO268">
        <v>-50</v>
      </c>
      <c r="TP268">
        <v>-79.5</v>
      </c>
      <c r="TQ268">
        <v>-79.5</v>
      </c>
      <c r="TR268">
        <v>-79.5</v>
      </c>
      <c r="TS268">
        <v>-79.5</v>
      </c>
      <c r="TT268">
        <v>-79.5</v>
      </c>
      <c r="TU268">
        <v>-79.5</v>
      </c>
      <c r="TV268">
        <v>-79.5</v>
      </c>
      <c r="TW268">
        <v>-79.5</v>
      </c>
      <c r="TX268">
        <v>-79.5</v>
      </c>
      <c r="TY268">
        <v>-79.5</v>
      </c>
      <c r="TZ268">
        <v>-79.5</v>
      </c>
      <c r="UA268">
        <v>-79.5</v>
      </c>
      <c r="UB268">
        <v>-79.5</v>
      </c>
      <c r="UC268">
        <v>-79.5</v>
      </c>
      <c r="UD268">
        <v>-79.5</v>
      </c>
      <c r="UE268">
        <v>-79.5</v>
      </c>
      <c r="UF268">
        <v>-79.5</v>
      </c>
      <c r="UG268">
        <v>-79.5</v>
      </c>
      <c r="UH268">
        <v>-110.7</v>
      </c>
      <c r="UI268">
        <v>-110.7</v>
      </c>
      <c r="UJ268">
        <v>-110.7</v>
      </c>
      <c r="UK268">
        <v>-140.30000000000001</v>
      </c>
      <c r="UL268">
        <v>-140.30000000000001</v>
      </c>
      <c r="UM268">
        <v>-140.30000000000001</v>
      </c>
      <c r="UN268">
        <v>-140.30000000000001</v>
      </c>
      <c r="UO268">
        <v>-140.30000000000001</v>
      </c>
      <c r="UP268">
        <v>-140.30000000000001</v>
      </c>
      <c r="UQ268">
        <v>-140.30000000000001</v>
      </c>
      <c r="UR268">
        <v>-140.30000000000001</v>
      </c>
      <c r="US268">
        <v>-140.30000000000001</v>
      </c>
      <c r="UT268">
        <v>-140.30000000000001</v>
      </c>
      <c r="UU268">
        <v>-140.30000000000001</v>
      </c>
      <c r="UV268">
        <v>-140.30000000000001</v>
      </c>
      <c r="UW268">
        <v>-140.30000000000001</v>
      </c>
      <c r="UX268">
        <v>-140.30000000000001</v>
      </c>
      <c r="UY268">
        <v>-140.30000000000001</v>
      </c>
      <c r="UZ268">
        <v>-140.30000000000001</v>
      </c>
      <c r="VA268">
        <v>-140.30000000000001</v>
      </c>
      <c r="VB268">
        <v>-140.30000000000001</v>
      </c>
      <c r="VC268">
        <v>-140.30000000000001</v>
      </c>
      <c r="VD268">
        <v>-140.30000000000001</v>
      </c>
      <c r="VE268">
        <v>-140.30000000000001</v>
      </c>
      <c r="VF268" s="1304">
        <v>-140.30000000000001</v>
      </c>
      <c r="VG268" s="1304">
        <v>-140.30000000000001</v>
      </c>
      <c r="VH268" s="1304">
        <v>-140.30000000000001</v>
      </c>
      <c r="VI268" s="1304">
        <v>-140.30000000000001</v>
      </c>
      <c r="VJ268" s="1304">
        <v>-140.30000000000001</v>
      </c>
      <c r="VK268">
        <v>-140.30000000000001</v>
      </c>
      <c r="VL268" s="1304">
        <v>-140.30000000000001</v>
      </c>
      <c r="VM268" s="1304">
        <v>-140.30000000000001</v>
      </c>
      <c r="VN268" s="1304">
        <v>-140.30000000000001</v>
      </c>
      <c r="VO268" s="1304">
        <v>-140.30000000000001</v>
      </c>
      <c r="VP268" s="1304">
        <v>-140.30000000000001</v>
      </c>
      <c r="VQ268" s="1304">
        <v>-140.30000000000001</v>
      </c>
      <c r="VR268" s="1304">
        <v>-140.30000000000001</v>
      </c>
      <c r="VS268" s="1304">
        <v>-140.30000000000001</v>
      </c>
      <c r="VT268" s="1304">
        <v>-140.30000000000001</v>
      </c>
      <c r="VU268" s="1304">
        <v>-140.5</v>
      </c>
      <c r="VV268" s="1304">
        <v>-140.30000000000001</v>
      </c>
      <c r="VW268" s="1304">
        <v>-140.30000000000001</v>
      </c>
      <c r="VX268" s="1304">
        <v>-140.30000000000001</v>
      </c>
      <c r="VY268" s="1304">
        <v>-140.30000000000001</v>
      </c>
      <c r="VZ268" s="1304">
        <v>-140.30000000000001</v>
      </c>
      <c r="WA268" s="1304">
        <v>-140.30000000000001</v>
      </c>
      <c r="WB268" s="1304">
        <v>-140.30000000000001</v>
      </c>
      <c r="WC268" s="1304">
        <v>-140.30000000000001</v>
      </c>
      <c r="WD268" s="1304">
        <v>-140.30000000000001</v>
      </c>
      <c r="WE268" s="1304">
        <v>-140.30000000000001</v>
      </c>
      <c r="WF268" s="1304">
        <v>-140.30000000000001</v>
      </c>
      <c r="WG268" s="1304">
        <v>-140.30000000000001</v>
      </c>
      <c r="WH268" s="1304">
        <v>-140.30000000000001</v>
      </c>
      <c r="WI268" s="1304">
        <v>-140.30000000000001</v>
      </c>
      <c r="WJ268" s="1304">
        <v>-140.30000000000001</v>
      </c>
      <c r="WK268" s="1304">
        <v>-140.30000000000001</v>
      </c>
      <c r="WL268" s="1304">
        <v>-140.30000000000001</v>
      </c>
      <c r="WM268" s="1304">
        <v>-140.30000000000001</v>
      </c>
      <c r="WN268" s="1304">
        <v>-140.30000000000001</v>
      </c>
      <c r="WO268" s="1304">
        <v>-140.30000000000001</v>
      </c>
      <c r="WP268" s="1304">
        <v>-140.30000000000001</v>
      </c>
      <c r="WQ268" s="1304">
        <v>-140.30000000000001</v>
      </c>
      <c r="WR268" s="1304">
        <v>-140.30000000000001</v>
      </c>
      <c r="WS268" s="1304">
        <v>-140.30000000000001</v>
      </c>
      <c r="WT268" s="1304">
        <v>-140.30000000000001</v>
      </c>
      <c r="WU268" s="1304">
        <v>-140.30000000000001</v>
      </c>
      <c r="WV268" s="1304">
        <v>-140.30000000000001</v>
      </c>
      <c r="WW268" s="1304">
        <v>-140.30000000000001</v>
      </c>
      <c r="WX268" s="1304">
        <v>-140.30000000000001</v>
      </c>
      <c r="WY268" s="1304">
        <v>-140.30000000000001</v>
      </c>
      <c r="WZ268" s="1304">
        <v>-140.30000000000001</v>
      </c>
      <c r="XA268" s="1304">
        <v>-140.30000000000001</v>
      </c>
      <c r="XB268" s="1304">
        <v>-140.30000000000001</v>
      </c>
      <c r="XC268" s="1304">
        <v>-140.30000000000001</v>
      </c>
      <c r="XD268" s="1304">
        <v>-140.30000000000001</v>
      </c>
      <c r="XE268" s="1304">
        <v>-140.30000000000001</v>
      </c>
      <c r="XF268" s="1304">
        <f>-138.3+50</f>
        <v>-88.300000000000011</v>
      </c>
      <c r="XG268" s="1304">
        <v>-88.3</v>
      </c>
      <c r="XH268" s="1304">
        <v>-88.3</v>
      </c>
      <c r="XI268" s="1304">
        <v>-88.3</v>
      </c>
      <c r="XJ268" s="1304">
        <v>-88.3</v>
      </c>
      <c r="XK268" s="1304">
        <v>-88.3</v>
      </c>
      <c r="XL268" s="1304">
        <v>-88.3</v>
      </c>
      <c r="XM268" s="1304">
        <v>-88.3</v>
      </c>
      <c r="XN268" s="1304">
        <v>-88.3</v>
      </c>
      <c r="XO268" s="1304">
        <v>-88.3</v>
      </c>
      <c r="XP268" s="1304">
        <v>-88.3</v>
      </c>
      <c r="XQ268" s="1304">
        <v>-88.3</v>
      </c>
      <c r="XR268" s="1304">
        <v>-88.3</v>
      </c>
      <c r="XS268" s="1304">
        <v>-88.3</v>
      </c>
      <c r="XT268" s="1304">
        <v>-88.3</v>
      </c>
      <c r="XU268" s="1304">
        <v>-88.3</v>
      </c>
      <c r="XV268" s="1304">
        <v>-88.3</v>
      </c>
      <c r="XW268" s="1304">
        <v>-88.3</v>
      </c>
      <c r="XX268" s="1304">
        <v>-88.3</v>
      </c>
      <c r="XY268" s="1304">
        <v>-88.3</v>
      </c>
      <c r="XZ268" s="1304">
        <v>-88.3</v>
      </c>
      <c r="YA268" s="1304">
        <v>-88.3</v>
      </c>
      <c r="YB268" s="1304">
        <v>-88.3</v>
      </c>
      <c r="YC268" s="1304">
        <v>-88.3</v>
      </c>
      <c r="YD268" s="1304">
        <v>-88.3</v>
      </c>
      <c r="YE268" s="1304">
        <v>-88.3</v>
      </c>
      <c r="YF268" s="1304">
        <v>-88.3</v>
      </c>
      <c r="YG268" s="1304">
        <v>-88.3</v>
      </c>
      <c r="YH268" s="1304">
        <v>-88.3</v>
      </c>
      <c r="YI268" s="1304">
        <v>-88.3</v>
      </c>
      <c r="YJ268" s="1304">
        <v>-88.3</v>
      </c>
      <c r="YK268" s="1304">
        <v>-88.3</v>
      </c>
      <c r="YL268" s="1304">
        <v>-88.3</v>
      </c>
      <c r="YM268" s="1304">
        <v>-88.3</v>
      </c>
      <c r="YN268" s="1304">
        <v>-88.3</v>
      </c>
      <c r="YO268" s="1304">
        <v>-88.3</v>
      </c>
      <c r="YP268" s="1304">
        <v>-88.3</v>
      </c>
      <c r="YQ268" s="1304">
        <v>-88.3</v>
      </c>
      <c r="YR268" s="1304">
        <v>-88.3</v>
      </c>
      <c r="YS268" s="1304">
        <v>-88.3</v>
      </c>
      <c r="YT268" s="1304">
        <v>-88.3</v>
      </c>
      <c r="YU268" s="1304">
        <v>-88.3</v>
      </c>
      <c r="YV268" s="1304">
        <v>-88.3</v>
      </c>
      <c r="YW268" s="1304">
        <v>-88.3</v>
      </c>
      <c r="YX268" s="1304">
        <v>-88.3</v>
      </c>
      <c r="YY268" s="1304">
        <v>-88.3</v>
      </c>
      <c r="YZ268" s="1304">
        <v>-88.3</v>
      </c>
      <c r="ZA268" s="1304">
        <v>-88.3</v>
      </c>
      <c r="ZB268" s="1304">
        <v>-88.3</v>
      </c>
      <c r="ZC268" s="1304">
        <v>-88.3</v>
      </c>
      <c r="ZD268" s="1304">
        <v>-88.3</v>
      </c>
      <c r="ZE268" s="1304">
        <v>-88.3</v>
      </c>
      <c r="ZF268" s="1304">
        <v>-88.3</v>
      </c>
      <c r="ZG268" s="1304">
        <v>-88.3</v>
      </c>
      <c r="ZH268" s="1304">
        <v>-88.3</v>
      </c>
      <c r="ZI268" s="1304">
        <v>-88.3</v>
      </c>
      <c r="ZJ268" s="1304">
        <v>-88.3</v>
      </c>
      <c r="ZK268" s="1304">
        <v>-88.3</v>
      </c>
      <c r="ZL268" s="1304">
        <v>-88.3</v>
      </c>
      <c r="ZM268" s="1304">
        <v>-88.3</v>
      </c>
      <c r="ZN268" s="1304">
        <v>-88.3</v>
      </c>
      <c r="ZO268" s="1304">
        <v>-88.3</v>
      </c>
      <c r="ZP268" s="1304">
        <v>-88.3</v>
      </c>
      <c r="ZQ268" s="1304">
        <v>-88.3</v>
      </c>
      <c r="ZR268" s="1304">
        <v>-88.3</v>
      </c>
      <c r="ZS268" s="1304">
        <v>-88.3</v>
      </c>
      <c r="ZT268" s="1304">
        <v>-88.3</v>
      </c>
      <c r="ZU268" s="1304">
        <v>-88.3</v>
      </c>
      <c r="ZV268" s="1304">
        <v>-88.3</v>
      </c>
      <c r="ZW268" s="1304">
        <v>-88.3</v>
      </c>
      <c r="ZX268" s="1304">
        <v>-88.3</v>
      </c>
      <c r="ZY268" s="1304">
        <v>-88.3</v>
      </c>
      <c r="ZZ268" s="1304">
        <v>-88.3</v>
      </c>
      <c r="AAA268" s="1304">
        <v>-88.3</v>
      </c>
      <c r="AAB268" s="1304">
        <v>-88.3</v>
      </c>
      <c r="AAC268" s="1304">
        <v>-88.3</v>
      </c>
      <c r="AAD268" s="1304">
        <v>-88.3</v>
      </c>
      <c r="AAE268" s="1304">
        <v>-88.3</v>
      </c>
      <c r="AAF268" s="1304">
        <v>-88.3</v>
      </c>
      <c r="AAG268" s="1304">
        <v>-88.3</v>
      </c>
      <c r="AAH268" s="1304">
        <v>-88.3</v>
      </c>
      <c r="AAI268" s="1304">
        <v>-88.3</v>
      </c>
      <c r="AAJ268" s="1304">
        <v>-88.3</v>
      </c>
      <c r="AAK268" s="1304">
        <v>-88.3</v>
      </c>
      <c r="AAL268" s="1304">
        <v>-88.3</v>
      </c>
      <c r="AAM268" s="1304">
        <f>-88.3+33</f>
        <v>-55.3</v>
      </c>
      <c r="AAN268" s="1304">
        <v>-55.3</v>
      </c>
      <c r="AAO268" s="1304">
        <v>-55.3</v>
      </c>
      <c r="AAP268" s="1304">
        <v>-55.3</v>
      </c>
      <c r="AAQ268" s="1304">
        <v>-55.3</v>
      </c>
      <c r="AAR268" s="1304">
        <v>-55.3</v>
      </c>
      <c r="AAS268" s="1304">
        <v>-55.3</v>
      </c>
      <c r="AAT268" s="1304">
        <v>-55.3</v>
      </c>
      <c r="AAU268" s="1304">
        <v>-55.3</v>
      </c>
      <c r="AAV268" s="1304">
        <v>-55.3</v>
      </c>
      <c r="AAW268" s="1304">
        <v>-55.3</v>
      </c>
      <c r="AAX268" s="1304">
        <v>-55.3</v>
      </c>
      <c r="AAY268" s="1304">
        <v>-55.3</v>
      </c>
      <c r="AAZ268" s="1304">
        <v>-55.3</v>
      </c>
      <c r="ABA268" s="1304">
        <v>-55.3</v>
      </c>
      <c r="ABB268" s="1304">
        <v>-55.3</v>
      </c>
      <c r="ABC268" s="1304">
        <v>-55.3</v>
      </c>
      <c r="ABD268" s="1304">
        <v>-55.3</v>
      </c>
      <c r="ABE268" s="1304">
        <v>-55.3</v>
      </c>
      <c r="ABF268" s="1304">
        <v>-55.3</v>
      </c>
      <c r="ABG268" s="1304">
        <v>-55.3</v>
      </c>
      <c r="ABH268" s="1304">
        <v>-55.3</v>
      </c>
      <c r="ABI268" s="1304">
        <v>-55.3</v>
      </c>
      <c r="ABJ268" s="1304">
        <v>-55.3</v>
      </c>
      <c r="ABK268" s="1304">
        <v>-55.3</v>
      </c>
      <c r="ABL268" s="1304">
        <v>-55.3</v>
      </c>
      <c r="ABM268" s="1304">
        <v>-55.3</v>
      </c>
      <c r="ABN268" s="1304">
        <v>-55.3</v>
      </c>
      <c r="ABO268" s="1304">
        <v>-55.3</v>
      </c>
      <c r="ABP268" s="1304">
        <v>-55.3</v>
      </c>
      <c r="ABQ268" s="1304">
        <v>-55.3</v>
      </c>
      <c r="ABR268" s="1304">
        <v>-55.3</v>
      </c>
      <c r="ABS268" s="1304">
        <v>-55.3</v>
      </c>
      <c r="ABT268" s="1304">
        <v>-55.3</v>
      </c>
      <c r="ABU268" s="1304">
        <v>-55.3</v>
      </c>
      <c r="ABV268" s="1304">
        <v>-55.3</v>
      </c>
      <c r="ABW268" s="1304">
        <v>-55.3</v>
      </c>
      <c r="ABX268" s="1304">
        <v>-55.3</v>
      </c>
      <c r="ABY268" s="1304">
        <v>-55.3</v>
      </c>
      <c r="ABZ268" s="1304">
        <v>-55.3</v>
      </c>
      <c r="ACA268" s="1304">
        <v>-55.3</v>
      </c>
      <c r="ACB268" s="1304">
        <f>-55.3+26</f>
        <v>-29.299999999999997</v>
      </c>
      <c r="ACC268" s="1304">
        <v>-29.3</v>
      </c>
      <c r="ACD268" s="1304">
        <v>-29.3</v>
      </c>
      <c r="ACE268" s="1304">
        <v>-29.3</v>
      </c>
      <c r="ACF268" s="1304">
        <v>-29.3</v>
      </c>
      <c r="ACG268" s="1304">
        <v>-29.3</v>
      </c>
      <c r="ACH268" s="1304">
        <v>0</v>
      </c>
      <c r="ACI268" s="1304">
        <v>0</v>
      </c>
      <c r="ACJ268" s="1304">
        <v>0</v>
      </c>
      <c r="ACK268" s="1304">
        <v>0</v>
      </c>
      <c r="ACL268" s="1304">
        <v>0</v>
      </c>
      <c r="ACM268" s="1304">
        <v>0</v>
      </c>
      <c r="ACN268" s="1304">
        <v>0</v>
      </c>
      <c r="ACO268" s="1304">
        <v>0</v>
      </c>
      <c r="ACP268" s="1304">
        <v>0</v>
      </c>
      <c r="ACQ268" s="1304">
        <v>0</v>
      </c>
      <c r="ACR268" s="1304">
        <v>0</v>
      </c>
      <c r="ACS268" s="1304">
        <v>0</v>
      </c>
      <c r="ACT268" s="1304">
        <v>0</v>
      </c>
      <c r="ACU268" s="1304">
        <v>0</v>
      </c>
      <c r="ACV268" s="1304">
        <v>0</v>
      </c>
      <c r="ACW268" s="1304">
        <v>0</v>
      </c>
      <c r="ACX268" s="1304">
        <v>0</v>
      </c>
      <c r="ACY268" s="1304">
        <v>0</v>
      </c>
      <c r="ACZ268" s="1304">
        <v>0</v>
      </c>
      <c r="ADA268" s="1304">
        <v>0</v>
      </c>
      <c r="ADB268" s="1304">
        <v>0</v>
      </c>
      <c r="ADC268" s="1304">
        <v>0</v>
      </c>
      <c r="ADD268" s="1304">
        <v>0</v>
      </c>
      <c r="ADE268" s="1304">
        <v>0</v>
      </c>
      <c r="ADF268" s="1304">
        <v>0</v>
      </c>
      <c r="ADG268" s="1304">
        <v>0</v>
      </c>
      <c r="ADH268" s="1304">
        <v>0</v>
      </c>
      <c r="ADI268" s="1304">
        <v>0</v>
      </c>
      <c r="ADJ268" s="1304">
        <v>0</v>
      </c>
      <c r="ADK268" s="1304">
        <v>0</v>
      </c>
      <c r="ADL268" s="1304">
        <v>0</v>
      </c>
      <c r="ADM268" s="1304">
        <v>0</v>
      </c>
      <c r="ADN268" s="1304">
        <v>0</v>
      </c>
      <c r="ADO268" s="1304">
        <v>0</v>
      </c>
      <c r="ADP268" s="1304">
        <v>0</v>
      </c>
      <c r="ADQ268" s="1304">
        <v>0</v>
      </c>
      <c r="ADR268" s="1304">
        <v>0</v>
      </c>
      <c r="ADS268" s="1304">
        <v>0</v>
      </c>
      <c r="ADT268" s="1304">
        <v>0</v>
      </c>
      <c r="ADU268" s="1304">
        <v>0</v>
      </c>
      <c r="ADV268" s="1304">
        <v>0</v>
      </c>
      <c r="ADW268" s="1304">
        <v>0</v>
      </c>
      <c r="ADX268" s="1304">
        <v>0</v>
      </c>
      <c r="ADY268" s="1304">
        <v>0</v>
      </c>
      <c r="ADZ268" s="1304">
        <v>0</v>
      </c>
      <c r="AEA268" s="1304">
        <v>0</v>
      </c>
      <c r="AEB268" s="1304">
        <v>0</v>
      </c>
      <c r="AEC268" s="1304">
        <v>0</v>
      </c>
      <c r="AED268" s="1304">
        <v>0</v>
      </c>
      <c r="AEE268" s="1304">
        <v>0</v>
      </c>
      <c r="AEF268" s="1304">
        <v>0</v>
      </c>
      <c r="AEG268" s="1304">
        <v>0</v>
      </c>
      <c r="AEH268" s="1304">
        <v>0</v>
      </c>
      <c r="AEI268" s="1304">
        <v>0</v>
      </c>
    </row>
    <row r="269" spans="2:964">
      <c r="B269">
        <v>625</v>
      </c>
      <c r="C269">
        <v>36</v>
      </c>
      <c r="D269" s="1304">
        <v>14</v>
      </c>
      <c r="E269">
        <v>0.15</v>
      </c>
      <c r="F269">
        <v>12100</v>
      </c>
      <c r="G269" s="4">
        <f>+B269*C269*D269*E269*F269</f>
        <v>571725000</v>
      </c>
      <c r="J269">
        <v>20</v>
      </c>
      <c r="L269" s="1304">
        <v>36</v>
      </c>
      <c r="O269">
        <v>236</v>
      </c>
      <c r="MY269">
        <v>17.100000000000001</v>
      </c>
      <c r="ND269">
        <v>2045.6</v>
      </c>
      <c r="NE269">
        <v>-44</v>
      </c>
      <c r="NF269">
        <v>-44</v>
      </c>
      <c r="NG269">
        <v>-44</v>
      </c>
      <c r="NH269">
        <v>-44</v>
      </c>
      <c r="NI269">
        <v>-3781.2</v>
      </c>
      <c r="NJ269">
        <v>-3720</v>
      </c>
      <c r="NK269">
        <v>-3468</v>
      </c>
      <c r="NL269">
        <v>-4245.8</v>
      </c>
      <c r="NM269">
        <v>-4094.2</v>
      </c>
      <c r="NN269">
        <v>-4094.7</v>
      </c>
      <c r="NO269">
        <v>-3911</v>
      </c>
      <c r="NP269">
        <v>-3911</v>
      </c>
      <c r="NQ269">
        <v>-3000</v>
      </c>
      <c r="NR269">
        <v>-3000</v>
      </c>
      <c r="NS269">
        <v>-3000</v>
      </c>
      <c r="NT269">
        <v>-3000</v>
      </c>
      <c r="NU269">
        <v>-3000</v>
      </c>
      <c r="NV269">
        <v>-3000</v>
      </c>
      <c r="NW269">
        <v>-3000</v>
      </c>
      <c r="NX269">
        <v>-3000</v>
      </c>
      <c r="NY269">
        <v>-3000</v>
      </c>
      <c r="NZ269">
        <v>-3000</v>
      </c>
      <c r="OA269">
        <v>-3000</v>
      </c>
      <c r="OB269">
        <v>-3000</v>
      </c>
      <c r="OC269">
        <v>-3000</v>
      </c>
      <c r="OD269">
        <v>-27.8</v>
      </c>
      <c r="OE269">
        <v>-27.8</v>
      </c>
      <c r="OF269">
        <v>-27.8</v>
      </c>
      <c r="OG269">
        <v>-27.8</v>
      </c>
      <c r="OH269">
        <v>-83.5</v>
      </c>
      <c r="OI269">
        <v>-83.5</v>
      </c>
      <c r="OJ269">
        <v>-83.5</v>
      </c>
      <c r="OK269">
        <v>-83.5</v>
      </c>
      <c r="OL269">
        <v>-83.5</v>
      </c>
      <c r="OM269">
        <v>-111.36</v>
      </c>
      <c r="ON269">
        <v>-111.36</v>
      </c>
      <c r="OO269">
        <v>-111.36</v>
      </c>
      <c r="OP269">
        <v>-111.36</v>
      </c>
      <c r="OQ269">
        <v>-167</v>
      </c>
      <c r="OR269">
        <v>-194.88</v>
      </c>
      <c r="OS269">
        <v>-167</v>
      </c>
      <c r="OT269">
        <v>-167</v>
      </c>
      <c r="OU269">
        <v>-167</v>
      </c>
      <c r="OV269">
        <v>-167</v>
      </c>
      <c r="OW269">
        <v>-167</v>
      </c>
      <c r="OX269">
        <v>-167</v>
      </c>
      <c r="OY269">
        <v>-132.19999999999999</v>
      </c>
      <c r="OZ269">
        <v>-132.19999999999999</v>
      </c>
      <c r="RF269">
        <v>3.6</v>
      </c>
      <c r="RG269">
        <v>3.6</v>
      </c>
      <c r="RH269">
        <v>3.6</v>
      </c>
      <c r="RI269">
        <v>3.6</v>
      </c>
      <c r="RJ269">
        <v>3.6</v>
      </c>
      <c r="RK269">
        <v>3.6</v>
      </c>
      <c r="RL269">
        <v>3.6</v>
      </c>
      <c r="RM269">
        <v>3.6</v>
      </c>
      <c r="RN269">
        <v>3.6</v>
      </c>
      <c r="RO269">
        <v>3.6</v>
      </c>
      <c r="RP269">
        <v>3.6</v>
      </c>
      <c r="RQ269">
        <v>-10</v>
      </c>
      <c r="SU269">
        <v>3.6</v>
      </c>
      <c r="SV269">
        <v>3.6</v>
      </c>
      <c r="SW269">
        <v>3.6</v>
      </c>
      <c r="SX269">
        <v>3.6</v>
      </c>
      <c r="SY269">
        <v>3.6</v>
      </c>
      <c r="SZ269">
        <v>3.6</v>
      </c>
      <c r="TA269">
        <v>3.6</v>
      </c>
      <c r="TB269">
        <v>3.6</v>
      </c>
      <c r="TC269">
        <v>3.6</v>
      </c>
      <c r="TD269">
        <v>3.6</v>
      </c>
      <c r="TE269">
        <v>3.6</v>
      </c>
      <c r="TF269">
        <v>3.6</v>
      </c>
      <c r="TG269">
        <v>3.6</v>
      </c>
      <c r="TH269">
        <v>3.6</v>
      </c>
      <c r="TI269">
        <v>3.6</v>
      </c>
      <c r="TJ269">
        <v>3.6</v>
      </c>
      <c r="TK269">
        <v>3.6</v>
      </c>
      <c r="TL269">
        <v>3.6</v>
      </c>
      <c r="TM269">
        <v>3.6</v>
      </c>
      <c r="TN269">
        <v>3.6</v>
      </c>
      <c r="TO269">
        <v>3.6</v>
      </c>
      <c r="TP269">
        <v>3.6</v>
      </c>
      <c r="TQ269">
        <v>3.6</v>
      </c>
      <c r="TR269">
        <v>3.6</v>
      </c>
      <c r="TS269">
        <v>3.6</v>
      </c>
      <c r="TT269">
        <v>3.6</v>
      </c>
      <c r="TU269">
        <v>3.6</v>
      </c>
      <c r="TV269">
        <v>3.6</v>
      </c>
      <c r="TW269">
        <v>3.6</v>
      </c>
      <c r="TX269">
        <v>3.6</v>
      </c>
      <c r="TY269">
        <v>3.6</v>
      </c>
      <c r="TZ269">
        <v>3.6</v>
      </c>
      <c r="UA269">
        <v>3.6</v>
      </c>
      <c r="UB269">
        <v>3.6</v>
      </c>
      <c r="UC269">
        <v>3.6</v>
      </c>
      <c r="UD269">
        <v>3.6</v>
      </c>
      <c r="UE269">
        <v>3.6</v>
      </c>
      <c r="UF269">
        <v>3.6</v>
      </c>
      <c r="UG269">
        <v>3.6</v>
      </c>
      <c r="UH269">
        <v>3.6</v>
      </c>
      <c r="UI269">
        <v>3.6</v>
      </c>
      <c r="UJ269">
        <v>3.6</v>
      </c>
      <c r="UK269">
        <v>3.6</v>
      </c>
      <c r="UL269">
        <v>3.6</v>
      </c>
      <c r="UM269">
        <v>3.6</v>
      </c>
      <c r="UN269">
        <v>3.6</v>
      </c>
      <c r="UO269">
        <v>3.6</v>
      </c>
      <c r="UP269">
        <v>3.6</v>
      </c>
      <c r="UQ269">
        <v>3.6</v>
      </c>
      <c r="UR269">
        <v>3.6</v>
      </c>
      <c r="US269">
        <v>3.6</v>
      </c>
      <c r="UT269">
        <v>3.6</v>
      </c>
      <c r="UU269">
        <v>3.6</v>
      </c>
      <c r="UV269">
        <v>3.6</v>
      </c>
      <c r="UW269">
        <v>3.6</v>
      </c>
      <c r="UX269">
        <v>3.6</v>
      </c>
      <c r="UY269">
        <v>3.6</v>
      </c>
      <c r="UZ269">
        <v>3.6</v>
      </c>
      <c r="VA269">
        <v>3.6</v>
      </c>
      <c r="VB269">
        <v>3.6</v>
      </c>
      <c r="VC269">
        <v>3.6</v>
      </c>
      <c r="VD269">
        <v>3.6</v>
      </c>
      <c r="VE269">
        <v>3.6</v>
      </c>
      <c r="VF269" s="1304">
        <v>3.6</v>
      </c>
      <c r="VG269" s="1304">
        <v>3.6</v>
      </c>
      <c r="VH269" s="1304">
        <v>3.6</v>
      </c>
      <c r="VI269" s="1304">
        <v>3.6</v>
      </c>
      <c r="VJ269" s="1304">
        <v>3.6</v>
      </c>
      <c r="VK269">
        <v>3.6</v>
      </c>
      <c r="VL269" s="1304">
        <v>3.6</v>
      </c>
      <c r="VM269" s="1304">
        <v>3.6</v>
      </c>
      <c r="VN269" s="1304">
        <v>3.6</v>
      </c>
      <c r="VO269" s="1304">
        <v>3.6</v>
      </c>
      <c r="VP269" s="1304">
        <v>3.6</v>
      </c>
      <c r="VQ269" s="1304">
        <v>3.6</v>
      </c>
      <c r="VR269" s="1304">
        <v>3.6</v>
      </c>
      <c r="VS269" s="1304">
        <v>3.6</v>
      </c>
      <c r="VT269" s="1304">
        <v>3.6</v>
      </c>
      <c r="VU269" s="1304">
        <v>3.6</v>
      </c>
      <c r="VV269" s="1304">
        <v>4.5999999999999996</v>
      </c>
      <c r="VW269" s="1304">
        <v>4.5999999999999996</v>
      </c>
      <c r="VX269" s="1304">
        <v>4.5999999999999996</v>
      </c>
      <c r="VY269" s="1304">
        <v>4.5999999999999996</v>
      </c>
      <c r="VZ269" s="1304">
        <v>4.5999999999999996</v>
      </c>
      <c r="WA269" s="1304">
        <v>4.5999999999999996</v>
      </c>
      <c r="WB269" s="1304">
        <v>4.5999999999999996</v>
      </c>
      <c r="WC269" s="1304">
        <v>4.5999999999999996</v>
      </c>
      <c r="WD269" s="1304">
        <v>4.5999999999999996</v>
      </c>
      <c r="WE269" s="1304">
        <v>4.5999999999999996</v>
      </c>
      <c r="WF269" s="1304">
        <v>4.5999999999999996</v>
      </c>
      <c r="WG269" s="1304">
        <v>4.5999999999999996</v>
      </c>
      <c r="WH269" s="1304">
        <v>4.5999999999999996</v>
      </c>
      <c r="WI269" s="1304">
        <v>4.5999999999999996</v>
      </c>
      <c r="WJ269" s="1304">
        <v>4.5999999999999996</v>
      </c>
      <c r="WK269" s="1304">
        <v>4.5999999999999996</v>
      </c>
      <c r="WL269" s="1304">
        <v>4.5999999999999996</v>
      </c>
      <c r="WM269" s="1304">
        <v>4.5999999999999996</v>
      </c>
      <c r="WN269" s="1304">
        <v>4.5999999999999996</v>
      </c>
      <c r="WO269" s="1304">
        <v>4.5999999999999996</v>
      </c>
      <c r="WP269" s="1304">
        <v>4.5999999999999996</v>
      </c>
      <c r="WQ269" s="1304">
        <v>4.5999999999999996</v>
      </c>
      <c r="WR269" s="1304">
        <v>4.5999999999999996</v>
      </c>
      <c r="WS269" s="1304">
        <v>4.5999999999999996</v>
      </c>
      <c r="WT269" s="1304">
        <v>4.5999999999999996</v>
      </c>
      <c r="WU269" s="1304">
        <v>4.5999999999999996</v>
      </c>
      <c r="WV269" s="1304">
        <v>4.5999999999999996</v>
      </c>
      <c r="WW269" s="1304">
        <v>4.5999999999999996</v>
      </c>
      <c r="WX269" s="1304">
        <v>4.5999999999999996</v>
      </c>
      <c r="WY269" s="1304">
        <v>4.5999999999999996</v>
      </c>
      <c r="WZ269" s="1304">
        <v>4.5999999999999996</v>
      </c>
      <c r="XA269" s="1304">
        <v>4.5999999999999996</v>
      </c>
      <c r="XB269" s="1304">
        <v>4.5999999999999996</v>
      </c>
      <c r="XC269" s="1304">
        <v>4.5999999999999996</v>
      </c>
      <c r="XD269" s="1304">
        <v>4.5999999999999996</v>
      </c>
      <c r="XE269" s="1304">
        <v>4.5999999999999996</v>
      </c>
      <c r="XF269" s="1304">
        <v>4.5999999999999996</v>
      </c>
      <c r="XG269" s="1304">
        <v>4.5999999999999996</v>
      </c>
      <c r="XH269" s="1304">
        <v>4.5999999999999996</v>
      </c>
      <c r="XI269" s="1304">
        <v>4.5999999999999996</v>
      </c>
      <c r="XJ269" s="1304">
        <v>4.5999999999999996</v>
      </c>
      <c r="XK269" s="1304">
        <v>4.5999999999999996</v>
      </c>
      <c r="XL269" s="1304">
        <v>4.5999999999999996</v>
      </c>
      <c r="XM269" s="1304">
        <v>4.5999999999999996</v>
      </c>
      <c r="XN269" s="1304">
        <v>4.5999999999999996</v>
      </c>
      <c r="XO269" s="1304">
        <v>4.5999999999999996</v>
      </c>
      <c r="XP269" s="1304">
        <v>4.5999999999999996</v>
      </c>
      <c r="XQ269" s="1304">
        <v>4.5999999999999996</v>
      </c>
      <c r="XR269" s="1304">
        <v>4.5999999999999996</v>
      </c>
      <c r="XS269" s="1304">
        <v>4.5999999999999996</v>
      </c>
      <c r="XT269" s="1304">
        <v>4.5999999999999996</v>
      </c>
      <c r="XU269" s="1304">
        <v>4.5999999999999996</v>
      </c>
      <c r="XV269" s="1304">
        <v>4.5999999999999996</v>
      </c>
      <c r="XW269" s="1304">
        <v>4.5999999999999996</v>
      </c>
      <c r="XX269" s="1304">
        <v>4.5999999999999996</v>
      </c>
      <c r="XY269" s="1304">
        <v>4.5999999999999996</v>
      </c>
      <c r="XZ269" s="1304">
        <v>4.5999999999999996</v>
      </c>
      <c r="YA269" s="1304">
        <v>4.5999999999999996</v>
      </c>
      <c r="YB269" s="1304">
        <v>4.5999999999999996</v>
      </c>
      <c r="YC269" s="1304">
        <v>4.5999999999999996</v>
      </c>
      <c r="YD269" s="1304">
        <v>4.5999999999999996</v>
      </c>
      <c r="YE269" s="1304">
        <v>4.5999999999999996</v>
      </c>
      <c r="YF269" s="1304">
        <v>4.5999999999999996</v>
      </c>
      <c r="YG269" s="1304">
        <v>4.5999999999999996</v>
      </c>
      <c r="YH269" s="1304">
        <v>4.5999999999999996</v>
      </c>
      <c r="YI269" s="1304">
        <v>4.5999999999999996</v>
      </c>
      <c r="YJ269" s="1304">
        <v>4.5999999999999996</v>
      </c>
      <c r="YK269" s="1304">
        <v>4.5999999999999996</v>
      </c>
      <c r="YL269" s="1304">
        <v>4.5999999999999996</v>
      </c>
      <c r="YM269" s="1304">
        <v>4.5999999999999996</v>
      </c>
      <c r="YN269" s="1304">
        <v>4.5999999999999996</v>
      </c>
      <c r="YO269" s="1304">
        <v>4.5999999999999996</v>
      </c>
      <c r="YP269" s="1304">
        <v>4.5999999999999996</v>
      </c>
      <c r="YQ269" s="1304">
        <v>4.5999999999999996</v>
      </c>
      <c r="YR269" s="1304">
        <v>4.5999999999999996</v>
      </c>
      <c r="YS269" s="1304">
        <v>4.5999999999999996</v>
      </c>
      <c r="YT269" s="1304">
        <v>4.5999999999999996</v>
      </c>
      <c r="YU269" s="1304">
        <v>4.5999999999999996</v>
      </c>
      <c r="YV269" s="1304">
        <v>4.5999999999999996</v>
      </c>
      <c r="YW269" s="1304">
        <v>4.5999999999999996</v>
      </c>
      <c r="YX269" s="1304">
        <v>4.5999999999999996</v>
      </c>
      <c r="YY269" s="1304">
        <v>4.5999999999999996</v>
      </c>
      <c r="YZ269" s="1304">
        <v>4.5999999999999996</v>
      </c>
      <c r="ZA269" s="1304">
        <v>4.5999999999999996</v>
      </c>
      <c r="ZB269" s="1304">
        <v>4.5999999999999996</v>
      </c>
      <c r="ZC269" s="1304">
        <v>4.5999999999999996</v>
      </c>
      <c r="ZD269" s="1304">
        <v>4.5999999999999996</v>
      </c>
      <c r="ZE269" s="1304">
        <v>4.5999999999999996</v>
      </c>
      <c r="ZF269" s="1304">
        <v>4.5999999999999996</v>
      </c>
      <c r="ZG269" s="1304">
        <v>4.5999999999999996</v>
      </c>
      <c r="ZH269" s="1304">
        <v>4.5999999999999996</v>
      </c>
      <c r="ZI269" s="1304">
        <v>4.5999999999999996</v>
      </c>
      <c r="ZJ269" s="1304">
        <v>4.5999999999999996</v>
      </c>
      <c r="ZK269" s="1304">
        <v>4.5999999999999996</v>
      </c>
      <c r="ZL269" s="1304">
        <v>4.5999999999999996</v>
      </c>
      <c r="ZM269" s="1304">
        <v>4.5999999999999996</v>
      </c>
      <c r="ZN269" s="1304">
        <v>4.5999999999999996</v>
      </c>
      <c r="ZO269" s="1304">
        <v>4.5999999999999996</v>
      </c>
      <c r="ZP269" s="1304">
        <v>4.5999999999999996</v>
      </c>
      <c r="ZQ269" s="1304">
        <v>4.5999999999999996</v>
      </c>
      <c r="ZR269" s="1304">
        <v>4.5999999999999996</v>
      </c>
      <c r="ZS269" s="1304">
        <v>4.5999999999999996</v>
      </c>
      <c r="ZT269" s="1304">
        <v>4.5999999999999996</v>
      </c>
      <c r="ZU269" s="1304">
        <v>4.5999999999999996</v>
      </c>
      <c r="ZV269" s="1304">
        <v>4.5999999999999996</v>
      </c>
      <c r="ZW269" s="1675">
        <v>4.5999999999999996</v>
      </c>
      <c r="ZX269" s="1675">
        <v>4.5999999999999996</v>
      </c>
      <c r="ZY269" s="1675">
        <v>4.5999999999999996</v>
      </c>
      <c r="ZZ269" s="1675">
        <v>4.5999999999999996</v>
      </c>
      <c r="AAA269" s="1675">
        <v>4.5999999999999996</v>
      </c>
      <c r="AAB269" s="1675">
        <v>4.5999999999999996</v>
      </c>
      <c r="AAC269" s="1675">
        <v>4.5999999999999996</v>
      </c>
      <c r="AAD269" s="1675">
        <v>4.5999999999999996</v>
      </c>
      <c r="AAE269" s="1675">
        <v>4.5999999999999996</v>
      </c>
      <c r="AAF269" s="1675">
        <v>4.5999999999999996</v>
      </c>
      <c r="AAG269" s="1675">
        <v>4.5999999999999996</v>
      </c>
      <c r="AAH269" s="1675">
        <v>4.5999999999999996</v>
      </c>
      <c r="AAI269" s="1675">
        <v>4.5999999999999996</v>
      </c>
      <c r="AAJ269" s="1675">
        <v>4.5999999999999996</v>
      </c>
      <c r="AAK269" s="1675">
        <v>4.5999999999999996</v>
      </c>
      <c r="AAL269" s="1675">
        <v>4.5999999999999996</v>
      </c>
      <c r="AAM269" s="1675">
        <v>4.5999999999999996</v>
      </c>
      <c r="AAN269" s="1675">
        <v>4.5999999999999996</v>
      </c>
      <c r="AAO269" s="1675">
        <v>4.5999999999999996</v>
      </c>
      <c r="AAP269" s="1675">
        <v>4.5999999999999996</v>
      </c>
      <c r="AAQ269" s="1675">
        <v>4.5999999999999996</v>
      </c>
      <c r="AAR269" s="1675">
        <v>4.5999999999999996</v>
      </c>
      <c r="AAS269" s="1675">
        <v>4.5999999999999996</v>
      </c>
      <c r="AAT269" s="1675">
        <v>4.5999999999999996</v>
      </c>
      <c r="AAU269" s="1675">
        <v>4.5999999999999996</v>
      </c>
      <c r="AAV269" s="1675">
        <v>4.5999999999999996</v>
      </c>
      <c r="AAW269" s="1675">
        <v>4.5999999999999996</v>
      </c>
      <c r="AAX269" s="1675">
        <v>4.5999999999999996</v>
      </c>
      <c r="AAY269" s="1675">
        <v>4.5999999999999996</v>
      </c>
      <c r="AAZ269" s="1675">
        <v>4.5999999999999996</v>
      </c>
      <c r="ABA269" s="1675">
        <v>4.5999999999999996</v>
      </c>
      <c r="ABB269" s="1675">
        <v>4.5999999999999996</v>
      </c>
      <c r="ABC269" s="1675">
        <v>4.5999999999999996</v>
      </c>
      <c r="ABD269" s="1675">
        <v>4.5999999999999996</v>
      </c>
      <c r="ABE269" s="1675">
        <v>4.5999999999999996</v>
      </c>
      <c r="ABF269" s="1675">
        <v>4.5999999999999996</v>
      </c>
      <c r="ABG269" s="1675">
        <v>4.5999999999999996</v>
      </c>
      <c r="ABH269" s="1675">
        <v>4.5999999999999996</v>
      </c>
      <c r="ABI269" s="1675">
        <v>4.5999999999999996</v>
      </c>
      <c r="ABJ269" s="1675">
        <v>4.5999999999999996</v>
      </c>
      <c r="ABK269" s="1675">
        <v>4.5999999999999996</v>
      </c>
      <c r="ABL269" s="1675">
        <v>4.5999999999999996</v>
      </c>
      <c r="ABM269" s="1675">
        <v>4.5999999999999996</v>
      </c>
      <c r="ABN269" s="1675">
        <v>4.5999999999999996</v>
      </c>
      <c r="ABO269" s="1675">
        <v>4.5999999999999996</v>
      </c>
      <c r="ABP269" s="1675">
        <v>4.5999999999999996</v>
      </c>
      <c r="ABQ269" s="1675">
        <v>4.5999999999999996</v>
      </c>
      <c r="ABR269" s="1675">
        <v>4.5999999999999996</v>
      </c>
      <c r="ABS269" s="1675">
        <v>4.5999999999999996</v>
      </c>
      <c r="ABT269" s="1675">
        <v>4.5999999999999996</v>
      </c>
      <c r="ABU269" s="1675">
        <v>4.5999999999999996</v>
      </c>
      <c r="ABV269" s="1675">
        <v>4.5999999999999996</v>
      </c>
      <c r="ABW269" s="1675">
        <v>4.5999999999999996</v>
      </c>
      <c r="ABX269" s="1675">
        <v>4.5999999999999996</v>
      </c>
      <c r="ABY269" s="1675">
        <v>4.5999999999999996</v>
      </c>
      <c r="ABZ269" s="1675">
        <v>4.5999999999999996</v>
      </c>
      <c r="ACA269" s="1675">
        <v>4.5999999999999996</v>
      </c>
      <c r="ACB269" s="1675">
        <v>4.5999999999999996</v>
      </c>
      <c r="ACC269" s="1675">
        <v>4.5999999999999996</v>
      </c>
      <c r="ACD269" s="1675">
        <v>4.5999999999999996</v>
      </c>
      <c r="ACE269" s="1675">
        <v>4.5999999999999996</v>
      </c>
      <c r="ACF269" s="1675">
        <v>4.5999999999999996</v>
      </c>
      <c r="ACG269" s="1675">
        <v>4.5999999999999996</v>
      </c>
      <c r="ACH269" s="1675">
        <v>4.5999999999999996</v>
      </c>
      <c r="ACI269" s="1675">
        <v>4.5999999999999996</v>
      </c>
      <c r="ACJ269" s="1675">
        <v>4.5999999999999996</v>
      </c>
      <c r="ACK269" s="1675">
        <v>4.5999999999999996</v>
      </c>
      <c r="ACL269" s="1675">
        <v>4.4000000000000004</v>
      </c>
      <c r="ACM269" s="1675">
        <v>4.4000000000000004</v>
      </c>
      <c r="ACN269" s="1675">
        <v>4.4000000000000004</v>
      </c>
      <c r="ACO269" s="1675">
        <v>4.4000000000000004</v>
      </c>
      <c r="ACP269" s="1675">
        <v>4.4000000000000004</v>
      </c>
      <c r="ACQ269" s="1675">
        <v>4.4000000000000004</v>
      </c>
      <c r="ACR269" s="1675">
        <v>4.4000000000000004</v>
      </c>
      <c r="ACS269" s="1675">
        <v>4.4000000000000004</v>
      </c>
      <c r="ACT269" s="1675">
        <v>4.4000000000000004</v>
      </c>
      <c r="ACU269" s="1675">
        <v>4.4000000000000004</v>
      </c>
      <c r="ACV269" s="1675">
        <v>4.4000000000000004</v>
      </c>
      <c r="ACW269" s="1675">
        <v>4.4000000000000004</v>
      </c>
      <c r="ACX269" s="1675">
        <v>4.4000000000000004</v>
      </c>
      <c r="ACY269" s="1675">
        <v>4.4000000000000004</v>
      </c>
      <c r="ACZ269" s="1675">
        <v>4.4000000000000004</v>
      </c>
      <c r="ADA269" s="1675">
        <v>4.4000000000000004</v>
      </c>
      <c r="ADB269" s="1675">
        <v>4.4000000000000004</v>
      </c>
      <c r="ADC269" s="1675">
        <v>4.4000000000000004</v>
      </c>
      <c r="ADD269" s="1675">
        <v>4.4000000000000004</v>
      </c>
      <c r="ADE269" s="1675">
        <v>4.4000000000000004</v>
      </c>
      <c r="ADF269" s="1675">
        <v>4.4000000000000004</v>
      </c>
      <c r="ADG269" s="1675">
        <v>4.4000000000000004</v>
      </c>
      <c r="ADH269" s="1675">
        <v>4.4000000000000004</v>
      </c>
      <c r="ADI269" s="1675">
        <v>4.4000000000000004</v>
      </c>
      <c r="ADJ269" s="1675">
        <v>4.4000000000000004</v>
      </c>
      <c r="ADK269" s="1675">
        <v>4.4000000000000004</v>
      </c>
      <c r="ADL269" s="1675">
        <v>4.4000000000000004</v>
      </c>
      <c r="ADM269" s="1675">
        <v>4.4000000000000004</v>
      </c>
      <c r="ADN269" s="1675">
        <v>4.4000000000000004</v>
      </c>
      <c r="ADO269" s="1675">
        <v>4.4000000000000004</v>
      </c>
      <c r="ADP269" s="1675">
        <v>4.4000000000000004</v>
      </c>
      <c r="ADQ269" s="1675">
        <v>4.4000000000000004</v>
      </c>
      <c r="ADR269" s="1675">
        <v>4.4000000000000004</v>
      </c>
      <c r="ADS269" s="1675">
        <v>4.4000000000000004</v>
      </c>
      <c r="ADT269" s="1675">
        <v>4.4000000000000004</v>
      </c>
      <c r="ADU269" s="1675">
        <v>4.4000000000000004</v>
      </c>
      <c r="ADV269" s="1675">
        <v>4.4000000000000004</v>
      </c>
      <c r="ADW269" s="1675">
        <v>4.4000000000000004</v>
      </c>
      <c r="ADX269" s="1675">
        <v>4.4000000000000004</v>
      </c>
      <c r="ADY269" s="1675">
        <v>4.4000000000000004</v>
      </c>
      <c r="ADZ269" s="1675">
        <v>4.4000000000000004</v>
      </c>
      <c r="AEA269" s="1675">
        <v>4.4000000000000004</v>
      </c>
      <c r="AEB269" s="1675">
        <v>4.4000000000000004</v>
      </c>
      <c r="AEC269" s="1675">
        <v>4.4000000000000004</v>
      </c>
      <c r="AED269" s="1675">
        <v>4.4000000000000004</v>
      </c>
      <c r="AEE269" s="1675">
        <v>4.4000000000000004</v>
      </c>
      <c r="AEF269" s="1675">
        <v>4.4000000000000004</v>
      </c>
      <c r="AEG269" s="1675">
        <v>4.4000000000000004</v>
      </c>
      <c r="AEH269" s="1675">
        <v>4.4000000000000004</v>
      </c>
      <c r="AEI269" s="1675">
        <v>4.4000000000000004</v>
      </c>
      <c r="AEJ269" s="1675"/>
      <c r="AEK269" s="1675"/>
      <c r="AEL269" s="1675"/>
      <c r="AEM269" s="1675"/>
      <c r="AEN269" s="1675"/>
      <c r="AEO269" s="1675"/>
      <c r="AEP269" s="1675"/>
      <c r="AEQ269" s="1675"/>
      <c r="AER269" s="1675"/>
      <c r="AES269" s="1675"/>
      <c r="AET269" s="1675"/>
      <c r="AEU269" s="1675"/>
      <c r="AEV269" s="1675"/>
      <c r="AEW269" s="1675"/>
      <c r="AEX269" s="1675"/>
      <c r="AEY269" s="1675"/>
      <c r="AEZ269" s="1675"/>
      <c r="AFA269" s="1675"/>
      <c r="AFB269" s="1675"/>
      <c r="AFC269" s="1675"/>
      <c r="AFD269" s="1675"/>
      <c r="AFE269" s="1675"/>
      <c r="AFF269" s="1675"/>
      <c r="AFG269" s="1675"/>
      <c r="AFH269" s="1675"/>
      <c r="AFI269" s="1675"/>
      <c r="AFJ269" s="1675"/>
      <c r="AFK269" s="1675"/>
      <c r="AFL269" s="1675"/>
      <c r="AFM269" s="1675"/>
      <c r="AFN269" s="1675"/>
      <c r="AFO269" s="1675"/>
      <c r="AFP269" s="1675"/>
      <c r="AFQ269" s="1675"/>
      <c r="AFR269" s="1675"/>
      <c r="AFS269" s="1675"/>
      <c r="AFT269" s="1675"/>
      <c r="AFU269" s="1675"/>
      <c r="AFV269" s="1675"/>
      <c r="AFW269" s="1675"/>
      <c r="AFX269" s="1675"/>
      <c r="AFY269" s="1675"/>
      <c r="AFZ269" s="1675"/>
      <c r="AGA269" s="1675"/>
      <c r="AGB269" s="1675"/>
      <c r="AGC269" s="1675"/>
      <c r="AGD269" s="1675"/>
      <c r="AGE269" s="1675"/>
      <c r="AGF269" s="1675"/>
      <c r="AGG269" s="1675"/>
      <c r="AGH269" s="1675"/>
      <c r="AGI269" s="1675"/>
      <c r="AGJ269" s="1675"/>
      <c r="AGK269" s="1675"/>
      <c r="AGL269" s="1675"/>
      <c r="AGM269" s="1675"/>
      <c r="AGN269" s="1675"/>
      <c r="AGO269" s="1675"/>
      <c r="AGP269" s="1675"/>
      <c r="AGQ269" s="1675"/>
      <c r="AGR269" s="1675"/>
      <c r="AGS269" s="1675"/>
      <c r="AGT269" s="1675"/>
      <c r="AGU269" s="1675"/>
      <c r="AGV269" s="1675"/>
      <c r="AGW269" s="1675"/>
      <c r="AGX269" s="1675"/>
      <c r="AGY269" s="1675"/>
      <c r="AGZ269" s="1675"/>
      <c r="AHA269" s="1675"/>
      <c r="AHB269" s="1675"/>
      <c r="AHC269" s="1675"/>
      <c r="AHD269" s="1675"/>
      <c r="AHE269" s="1675"/>
      <c r="AHF269" s="1675"/>
      <c r="AHG269" s="1675"/>
      <c r="AHH269" s="1675"/>
      <c r="AHI269" s="1675"/>
      <c r="AHJ269" s="1675"/>
      <c r="AHK269" s="1675"/>
      <c r="AHL269" s="1675"/>
      <c r="AHM269" s="1675"/>
      <c r="AHN269" s="1675"/>
      <c r="AHO269" s="1675"/>
      <c r="AHP269" s="1675"/>
      <c r="AHQ269" s="1675"/>
      <c r="AHR269" s="1675"/>
      <c r="AHS269" s="1675"/>
      <c r="AHT269" s="1675"/>
      <c r="AHU269" s="1675"/>
      <c r="AHV269" s="1675"/>
      <c r="AHW269" s="1675"/>
      <c r="AHX269" s="1675"/>
      <c r="AHY269" s="1675"/>
      <c r="AHZ269" s="1675"/>
      <c r="AIA269" s="1675"/>
      <c r="AIB269" s="1675"/>
      <c r="AIC269" s="1675"/>
      <c r="AID269" s="1675"/>
      <c r="AIE269" s="1675"/>
      <c r="AIF269" s="1675"/>
      <c r="AIG269" s="1675"/>
      <c r="AIH269" s="1675"/>
      <c r="AII269" s="1675"/>
      <c r="AIJ269" s="1675"/>
      <c r="AIK269" s="1675"/>
      <c r="AIL269" s="1675"/>
      <c r="AIM269" s="1675"/>
      <c r="AIN269" s="1675"/>
      <c r="AIO269" s="1675"/>
      <c r="AIP269" s="1675"/>
      <c r="AIQ269" s="1675"/>
      <c r="AIR269" s="1675"/>
      <c r="AIS269" s="1675"/>
      <c r="AIT269" s="1675"/>
      <c r="AIU269" s="1675"/>
      <c r="AIV269" s="1675"/>
    </row>
    <row r="270" spans="2:964">
      <c r="B270">
        <v>650</v>
      </c>
      <c r="C270">
        <v>36</v>
      </c>
      <c r="D270" s="1304">
        <v>2</v>
      </c>
      <c r="E270">
        <v>0.16300000000000001</v>
      </c>
      <c r="F270">
        <v>12100</v>
      </c>
      <c r="G270" s="4">
        <f t="shared" ref="G270:G271" si="1">+B270*C270*D270*E270*F270</f>
        <v>92303640</v>
      </c>
      <c r="J270">
        <v>33</v>
      </c>
      <c r="O270">
        <v>148</v>
      </c>
      <c r="ME270">
        <v>5910.64</v>
      </c>
      <c r="NE270">
        <v>1843.3</v>
      </c>
      <c r="NF270">
        <v>1774.4</v>
      </c>
      <c r="NG270">
        <v>2342.8000000000002</v>
      </c>
      <c r="NH270">
        <v>2115.5</v>
      </c>
      <c r="NI270">
        <v>-44</v>
      </c>
      <c r="NJ270">
        <v>-44</v>
      </c>
      <c r="NK270">
        <v>-44</v>
      </c>
      <c r="NL270">
        <v>-66</v>
      </c>
      <c r="NM270">
        <v>-66</v>
      </c>
      <c r="NN270">
        <v>-66</v>
      </c>
      <c r="NO270">
        <v>-66</v>
      </c>
      <c r="NP270">
        <v>-66</v>
      </c>
      <c r="NQ270">
        <v>-4527.3</v>
      </c>
      <c r="NR270">
        <v>-4496.5</v>
      </c>
      <c r="NS270">
        <v>-4430.1000000000004</v>
      </c>
      <c r="NT270">
        <v>-3944</v>
      </c>
      <c r="NU270">
        <v>-3828</v>
      </c>
      <c r="NV270">
        <v>-3792</v>
      </c>
      <c r="NW270">
        <v>-3721.98</v>
      </c>
      <c r="NX270">
        <v>-3552.3</v>
      </c>
      <c r="NY270">
        <v>-4342.2</v>
      </c>
      <c r="NZ270">
        <v>52.5</v>
      </c>
      <c r="OD270">
        <v>-3000</v>
      </c>
      <c r="OE270">
        <v>-3000</v>
      </c>
      <c r="OF270">
        <v>-3000</v>
      </c>
      <c r="OG270">
        <v>-3000</v>
      </c>
      <c r="OH270">
        <v>-3000</v>
      </c>
      <c r="OI270">
        <v>-3000</v>
      </c>
      <c r="OJ270">
        <v>-3000</v>
      </c>
      <c r="OK270">
        <v>-3000</v>
      </c>
      <c r="OL270">
        <v>-3000</v>
      </c>
      <c r="OM270">
        <v>-3000</v>
      </c>
      <c r="ON270">
        <v>-3000</v>
      </c>
      <c r="OO270">
        <v>-3000</v>
      </c>
      <c r="OP270">
        <v>-3000</v>
      </c>
      <c r="OQ270">
        <v>-3000</v>
      </c>
      <c r="OR270">
        <v>-3000</v>
      </c>
      <c r="OS270">
        <v>-3000</v>
      </c>
      <c r="OT270">
        <v>-3000</v>
      </c>
      <c r="OU270">
        <v>-3000</v>
      </c>
      <c r="OV270">
        <v>-3000</v>
      </c>
      <c r="OW270">
        <v>-3000</v>
      </c>
      <c r="OX270">
        <v>-3000</v>
      </c>
      <c r="OY270">
        <v>-194.8</v>
      </c>
      <c r="OZ270">
        <v>-194.8</v>
      </c>
      <c r="RQ270">
        <v>0.1</v>
      </c>
      <c r="RR270">
        <v>0.1</v>
      </c>
      <c r="RS270">
        <v>0.1</v>
      </c>
      <c r="RT270">
        <v>0.1</v>
      </c>
      <c r="RU270">
        <v>0.5</v>
      </c>
      <c r="UQ270">
        <v>200</v>
      </c>
      <c r="UR270">
        <v>200</v>
      </c>
      <c r="US270">
        <v>200</v>
      </c>
      <c r="UT270">
        <v>200</v>
      </c>
      <c r="UU270">
        <v>200</v>
      </c>
      <c r="UV270">
        <v>200</v>
      </c>
      <c r="UW270">
        <v>100</v>
      </c>
      <c r="UX270">
        <v>20</v>
      </c>
      <c r="UY270">
        <v>20</v>
      </c>
      <c r="UZ270">
        <v>20</v>
      </c>
      <c r="VA270">
        <v>20</v>
      </c>
      <c r="VB270">
        <v>20</v>
      </c>
      <c r="VC270">
        <v>20</v>
      </c>
      <c r="VD270">
        <v>0</v>
      </c>
      <c r="VE270">
        <v>0</v>
      </c>
      <c r="VK270">
        <v>100</v>
      </c>
      <c r="VL270" s="1304">
        <v>100</v>
      </c>
      <c r="VN270" s="1304">
        <v>-40</v>
      </c>
      <c r="VO270" s="1304">
        <v>30</v>
      </c>
      <c r="VP270" s="1304">
        <v>30</v>
      </c>
      <c r="WI270" s="1304">
        <v>75</v>
      </c>
      <c r="WJ270" s="1304">
        <v>87</v>
      </c>
      <c r="WK270" s="1304">
        <v>87</v>
      </c>
      <c r="WL270" s="1304">
        <v>87</v>
      </c>
      <c r="WM270" s="1304">
        <v>87</v>
      </c>
      <c r="WN270" s="1304">
        <v>89</v>
      </c>
      <c r="WO270" s="1304">
        <v>95</v>
      </c>
      <c r="WP270" s="1304">
        <v>96</v>
      </c>
      <c r="WQ270" s="1304">
        <v>96</v>
      </c>
      <c r="WR270" s="1304">
        <v>101</v>
      </c>
      <c r="WS270" s="1304">
        <v>101</v>
      </c>
      <c r="WT270" s="1304">
        <v>107.7</v>
      </c>
      <c r="WU270" s="1304">
        <v>111</v>
      </c>
      <c r="WV270" s="1304">
        <f>111+27</f>
        <v>138</v>
      </c>
      <c r="WW270" s="1304">
        <v>142</v>
      </c>
      <c r="WX270" s="1304">
        <v>142</v>
      </c>
      <c r="WY270" s="1304">
        <v>143</v>
      </c>
      <c r="WZ270" s="1304">
        <v>144</v>
      </c>
      <c r="XA270" s="1304">
        <v>144</v>
      </c>
      <c r="XB270" s="1304">
        <v>146</v>
      </c>
      <c r="XC270" s="1304">
        <v>150.5</v>
      </c>
      <c r="XD270" s="1304">
        <v>215</v>
      </c>
      <c r="XE270" s="1304">
        <v>215</v>
      </c>
      <c r="XF270" s="1304">
        <v>215</v>
      </c>
      <c r="XG270" s="1304">
        <v>215</v>
      </c>
      <c r="XH270" s="1304">
        <v>215</v>
      </c>
      <c r="XI270" s="1304">
        <f>215+18.5+10+10</f>
        <v>253.5</v>
      </c>
      <c r="XJ270" s="1304">
        <v>253.5</v>
      </c>
      <c r="XK270" s="1304">
        <v>269.39999999999998</v>
      </c>
      <c r="XL270" s="1304">
        <v>269.39999999999998</v>
      </c>
      <c r="XM270" s="1304">
        <v>269.39999999999998</v>
      </c>
      <c r="XN270" s="1304">
        <v>285</v>
      </c>
      <c r="XO270" s="1304">
        <v>303</v>
      </c>
      <c r="XP270" s="1304">
        <v>303</v>
      </c>
      <c r="XQ270" s="1304">
        <v>311</v>
      </c>
      <c r="XR270" s="1304">
        <v>317</v>
      </c>
      <c r="XS270" s="1304">
        <v>333.5</v>
      </c>
      <c r="XT270" s="1304">
        <v>333.5</v>
      </c>
      <c r="XU270" s="1304">
        <v>333.5</v>
      </c>
      <c r="XV270" s="1304">
        <v>337</v>
      </c>
      <c r="XW270" s="1304">
        <v>349</v>
      </c>
      <c r="XX270" s="1304">
        <v>351</v>
      </c>
      <c r="XY270" s="1304">
        <v>352.5</v>
      </c>
      <c r="XZ270" s="1304">
        <v>470</v>
      </c>
      <c r="YA270" s="1304">
        <v>470</v>
      </c>
      <c r="YB270" s="1304">
        <v>480</v>
      </c>
      <c r="YC270" s="1304">
        <v>481</v>
      </c>
      <c r="YD270" s="1304">
        <v>483</v>
      </c>
      <c r="YE270" s="1304">
        <v>488</v>
      </c>
      <c r="YF270" s="1304">
        <v>488.5</v>
      </c>
      <c r="YG270" s="1304">
        <v>488.5</v>
      </c>
      <c r="YH270" s="1304">
        <v>488.5</v>
      </c>
      <c r="YI270" s="1304">
        <v>490</v>
      </c>
      <c r="YJ270" s="1304">
        <v>515</v>
      </c>
      <c r="YK270" s="1304">
        <v>519.5</v>
      </c>
      <c r="YL270" s="1304">
        <v>523</v>
      </c>
      <c r="YM270" s="1304">
        <v>523</v>
      </c>
      <c r="YN270" s="1304">
        <f>524+15</f>
        <v>539</v>
      </c>
      <c r="YO270" s="1304">
        <f>526+15</f>
        <v>541</v>
      </c>
      <c r="YP270" s="1304">
        <v>545</v>
      </c>
      <c r="YQ270" s="1304">
        <f>531.5+15+5</f>
        <v>551.5</v>
      </c>
      <c r="YR270" s="1304">
        <f>531.5+15+5</f>
        <v>551.5</v>
      </c>
      <c r="YS270" s="1304">
        <v>551.5</v>
      </c>
      <c r="YT270" s="1304">
        <f>541+15+5.2</f>
        <v>561.20000000000005</v>
      </c>
      <c r="YU270" s="1304">
        <v>561.5</v>
      </c>
      <c r="YV270" s="1304">
        <f>548+16+6.5</f>
        <v>570.5</v>
      </c>
      <c r="YW270" s="1304">
        <v>570.5</v>
      </c>
      <c r="YX270" s="1304">
        <f>548+16+10.5</f>
        <v>574.5</v>
      </c>
      <c r="YY270" s="1304">
        <f>550+36+10.5</f>
        <v>596.5</v>
      </c>
      <c r="YZ270" s="1304">
        <f>550+36+10.5</f>
        <v>596.5</v>
      </c>
      <c r="ZA270" s="1304">
        <v>671</v>
      </c>
      <c r="ZB270" s="1304">
        <v>671.2</v>
      </c>
      <c r="ZC270" s="1304">
        <f>672+2.35</f>
        <v>674.35</v>
      </c>
      <c r="ZD270" s="1304">
        <f>673+2.35</f>
        <v>675.35</v>
      </c>
      <c r="ZE270" s="1304">
        <v>690</v>
      </c>
      <c r="ZF270" s="1304">
        <v>690</v>
      </c>
      <c r="ZG270" s="1304">
        <v>690</v>
      </c>
      <c r="ZH270" s="1304">
        <v>690</v>
      </c>
      <c r="ZI270" s="1304">
        <f>727.5+1.4+12</f>
        <v>740.9</v>
      </c>
      <c r="ZJ270" s="1304">
        <v>755</v>
      </c>
      <c r="ZK270" s="1304">
        <v>755</v>
      </c>
      <c r="ZL270" s="1304">
        <v>755</v>
      </c>
      <c r="ZM270" s="1304">
        <v>755</v>
      </c>
      <c r="ZN270" s="1304">
        <v>757</v>
      </c>
      <c r="ZO270" s="1304">
        <v>757</v>
      </c>
      <c r="ZP270" s="1304">
        <v>757</v>
      </c>
      <c r="ZQ270" s="1304">
        <v>757</v>
      </c>
      <c r="ZR270" s="1304">
        <v>757</v>
      </c>
      <c r="ZS270" s="1304">
        <v>757</v>
      </c>
      <c r="ZT270" s="1304">
        <v>757</v>
      </c>
      <c r="ZU270" s="1304">
        <f>757+53</f>
        <v>810</v>
      </c>
      <c r="ZV270" s="1304">
        <v>810</v>
      </c>
      <c r="ZW270" s="1304">
        <v>810</v>
      </c>
      <c r="ZX270" s="1304">
        <v>855</v>
      </c>
      <c r="ZY270" s="1304">
        <v>870</v>
      </c>
      <c r="ZZ270" s="1304">
        <v>870</v>
      </c>
      <c r="AAA270" s="1304">
        <v>870</v>
      </c>
      <c r="AAB270" s="1304">
        <v>870</v>
      </c>
      <c r="AAC270" s="1304">
        <v>870</v>
      </c>
      <c r="AAD270" s="1304">
        <v>870</v>
      </c>
      <c r="AAE270" s="1304">
        <v>871</v>
      </c>
      <c r="AAF270" s="1304">
        <v>884</v>
      </c>
      <c r="AAG270" s="1304">
        <v>884</v>
      </c>
      <c r="AAH270" s="1304">
        <v>884</v>
      </c>
      <c r="AAI270" s="1304">
        <v>884</v>
      </c>
      <c r="AAJ270" s="1304">
        <v>884</v>
      </c>
      <c r="AAK270" s="1304">
        <v>884</v>
      </c>
      <c r="AAL270" s="1304">
        <v>884</v>
      </c>
      <c r="AAM270" s="1304">
        <v>884</v>
      </c>
      <c r="AAN270" s="1304">
        <v>884</v>
      </c>
      <c r="AAO270" s="1304">
        <v>884</v>
      </c>
      <c r="AAP270" s="1304">
        <v>884</v>
      </c>
      <c r="AAQ270" s="1304">
        <f>20+884</f>
        <v>904</v>
      </c>
      <c r="AAR270" s="1304">
        <v>904</v>
      </c>
      <c r="AAS270" s="1304">
        <v>904</v>
      </c>
      <c r="AAT270" s="1304">
        <v>904</v>
      </c>
      <c r="AAU270" s="1304">
        <v>904</v>
      </c>
      <c r="AAV270" s="1304">
        <v>904</v>
      </c>
      <c r="AAW270" s="1304">
        <v>904</v>
      </c>
      <c r="AAX270" s="1304">
        <v>904</v>
      </c>
      <c r="AAY270" s="1304">
        <v>904</v>
      </c>
      <c r="AAZ270" s="1304">
        <v>934</v>
      </c>
      <c r="ABA270" s="1304">
        <v>934</v>
      </c>
      <c r="ABB270" s="1304">
        <v>934</v>
      </c>
      <c r="ABC270" s="1304">
        <v>934</v>
      </c>
      <c r="ABD270" s="1304">
        <v>934</v>
      </c>
      <c r="ABE270" s="1304">
        <v>934</v>
      </c>
      <c r="ABF270" s="1304">
        <v>934</v>
      </c>
      <c r="ABG270" s="1304">
        <v>954</v>
      </c>
      <c r="ABH270" s="1304">
        <v>954</v>
      </c>
      <c r="ABI270" s="1304">
        <v>954</v>
      </c>
      <c r="ABJ270" s="1304">
        <v>954</v>
      </c>
      <c r="ABK270" s="1304">
        <v>954</v>
      </c>
      <c r="ABL270" s="1304">
        <v>954</v>
      </c>
      <c r="ABM270" s="1304">
        <v>954</v>
      </c>
      <c r="ABN270" s="1304">
        <v>954</v>
      </c>
      <c r="ABO270" s="1304">
        <v>954</v>
      </c>
      <c r="ABP270" s="1304">
        <v>954</v>
      </c>
      <c r="ABQ270" s="1304">
        <v>954</v>
      </c>
      <c r="ABR270" s="1304">
        <v>954</v>
      </c>
      <c r="ABS270" s="1304">
        <f>954+1+50</f>
        <v>1005</v>
      </c>
      <c r="ABT270" s="1304">
        <v>1005</v>
      </c>
      <c r="ABU270" s="1304">
        <v>1005</v>
      </c>
      <c r="ABV270" s="1304">
        <v>1055</v>
      </c>
      <c r="ABW270" s="1304">
        <v>1108</v>
      </c>
      <c r="ABX270" s="1304">
        <v>1108</v>
      </c>
      <c r="ABY270" s="1304">
        <v>1108</v>
      </c>
      <c r="ABZ270" s="1304">
        <v>1108</v>
      </c>
      <c r="ACA270" s="1304">
        <v>1108</v>
      </c>
      <c r="ACB270" s="1304">
        <v>1108</v>
      </c>
      <c r="ACC270" s="1304">
        <v>1108</v>
      </c>
      <c r="ACD270" s="1304">
        <v>1108</v>
      </c>
      <c r="ACE270" s="1304">
        <v>1108</v>
      </c>
      <c r="ACF270" s="1304">
        <v>1108</v>
      </c>
      <c r="ACG270" s="1304">
        <v>1108</v>
      </c>
      <c r="ACH270" s="1304">
        <v>1108</v>
      </c>
      <c r="ACI270" s="1304">
        <v>1108</v>
      </c>
      <c r="ACJ270" s="1304">
        <f>1108+13</f>
        <v>1121</v>
      </c>
      <c r="ACK270" s="1304">
        <v>1130</v>
      </c>
      <c r="ACL270" s="1304">
        <v>1130</v>
      </c>
      <c r="ACM270" s="1304">
        <v>1133</v>
      </c>
      <c r="ACN270" s="1304">
        <v>1134</v>
      </c>
      <c r="ACO270" s="1304">
        <v>1135</v>
      </c>
      <c r="ACP270" s="1304">
        <v>1135</v>
      </c>
      <c r="ACQ270" s="1304">
        <v>1140</v>
      </c>
      <c r="ACR270" s="1304">
        <v>1140</v>
      </c>
      <c r="ACS270" s="1304">
        <v>1150</v>
      </c>
      <c r="ACT270" s="1304">
        <v>1165</v>
      </c>
      <c r="ACU270" s="1304">
        <v>1165</v>
      </c>
      <c r="ACV270" s="1304">
        <v>1180</v>
      </c>
      <c r="ACW270" s="1304">
        <v>1180</v>
      </c>
      <c r="ACX270" s="1304">
        <v>1180</v>
      </c>
      <c r="ACY270" s="1304">
        <v>1160</v>
      </c>
      <c r="ACZ270" s="1304">
        <v>1160</v>
      </c>
      <c r="ADA270" s="1304">
        <v>1160</v>
      </c>
      <c r="ADB270" s="1304">
        <v>1164</v>
      </c>
      <c r="ADC270" s="1304">
        <v>1340</v>
      </c>
      <c r="ADD270" s="1304">
        <v>1350</v>
      </c>
      <c r="ADE270" s="1304">
        <v>1350</v>
      </c>
      <c r="ADF270" s="1304">
        <v>1350</v>
      </c>
      <c r="ADG270" s="1304">
        <v>1350</v>
      </c>
      <c r="ADH270" s="1304">
        <v>1350</v>
      </c>
      <c r="ADI270" s="1304">
        <v>1350</v>
      </c>
      <c r="ADJ270" s="1304">
        <v>1350</v>
      </c>
      <c r="ADK270" s="1304">
        <v>1365</v>
      </c>
      <c r="ADL270" s="1304">
        <v>1365</v>
      </c>
      <c r="ADM270" s="1304">
        <v>1365</v>
      </c>
      <c r="ADN270" s="1304">
        <v>1365</v>
      </c>
      <c r="ADO270" s="1304">
        <v>1365</v>
      </c>
      <c r="ADP270" s="1304">
        <v>1365</v>
      </c>
      <c r="ADQ270" s="1304">
        <v>1365</v>
      </c>
      <c r="ADR270" s="1304">
        <v>1365</v>
      </c>
      <c r="ADS270" s="1304">
        <v>1365</v>
      </c>
      <c r="ADT270" s="1304">
        <v>1370</v>
      </c>
      <c r="ADU270" s="1304">
        <v>1380</v>
      </c>
      <c r="ADV270" s="1304">
        <v>1390</v>
      </c>
      <c r="ADW270" s="1304">
        <v>1390</v>
      </c>
      <c r="ADX270" s="1304">
        <v>1400</v>
      </c>
      <c r="ADY270" s="1304">
        <v>1400</v>
      </c>
      <c r="ADZ270" s="1304">
        <v>1400</v>
      </c>
      <c r="AEA270" s="1304">
        <v>1400</v>
      </c>
      <c r="AEB270" s="1304">
        <v>1400</v>
      </c>
      <c r="AEC270" s="1304">
        <v>1400</v>
      </c>
      <c r="AED270" s="1304">
        <v>1400</v>
      </c>
      <c r="AEE270" s="1304">
        <v>1400</v>
      </c>
      <c r="AEF270" s="1304">
        <v>1400</v>
      </c>
      <c r="AEG270" s="1304">
        <v>1400</v>
      </c>
      <c r="AEH270" s="1304">
        <v>1400</v>
      </c>
      <c r="AEI270" s="1304">
        <v>1400</v>
      </c>
    </row>
    <row r="271" spans="2:964">
      <c r="B271">
        <v>625</v>
      </c>
      <c r="C271">
        <v>37</v>
      </c>
      <c r="D271" s="1304">
        <v>4</v>
      </c>
      <c r="E271" s="808">
        <v>0.13500000000000001</v>
      </c>
      <c r="F271" s="807">
        <v>12100</v>
      </c>
      <c r="G271" s="4">
        <f t="shared" si="1"/>
        <v>151098750</v>
      </c>
      <c r="H271" s="807"/>
      <c r="I271" s="807"/>
      <c r="J271" s="807">
        <v>33</v>
      </c>
      <c r="K271" s="807"/>
      <c r="L271" s="807"/>
      <c r="M271" s="807"/>
      <c r="N271" s="807"/>
      <c r="O271" s="807">
        <v>352</v>
      </c>
      <c r="P271" s="807"/>
      <c r="Q271" s="807"/>
      <c r="R271" s="807"/>
      <c r="S271" s="807"/>
      <c r="T271" s="807"/>
      <c r="U271" s="807"/>
      <c r="V271" s="807"/>
      <c r="W271" s="807"/>
      <c r="X271" s="807"/>
      <c r="Y271" s="807"/>
      <c r="Z271" s="807"/>
      <c r="AA271" s="807"/>
      <c r="AB271" s="807"/>
      <c r="AC271" s="807"/>
      <c r="AD271" s="807"/>
      <c r="AE271" s="807"/>
      <c r="AF271" s="807"/>
      <c r="AG271" s="807"/>
      <c r="AH271" s="807"/>
      <c r="AI271" s="807"/>
      <c r="AJ271" s="807"/>
      <c r="AK271" s="807"/>
      <c r="AL271" s="807"/>
      <c r="AM271" s="807"/>
      <c r="AN271" s="807"/>
      <c r="AO271" s="807"/>
      <c r="AP271" s="807"/>
      <c r="AQ271" s="807"/>
      <c r="AR271" s="807"/>
      <c r="AS271" s="807"/>
      <c r="AT271" s="807"/>
      <c r="AU271" s="807"/>
      <c r="AV271" s="807"/>
      <c r="AW271" s="807"/>
      <c r="AX271" s="807"/>
      <c r="AY271" s="807"/>
      <c r="AZ271" s="807"/>
      <c r="BA271" s="807"/>
      <c r="BB271" s="807"/>
      <c r="BC271" s="807"/>
      <c r="BD271" s="807"/>
      <c r="BE271" s="807"/>
      <c r="BF271" s="807"/>
      <c r="BG271" s="807"/>
      <c r="BH271" s="807"/>
      <c r="BI271" s="807"/>
      <c r="BJ271" s="807"/>
      <c r="BK271" s="807"/>
      <c r="BL271" s="807"/>
      <c r="BM271" s="807"/>
      <c r="BN271" s="807"/>
      <c r="BO271" s="807"/>
      <c r="BP271" s="807"/>
      <c r="BQ271" s="807"/>
      <c r="BR271" s="807"/>
      <c r="BS271" s="807"/>
      <c r="BT271" s="807"/>
      <c r="BU271" s="807"/>
      <c r="BV271" s="807"/>
      <c r="BW271" s="807"/>
      <c r="BX271" s="807"/>
      <c r="BY271" s="807"/>
      <c r="BZ271" s="807"/>
      <c r="CA271" s="807"/>
      <c r="CB271" s="807"/>
      <c r="CC271" s="807"/>
      <c r="CD271" s="807"/>
      <c r="CE271" s="807"/>
      <c r="CF271" s="807"/>
      <c r="CG271" s="807"/>
      <c r="CH271" s="807"/>
      <c r="CI271" s="807"/>
      <c r="CJ271" s="807"/>
      <c r="CK271" s="807"/>
      <c r="CL271" s="807"/>
      <c r="CM271" s="807"/>
      <c r="CN271" s="807"/>
      <c r="CO271" s="807"/>
      <c r="CP271" s="807"/>
      <c r="CQ271" s="807"/>
      <c r="CR271" s="807"/>
      <c r="CS271" s="807"/>
      <c r="CT271" s="807"/>
      <c r="CU271" s="807"/>
      <c r="ME271">
        <v>1989.4</v>
      </c>
      <c r="NH271" t="s">
        <v>122</v>
      </c>
      <c r="NI271">
        <v>1819.7</v>
      </c>
      <c r="NJ271">
        <v>1708.3</v>
      </c>
      <c r="NK271">
        <v>1432.2</v>
      </c>
      <c r="NL271">
        <v>2041.84</v>
      </c>
      <c r="NM271">
        <v>1915.3</v>
      </c>
      <c r="NN271">
        <v>1785</v>
      </c>
      <c r="NO271">
        <v>1703.8</v>
      </c>
      <c r="NP271">
        <v>1606.3</v>
      </c>
      <c r="NQ271">
        <v>-66</v>
      </c>
      <c r="NR271">
        <v>-66</v>
      </c>
      <c r="NS271">
        <v>-66</v>
      </c>
      <c r="NT271">
        <v>-66</v>
      </c>
      <c r="NU271">
        <v>-66</v>
      </c>
      <c r="NV271">
        <v>-66</v>
      </c>
      <c r="NW271">
        <v>-66</v>
      </c>
      <c r="NX271">
        <v>-66</v>
      </c>
      <c r="NY271">
        <v>-66.099999999999994</v>
      </c>
      <c r="NZ271">
        <v>-4184.3</v>
      </c>
      <c r="OA271">
        <v>-4184.3</v>
      </c>
      <c r="OB271">
        <v>-4039.3</v>
      </c>
      <c r="OC271">
        <v>-3829.5</v>
      </c>
      <c r="OD271">
        <v>-3613.5</v>
      </c>
      <c r="OE271">
        <v>-3408.5</v>
      </c>
      <c r="OF271">
        <v>-4014</v>
      </c>
      <c r="OG271">
        <v>-5638</v>
      </c>
      <c r="OH271">
        <v>-5814.8</v>
      </c>
      <c r="OI271">
        <v>-5509.3</v>
      </c>
      <c r="OJ271">
        <v>-5408.3</v>
      </c>
      <c r="OK271">
        <v>-5622.1</v>
      </c>
      <c r="OL271">
        <v>-5622.1</v>
      </c>
      <c r="OM271">
        <v>-5381.2</v>
      </c>
      <c r="ON271">
        <v>-5181.3</v>
      </c>
      <c r="OO271">
        <v>52.8</v>
      </c>
      <c r="OP271">
        <v>52.8</v>
      </c>
      <c r="OQ271">
        <f>52.8+17.7</f>
        <v>70.5</v>
      </c>
      <c r="OR271">
        <v>70.5</v>
      </c>
      <c r="OS271">
        <v>70.5</v>
      </c>
      <c r="OT271">
        <v>70.5</v>
      </c>
      <c r="OU271">
        <v>85</v>
      </c>
      <c r="OV271">
        <v>85</v>
      </c>
      <c r="OW271">
        <v>85</v>
      </c>
      <c r="OX271">
        <v>-96</v>
      </c>
      <c r="OY271">
        <v>-3000</v>
      </c>
      <c r="OZ271">
        <v>-3000</v>
      </c>
      <c r="PA271">
        <v>-3000</v>
      </c>
      <c r="PB271">
        <v>-3000</v>
      </c>
      <c r="PC271">
        <v>-3000</v>
      </c>
      <c r="PD271">
        <v>-3000</v>
      </c>
      <c r="PE271">
        <v>-3000</v>
      </c>
      <c r="PF271">
        <v>-3000</v>
      </c>
      <c r="PG271">
        <v>-3000</v>
      </c>
      <c r="PH271">
        <v>-3000</v>
      </c>
      <c r="PI271">
        <v>-3000</v>
      </c>
      <c r="PJ271">
        <v>-3000</v>
      </c>
      <c r="PK271">
        <v>-3000</v>
      </c>
      <c r="PL271">
        <v>-3000</v>
      </c>
      <c r="PM271">
        <v>-3000</v>
      </c>
      <c r="PN271">
        <v>-3000</v>
      </c>
      <c r="PO271">
        <v>-3000</v>
      </c>
      <c r="PP271">
        <v>-3000</v>
      </c>
      <c r="PQ271">
        <v>-3000</v>
      </c>
      <c r="PR271">
        <v>-3000</v>
      </c>
      <c r="PS271">
        <v>-3000</v>
      </c>
      <c r="PT271">
        <v>-2800</v>
      </c>
      <c r="PU271">
        <v>-2800</v>
      </c>
      <c r="PV271">
        <v>-2800</v>
      </c>
      <c r="PW271">
        <v>-2600</v>
      </c>
      <c r="PX271">
        <v>-2300</v>
      </c>
      <c r="PY271">
        <v>-2300</v>
      </c>
      <c r="PZ271">
        <v>-2300</v>
      </c>
      <c r="QA271">
        <v>-2300</v>
      </c>
      <c r="QB271">
        <v>-2300</v>
      </c>
      <c r="QC271">
        <v>-2300</v>
      </c>
      <c r="QD271">
        <v>-2300</v>
      </c>
      <c r="QE271">
        <v>-2300</v>
      </c>
      <c r="QF271">
        <v>-2300</v>
      </c>
      <c r="QG271">
        <v>-2300</v>
      </c>
      <c r="QH271">
        <v>-2300</v>
      </c>
      <c r="QI271">
        <v>-2000</v>
      </c>
      <c r="QJ271">
        <v>-2000</v>
      </c>
      <c r="QK271">
        <v>-2000</v>
      </c>
      <c r="QL271">
        <v>-2000</v>
      </c>
      <c r="QM271">
        <v>-2000</v>
      </c>
      <c r="QN271">
        <v>-1700</v>
      </c>
      <c r="QO271">
        <v>-2000</v>
      </c>
      <c r="QP271">
        <v>-2000</v>
      </c>
      <c r="QQ271">
        <v>-2000</v>
      </c>
      <c r="QR271">
        <v>-2000</v>
      </c>
      <c r="QS271">
        <v>-2000</v>
      </c>
      <c r="QT271">
        <v>-2000</v>
      </c>
      <c r="QU271">
        <v>-2000</v>
      </c>
      <c r="QV271">
        <v>-2000</v>
      </c>
      <c r="QW271">
        <v>-2000</v>
      </c>
      <c r="QX271">
        <v>-2000</v>
      </c>
      <c r="QY271">
        <v>-2000</v>
      </c>
      <c r="QZ271">
        <v>-2000</v>
      </c>
      <c r="RA271">
        <v>-2000</v>
      </c>
      <c r="RB271">
        <v>-2000</v>
      </c>
      <c r="RC271">
        <v>-2000</v>
      </c>
      <c r="RD271">
        <v>-2000</v>
      </c>
      <c r="RE271">
        <v>-2000</v>
      </c>
      <c r="RF271">
        <v>-2000</v>
      </c>
      <c r="RG271">
        <v>-2000</v>
      </c>
      <c r="RH271">
        <v>-2000</v>
      </c>
      <c r="RI271">
        <v>-2000</v>
      </c>
      <c r="RJ271">
        <v>-2000</v>
      </c>
      <c r="RL271">
        <v>-1000</v>
      </c>
      <c r="RM271">
        <v>-1000</v>
      </c>
      <c r="RN271">
        <v>-1000</v>
      </c>
      <c r="RO271">
        <v>-1000</v>
      </c>
      <c r="RP271">
        <v>-1000</v>
      </c>
      <c r="RQ271">
        <v>10.050000000000001</v>
      </c>
      <c r="RR271">
        <v>10.050000000000001</v>
      </c>
      <c r="RS271">
        <v>10.050000000000001</v>
      </c>
      <c r="SU271">
        <v>-1000</v>
      </c>
      <c r="SV271">
        <v>-1000</v>
      </c>
      <c r="SW271">
        <v>-1000</v>
      </c>
      <c r="SX271">
        <v>-1000</v>
      </c>
      <c r="SY271">
        <v>-1000</v>
      </c>
      <c r="SZ271">
        <v>-1000</v>
      </c>
      <c r="TA271">
        <v>-1000</v>
      </c>
      <c r="TB271">
        <v>-1000</v>
      </c>
      <c r="TC271">
        <v>-1000</v>
      </c>
      <c r="TD271">
        <v>-1000</v>
      </c>
      <c r="TE271">
        <v>-1000</v>
      </c>
      <c r="TF271">
        <v>-1000</v>
      </c>
      <c r="TG271">
        <v>-1000</v>
      </c>
      <c r="TH271">
        <v>-1000</v>
      </c>
      <c r="TI271">
        <v>-1000</v>
      </c>
      <c r="TJ271">
        <v>-1000</v>
      </c>
      <c r="TK271">
        <v>-1000</v>
      </c>
      <c r="TL271">
        <v>-1000</v>
      </c>
      <c r="TM271">
        <v>-1000</v>
      </c>
      <c r="TN271">
        <v>-1000</v>
      </c>
      <c r="TO271">
        <v>-1000</v>
      </c>
      <c r="TP271">
        <v>-1000</v>
      </c>
      <c r="TQ271">
        <v>-1000</v>
      </c>
      <c r="TR271">
        <v>-1000</v>
      </c>
      <c r="TS271">
        <v>-1000</v>
      </c>
      <c r="TT271">
        <v>-1000</v>
      </c>
      <c r="TU271">
        <v>-1000</v>
      </c>
      <c r="TV271">
        <v>-1000</v>
      </c>
      <c r="TW271">
        <v>-1000</v>
      </c>
      <c r="TX271">
        <v>-1000</v>
      </c>
      <c r="TY271">
        <v>-1000</v>
      </c>
      <c r="TZ271">
        <v>-1000</v>
      </c>
      <c r="UA271">
        <v>-1000</v>
      </c>
      <c r="UB271">
        <v>-1000</v>
      </c>
      <c r="UC271">
        <v>-1000</v>
      </c>
      <c r="UD271">
        <v>-1000</v>
      </c>
      <c r="UE271">
        <v>-1000</v>
      </c>
      <c r="UF271">
        <v>-1000</v>
      </c>
      <c r="UG271">
        <v>-1000</v>
      </c>
      <c r="UH271">
        <v>-1000</v>
      </c>
      <c r="UI271">
        <v>-1000</v>
      </c>
      <c r="UJ271">
        <v>-1000</v>
      </c>
      <c r="UK271">
        <v>-1000</v>
      </c>
      <c r="UL271">
        <v>-1000</v>
      </c>
      <c r="UM271">
        <v>-1000</v>
      </c>
      <c r="UN271">
        <v>-1000</v>
      </c>
      <c r="UO271">
        <v>-1000</v>
      </c>
      <c r="UP271">
        <v>-1000</v>
      </c>
      <c r="UQ271">
        <v>-1000</v>
      </c>
      <c r="UR271">
        <v>-1000</v>
      </c>
      <c r="US271">
        <v>-1000</v>
      </c>
      <c r="UT271">
        <v>-1000</v>
      </c>
      <c r="UU271">
        <v>-1000</v>
      </c>
      <c r="UV271">
        <v>-1000</v>
      </c>
      <c r="UW271">
        <v>-1000</v>
      </c>
      <c r="UX271">
        <v>-1000</v>
      </c>
      <c r="UY271">
        <v>-1000</v>
      </c>
      <c r="UZ271">
        <v>-1000</v>
      </c>
      <c r="VA271">
        <v>-1000</v>
      </c>
      <c r="VB271">
        <v>-1000</v>
      </c>
      <c r="VC271">
        <v>-1000</v>
      </c>
      <c r="VD271">
        <v>-1000</v>
      </c>
      <c r="VE271">
        <v>-1000</v>
      </c>
      <c r="VF271" s="1304">
        <v>-1000</v>
      </c>
      <c r="VG271" s="1304">
        <v>-1000</v>
      </c>
      <c r="VH271" s="1304">
        <v>-1000</v>
      </c>
      <c r="VI271" s="1304">
        <v>-1000</v>
      </c>
      <c r="VJ271" s="1304">
        <v>-1000</v>
      </c>
      <c r="VK271">
        <v>-1000</v>
      </c>
      <c r="VL271" s="1304">
        <v>-1000</v>
      </c>
      <c r="VM271" s="1304">
        <v>-1000</v>
      </c>
      <c r="VN271" s="1304">
        <v>-29</v>
      </c>
      <c r="VO271" s="1304">
        <v>-29</v>
      </c>
      <c r="VP271" s="1304">
        <v>-29</v>
      </c>
      <c r="VQ271" s="1304">
        <v>-29</v>
      </c>
      <c r="VR271" s="1304">
        <v>-29</v>
      </c>
      <c r="VS271" s="1304">
        <v>-29</v>
      </c>
      <c r="VT271" s="1304">
        <v>-29</v>
      </c>
      <c r="VU271" s="1304">
        <v>-29</v>
      </c>
      <c r="VV271" s="1304">
        <v>-29</v>
      </c>
      <c r="VW271" s="1304">
        <v>-29</v>
      </c>
      <c r="VX271" s="1304">
        <v>-29</v>
      </c>
      <c r="VY271" s="1304">
        <v>-29</v>
      </c>
      <c r="VZ271" s="1304">
        <v>-29</v>
      </c>
      <c r="WA271" s="1304">
        <v>-29</v>
      </c>
      <c r="WB271" s="1304">
        <v>-29</v>
      </c>
      <c r="WC271" s="1304">
        <v>-29</v>
      </c>
      <c r="WD271" s="1304">
        <v>-29</v>
      </c>
      <c r="WE271" s="1304">
        <v>-29</v>
      </c>
      <c r="WM271" s="1304">
        <v>50</v>
      </c>
      <c r="WS271" s="1304">
        <v>7.5</v>
      </c>
      <c r="WT271" s="1304">
        <v>7.5</v>
      </c>
      <c r="WU271" s="1304">
        <f>7.5+2</f>
        <v>9.5</v>
      </c>
      <c r="WV271" s="1304">
        <f>9.5+2+15</f>
        <v>26.5</v>
      </c>
      <c r="WW271" s="1304">
        <v>26.5</v>
      </c>
      <c r="WX271" s="1304">
        <v>26.5</v>
      </c>
      <c r="WY271" s="1304">
        <v>26.5</v>
      </c>
      <c r="WZ271" s="1304">
        <v>26.5</v>
      </c>
      <c r="XA271" s="1304">
        <v>26.5</v>
      </c>
      <c r="XB271" s="1304">
        <v>27</v>
      </c>
      <c r="XC271" s="1304">
        <v>27</v>
      </c>
      <c r="XD271" s="1304">
        <v>0</v>
      </c>
      <c r="XE271" s="1304">
        <v>0</v>
      </c>
      <c r="XF271" s="1304">
        <v>0</v>
      </c>
      <c r="XG271" s="1304">
        <v>0</v>
      </c>
      <c r="XH271" s="1304">
        <v>0</v>
      </c>
      <c r="XI271" s="1304">
        <v>0</v>
      </c>
      <c r="XJ271" s="1304">
        <v>0</v>
      </c>
      <c r="XK271" s="1304">
        <v>0</v>
      </c>
      <c r="XL271" s="1304">
        <v>0</v>
      </c>
      <c r="XM271" s="1304">
        <v>0</v>
      </c>
      <c r="XN271" s="1304">
        <v>0</v>
      </c>
      <c r="XO271" s="1304">
        <v>0</v>
      </c>
      <c r="XP271" s="1304">
        <v>0</v>
      </c>
      <c r="XQ271" s="1304">
        <v>0</v>
      </c>
      <c r="XR271" s="1304">
        <v>0</v>
      </c>
      <c r="XS271" s="1304">
        <v>0</v>
      </c>
      <c r="XT271" s="1304">
        <v>0</v>
      </c>
      <c r="XU271" s="1304">
        <v>0</v>
      </c>
      <c r="XV271" s="1304">
        <v>0</v>
      </c>
      <c r="XW271" s="1304">
        <v>0</v>
      </c>
      <c r="XX271" s="1304">
        <v>0</v>
      </c>
      <c r="XY271" s="1304">
        <v>0</v>
      </c>
      <c r="XZ271" s="1304">
        <v>0</v>
      </c>
      <c r="YA271" s="1304">
        <v>0</v>
      </c>
      <c r="YB271" s="1304">
        <v>0</v>
      </c>
      <c r="YC271" s="1304">
        <v>0</v>
      </c>
      <c r="YD271" s="1304">
        <v>0</v>
      </c>
      <c r="YE271" s="1304">
        <v>0</v>
      </c>
      <c r="YF271" s="1304">
        <v>0</v>
      </c>
      <c r="YG271" s="1304">
        <v>0</v>
      </c>
      <c r="YH271" s="1304">
        <v>0</v>
      </c>
      <c r="YI271" s="1304">
        <v>0</v>
      </c>
      <c r="YJ271" s="1304">
        <v>0</v>
      </c>
      <c r="YK271" s="1304">
        <v>0</v>
      </c>
      <c r="YL271" s="1304">
        <v>0</v>
      </c>
      <c r="YM271" s="1304">
        <v>0</v>
      </c>
      <c r="YN271" s="1304">
        <v>0</v>
      </c>
      <c r="YO271" s="1304">
        <v>0</v>
      </c>
      <c r="YP271" s="1304">
        <v>0</v>
      </c>
      <c r="YQ271" s="1304">
        <v>0</v>
      </c>
      <c r="YR271" s="1304">
        <v>0</v>
      </c>
      <c r="YS271" s="1304">
        <v>0</v>
      </c>
      <c r="YT271" s="1304">
        <v>0</v>
      </c>
      <c r="YU271" s="1304">
        <v>0</v>
      </c>
      <c r="YV271" s="1304">
        <v>0</v>
      </c>
      <c r="YW271" s="1304">
        <v>0</v>
      </c>
      <c r="YX271" s="1304">
        <v>0</v>
      </c>
      <c r="YY271" s="1304">
        <v>0</v>
      </c>
      <c r="YZ271" s="1304">
        <v>0</v>
      </c>
      <c r="ZA271" s="1304">
        <v>0</v>
      </c>
      <c r="ZB271" s="1304">
        <v>0</v>
      </c>
      <c r="ZC271" s="1304">
        <v>0</v>
      </c>
      <c r="ZD271" s="1304">
        <v>0</v>
      </c>
      <c r="ZE271" s="1304">
        <v>0</v>
      </c>
      <c r="ZF271" s="1304">
        <v>0</v>
      </c>
      <c r="ZG271" s="1304">
        <v>0</v>
      </c>
      <c r="ZH271" s="1304">
        <v>0</v>
      </c>
      <c r="ZI271" s="1304">
        <v>0</v>
      </c>
      <c r="ZJ271" s="1304">
        <v>0</v>
      </c>
      <c r="ZK271" s="1304">
        <v>0</v>
      </c>
      <c r="ZL271" s="1304">
        <v>0</v>
      </c>
      <c r="ZM271" s="1304">
        <v>0</v>
      </c>
      <c r="ZN271" s="1304">
        <v>0</v>
      </c>
      <c r="ZO271" s="1304">
        <v>0</v>
      </c>
      <c r="ZP271" s="1304">
        <v>1.3</v>
      </c>
      <c r="ZQ271" s="1304">
        <v>1.3</v>
      </c>
      <c r="ZR271" s="1304">
        <v>3.3</v>
      </c>
      <c r="ZS271" s="1304">
        <v>3.4</v>
      </c>
      <c r="ZT271" s="1304">
        <v>3.4</v>
      </c>
      <c r="ZU271" s="1304">
        <v>3.4</v>
      </c>
      <c r="ZV271" s="1304">
        <v>3.4</v>
      </c>
      <c r="ZW271" s="1304">
        <v>3.4</v>
      </c>
      <c r="ZX271" s="1304">
        <v>3.4</v>
      </c>
      <c r="ZY271" s="1304">
        <v>3.4</v>
      </c>
      <c r="ZZ271" s="1304">
        <v>3.4</v>
      </c>
      <c r="AAA271" s="1304">
        <v>3.4</v>
      </c>
      <c r="AAB271" s="1304">
        <v>3.4</v>
      </c>
      <c r="AAC271" s="1304">
        <v>3.4</v>
      </c>
      <c r="AAD271" s="1304">
        <v>3.4</v>
      </c>
      <c r="AAE271" s="1304">
        <v>3.4</v>
      </c>
      <c r="AAF271" s="1304">
        <v>3.4</v>
      </c>
      <c r="AAG271" s="1304">
        <v>3.4</v>
      </c>
      <c r="AAH271" s="1304">
        <v>3.4</v>
      </c>
      <c r="AAI271" s="1304">
        <v>3.4</v>
      </c>
      <c r="AAJ271" s="1304">
        <v>3.4</v>
      </c>
      <c r="AAK271" s="1304">
        <v>3.4</v>
      </c>
      <c r="AAL271" s="1304">
        <v>3.4</v>
      </c>
      <c r="AAM271" s="1304">
        <v>3.4</v>
      </c>
      <c r="AAN271" s="1304">
        <v>3.4</v>
      </c>
      <c r="AAO271" s="1304">
        <v>3.4</v>
      </c>
      <c r="AAP271" s="1304">
        <v>3.4</v>
      </c>
      <c r="AAQ271" s="1304">
        <v>3.4</v>
      </c>
      <c r="AAR271" s="1304">
        <v>3.4</v>
      </c>
      <c r="AAS271" s="1304">
        <v>3.4</v>
      </c>
      <c r="AAT271" s="1304">
        <v>3.4</v>
      </c>
      <c r="AAU271" s="1304">
        <v>3.4</v>
      </c>
      <c r="AAV271" s="1304">
        <v>3.4</v>
      </c>
      <c r="AAW271" s="1304">
        <v>3.4</v>
      </c>
      <c r="AAX271" s="1304">
        <v>3.4</v>
      </c>
      <c r="AAY271" s="1304">
        <v>3.4</v>
      </c>
      <c r="AAZ271" s="1304">
        <v>3.4</v>
      </c>
      <c r="ABA271" s="1304">
        <v>3.4</v>
      </c>
      <c r="ABB271" s="1304">
        <v>3.4</v>
      </c>
      <c r="ABC271" s="1304">
        <v>3.4</v>
      </c>
      <c r="ABD271" s="1304">
        <v>3.4</v>
      </c>
      <c r="ABE271" s="1304">
        <v>3.4</v>
      </c>
      <c r="ABF271" s="1304">
        <v>3.4</v>
      </c>
      <c r="ABG271" s="1304">
        <v>3.4</v>
      </c>
      <c r="ABH271" s="1304">
        <v>3.4</v>
      </c>
      <c r="ABI271" s="1304">
        <v>3.4</v>
      </c>
      <c r="ABJ271" s="1304">
        <v>3.4</v>
      </c>
      <c r="ABK271" s="1304">
        <v>3.4</v>
      </c>
      <c r="ABL271" s="1304">
        <v>3.4</v>
      </c>
      <c r="ABM271" s="1304">
        <v>3.4</v>
      </c>
      <c r="ABN271" s="1304">
        <v>3.4</v>
      </c>
      <c r="ABO271" s="1304">
        <v>3.4</v>
      </c>
      <c r="ABP271" s="1304">
        <v>3.4</v>
      </c>
      <c r="ABQ271" s="1304">
        <v>3.4</v>
      </c>
      <c r="ABR271" s="1304">
        <v>3.4</v>
      </c>
      <c r="ABS271" s="1304">
        <v>3.4</v>
      </c>
      <c r="ABT271" s="1304">
        <v>3.4</v>
      </c>
      <c r="ABU271" s="1304">
        <v>3.4</v>
      </c>
      <c r="ABV271" s="1304">
        <v>3.4</v>
      </c>
      <c r="ABW271" s="1304">
        <v>3.4</v>
      </c>
      <c r="ABX271" s="1304">
        <v>3.4</v>
      </c>
      <c r="ABY271" s="1304">
        <v>3.4</v>
      </c>
      <c r="ABZ271" s="1304">
        <v>3.4</v>
      </c>
      <c r="ACA271" s="1304">
        <v>3.4</v>
      </c>
      <c r="ACB271" s="1304">
        <v>3.4</v>
      </c>
      <c r="ACC271" s="1304">
        <v>3.4</v>
      </c>
      <c r="ACD271" s="1304">
        <v>3.4</v>
      </c>
      <c r="ACE271" s="1304">
        <v>3.4</v>
      </c>
      <c r="ACF271" s="1304">
        <v>3.4</v>
      </c>
      <c r="ACG271" s="1304">
        <v>3.4</v>
      </c>
      <c r="ACH271" s="1304">
        <v>3.4</v>
      </c>
      <c r="ACI271" s="1304">
        <v>3.4</v>
      </c>
      <c r="ACJ271" s="1304">
        <v>3.4</v>
      </c>
      <c r="ACK271" s="1304">
        <v>3.4</v>
      </c>
      <c r="ACL271" s="1304">
        <v>3.4</v>
      </c>
      <c r="ACM271" s="1304">
        <v>3.4</v>
      </c>
      <c r="ACN271" s="1304">
        <v>3.4</v>
      </c>
      <c r="ACO271" s="1304">
        <v>3.4</v>
      </c>
      <c r="ACP271" s="1304">
        <v>3.4</v>
      </c>
      <c r="ACQ271" s="1304">
        <v>3.4</v>
      </c>
      <c r="ACR271" s="1304">
        <v>3.4</v>
      </c>
      <c r="ACS271" s="1304">
        <v>3.4</v>
      </c>
      <c r="ACT271" s="1304">
        <v>3.4</v>
      </c>
      <c r="ACU271" s="1304">
        <v>3.4</v>
      </c>
      <c r="ACV271" s="1304">
        <v>3.4</v>
      </c>
      <c r="ACW271" s="1304">
        <v>3.4</v>
      </c>
      <c r="ACX271" s="1304">
        <v>3.4</v>
      </c>
      <c r="ACY271" s="1304">
        <v>3.4</v>
      </c>
      <c r="ACZ271" s="1304">
        <v>3.4</v>
      </c>
      <c r="ADA271" s="1304">
        <v>3.4</v>
      </c>
      <c r="ADB271" s="1304">
        <v>3.4</v>
      </c>
      <c r="ADC271" s="1304">
        <v>3.4</v>
      </c>
      <c r="ADD271" s="1304">
        <v>3.4</v>
      </c>
      <c r="ADE271" s="1304">
        <v>3.4</v>
      </c>
      <c r="ADF271" s="1304">
        <v>3.4</v>
      </c>
      <c r="ADG271" s="1304">
        <v>3.4</v>
      </c>
      <c r="ADH271" s="1304">
        <v>3.4</v>
      </c>
      <c r="ADI271" s="1304">
        <v>3.4</v>
      </c>
      <c r="ADJ271" s="1304">
        <v>3.4</v>
      </c>
      <c r="ADK271" s="1304">
        <v>3.4</v>
      </c>
      <c r="ADL271" s="1304">
        <v>3.4</v>
      </c>
      <c r="ADM271" s="1304">
        <v>3.4</v>
      </c>
      <c r="ADN271" s="1304">
        <v>3.4</v>
      </c>
      <c r="ADO271" s="1304">
        <v>3.4</v>
      </c>
      <c r="ADP271" s="1304">
        <v>3.4</v>
      </c>
      <c r="ADQ271" s="1304">
        <v>3.4</v>
      </c>
      <c r="ADR271" s="1304">
        <v>3.4</v>
      </c>
      <c r="ADS271" s="1304">
        <v>3.4</v>
      </c>
      <c r="ADT271" s="1304">
        <v>3.4</v>
      </c>
      <c r="ADU271" s="1304">
        <v>3.4</v>
      </c>
      <c r="ADV271" s="1304">
        <v>3.4</v>
      </c>
      <c r="ADW271" s="1304">
        <v>3.4</v>
      </c>
      <c r="ADX271" s="1304">
        <v>3.4</v>
      </c>
      <c r="ADY271" s="1304">
        <v>3.4</v>
      </c>
      <c r="ADZ271" s="1304">
        <v>3.4</v>
      </c>
      <c r="AEA271" s="1304">
        <v>3.4</v>
      </c>
      <c r="AEB271" s="1304">
        <v>3.4</v>
      </c>
      <c r="AEC271" s="1304">
        <v>3.4</v>
      </c>
      <c r="AED271" s="1304">
        <v>3.4</v>
      </c>
      <c r="AEE271" s="1304">
        <v>3.4</v>
      </c>
      <c r="AEF271" s="1304">
        <v>3.4</v>
      </c>
      <c r="AEG271" s="1304">
        <v>3.4</v>
      </c>
      <c r="AEH271" s="1304">
        <v>3.4</v>
      </c>
      <c r="AEI271" s="1304">
        <v>3.4</v>
      </c>
    </row>
    <row r="272" spans="2:964">
      <c r="E272" s="808"/>
      <c r="J272">
        <v>33</v>
      </c>
      <c r="O272">
        <v>174</v>
      </c>
      <c r="NQ272">
        <v>2110.4</v>
      </c>
      <c r="NR272">
        <v>1908.5</v>
      </c>
      <c r="NS272">
        <v>1726.4</v>
      </c>
      <c r="NT272">
        <v>1580.2</v>
      </c>
      <c r="NU272">
        <v>1387.7</v>
      </c>
      <c r="NV272">
        <v>1265.3</v>
      </c>
      <c r="NW272">
        <v>1070.4000000000001</v>
      </c>
      <c r="NX272">
        <v>738.6</v>
      </c>
      <c r="NY272">
        <v>1476.9</v>
      </c>
      <c r="NZ272">
        <v>-66.099999999999994</v>
      </c>
      <c r="OA272">
        <v>-66.099999999999994</v>
      </c>
      <c r="OB272">
        <v>-66.099999999999994</v>
      </c>
      <c r="OC272">
        <v>-66.099999999999994</v>
      </c>
      <c r="OD272">
        <v>-66.099999999999994</v>
      </c>
      <c r="OE272">
        <v>-66.099999999999994</v>
      </c>
      <c r="OF272">
        <v>-66.099999999999994</v>
      </c>
      <c r="OG272">
        <v>-66.099999999999994</v>
      </c>
      <c r="OH272">
        <v>-66.099999999999994</v>
      </c>
      <c r="OI272">
        <v>-66</v>
      </c>
      <c r="OJ272">
        <v>-66</v>
      </c>
      <c r="OK272">
        <v>-66</v>
      </c>
      <c r="OL272">
        <v>-66</v>
      </c>
      <c r="OM272">
        <v>-66</v>
      </c>
      <c r="ON272">
        <v>-66</v>
      </c>
      <c r="OO272">
        <v>-5181.3</v>
      </c>
      <c r="OP272">
        <v>22</v>
      </c>
      <c r="OQ272">
        <v>22</v>
      </c>
      <c r="OR272">
        <v>22</v>
      </c>
      <c r="OS272">
        <v>22</v>
      </c>
      <c r="OT272">
        <v>22</v>
      </c>
      <c r="OU272">
        <v>22</v>
      </c>
      <c r="OV272">
        <v>22</v>
      </c>
      <c r="OY272">
        <v>-96</v>
      </c>
      <c r="PA272">
        <v>-29</v>
      </c>
      <c r="PB272">
        <v>-44</v>
      </c>
      <c r="PG272">
        <v>17.8</v>
      </c>
      <c r="PH272">
        <v>17.8</v>
      </c>
      <c r="PI272">
        <v>35.6</v>
      </c>
      <c r="PJ272">
        <v>35.6</v>
      </c>
      <c r="PK272">
        <v>35.6</v>
      </c>
      <c r="PL272">
        <v>35.6</v>
      </c>
      <c r="PM272">
        <v>35.6</v>
      </c>
      <c r="PN272">
        <v>35.6</v>
      </c>
      <c r="PO272">
        <v>35.6</v>
      </c>
      <c r="PP272">
        <v>35.6</v>
      </c>
      <c r="PQ272">
        <v>35.6</v>
      </c>
      <c r="PR272">
        <v>35.6</v>
      </c>
      <c r="PS272">
        <v>2.1</v>
      </c>
      <c r="PT272">
        <v>2.1</v>
      </c>
      <c r="PU272">
        <v>2.1</v>
      </c>
      <c r="PV272">
        <v>2.1</v>
      </c>
      <c r="PW272">
        <v>2.1</v>
      </c>
      <c r="PX272">
        <v>2.1</v>
      </c>
      <c r="PY272">
        <v>2.1</v>
      </c>
      <c r="RR272">
        <v>15.15</v>
      </c>
      <c r="RS272">
        <v>15.15</v>
      </c>
      <c r="RT272">
        <v>15.15</v>
      </c>
      <c r="RU272">
        <v>15.15</v>
      </c>
      <c r="RV272">
        <v>15.15</v>
      </c>
      <c r="RW272">
        <v>15.15</v>
      </c>
      <c r="RX272">
        <v>15.15</v>
      </c>
      <c r="RY272">
        <v>15.15</v>
      </c>
      <c r="RZ272">
        <v>15.15</v>
      </c>
      <c r="SA272">
        <v>15.15</v>
      </c>
      <c r="SB272">
        <v>15.15</v>
      </c>
      <c r="SC272">
        <v>15.15</v>
      </c>
      <c r="SD272">
        <v>15.15</v>
      </c>
      <c r="SE272">
        <v>15.15</v>
      </c>
      <c r="SF272">
        <v>15.15</v>
      </c>
      <c r="SG272">
        <v>15.15</v>
      </c>
      <c r="SH272">
        <v>15.15</v>
      </c>
      <c r="SI272">
        <v>15.15</v>
      </c>
      <c r="SJ272">
        <v>15.15</v>
      </c>
      <c r="SK272">
        <v>15.15</v>
      </c>
      <c r="SL272">
        <v>15.15</v>
      </c>
      <c r="SM272">
        <v>15.15</v>
      </c>
      <c r="SN272">
        <v>15.15</v>
      </c>
      <c r="SO272">
        <v>15.15</v>
      </c>
      <c r="SP272">
        <v>15.15</v>
      </c>
      <c r="SQ272">
        <v>15.15</v>
      </c>
      <c r="SR272">
        <v>15.15</v>
      </c>
      <c r="SS272">
        <v>15.15</v>
      </c>
      <c r="ST272">
        <v>15.15</v>
      </c>
      <c r="UL272">
        <v>-150</v>
      </c>
      <c r="UM272">
        <v>-382</v>
      </c>
      <c r="UN272">
        <v>-382</v>
      </c>
      <c r="UO272">
        <v>-382</v>
      </c>
      <c r="UP272">
        <v>-382</v>
      </c>
      <c r="UQ272">
        <v>-382</v>
      </c>
      <c r="UR272">
        <v>-382</v>
      </c>
      <c r="US272">
        <v>-382</v>
      </c>
      <c r="UT272">
        <v>-382</v>
      </c>
      <c r="UU272">
        <v>-382</v>
      </c>
      <c r="UV272">
        <v>-382</v>
      </c>
      <c r="UW272">
        <v>-382</v>
      </c>
      <c r="UX272">
        <v>-382</v>
      </c>
      <c r="UY272">
        <v>-382</v>
      </c>
      <c r="UZ272">
        <v>-382</v>
      </c>
      <c r="VA272">
        <v>-382</v>
      </c>
      <c r="VB272">
        <v>-382</v>
      </c>
      <c r="VC272">
        <v>-382</v>
      </c>
      <c r="VD272">
        <v>-382</v>
      </c>
      <c r="VE272">
        <v>-382</v>
      </c>
      <c r="VF272" s="1304">
        <v>-382</v>
      </c>
      <c r="VG272" s="1304">
        <v>-382</v>
      </c>
      <c r="VH272" s="1304">
        <v>-382</v>
      </c>
      <c r="VI272" s="1304">
        <v>-382</v>
      </c>
      <c r="VJ272" s="1304">
        <v>-382</v>
      </c>
      <c r="VK272">
        <v>-382</v>
      </c>
      <c r="VL272" s="1304">
        <v>-382</v>
      </c>
      <c r="VM272" s="1304">
        <v>-382</v>
      </c>
      <c r="VN272" s="1304">
        <v>-1000</v>
      </c>
      <c r="VO272" s="1304">
        <v>-1000</v>
      </c>
      <c r="VP272" s="1304">
        <v>-1000</v>
      </c>
      <c r="VQ272" s="1304">
        <v>-1000</v>
      </c>
      <c r="VR272" s="1304">
        <v>-1000</v>
      </c>
      <c r="VS272" s="1304">
        <v>-1000</v>
      </c>
      <c r="VT272" s="1304">
        <v>-1000</v>
      </c>
      <c r="VU272" s="1304">
        <v>-1000</v>
      </c>
      <c r="VV272" s="1304">
        <v>-1000</v>
      </c>
      <c r="VW272" s="1304">
        <v>-1000</v>
      </c>
      <c r="VX272" s="1304">
        <v>-1000</v>
      </c>
      <c r="VY272" s="1304">
        <v>-1000</v>
      </c>
      <c r="VZ272" s="1304">
        <v>-1000</v>
      </c>
      <c r="WA272" s="1304">
        <v>-1000</v>
      </c>
      <c r="WB272" s="1304">
        <v>-1000</v>
      </c>
      <c r="WC272" s="1304">
        <v>-1000</v>
      </c>
      <c r="WD272" s="1304">
        <v>-1000</v>
      </c>
      <c r="WE272" s="1304">
        <v>-1000</v>
      </c>
      <c r="WF272" s="1304">
        <v>-1000</v>
      </c>
      <c r="WG272" s="1304">
        <v>-1000</v>
      </c>
      <c r="WH272" s="1304">
        <v>-1000</v>
      </c>
      <c r="WI272" s="1304">
        <v>-1000</v>
      </c>
      <c r="WJ272" s="1304">
        <v>-1000</v>
      </c>
      <c r="WK272" s="1304">
        <v>-1000</v>
      </c>
      <c r="WL272" s="1304">
        <v>-1000</v>
      </c>
      <c r="WM272" s="1304">
        <v>-1000</v>
      </c>
      <c r="WN272" s="1304">
        <v>-1000</v>
      </c>
      <c r="WO272" s="1304">
        <v>-1000</v>
      </c>
      <c r="WP272" s="1304">
        <v>-1000</v>
      </c>
      <c r="WQ272" s="1304">
        <v>-1000</v>
      </c>
      <c r="WR272" s="1304">
        <v>-1000</v>
      </c>
      <c r="WS272" s="1304">
        <v>-1000</v>
      </c>
      <c r="WT272" s="1304">
        <v>-1000</v>
      </c>
      <c r="WU272" s="1304">
        <v>-1000</v>
      </c>
      <c r="WV272" s="1304">
        <v>-1000</v>
      </c>
      <c r="WW272" s="1304">
        <v>-1000</v>
      </c>
      <c r="WX272" s="1304">
        <v>-1000</v>
      </c>
      <c r="WY272" s="1304">
        <v>-1000</v>
      </c>
      <c r="WZ272" s="1304">
        <v>-1000</v>
      </c>
      <c r="XA272" s="1304">
        <v>-1000</v>
      </c>
      <c r="XB272" s="1304">
        <v>-1000</v>
      </c>
      <c r="XC272" s="1304">
        <v>-1000</v>
      </c>
      <c r="XD272" s="1304">
        <v>-1000</v>
      </c>
      <c r="XE272" s="1304">
        <v>-1000</v>
      </c>
      <c r="XF272" s="1304">
        <v>-1000</v>
      </c>
      <c r="XG272" s="1304">
        <v>-1000</v>
      </c>
      <c r="XH272" s="1304">
        <v>-1000</v>
      </c>
      <c r="XI272" s="1304">
        <v>-1000</v>
      </c>
      <c r="XJ272" s="1304">
        <v>-1000</v>
      </c>
      <c r="XK272" s="1304">
        <v>-1000</v>
      </c>
      <c r="XL272" s="1304">
        <v>-1000</v>
      </c>
      <c r="XM272" s="1304">
        <v>-1000</v>
      </c>
      <c r="XN272" s="1304">
        <v>-1000</v>
      </c>
      <c r="XO272" s="1304">
        <v>-1000</v>
      </c>
      <c r="XP272" s="1304">
        <v>-1000</v>
      </c>
      <c r="XQ272" s="1304">
        <v>-1000</v>
      </c>
      <c r="XR272" s="1304">
        <v>-1000</v>
      </c>
      <c r="XS272" s="1304">
        <v>-1000</v>
      </c>
      <c r="XT272" s="1304">
        <v>-1000</v>
      </c>
      <c r="XU272" s="1304">
        <v>-1000</v>
      </c>
      <c r="XV272" s="1304">
        <v>-1000</v>
      </c>
      <c r="XW272" s="1304">
        <v>-1000</v>
      </c>
      <c r="XX272" s="1304">
        <v>-1000</v>
      </c>
      <c r="XY272" s="1304">
        <v>-1000</v>
      </c>
      <c r="XZ272" s="1304">
        <v>-1000</v>
      </c>
      <c r="YA272" s="1304">
        <v>-1000</v>
      </c>
      <c r="YB272" s="1304">
        <v>-1000</v>
      </c>
      <c r="YC272" s="1304">
        <v>-1000</v>
      </c>
      <c r="YD272" s="1304">
        <v>-1000</v>
      </c>
      <c r="YE272" s="1304">
        <v>-1000</v>
      </c>
      <c r="YF272" s="1304">
        <v>-1000</v>
      </c>
      <c r="YG272" s="1304">
        <v>-1000</v>
      </c>
      <c r="YH272" s="1304">
        <v>-1000</v>
      </c>
      <c r="YI272" s="1304">
        <v>-1000</v>
      </c>
      <c r="YJ272" s="1304">
        <v>-1000</v>
      </c>
      <c r="YK272" s="1304">
        <v>-1000</v>
      </c>
      <c r="YL272" s="1304">
        <v>-1000</v>
      </c>
      <c r="YM272" s="1304">
        <v>-1000</v>
      </c>
      <c r="YN272" s="1304">
        <v>-1000</v>
      </c>
      <c r="YO272" s="1304">
        <v>-1000</v>
      </c>
      <c r="YP272" s="1304">
        <v>-1000</v>
      </c>
      <c r="YQ272" s="1304">
        <v>-1000</v>
      </c>
      <c r="YR272" s="1304">
        <v>-1000</v>
      </c>
      <c r="YS272" s="1304">
        <v>-1000</v>
      </c>
      <c r="YT272" s="1304">
        <v>-1000</v>
      </c>
      <c r="YU272" s="1304">
        <v>-1000</v>
      </c>
      <c r="YV272" s="1304">
        <v>-1000</v>
      </c>
      <c r="YW272" s="1304">
        <v>-1000</v>
      </c>
      <c r="YX272" s="1304">
        <v>-1000</v>
      </c>
      <c r="YY272" s="1304">
        <v>-1000</v>
      </c>
      <c r="YZ272" s="1304">
        <v>-1000</v>
      </c>
      <c r="ZA272" s="1304">
        <v>-1000</v>
      </c>
      <c r="ZB272" s="1304">
        <v>-1000</v>
      </c>
      <c r="ZC272" s="1304">
        <v>-1000</v>
      </c>
      <c r="ZD272" s="1304">
        <v>-1000</v>
      </c>
      <c r="ZE272" s="1304">
        <v>-1000</v>
      </c>
      <c r="ZF272" s="1304">
        <v>-1000</v>
      </c>
      <c r="ZG272" s="1304">
        <v>-1000</v>
      </c>
      <c r="ZH272" s="1304">
        <v>-1000</v>
      </c>
      <c r="ZI272" s="1304">
        <v>-1000</v>
      </c>
      <c r="ZJ272" s="1304">
        <v>-1000</v>
      </c>
      <c r="ZK272" s="1304">
        <v>-1000</v>
      </c>
      <c r="ZL272" s="1304">
        <v>-1000</v>
      </c>
      <c r="ZM272" s="1304">
        <v>-1000</v>
      </c>
      <c r="ZN272" s="1304">
        <v>-1000</v>
      </c>
      <c r="ZO272" s="1304">
        <v>-1000</v>
      </c>
      <c r="ZP272" s="1304">
        <v>-1000</v>
      </c>
      <c r="ZQ272" s="1304">
        <v>-1000</v>
      </c>
      <c r="ZR272" s="1304">
        <v>-1000</v>
      </c>
      <c r="ZS272" s="1304">
        <v>-1000</v>
      </c>
      <c r="ZT272" s="1304">
        <v>-1000</v>
      </c>
      <c r="ZU272" s="1304">
        <v>-1000</v>
      </c>
      <c r="ZV272" s="1304">
        <v>-1000</v>
      </c>
      <c r="ZW272" s="1304">
        <v>-1000</v>
      </c>
      <c r="ZX272" s="1304">
        <v>-1000</v>
      </c>
      <c r="ZY272" s="1304">
        <v>-4000</v>
      </c>
      <c r="ZZ272" s="1304">
        <v>-4000</v>
      </c>
      <c r="AAA272" s="1304">
        <v>-4000</v>
      </c>
      <c r="AAB272" s="1304">
        <v>-4000</v>
      </c>
      <c r="AAC272" s="1304">
        <v>-4000</v>
      </c>
      <c r="AAD272" s="1304">
        <v>-4000</v>
      </c>
      <c r="AAE272" s="1304">
        <v>-4000</v>
      </c>
      <c r="AAF272" s="1304">
        <v>-4000</v>
      </c>
      <c r="AAG272" s="1304">
        <v>-4000</v>
      </c>
      <c r="AAH272" s="1304">
        <v>-4000</v>
      </c>
      <c r="AAI272" s="1304">
        <v>-4000</v>
      </c>
      <c r="AAJ272" s="1304">
        <v>-4000</v>
      </c>
      <c r="AAK272" s="1304">
        <v>-4000</v>
      </c>
      <c r="AAL272" s="1304">
        <v>-4000</v>
      </c>
      <c r="AAM272" s="1304">
        <v>-4000</v>
      </c>
      <c r="AAN272" s="1304">
        <v>-4000</v>
      </c>
      <c r="AAO272" s="1304">
        <v>-4000</v>
      </c>
      <c r="AAP272" s="1304">
        <v>-4000</v>
      </c>
      <c r="AAQ272" s="1304">
        <v>-4000</v>
      </c>
      <c r="AAR272" s="1304">
        <v>-4000</v>
      </c>
      <c r="AAS272" s="1304">
        <v>-4000</v>
      </c>
      <c r="AAT272" s="1304">
        <v>-4000</v>
      </c>
      <c r="AAU272" s="1304">
        <v>-4000</v>
      </c>
      <c r="AAV272" s="1304">
        <v>-4000</v>
      </c>
      <c r="AAW272" s="1304">
        <v>-4000</v>
      </c>
      <c r="AAX272" s="1304">
        <v>-4000</v>
      </c>
      <c r="AAY272" s="1304">
        <v>-4000</v>
      </c>
      <c r="AAZ272" s="1304">
        <v>-4000</v>
      </c>
      <c r="ABA272" s="1304">
        <v>-4000</v>
      </c>
      <c r="ABB272" s="1304">
        <v>-4000</v>
      </c>
      <c r="ABC272" s="1304">
        <v>-4000</v>
      </c>
      <c r="ABD272" s="1304">
        <v>-4000</v>
      </c>
      <c r="ABE272" s="1304">
        <v>-4000</v>
      </c>
      <c r="ABF272" s="1304">
        <v>-4000</v>
      </c>
      <c r="ABG272" s="1304">
        <v>-4000</v>
      </c>
      <c r="ABH272" s="1304">
        <v>-4000</v>
      </c>
      <c r="ABI272" s="1304">
        <v>-4000</v>
      </c>
      <c r="ABJ272" s="1304">
        <v>-4000</v>
      </c>
      <c r="ABK272" s="1304">
        <v>-4000</v>
      </c>
      <c r="ABL272" s="1304">
        <v>-4000</v>
      </c>
      <c r="ABM272" s="1304">
        <v>-4000</v>
      </c>
      <c r="ABN272" s="1304">
        <v>-4000</v>
      </c>
      <c r="ABO272" s="1304">
        <v>-4000</v>
      </c>
      <c r="ABP272" s="1304">
        <v>-4000</v>
      </c>
      <c r="ABQ272" s="1304">
        <v>-4000</v>
      </c>
      <c r="ABR272" s="1304">
        <v>-4000</v>
      </c>
      <c r="ABS272" s="1304">
        <v>-4000</v>
      </c>
      <c r="ABT272" s="1304">
        <v>-4000</v>
      </c>
      <c r="ABU272" s="1304">
        <v>-4000</v>
      </c>
      <c r="ABV272" s="1304">
        <v>-4000</v>
      </c>
      <c r="ABW272" s="1304">
        <v>-4000</v>
      </c>
      <c r="ABX272" s="1304">
        <v>-4000</v>
      </c>
      <c r="ABY272" s="1304">
        <v>-4000</v>
      </c>
      <c r="ABZ272" s="1304">
        <v>-4000</v>
      </c>
      <c r="ACA272" s="1304">
        <v>-4000</v>
      </c>
      <c r="ACB272" s="1304">
        <v>-4000</v>
      </c>
      <c r="ACC272" s="1304">
        <v>-4000</v>
      </c>
      <c r="ACD272" s="1304">
        <v>-4000</v>
      </c>
      <c r="ACE272" s="1304">
        <v>-4000</v>
      </c>
      <c r="ACF272" s="1304">
        <v>-4000</v>
      </c>
      <c r="ACG272" s="1304">
        <v>-4000</v>
      </c>
      <c r="ACH272" s="1304">
        <v>-4000</v>
      </c>
      <c r="ACI272" s="1304">
        <v>-4000</v>
      </c>
      <c r="ACJ272" s="1304">
        <v>-4000</v>
      </c>
      <c r="ACK272" s="1304">
        <v>-4000</v>
      </c>
      <c r="ACL272" s="1304">
        <v>-4000</v>
      </c>
      <c r="ACM272" s="1304">
        <v>-4000</v>
      </c>
      <c r="ACN272" s="1304">
        <v>-4000</v>
      </c>
      <c r="ACO272" s="1304">
        <v>-4000</v>
      </c>
      <c r="ACP272" s="1304">
        <v>-4000</v>
      </c>
      <c r="ACQ272" s="1304">
        <v>-4000</v>
      </c>
      <c r="ACR272" s="1304">
        <v>-4000</v>
      </c>
      <c r="ACS272" s="1304">
        <v>-4000</v>
      </c>
      <c r="ACT272" s="1304">
        <v>-4000</v>
      </c>
      <c r="ACU272" s="1304">
        <v>-4000</v>
      </c>
      <c r="ACV272" s="1304">
        <v>-4000</v>
      </c>
      <c r="ACW272" s="1304">
        <v>-4000</v>
      </c>
      <c r="ACX272" s="1304">
        <v>-4000</v>
      </c>
      <c r="ACY272" s="1304">
        <v>-4000</v>
      </c>
      <c r="ACZ272" s="1304">
        <v>-4000</v>
      </c>
      <c r="ADA272" s="1304">
        <v>-4000</v>
      </c>
      <c r="ADB272" s="1304">
        <v>-4000</v>
      </c>
      <c r="ADC272" s="1304">
        <v>-4000</v>
      </c>
      <c r="ADD272" s="1304">
        <v>-4000</v>
      </c>
      <c r="ADE272" s="1304">
        <v>-4000</v>
      </c>
      <c r="ADF272" s="1304">
        <v>-4000</v>
      </c>
      <c r="ADG272" s="1304">
        <v>-4000</v>
      </c>
      <c r="ADH272" s="1304">
        <v>-4000</v>
      </c>
      <c r="ADI272" s="1304">
        <v>-4000</v>
      </c>
      <c r="ADJ272" s="1304">
        <v>-4000</v>
      </c>
      <c r="ADK272" s="1304">
        <v>-4000</v>
      </c>
      <c r="ADL272" s="1304">
        <v>-4000</v>
      </c>
      <c r="ADM272" s="1304">
        <v>-4000</v>
      </c>
      <c r="ADN272" s="1304">
        <v>-4000</v>
      </c>
      <c r="ADO272" s="1304">
        <v>-4000</v>
      </c>
      <c r="ADP272" s="1304">
        <v>-4000</v>
      </c>
      <c r="ADQ272" s="1304">
        <v>-4000</v>
      </c>
      <c r="ADR272" s="1304">
        <f>-5000-2738+1089</f>
        <v>-6649</v>
      </c>
      <c r="ADS272" s="1304">
        <v>-6649</v>
      </c>
      <c r="ADT272" s="1304">
        <v>-6649</v>
      </c>
      <c r="ADU272" s="1304">
        <v>-6649</v>
      </c>
      <c r="ADV272" s="1304">
        <v>-6649</v>
      </c>
      <c r="ADW272" s="1304">
        <f>-6649-370</f>
        <v>-7019</v>
      </c>
      <c r="ADX272" s="1304">
        <v>-7019</v>
      </c>
      <c r="ADY272" s="1304">
        <v>-7019</v>
      </c>
      <c r="ADZ272" s="1304">
        <f>-7019+257</f>
        <v>-6762</v>
      </c>
      <c r="AEA272" s="1304">
        <f>-6762-257</f>
        <v>-7019</v>
      </c>
      <c r="AEB272" s="1304">
        <f>-7019-350</f>
        <v>-7369</v>
      </c>
      <c r="AEC272" s="1304">
        <f>-7369-300</f>
        <v>-7669</v>
      </c>
      <c r="AED272" s="1304">
        <v>-7669</v>
      </c>
      <c r="AEE272" s="1304">
        <f>-7669-200</f>
        <v>-7869</v>
      </c>
      <c r="AEF272" s="1304">
        <v>-7869</v>
      </c>
      <c r="AEG272" s="1304">
        <f>-7869-700</f>
        <v>-8569</v>
      </c>
      <c r="AEH272" s="1304">
        <f>-8569-130</f>
        <v>-8699</v>
      </c>
      <c r="AEI272" s="1304">
        <f>-8699-650</f>
        <v>-9349</v>
      </c>
      <c r="AJT272">
        <v>15.15</v>
      </c>
      <c r="AJU272">
        <v>15.15</v>
      </c>
      <c r="AJV272">
        <v>15.15</v>
      </c>
      <c r="AJW272">
        <v>15.15</v>
      </c>
      <c r="AJX272">
        <v>15.15</v>
      </c>
      <c r="AJY272">
        <v>15.15</v>
      </c>
      <c r="AJZ272">
        <v>15.15</v>
      </c>
      <c r="AKA272">
        <v>15.15</v>
      </c>
      <c r="AKB272">
        <v>15.15</v>
      </c>
    </row>
    <row r="273" spans="2:964">
      <c r="J273">
        <v>33</v>
      </c>
      <c r="O273">
        <v>450</v>
      </c>
      <c r="NY273">
        <v>17.7</v>
      </c>
      <c r="NZ273">
        <v>1233.3</v>
      </c>
      <c r="OA273">
        <v>1164.8</v>
      </c>
      <c r="OB273">
        <v>1116.1500000000001</v>
      </c>
      <c r="OC273">
        <v>969.9</v>
      </c>
      <c r="OD273">
        <v>885.3</v>
      </c>
      <c r="OE273">
        <v>560.5</v>
      </c>
      <c r="OF273">
        <v>1244.9000000000001</v>
      </c>
      <c r="OG273">
        <v>2755</v>
      </c>
      <c r="OH273">
        <v>2822.5</v>
      </c>
      <c r="OI273">
        <v>2741.3</v>
      </c>
      <c r="OJ273">
        <v>2595.1</v>
      </c>
      <c r="OK273">
        <v>2695.8</v>
      </c>
      <c r="OL273">
        <v>2560.8000000000002</v>
      </c>
      <c r="OM273">
        <v>2442.6999999999998</v>
      </c>
      <c r="ON273">
        <v>2291</v>
      </c>
      <c r="OO273">
        <v>-88.16</v>
      </c>
      <c r="OP273">
        <f>-5074.8+100</f>
        <v>-4974.8</v>
      </c>
      <c r="OQ273">
        <v>-4874.7</v>
      </c>
      <c r="OR273">
        <v>-4874.7</v>
      </c>
      <c r="OS273">
        <v>-4774.7</v>
      </c>
      <c r="OT273">
        <v>-4551.3</v>
      </c>
      <c r="OU273">
        <v>-4516</v>
      </c>
      <c r="OV273">
        <v>-4416.6000000000004</v>
      </c>
      <c r="OW273">
        <v>-4208.6000000000004</v>
      </c>
      <c r="OX273">
        <v>-3897.3</v>
      </c>
      <c r="OY273">
        <v>17.8</v>
      </c>
      <c r="OZ273">
        <v>35.299999999999997</v>
      </c>
      <c r="PA273">
        <v>35.299999999999997</v>
      </c>
      <c r="PB273">
        <v>35.299999999999997</v>
      </c>
      <c r="PC273">
        <v>35.299999999999997</v>
      </c>
      <c r="PJ273">
        <v>16.5</v>
      </c>
      <c r="PK273">
        <v>16.5</v>
      </c>
      <c r="PL273">
        <v>16.5</v>
      </c>
      <c r="PU273">
        <v>-30</v>
      </c>
      <c r="QO273">
        <v>-70</v>
      </c>
      <c r="RS273">
        <v>2.7</v>
      </c>
      <c r="RT273">
        <v>2.7</v>
      </c>
      <c r="RU273">
        <v>2.7</v>
      </c>
      <c r="RV273">
        <v>0.7</v>
      </c>
      <c r="RW273">
        <v>0.7</v>
      </c>
      <c r="RX273">
        <v>0.7</v>
      </c>
      <c r="RY273">
        <v>0.7</v>
      </c>
      <c r="RZ273">
        <v>0.7</v>
      </c>
      <c r="SA273">
        <v>0.7</v>
      </c>
      <c r="SB273">
        <v>0.7</v>
      </c>
      <c r="SC273">
        <v>0.7</v>
      </c>
      <c r="SD273">
        <v>0.7</v>
      </c>
      <c r="SE273">
        <v>0.7</v>
      </c>
      <c r="SF273">
        <v>0.7</v>
      </c>
      <c r="SG273">
        <v>0.7</v>
      </c>
      <c r="SH273">
        <v>0.7</v>
      </c>
      <c r="TY273">
        <v>-170</v>
      </c>
      <c r="TZ273">
        <v>-170</v>
      </c>
      <c r="UA273">
        <v>-170</v>
      </c>
      <c r="UB273">
        <v>-170</v>
      </c>
      <c r="UC273">
        <v>-170</v>
      </c>
      <c r="UD273">
        <v>-170</v>
      </c>
      <c r="UE273">
        <v>-170</v>
      </c>
      <c r="UF273">
        <v>-170</v>
      </c>
      <c r="UG273">
        <v>-170</v>
      </c>
      <c r="UH273">
        <v>-170</v>
      </c>
      <c r="UI273">
        <v>-170</v>
      </c>
      <c r="UJ273">
        <v>-170</v>
      </c>
      <c r="UK273">
        <v>-170</v>
      </c>
      <c r="UL273">
        <v>-170</v>
      </c>
      <c r="UM273">
        <v>-170</v>
      </c>
      <c r="UN273">
        <v>-170</v>
      </c>
      <c r="UO273">
        <v>-170</v>
      </c>
      <c r="UP273">
        <v>-170</v>
      </c>
      <c r="UQ273">
        <v>-170</v>
      </c>
      <c r="UR273">
        <v>-170</v>
      </c>
      <c r="US273">
        <v>-170</v>
      </c>
      <c r="UT273">
        <v>-170</v>
      </c>
      <c r="UU273">
        <v>-170</v>
      </c>
      <c r="UV273">
        <v>-170</v>
      </c>
      <c r="UW273">
        <v>-170</v>
      </c>
      <c r="UX273">
        <v>-170</v>
      </c>
      <c r="UY273">
        <v>-170</v>
      </c>
      <c r="UZ273">
        <v>-170</v>
      </c>
      <c r="VA273">
        <v>-170</v>
      </c>
      <c r="VB273">
        <v>-170</v>
      </c>
      <c r="VC273">
        <v>-170</v>
      </c>
      <c r="VD273">
        <v>-170</v>
      </c>
      <c r="VE273">
        <v>-170</v>
      </c>
      <c r="VF273" s="1304">
        <v>-170</v>
      </c>
      <c r="VG273" s="1304">
        <v>-170</v>
      </c>
      <c r="VH273" s="1304">
        <v>-170</v>
      </c>
      <c r="VI273" s="1304">
        <v>-170</v>
      </c>
      <c r="VJ273" s="1304">
        <v>-170</v>
      </c>
      <c r="VK273">
        <v>-170</v>
      </c>
      <c r="VL273" s="1304">
        <v>-170</v>
      </c>
      <c r="VM273" s="1304">
        <v>-170</v>
      </c>
      <c r="VN273" s="1304">
        <v>-382</v>
      </c>
      <c r="VO273" s="1304">
        <v>-382</v>
      </c>
      <c r="VP273" s="1304">
        <v>-382</v>
      </c>
      <c r="VQ273" s="1304">
        <v>-382</v>
      </c>
      <c r="VR273" s="1304">
        <v>-382</v>
      </c>
      <c r="VS273" s="1304">
        <v>-382</v>
      </c>
      <c r="VT273" s="1304">
        <v>-382</v>
      </c>
      <c r="VU273" s="1304">
        <v>-382</v>
      </c>
      <c r="VV273" s="1304">
        <v>-382</v>
      </c>
      <c r="VW273" s="1304">
        <v>-382</v>
      </c>
      <c r="VX273" s="1304">
        <v>-382</v>
      </c>
      <c r="VY273" s="1304">
        <v>-382</v>
      </c>
      <c r="VZ273" s="1304">
        <v>-382</v>
      </c>
      <c r="WA273" s="1304">
        <v>-382</v>
      </c>
      <c r="WB273" s="1304">
        <v>-382</v>
      </c>
      <c r="WC273" s="1304">
        <v>-382</v>
      </c>
      <c r="WD273" s="1304">
        <v>-382</v>
      </c>
      <c r="WE273" s="1304">
        <v>-382</v>
      </c>
      <c r="WF273" s="1304">
        <v>-382</v>
      </c>
      <c r="WG273" s="1304">
        <v>-382</v>
      </c>
      <c r="WH273" s="1304">
        <v>-382</v>
      </c>
      <c r="WI273" s="1304">
        <v>-382</v>
      </c>
      <c r="WJ273" s="1304">
        <v>-382</v>
      </c>
      <c r="WK273" s="1304">
        <v>-382</v>
      </c>
      <c r="WL273" s="1304">
        <v>-382</v>
      </c>
      <c r="WM273" s="1304">
        <v>-382</v>
      </c>
      <c r="WN273" s="1304">
        <v>-382</v>
      </c>
      <c r="WO273" s="1304">
        <v>-382</v>
      </c>
      <c r="WP273" s="1304">
        <v>-382</v>
      </c>
      <c r="WQ273" s="1304">
        <v>-382</v>
      </c>
      <c r="WR273" s="1304">
        <v>-382</v>
      </c>
      <c r="WS273" s="1304">
        <v>-382</v>
      </c>
      <c r="WT273" s="1304">
        <v>-382</v>
      </c>
      <c r="WU273" s="1304">
        <v>-382</v>
      </c>
      <c r="WV273" s="1304">
        <v>-382</v>
      </c>
      <c r="WW273" s="1304">
        <v>-382</v>
      </c>
      <c r="WX273" s="1304">
        <v>-382</v>
      </c>
      <c r="WY273" s="1304">
        <v>-382</v>
      </c>
      <c r="WZ273" s="1304">
        <v>-382</v>
      </c>
      <c r="XA273" s="1304">
        <v>-382</v>
      </c>
      <c r="XB273" s="1304">
        <v>-382</v>
      </c>
      <c r="XC273" s="1304">
        <v>-382</v>
      </c>
      <c r="XD273" s="1304">
        <v>-382</v>
      </c>
      <c r="XE273" s="1304">
        <v>-382</v>
      </c>
      <c r="XF273" s="1304">
        <v>-382</v>
      </c>
      <c r="XG273" s="1304">
        <v>-382</v>
      </c>
      <c r="XH273" s="1304">
        <v>-382</v>
      </c>
      <c r="XI273" s="1304">
        <v>-382</v>
      </c>
      <c r="XJ273" s="1304">
        <v>-382</v>
      </c>
      <c r="XK273" s="1304">
        <v>-382</v>
      </c>
      <c r="XL273" s="1304">
        <v>-382</v>
      </c>
      <c r="XM273" s="1304">
        <v>-382</v>
      </c>
      <c r="XN273" s="1304">
        <v>-382</v>
      </c>
      <c r="XO273" s="1304">
        <v>-377</v>
      </c>
      <c r="XP273" s="1304">
        <v>-377</v>
      </c>
      <c r="XQ273" s="1304">
        <v>-377</v>
      </c>
      <c r="XR273" s="1304">
        <v>-377</v>
      </c>
      <c r="XS273" s="1304">
        <v>-377</v>
      </c>
      <c r="XT273" s="1304">
        <v>-377</v>
      </c>
      <c r="XU273" s="1304">
        <v>-377</v>
      </c>
      <c r="XV273" s="1304">
        <v>-377</v>
      </c>
      <c r="XW273" s="1304">
        <v>-377</v>
      </c>
      <c r="XX273" s="1304">
        <v>-377</v>
      </c>
      <c r="XY273" s="1304">
        <v>-377</v>
      </c>
      <c r="XZ273" s="1304">
        <v>-377</v>
      </c>
      <c r="YA273" s="1304">
        <v>-377</v>
      </c>
      <c r="YB273" s="1304">
        <v>-376</v>
      </c>
      <c r="YC273" s="1304">
        <v>-376</v>
      </c>
      <c r="YD273" s="1304">
        <v>-376</v>
      </c>
      <c r="YE273" s="1304">
        <v>-376</v>
      </c>
      <c r="YF273" s="1304">
        <v>-376</v>
      </c>
      <c r="YG273" s="1304">
        <v>-376</v>
      </c>
      <c r="YH273" s="1304">
        <v>-376</v>
      </c>
      <c r="YI273" s="1304">
        <v>-376</v>
      </c>
      <c r="YJ273" s="1304">
        <v>-376</v>
      </c>
      <c r="YK273" s="1304">
        <v>-376</v>
      </c>
      <c r="YL273" s="1304">
        <v>-376</v>
      </c>
      <c r="YM273" s="1304">
        <v>-376</v>
      </c>
      <c r="YN273" s="1304">
        <v>-376</v>
      </c>
      <c r="YO273" s="1304">
        <v>-376</v>
      </c>
      <c r="YP273" s="1304">
        <v>-376</v>
      </c>
      <c r="YQ273" s="1304">
        <v>-376</v>
      </c>
      <c r="YR273" s="1304">
        <v>-376</v>
      </c>
      <c r="YS273" s="1304">
        <v>-376</v>
      </c>
      <c r="YT273" s="1304">
        <v>-376</v>
      </c>
      <c r="YU273" s="1304">
        <v>-376</v>
      </c>
      <c r="YV273" s="1304">
        <v>-376</v>
      </c>
      <c r="YW273" s="1304">
        <v>-376</v>
      </c>
      <c r="YX273" s="1304">
        <v>-376</v>
      </c>
      <c r="YY273" s="1304">
        <v>-376</v>
      </c>
      <c r="YZ273" s="1304">
        <v>-376</v>
      </c>
      <c r="ZA273" s="1304">
        <v>-376</v>
      </c>
      <c r="ZB273" s="1304">
        <v>-376</v>
      </c>
      <c r="ZC273" s="1304">
        <v>-376</v>
      </c>
      <c r="ZD273" s="1304">
        <v>-376</v>
      </c>
      <c r="ZE273" s="1304">
        <v>-376</v>
      </c>
      <c r="ZF273" s="1304">
        <v>-376</v>
      </c>
      <c r="ZG273" s="1304">
        <v>-376</v>
      </c>
      <c r="ZH273" s="1304">
        <v>-376</v>
      </c>
      <c r="ZI273" s="1304">
        <v>-376</v>
      </c>
      <c r="ZJ273" s="1304">
        <v>-376</v>
      </c>
      <c r="ZK273" s="1304">
        <v>-376</v>
      </c>
      <c r="ZL273" s="1304">
        <v>-376</v>
      </c>
      <c r="ZM273" s="1304">
        <v>-376</v>
      </c>
      <c r="ZN273" s="1304">
        <v>-376</v>
      </c>
      <c r="ZO273" s="1304">
        <v>-376</v>
      </c>
      <c r="ZP273" s="1304">
        <v>-376</v>
      </c>
      <c r="ZQ273" s="1304">
        <v>-376</v>
      </c>
      <c r="ZR273" s="1304">
        <v>-376</v>
      </c>
      <c r="ZS273" s="1304">
        <v>-376</v>
      </c>
      <c r="ZT273" s="1304">
        <v>-376</v>
      </c>
      <c r="ZU273" s="1304">
        <v>-376</v>
      </c>
      <c r="ZV273" s="1304">
        <v>-376</v>
      </c>
      <c r="ZW273" s="1304">
        <v>-376</v>
      </c>
      <c r="ZX273" s="1304">
        <f>-376-80</f>
        <v>-456</v>
      </c>
      <c r="ZY273" s="1304">
        <v>-456</v>
      </c>
      <c r="ZZ273" s="1304">
        <v>-456</v>
      </c>
      <c r="AAA273" s="1304">
        <v>-456</v>
      </c>
      <c r="AAB273" s="1304">
        <v>-456</v>
      </c>
      <c r="AAC273" s="1304">
        <v>-456</v>
      </c>
      <c r="AAD273" s="1304">
        <v>-456</v>
      </c>
      <c r="AAE273" s="1304">
        <v>-456</v>
      </c>
      <c r="AAF273" s="1304">
        <v>-456</v>
      </c>
      <c r="AAG273" s="1304">
        <v>-456</v>
      </c>
      <c r="AAH273" s="1304">
        <v>-456</v>
      </c>
      <c r="AAI273" s="1304">
        <v>-456</v>
      </c>
      <c r="AAJ273" s="1304">
        <v>-456</v>
      </c>
      <c r="AAK273" s="1304">
        <v>-456</v>
      </c>
      <c r="AAL273" s="1304">
        <v>-456</v>
      </c>
      <c r="AAM273" s="1304">
        <v>-456</v>
      </c>
      <c r="AAN273" s="1304">
        <v>-456</v>
      </c>
      <c r="AAO273" s="1304">
        <v>-456</v>
      </c>
      <c r="AAP273" s="1304">
        <v>-456</v>
      </c>
      <c r="AAQ273" s="1304">
        <v>-456</v>
      </c>
      <c r="AAR273" s="1304">
        <v>-456</v>
      </c>
      <c r="AAS273" s="1304">
        <v>-456</v>
      </c>
      <c r="AAT273" s="1304">
        <v>-456</v>
      </c>
      <c r="AAU273" s="1304">
        <v>-456</v>
      </c>
      <c r="AAV273" s="1304">
        <v>-456</v>
      </c>
      <c r="AAW273" s="1304">
        <v>-456</v>
      </c>
      <c r="AAX273" s="1304">
        <v>-456</v>
      </c>
      <c r="AAY273" s="1304">
        <v>-456</v>
      </c>
      <c r="AAZ273" s="1304">
        <v>-456</v>
      </c>
      <c r="ABA273" s="1304">
        <v>-456</v>
      </c>
      <c r="ABB273" s="1304">
        <v>-456</v>
      </c>
      <c r="ABC273" s="1304">
        <v>-456</v>
      </c>
      <c r="ABD273" s="1304">
        <v>-456</v>
      </c>
      <c r="ABE273" s="1304">
        <v>-456</v>
      </c>
      <c r="ABF273" s="1304">
        <v>-456</v>
      </c>
      <c r="ABG273" s="1304">
        <v>-456</v>
      </c>
      <c r="ABH273" s="1304">
        <v>-456</v>
      </c>
      <c r="ABI273" s="1304">
        <v>-456</v>
      </c>
      <c r="ABJ273" s="1304">
        <v>-456</v>
      </c>
      <c r="ABK273" s="1304">
        <v>-456</v>
      </c>
      <c r="ABL273" s="1304">
        <v>-456</v>
      </c>
      <c r="ABM273" s="1304">
        <v>-456</v>
      </c>
      <c r="ABN273" s="1304">
        <v>-456</v>
      </c>
      <c r="ABO273" s="1304">
        <v>-456</v>
      </c>
      <c r="ABP273" s="1304">
        <v>-456</v>
      </c>
      <c r="ABQ273" s="1304">
        <v>-456</v>
      </c>
      <c r="ABR273" s="1304">
        <v>-456</v>
      </c>
      <c r="ABS273" s="1304">
        <v>-456</v>
      </c>
      <c r="ABT273" s="1304">
        <v>-456</v>
      </c>
      <c r="ABU273" s="1304">
        <v>-456</v>
      </c>
      <c r="ABV273" s="1304">
        <v>-456</v>
      </c>
      <c r="ABW273" s="1304">
        <v>-456</v>
      </c>
      <c r="ABX273" s="1304">
        <v>-456</v>
      </c>
      <c r="ABY273" s="1304">
        <v>-456</v>
      </c>
      <c r="ABZ273" s="1304">
        <v>-456</v>
      </c>
      <c r="ACA273" s="1304">
        <v>-456</v>
      </c>
      <c r="ACB273" s="1304">
        <v>-456</v>
      </c>
      <c r="ACC273" s="1304">
        <v>-456</v>
      </c>
      <c r="ACD273" s="1304">
        <v>-456</v>
      </c>
      <c r="ACE273" s="1304">
        <v>-456</v>
      </c>
      <c r="ACF273" s="1304">
        <v>-456</v>
      </c>
      <c r="ACG273" s="1304">
        <v>-456</v>
      </c>
      <c r="ACH273" s="1304">
        <v>-456</v>
      </c>
      <c r="ACI273" s="1304">
        <v>-456</v>
      </c>
      <c r="ACJ273" s="1304">
        <v>-456</v>
      </c>
      <c r="ACK273" s="1304">
        <v>-456</v>
      </c>
      <c r="ACL273" s="1304">
        <v>-456</v>
      </c>
      <c r="ACM273" s="1304">
        <v>-456</v>
      </c>
      <c r="ACN273" s="1304">
        <v>-456</v>
      </c>
      <c r="ACO273" s="1304">
        <v>-456</v>
      </c>
      <c r="ACP273" s="1304">
        <v>-456</v>
      </c>
      <c r="ACQ273" s="1304">
        <v>-456</v>
      </c>
      <c r="ACR273" s="1304">
        <v>-456</v>
      </c>
      <c r="ACS273" s="1304">
        <v>-456</v>
      </c>
      <c r="ACT273" s="1304">
        <v>-456</v>
      </c>
      <c r="ACU273" s="1304">
        <v>-456</v>
      </c>
      <c r="ACV273" s="1304">
        <v>-456</v>
      </c>
      <c r="ACW273" s="1304">
        <v>-456</v>
      </c>
      <c r="ACX273" s="1304">
        <v>-456</v>
      </c>
      <c r="ACY273" s="1304">
        <v>-456</v>
      </c>
      <c r="ACZ273" s="1304">
        <v>-456</v>
      </c>
      <c r="ADA273" s="1304">
        <v>-456</v>
      </c>
      <c r="ADB273" s="1304">
        <v>-456</v>
      </c>
      <c r="ADC273" s="1304">
        <v>-456</v>
      </c>
      <c r="ADD273" s="1304">
        <v>-456</v>
      </c>
      <c r="ADE273" s="1304">
        <v>-456</v>
      </c>
      <c r="ADF273" s="1304">
        <v>-456</v>
      </c>
      <c r="ADG273" s="1304">
        <v>-456</v>
      </c>
      <c r="ADH273" s="1304">
        <v>-456</v>
      </c>
      <c r="ADI273" s="1304">
        <v>-456</v>
      </c>
      <c r="ADJ273" s="1304">
        <v>-456</v>
      </c>
      <c r="ADK273" s="1304">
        <v>-456</v>
      </c>
      <c r="ADL273" s="1304">
        <v>-456</v>
      </c>
      <c r="ADM273" s="1304">
        <v>-456</v>
      </c>
      <c r="ADN273" s="1304">
        <v>-456</v>
      </c>
      <c r="ADO273" s="1304">
        <v>-456</v>
      </c>
      <c r="ADP273" s="1304">
        <v>-456</v>
      </c>
      <c r="ADQ273" s="1304">
        <v>-456</v>
      </c>
      <c r="ADR273" s="1304">
        <v>-456</v>
      </c>
      <c r="ADS273" s="1304">
        <v>-456</v>
      </c>
      <c r="ADT273" s="1304">
        <v>-456</v>
      </c>
      <c r="ADU273" s="1304">
        <v>-456</v>
      </c>
      <c r="ADV273" s="1304">
        <v>-456</v>
      </c>
      <c r="ADW273" s="1304">
        <v>-456</v>
      </c>
      <c r="ADX273" s="1304">
        <v>-456</v>
      </c>
      <c r="ADY273" s="1304">
        <v>-456</v>
      </c>
      <c r="ADZ273" s="1304">
        <v>-456</v>
      </c>
      <c r="AEA273" s="1304">
        <v>-456</v>
      </c>
      <c r="AEB273" s="1304">
        <v>-456</v>
      </c>
      <c r="AEC273" s="1304">
        <v>-456</v>
      </c>
      <c r="AED273" s="1304">
        <v>-456</v>
      </c>
      <c r="AEE273" s="1304">
        <v>-456</v>
      </c>
      <c r="AEF273" s="1304">
        <v>-456</v>
      </c>
      <c r="AEG273" s="1304">
        <v>-456</v>
      </c>
      <c r="AEH273" s="1304">
        <v>-456</v>
      </c>
      <c r="AEI273" s="1304">
        <v>-456</v>
      </c>
    </row>
    <row r="274" spans="2:964">
      <c r="J274">
        <v>18</v>
      </c>
      <c r="O274">
        <v>174</v>
      </c>
      <c r="OO274">
        <v>2223.4</v>
      </c>
      <c r="OP274">
        <v>-88.16</v>
      </c>
      <c r="OQ274">
        <v>-88.16</v>
      </c>
      <c r="OR274">
        <v>-88.16</v>
      </c>
      <c r="OS274">
        <v>-88.16</v>
      </c>
      <c r="OT274">
        <v>-88.16</v>
      </c>
      <c r="OU274">
        <v>-88.16</v>
      </c>
      <c r="OV274">
        <v>-88.16</v>
      </c>
      <c r="OW274">
        <v>-88.16</v>
      </c>
      <c r="OX274">
        <v>-88.16</v>
      </c>
      <c r="OY274">
        <v>-3897.3</v>
      </c>
      <c r="OZ274">
        <v>-5350.5</v>
      </c>
      <c r="PA274">
        <v>-5277.3</v>
      </c>
      <c r="PB274">
        <v>-5133.3</v>
      </c>
      <c r="PC274">
        <v>-4709.5</v>
      </c>
      <c r="PD274">
        <v>-5114.3</v>
      </c>
      <c r="PE274">
        <v>-6091.6</v>
      </c>
      <c r="PF274">
        <v>-5938.6</v>
      </c>
      <c r="PG274">
        <v>-5748</v>
      </c>
      <c r="PH274">
        <v>-5582</v>
      </c>
      <c r="PI274">
        <v>-5295.4</v>
      </c>
      <c r="PJ274">
        <v>-5295.4</v>
      </c>
      <c r="PK274">
        <v>-5145.3999999999996</v>
      </c>
      <c r="PL274">
        <v>-6132.55</v>
      </c>
      <c r="PM274">
        <v>-6010.55</v>
      </c>
      <c r="PN274">
        <v>-5908.4</v>
      </c>
      <c r="PO274">
        <v>-5908.4</v>
      </c>
      <c r="PP274">
        <v>-5693.1</v>
      </c>
      <c r="PQ274">
        <v>-5543.1</v>
      </c>
      <c r="PR274">
        <v>-5333</v>
      </c>
      <c r="PS274">
        <v>-5200</v>
      </c>
      <c r="PT274">
        <v>-5098.6000000000004</v>
      </c>
      <c r="PU274">
        <v>-4968.6000000000004</v>
      </c>
      <c r="PV274">
        <v>-4821.6000000000004</v>
      </c>
      <c r="PW274">
        <v>-5951</v>
      </c>
      <c r="PX274">
        <v>-5730.8</v>
      </c>
      <c r="PY274">
        <v>-5513.3</v>
      </c>
      <c r="PZ274">
        <v>-5466.9</v>
      </c>
      <c r="QA274">
        <v>-5286.9</v>
      </c>
      <c r="QB274">
        <v>-5186.8999999999996</v>
      </c>
      <c r="QC274">
        <v>-5050.1000000000004</v>
      </c>
      <c r="QD274">
        <v>-4933</v>
      </c>
      <c r="QE274">
        <v>-4762.3</v>
      </c>
      <c r="QF274">
        <v>-4621.3</v>
      </c>
      <c r="QG274">
        <v>-4448.3</v>
      </c>
      <c r="QH274">
        <v>-5577.5</v>
      </c>
      <c r="QI274">
        <v>-5525.5</v>
      </c>
      <c r="QJ274">
        <v>-5119.5</v>
      </c>
      <c r="QK274">
        <v>-5119.5</v>
      </c>
      <c r="QL274">
        <v>-5104.5</v>
      </c>
      <c r="QM274">
        <v>-5104.5</v>
      </c>
      <c r="QN274">
        <v>-4944.5</v>
      </c>
      <c r="QO274">
        <v>-4944.5</v>
      </c>
      <c r="QP274">
        <v>-4736.5</v>
      </c>
      <c r="QQ274">
        <v>-4707</v>
      </c>
      <c r="QR274">
        <v>-4604</v>
      </c>
      <c r="QS274">
        <v>-4403.1000000000004</v>
      </c>
      <c r="QT274">
        <v>-4303.1000000000004</v>
      </c>
      <c r="QU274">
        <v>-4203.1000000000004</v>
      </c>
      <c r="QV274">
        <v>-4103.1000000000004</v>
      </c>
      <c r="QW274">
        <v>-4103.1000000000004</v>
      </c>
      <c r="QX274">
        <v>-4003.1</v>
      </c>
      <c r="QY274">
        <v>-3903.1</v>
      </c>
      <c r="QZ274">
        <v>-3803.1</v>
      </c>
      <c r="RA274">
        <v>-3770.1</v>
      </c>
      <c r="RB274">
        <v>-3665</v>
      </c>
      <c r="RC274">
        <v>-3566</v>
      </c>
      <c r="RD274">
        <v>-3806.8</v>
      </c>
      <c r="RE274">
        <v>-3706.8</v>
      </c>
      <c r="RF274">
        <v>-3706.8</v>
      </c>
      <c r="RG274">
        <v>-3607.8</v>
      </c>
      <c r="RH274">
        <v>-3595.6</v>
      </c>
      <c r="RI274">
        <v>-3200.3</v>
      </c>
      <c r="RJ274">
        <v>-3200.3</v>
      </c>
      <c r="RK274">
        <v>-3200.3</v>
      </c>
      <c r="RL274">
        <v>-3111.2</v>
      </c>
      <c r="RM274">
        <v>-4135.8</v>
      </c>
      <c r="RN274">
        <v>-4035.8</v>
      </c>
      <c r="RO274">
        <v>-4035.8</v>
      </c>
      <c r="RP274">
        <v>-4035.8</v>
      </c>
      <c r="RS274">
        <v>10</v>
      </c>
      <c r="RT274">
        <v>10</v>
      </c>
      <c r="RU274">
        <v>10</v>
      </c>
      <c r="RV274">
        <v>10</v>
      </c>
      <c r="RW274">
        <v>10</v>
      </c>
      <c r="RX274">
        <v>10</v>
      </c>
      <c r="RY274">
        <v>10</v>
      </c>
      <c r="RZ274">
        <v>10</v>
      </c>
      <c r="SA274">
        <v>10</v>
      </c>
      <c r="SB274">
        <v>10</v>
      </c>
      <c r="SC274">
        <v>15</v>
      </c>
      <c r="SD274">
        <v>15</v>
      </c>
      <c r="SE274">
        <v>15</v>
      </c>
      <c r="SF274">
        <v>15</v>
      </c>
      <c r="SG274">
        <v>15</v>
      </c>
      <c r="SH274">
        <v>15</v>
      </c>
      <c r="SI274">
        <v>15</v>
      </c>
      <c r="SJ274">
        <v>15</v>
      </c>
      <c r="SK274">
        <v>15</v>
      </c>
      <c r="SL274">
        <v>15</v>
      </c>
      <c r="SM274">
        <v>15</v>
      </c>
      <c r="SN274">
        <v>15</v>
      </c>
      <c r="SO274">
        <v>15</v>
      </c>
      <c r="SP274">
        <v>15</v>
      </c>
      <c r="SQ274">
        <v>15</v>
      </c>
      <c r="SR274">
        <v>15</v>
      </c>
      <c r="SS274">
        <v>15</v>
      </c>
      <c r="ST274">
        <v>15</v>
      </c>
      <c r="SU274">
        <v>-5521.9</v>
      </c>
      <c r="SV274">
        <v>-5521.9</v>
      </c>
      <c r="SW274">
        <v>-5521.9</v>
      </c>
      <c r="SX274">
        <v>-6008.4</v>
      </c>
      <c r="SY274">
        <v>-5984.3</v>
      </c>
      <c r="SZ274">
        <v>-5934.3</v>
      </c>
      <c r="TA274">
        <v>-5934.3</v>
      </c>
      <c r="TB274">
        <v>-5934.3</v>
      </c>
      <c r="TC274">
        <v>-5871.1</v>
      </c>
      <c r="TD274">
        <v>-5737.8</v>
      </c>
      <c r="TE274">
        <v>-5737.8</v>
      </c>
      <c r="TF274">
        <v>-5737.8</v>
      </c>
      <c r="TG274">
        <v>-5712.8</v>
      </c>
      <c r="TH274">
        <v>-5661.8</v>
      </c>
      <c r="TI274">
        <v>-5592</v>
      </c>
      <c r="TJ274">
        <v>-5592</v>
      </c>
      <c r="TK274">
        <v>-5592</v>
      </c>
      <c r="TL274">
        <v>-5592</v>
      </c>
      <c r="TM274">
        <v>-5542.7</v>
      </c>
      <c r="TN274">
        <v>-5542.7</v>
      </c>
      <c r="TO274">
        <v>-5512.7</v>
      </c>
      <c r="TP274">
        <v>-5480</v>
      </c>
      <c r="TQ274">
        <v>-5425</v>
      </c>
      <c r="TR274">
        <v>-5385</v>
      </c>
      <c r="TS274">
        <v>-5303</v>
      </c>
      <c r="TT274">
        <v>-5267.6</v>
      </c>
      <c r="TU274">
        <v>-5267.6</v>
      </c>
      <c r="TV274">
        <v>-5217.6000000000004</v>
      </c>
      <c r="TW274">
        <v>-6037</v>
      </c>
      <c r="TX274">
        <v>-5872</v>
      </c>
      <c r="TY274">
        <v>-6445.6</v>
      </c>
      <c r="TZ274">
        <v>-6369.8</v>
      </c>
      <c r="UA274">
        <v>-6369.8</v>
      </c>
      <c r="UB274">
        <v>-6369.8</v>
      </c>
      <c r="UC274">
        <v>-6299.8</v>
      </c>
      <c r="UD274">
        <v>-6299.8</v>
      </c>
      <c r="UE274">
        <v>-6199.8</v>
      </c>
      <c r="UF274">
        <v>-6199.8</v>
      </c>
      <c r="UG274">
        <v>-5828.4</v>
      </c>
      <c r="UH274">
        <v>-5803.4</v>
      </c>
      <c r="UI274">
        <v>-5804</v>
      </c>
      <c r="UJ274">
        <v>-6503.8</v>
      </c>
      <c r="UK274">
        <v>-6471.8</v>
      </c>
      <c r="UL274">
        <v>-5916.6</v>
      </c>
      <c r="UM274">
        <v>-5828.3</v>
      </c>
      <c r="UN274">
        <v>-5703.3</v>
      </c>
      <c r="UO274">
        <v>-6543.7</v>
      </c>
      <c r="UP274">
        <v>-6492.2</v>
      </c>
      <c r="UQ274">
        <v>-6337.6</v>
      </c>
      <c r="UR274">
        <v>-6119</v>
      </c>
      <c r="US274">
        <v>-6106</v>
      </c>
      <c r="UT274">
        <v>-6106</v>
      </c>
      <c r="UU274">
        <v>-6006</v>
      </c>
      <c r="UV274">
        <v>-6006</v>
      </c>
      <c r="UW274">
        <v>-5806.7</v>
      </c>
      <c r="UX274">
        <v>-5806.7</v>
      </c>
      <c r="UY274">
        <v>-5656.7</v>
      </c>
      <c r="UZ274">
        <v>-6512</v>
      </c>
      <c r="VA274">
        <v>-6487</v>
      </c>
      <c r="VB274">
        <v>-6202.3</v>
      </c>
      <c r="VC274">
        <v>-5829.9</v>
      </c>
      <c r="VD274">
        <v>-5794.4</v>
      </c>
      <c r="VE274">
        <v>-7329.2</v>
      </c>
      <c r="VF274" s="1304">
        <v>-7159.3</v>
      </c>
      <c r="VG274" s="1304">
        <v>-6959.3</v>
      </c>
      <c r="VH274" s="1304">
        <v>-7750.6</v>
      </c>
      <c r="VI274" s="1304">
        <v>-7750.6</v>
      </c>
      <c r="VJ274" s="1304">
        <v>-6754.6</v>
      </c>
      <c r="VK274">
        <v>-6729.9</v>
      </c>
      <c r="VL274" s="1304">
        <v>-6729.9</v>
      </c>
      <c r="VM274" s="1304">
        <v>-6605.4</v>
      </c>
      <c r="VN274" s="1304">
        <v>-170</v>
      </c>
      <c r="VO274" s="1304">
        <v>-170</v>
      </c>
      <c r="VP274" s="1304">
        <v>-170</v>
      </c>
      <c r="VQ274" s="1304">
        <v>-170</v>
      </c>
      <c r="VR274" s="1304">
        <v>-170</v>
      </c>
      <c r="VS274" s="1304">
        <v>-170</v>
      </c>
      <c r="VT274" s="1304">
        <v>-170</v>
      </c>
      <c r="VU274" s="1304">
        <v>-170</v>
      </c>
      <c r="VV274" s="1304">
        <v>-170</v>
      </c>
      <c r="VW274" s="1304">
        <v>-170</v>
      </c>
      <c r="VX274" s="1304">
        <v>-170</v>
      </c>
      <c r="VY274" s="1304">
        <v>-170</v>
      </c>
      <c r="VZ274" s="1304">
        <v>-170</v>
      </c>
      <c r="WA274" s="1304">
        <v>-170</v>
      </c>
      <c r="WB274" s="1304">
        <v>-170</v>
      </c>
      <c r="WC274" s="1304">
        <v>-170</v>
      </c>
      <c r="WD274" s="1304">
        <v>-170</v>
      </c>
      <c r="WE274" s="1304">
        <v>-170</v>
      </c>
      <c r="WF274" s="1304">
        <v>-170</v>
      </c>
      <c r="WG274" s="1304">
        <v>-170</v>
      </c>
      <c r="WH274" s="1304">
        <v>-170</v>
      </c>
      <c r="WI274" s="1304">
        <v>-170</v>
      </c>
      <c r="WJ274" s="1304">
        <v>-170</v>
      </c>
      <c r="WK274" s="1304">
        <v>-170</v>
      </c>
      <c r="WL274" s="1304">
        <v>-170</v>
      </c>
      <c r="WM274" s="1304">
        <v>-170</v>
      </c>
      <c r="WN274" s="1304">
        <v>-170</v>
      </c>
      <c r="WO274" s="1304">
        <v>-170</v>
      </c>
      <c r="WP274" s="1304">
        <v>-170</v>
      </c>
      <c r="WQ274" s="1304">
        <v>-170</v>
      </c>
      <c r="WR274" s="1304">
        <v>-170</v>
      </c>
      <c r="WS274" s="1304">
        <v>-170</v>
      </c>
      <c r="WT274" s="1304">
        <v>-170</v>
      </c>
      <c r="WU274" s="1304">
        <v>-215.2</v>
      </c>
      <c r="WV274" s="1304">
        <v>-215.2</v>
      </c>
      <c r="WW274" s="1304">
        <v>-215.2</v>
      </c>
      <c r="WX274" s="1304">
        <v>-215.2</v>
      </c>
      <c r="WY274" s="1304">
        <v>-215.2</v>
      </c>
      <c r="WZ274" s="1304">
        <v>-215.2</v>
      </c>
      <c r="XA274" s="1304">
        <v>-215.2</v>
      </c>
      <c r="XB274" s="1304">
        <v>-215.2</v>
      </c>
      <c r="XC274" s="1304">
        <v>-215.2</v>
      </c>
      <c r="XD274" s="1304">
        <v>-215.2</v>
      </c>
      <c r="XE274" s="1304">
        <v>-215.2</v>
      </c>
      <c r="XF274" s="1304">
        <v>-215.2</v>
      </c>
      <c r="XG274" s="1304">
        <v>-215.2</v>
      </c>
      <c r="XH274" s="1304">
        <v>-215.2</v>
      </c>
      <c r="XI274" s="1304">
        <v>-215.2</v>
      </c>
      <c r="XJ274" s="1304">
        <v>-215.2</v>
      </c>
      <c r="XK274" s="1304">
        <v>-215.2</v>
      </c>
      <c r="XL274" s="1304">
        <v>-215.2</v>
      </c>
      <c r="XM274" s="1304">
        <v>-215.2</v>
      </c>
      <c r="XN274" s="1304">
        <v>-215.2</v>
      </c>
      <c r="XO274" s="1304">
        <v>-215.2</v>
      </c>
      <c r="XP274" s="1304">
        <v>-215.2</v>
      </c>
      <c r="XQ274" s="1304">
        <v>-215.2</v>
      </c>
      <c r="XR274" s="1304">
        <v>-215.2</v>
      </c>
      <c r="XS274" s="1304">
        <v>-215.2</v>
      </c>
      <c r="XT274" s="1304">
        <v>-215.2</v>
      </c>
      <c r="XU274" s="1304">
        <v>-215.2</v>
      </c>
      <c r="XV274" s="1304">
        <v>-215.2</v>
      </c>
      <c r="XW274" s="1304">
        <v>-215.2</v>
      </c>
      <c r="XX274" s="1304">
        <v>-215.2</v>
      </c>
      <c r="XY274" s="1304">
        <v>-215.2</v>
      </c>
      <c r="XZ274" s="1304">
        <v>-215.2</v>
      </c>
      <c r="YA274" s="1304">
        <v>-215.2</v>
      </c>
      <c r="YB274" s="1304">
        <v>-215.2</v>
      </c>
      <c r="YC274" s="1304">
        <v>-215.2</v>
      </c>
      <c r="YD274" s="1304">
        <v>-215.2</v>
      </c>
      <c r="YE274" s="1304">
        <v>-215.2</v>
      </c>
      <c r="YF274" s="1304">
        <v>-215.2</v>
      </c>
      <c r="YG274" s="1304">
        <v>-215.2</v>
      </c>
      <c r="YH274" s="1304">
        <v>-215.2</v>
      </c>
      <c r="YI274" s="1304">
        <v>-215.2</v>
      </c>
      <c r="YJ274" s="1304">
        <v>-215.2</v>
      </c>
      <c r="YK274" s="1304">
        <v>-215.2</v>
      </c>
      <c r="YL274" s="1304">
        <v>-215.2</v>
      </c>
      <c r="YM274" s="1304">
        <v>-215.2</v>
      </c>
      <c r="YN274" s="1304">
        <v>-215.2</v>
      </c>
      <c r="YO274" s="1304">
        <v>-215.2</v>
      </c>
      <c r="YP274" s="1304">
        <v>-215.2</v>
      </c>
      <c r="YQ274" s="1304">
        <v>-215.2</v>
      </c>
      <c r="YR274" s="1304">
        <v>-215.2</v>
      </c>
      <c r="YS274" s="1304">
        <v>-215.2</v>
      </c>
      <c r="YT274" s="1304">
        <v>-215.2</v>
      </c>
      <c r="YU274" s="1304">
        <v>-215.2</v>
      </c>
      <c r="YV274" s="1304">
        <v>-215.2</v>
      </c>
      <c r="YW274" s="1304">
        <v>-215.2</v>
      </c>
      <c r="YX274" s="1304">
        <v>-215.2</v>
      </c>
      <c r="YY274" s="1304">
        <v>-215.2</v>
      </c>
      <c r="YZ274" s="1304">
        <v>-215.2</v>
      </c>
      <c r="ZA274" s="1304">
        <v>-215.2</v>
      </c>
      <c r="ZB274" s="1304">
        <v>-215.2</v>
      </c>
      <c r="ZC274" s="1304">
        <v>-215.2</v>
      </c>
      <c r="ZD274" s="1304">
        <v>-215.2</v>
      </c>
      <c r="ZE274" s="1304">
        <v>-215.2</v>
      </c>
      <c r="ZF274" s="1304">
        <v>-215.2</v>
      </c>
      <c r="ZG274" s="1304">
        <v>-215.2</v>
      </c>
      <c r="ZH274" s="1304">
        <v>-215.2</v>
      </c>
      <c r="ZI274" s="1304">
        <v>-215.2</v>
      </c>
      <c r="ZJ274" s="1304">
        <v>-215.2</v>
      </c>
      <c r="ZK274" s="1304">
        <v>-215.2</v>
      </c>
      <c r="ZL274" s="1304">
        <v>-215.2</v>
      </c>
      <c r="ZM274" s="1304">
        <v>-215.2</v>
      </c>
      <c r="ZN274" s="1304">
        <v>-215.2</v>
      </c>
      <c r="ZO274" s="1304">
        <v>-215.2</v>
      </c>
      <c r="ZP274" s="1304">
        <v>-215.2</v>
      </c>
      <c r="ZQ274" s="1304">
        <v>-215.2</v>
      </c>
      <c r="ZR274" s="1304">
        <v>-215.2</v>
      </c>
      <c r="ZS274" s="1304">
        <v>-215.2</v>
      </c>
      <c r="ZT274" s="1304">
        <v>-215.2</v>
      </c>
      <c r="ZU274" s="1304">
        <v>-215.2</v>
      </c>
      <c r="ZV274" s="1304">
        <v>-215.2</v>
      </c>
      <c r="ZW274" s="1304">
        <v>-215.2</v>
      </c>
      <c r="ZX274" s="1304">
        <v>-215.2</v>
      </c>
      <c r="ZY274" s="1304">
        <v>-215.2</v>
      </c>
      <c r="ZZ274" s="1304">
        <v>-215.2</v>
      </c>
      <c r="AAA274" s="1304">
        <v>-215.2</v>
      </c>
      <c r="AAB274" s="1304">
        <v>-215.2</v>
      </c>
      <c r="AAC274" s="1304">
        <v>-215.2</v>
      </c>
      <c r="AAD274" s="1304">
        <v>-215.2</v>
      </c>
      <c r="AAE274" s="1304">
        <v>-215.2</v>
      </c>
      <c r="AAF274" s="1304">
        <v>-215.2</v>
      </c>
      <c r="AAG274" s="1304">
        <v>-215.2</v>
      </c>
      <c r="AAH274" s="1304">
        <v>-215.2</v>
      </c>
      <c r="AAI274" s="1304">
        <v>-215.5</v>
      </c>
      <c r="AAJ274" s="1304">
        <v>-215.5</v>
      </c>
      <c r="AAK274" s="1304">
        <v>-215.5</v>
      </c>
      <c r="AAL274" s="1304">
        <f>-215.5-8.8</f>
        <v>-224.3</v>
      </c>
      <c r="AAM274" s="1304">
        <v>-223.8</v>
      </c>
      <c r="AAN274" s="1304">
        <v>-223.8</v>
      </c>
      <c r="AAO274" s="1304">
        <v>-223.8</v>
      </c>
      <c r="AAP274" s="1304">
        <v>-223.8</v>
      </c>
      <c r="AAQ274" s="1304">
        <v>-223.8</v>
      </c>
      <c r="AAR274" s="1304">
        <v>-223.8</v>
      </c>
      <c r="AAS274" s="1304">
        <v>-223.8</v>
      </c>
      <c r="AAT274" s="1304">
        <v>-223.8</v>
      </c>
      <c r="AAU274" s="1304">
        <v>-223.8</v>
      </c>
      <c r="AAV274" s="1304">
        <v>-223.8</v>
      </c>
      <c r="AAW274" s="1304">
        <v>-223.8</v>
      </c>
      <c r="AAX274" s="1304">
        <v>-223.8</v>
      </c>
      <c r="AAY274" s="1304">
        <v>-223.8</v>
      </c>
      <c r="AAZ274" s="1304">
        <v>-223.8</v>
      </c>
      <c r="ABA274" s="1304">
        <v>-223.8</v>
      </c>
      <c r="ABB274" s="1304">
        <v>-223.8</v>
      </c>
      <c r="ABC274" s="1304">
        <v>-223.8</v>
      </c>
      <c r="ABD274" s="1304">
        <v>-223.8</v>
      </c>
      <c r="ABE274" s="1304">
        <v>-223.8</v>
      </c>
      <c r="ABF274" s="1304">
        <v>-223.8</v>
      </c>
      <c r="ABG274" s="1304">
        <v>-223.5</v>
      </c>
      <c r="ABH274" s="1304">
        <v>-223.5</v>
      </c>
      <c r="ABI274" s="1304">
        <v>-223.5</v>
      </c>
      <c r="ABJ274" s="1304">
        <v>-223.5</v>
      </c>
      <c r="ABK274" s="1304">
        <v>-223.5</v>
      </c>
      <c r="ABL274" s="1304">
        <v>-223.5</v>
      </c>
      <c r="ABM274" s="1304">
        <v>-223.5</v>
      </c>
      <c r="ABN274" s="1304">
        <v>-223.5</v>
      </c>
      <c r="ABO274" s="1304">
        <v>-223.5</v>
      </c>
      <c r="ABP274" s="1304">
        <v>-223.5</v>
      </c>
      <c r="ABQ274" s="1304">
        <v>-223.5</v>
      </c>
      <c r="ABR274" s="1304">
        <v>-223.5</v>
      </c>
      <c r="ABS274" s="1304">
        <v>-223.5</v>
      </c>
      <c r="ABT274" s="1304">
        <v>-223.5</v>
      </c>
      <c r="ABU274" s="1304">
        <v>-223.5</v>
      </c>
      <c r="ABV274" s="1304">
        <v>-210</v>
      </c>
      <c r="ABW274" s="1304">
        <v>-210</v>
      </c>
      <c r="ABX274" s="1304">
        <v>-210</v>
      </c>
      <c r="ABY274" s="1304">
        <v>-210</v>
      </c>
      <c r="ABZ274" s="1304">
        <v>-210</v>
      </c>
      <c r="ACA274" s="1304">
        <v>-210</v>
      </c>
      <c r="ACB274" s="1304">
        <v>-200</v>
      </c>
      <c r="ACC274" s="1304">
        <f>-200+19</f>
        <v>-181</v>
      </c>
      <c r="ACD274" s="1304">
        <v>-181</v>
      </c>
      <c r="ACE274" s="1304">
        <v>-181</v>
      </c>
      <c r="ACF274" s="1304">
        <f>-181+6</f>
        <v>-175</v>
      </c>
      <c r="ACG274" s="1304">
        <v>-175</v>
      </c>
      <c r="ACH274" s="1304">
        <v>-175</v>
      </c>
      <c r="ACI274" s="1304">
        <v>-175</v>
      </c>
      <c r="ACJ274" s="1304">
        <v>-175</v>
      </c>
      <c r="ACK274" s="1304">
        <v>-170</v>
      </c>
      <c r="ACL274" s="1304">
        <v>-140</v>
      </c>
      <c r="ACM274" s="1304">
        <v>-140</v>
      </c>
      <c r="ACN274" s="1304">
        <v>-140</v>
      </c>
      <c r="ACO274" s="1304">
        <v>-132</v>
      </c>
      <c r="ACP274" s="1304">
        <v>-132</v>
      </c>
      <c r="ACQ274" s="1304">
        <v>-132</v>
      </c>
      <c r="ACR274" s="1304">
        <v>-132</v>
      </c>
      <c r="ACS274" s="1304">
        <v>-132</v>
      </c>
      <c r="ACT274" s="1304">
        <v>-124</v>
      </c>
      <c r="ACU274" s="1304">
        <v>-154</v>
      </c>
      <c r="ACV274" s="1304">
        <v>-154</v>
      </c>
      <c r="ACW274" s="1304">
        <v>-154</v>
      </c>
      <c r="ACX274" s="1304">
        <v>-154</v>
      </c>
      <c r="ACY274" s="1304">
        <v>-154</v>
      </c>
      <c r="ACZ274" s="1304">
        <v>-154</v>
      </c>
      <c r="ADA274" s="1304">
        <v>-154</v>
      </c>
      <c r="ADB274" s="1304">
        <v>-154</v>
      </c>
      <c r="ADC274" s="1304">
        <v>-154</v>
      </c>
      <c r="ADD274" s="1304">
        <v>-154</v>
      </c>
      <c r="ADE274" s="1304">
        <v>-154</v>
      </c>
      <c r="ADF274" s="1304">
        <v>-154</v>
      </c>
      <c r="ADG274" s="1304">
        <v>-154</v>
      </c>
      <c r="ADH274" s="1304">
        <v>-154</v>
      </c>
      <c r="ADI274" s="1304">
        <v>-154</v>
      </c>
      <c r="ADJ274" s="1304">
        <v>-154</v>
      </c>
      <c r="ADK274" s="1304">
        <v>-154</v>
      </c>
      <c r="ADL274" s="1304">
        <v>-154</v>
      </c>
      <c r="ADM274" s="1304">
        <v>-154</v>
      </c>
      <c r="ADN274" s="1304">
        <v>-154</v>
      </c>
      <c r="ADO274" s="1304">
        <v>-154</v>
      </c>
      <c r="ADP274" s="1304">
        <v>-154</v>
      </c>
      <c r="ADQ274" s="1304">
        <v>-154</v>
      </c>
      <c r="ADR274" s="1304">
        <v>-154</v>
      </c>
      <c r="ADS274" s="1304">
        <v>-154</v>
      </c>
      <c r="ADT274" s="1304">
        <v>-154</v>
      </c>
      <c r="ADU274" s="1304">
        <v>-154</v>
      </c>
      <c r="ADV274" s="1304">
        <v>-154</v>
      </c>
      <c r="ADW274" s="1304">
        <v>-154</v>
      </c>
      <c r="ADX274" s="1304">
        <v>-154</v>
      </c>
      <c r="ADY274" s="1304">
        <v>-154</v>
      </c>
      <c r="ADZ274" s="1304">
        <v>-154</v>
      </c>
      <c r="AEA274" s="1304">
        <v>-154</v>
      </c>
      <c r="AEB274" s="1304">
        <v>-154</v>
      </c>
      <c r="AEC274" s="1304">
        <v>-154</v>
      </c>
      <c r="AED274" s="1304">
        <v>-154</v>
      </c>
      <c r="AEE274" s="1304">
        <v>-154</v>
      </c>
      <c r="AEF274" s="1304">
        <v>-154</v>
      </c>
      <c r="AEG274" s="1304">
        <v>-154</v>
      </c>
      <c r="AEH274" s="1304">
        <v>-154</v>
      </c>
      <c r="AEI274" s="1304">
        <v>0</v>
      </c>
    </row>
    <row r="275" spans="2:964">
      <c r="O275">
        <v>510</v>
      </c>
      <c r="OO275">
        <v>22</v>
      </c>
      <c r="OP275">
        <v>2139.1</v>
      </c>
      <c r="OQ275">
        <v>2021</v>
      </c>
      <c r="OR275">
        <v>1898</v>
      </c>
      <c r="OS275">
        <v>1866.9</v>
      </c>
      <c r="OT275">
        <v>1732.6</v>
      </c>
      <c r="OU275">
        <v>1614.5</v>
      </c>
      <c r="OW275">
        <v>1459</v>
      </c>
      <c r="OX275">
        <v>1256</v>
      </c>
      <c r="OY275">
        <v>-110.2</v>
      </c>
      <c r="OZ275">
        <v>-132.19999999999999</v>
      </c>
      <c r="PA275">
        <v>-132.19999999999999</v>
      </c>
      <c r="PB275">
        <v>-132.19999999999999</v>
      </c>
      <c r="PC275">
        <v>-132.19999999999999</v>
      </c>
      <c r="PD275">
        <v>-132.19999999999999</v>
      </c>
      <c r="PE275">
        <v>-154.29</v>
      </c>
      <c r="PF275">
        <v>-154.28</v>
      </c>
      <c r="PG275">
        <v>-154.28</v>
      </c>
      <c r="PH275">
        <v>-154.28</v>
      </c>
      <c r="PI275">
        <v>-154.28</v>
      </c>
      <c r="PJ275">
        <v>-154.28</v>
      </c>
      <c r="PK275">
        <v>-153.69999999999999</v>
      </c>
      <c r="PL275">
        <v>-175.6</v>
      </c>
      <c r="PM275">
        <v>-175.6</v>
      </c>
      <c r="PN275">
        <v>-175.6</v>
      </c>
      <c r="PO275">
        <v>-175.6</v>
      </c>
      <c r="PP275">
        <v>-175.6</v>
      </c>
      <c r="PQ275">
        <v>-175.6</v>
      </c>
      <c r="PR275">
        <v>-175.6</v>
      </c>
      <c r="PS275">
        <v>-175.6</v>
      </c>
      <c r="PT275">
        <v>-219.6</v>
      </c>
      <c r="PU275">
        <v>-241.5</v>
      </c>
      <c r="PV275">
        <v>-263.5</v>
      </c>
      <c r="PW275">
        <v>-263.5</v>
      </c>
      <c r="PX275">
        <v>-263.5</v>
      </c>
      <c r="PY275">
        <v>-307</v>
      </c>
      <c r="PZ275">
        <v>-307</v>
      </c>
      <c r="QA275">
        <v>-307</v>
      </c>
      <c r="QB275">
        <v>-307</v>
      </c>
      <c r="QC275">
        <v>-307</v>
      </c>
      <c r="QD275">
        <v>-307</v>
      </c>
      <c r="QE275">
        <v>-307</v>
      </c>
      <c r="QF275">
        <v>-307</v>
      </c>
      <c r="QG275">
        <v>-307</v>
      </c>
      <c r="QH275">
        <v>-307</v>
      </c>
      <c r="QI275">
        <v>-307</v>
      </c>
      <c r="QJ275">
        <v>-307</v>
      </c>
      <c r="QK275">
        <v>-307</v>
      </c>
      <c r="QL275">
        <v>-307</v>
      </c>
      <c r="QM275">
        <v>-307</v>
      </c>
      <c r="QN275">
        <v>-307</v>
      </c>
      <c r="QO275">
        <v>-307</v>
      </c>
      <c r="QP275">
        <v>-307</v>
      </c>
      <c r="QQ275">
        <v>-307</v>
      </c>
      <c r="QR275">
        <v>-307</v>
      </c>
      <c r="QS275">
        <v>-307</v>
      </c>
      <c r="QT275">
        <v>-307</v>
      </c>
      <c r="QU275">
        <v>-307</v>
      </c>
      <c r="QV275">
        <v>-329.4</v>
      </c>
      <c r="QW275">
        <v>-329.4</v>
      </c>
      <c r="QX275">
        <v>-329.1</v>
      </c>
      <c r="QY275">
        <v>-329.1</v>
      </c>
      <c r="QZ275">
        <v>-329.1</v>
      </c>
      <c r="RA275">
        <v>-329.1</v>
      </c>
      <c r="RB275">
        <v>-329.1</v>
      </c>
      <c r="RC275">
        <v>-329.1</v>
      </c>
      <c r="RD275">
        <v>-329.1</v>
      </c>
      <c r="RE275">
        <v>-329.1</v>
      </c>
      <c r="RF275">
        <v>-373.3</v>
      </c>
      <c r="RG275">
        <v>-373.3</v>
      </c>
      <c r="RH275">
        <v>-373.3</v>
      </c>
      <c r="RI275">
        <v>-373.3</v>
      </c>
      <c r="RJ275">
        <v>-351.3</v>
      </c>
      <c r="RK275">
        <v>-329.4</v>
      </c>
      <c r="RL275">
        <v>-373.3</v>
      </c>
      <c r="RM275">
        <v>-373.3</v>
      </c>
      <c r="RN275">
        <v>-351.3</v>
      </c>
      <c r="RO275">
        <v>-351.3</v>
      </c>
      <c r="RP275">
        <v>-351.3</v>
      </c>
      <c r="RS275">
        <v>0.77</v>
      </c>
      <c r="RT275">
        <v>0.77</v>
      </c>
      <c r="RU275">
        <v>0.77</v>
      </c>
      <c r="RV275">
        <v>0.77</v>
      </c>
      <c r="RW275">
        <v>0.77</v>
      </c>
      <c r="RX275">
        <v>0.77</v>
      </c>
      <c r="RY275">
        <v>0.77</v>
      </c>
      <c r="RZ275">
        <v>0.77</v>
      </c>
      <c r="SA275">
        <v>0.77</v>
      </c>
      <c r="SB275">
        <v>0.77</v>
      </c>
      <c r="SC275">
        <v>0.77</v>
      </c>
      <c r="SD275">
        <v>0.77</v>
      </c>
      <c r="SE275">
        <v>0.77</v>
      </c>
      <c r="SF275">
        <v>0.77</v>
      </c>
      <c r="SG275">
        <v>0.77</v>
      </c>
      <c r="SH275">
        <v>0.8</v>
      </c>
      <c r="SI275">
        <v>0.8</v>
      </c>
      <c r="SJ275">
        <v>0.8</v>
      </c>
      <c r="SK275">
        <v>0.8</v>
      </c>
      <c r="SL275">
        <v>0.8</v>
      </c>
      <c r="SM275">
        <v>0.8</v>
      </c>
      <c r="SN275">
        <v>0.8</v>
      </c>
      <c r="SO275">
        <v>0.8</v>
      </c>
      <c r="SP275">
        <v>0.8</v>
      </c>
      <c r="SQ275">
        <v>0.8</v>
      </c>
      <c r="SR275">
        <v>0.8</v>
      </c>
      <c r="SS275">
        <v>0.8</v>
      </c>
      <c r="ST275">
        <v>0.8</v>
      </c>
      <c r="SU275">
        <v>-351.3</v>
      </c>
      <c r="SV275">
        <v>-351.3</v>
      </c>
      <c r="SW275">
        <v>-351.3</v>
      </c>
      <c r="SX275">
        <v>-351.3</v>
      </c>
      <c r="SY275">
        <v>-351.3</v>
      </c>
      <c r="SZ275">
        <v>-351.3</v>
      </c>
      <c r="TA275">
        <v>-351.3</v>
      </c>
      <c r="TB275">
        <v>-351.3</v>
      </c>
      <c r="TC275">
        <v>-351.3</v>
      </c>
      <c r="TD275">
        <v>-351.5</v>
      </c>
      <c r="TE275">
        <v>-351.5</v>
      </c>
      <c r="TF275">
        <v>-351.5</v>
      </c>
      <c r="TG275">
        <v>-351.5</v>
      </c>
      <c r="TH275">
        <v>-351.5</v>
      </c>
      <c r="TI275">
        <v>-351.5</v>
      </c>
      <c r="TJ275">
        <v>-351.5</v>
      </c>
      <c r="TK275">
        <v>-351.5</v>
      </c>
      <c r="TL275">
        <v>-351.5</v>
      </c>
      <c r="TM275">
        <v>-351.5</v>
      </c>
      <c r="TN275">
        <v>-351.5</v>
      </c>
      <c r="TO275">
        <v>-351.5</v>
      </c>
      <c r="TP275">
        <v>-351.5</v>
      </c>
      <c r="TQ275">
        <v>-351.5</v>
      </c>
      <c r="TR275">
        <v>-351.5</v>
      </c>
      <c r="TS275">
        <v>-351.5</v>
      </c>
      <c r="TT275">
        <v>-351.5</v>
      </c>
      <c r="TU275">
        <v>-351.5</v>
      </c>
      <c r="TV275">
        <v>-351.5</v>
      </c>
      <c r="TW275">
        <v>-351.5</v>
      </c>
      <c r="TX275">
        <v>-351.5</v>
      </c>
      <c r="TY275">
        <v>-351.5</v>
      </c>
      <c r="TZ275">
        <v>-371.5</v>
      </c>
      <c r="UA275">
        <v>-371.5</v>
      </c>
      <c r="UB275">
        <v>-371.5</v>
      </c>
      <c r="UC275">
        <v>-371.5</v>
      </c>
      <c r="UD275">
        <v>-371.5</v>
      </c>
      <c r="UE275">
        <v>-371.5</v>
      </c>
      <c r="UF275">
        <v>-371.5</v>
      </c>
      <c r="UG275">
        <v>-371.5</v>
      </c>
      <c r="UH275">
        <v>-371.5</v>
      </c>
      <c r="UI275">
        <v>-371.5</v>
      </c>
      <c r="UJ275">
        <v>-371.5</v>
      </c>
      <c r="UK275">
        <v>-371.5</v>
      </c>
      <c r="UL275">
        <v>-371.5</v>
      </c>
      <c r="UM275">
        <v>-371.5</v>
      </c>
      <c r="UN275">
        <v>-371.5</v>
      </c>
      <c r="UO275">
        <v>-371.5</v>
      </c>
      <c r="UP275">
        <v>-371.5</v>
      </c>
      <c r="UQ275">
        <v>-371.5</v>
      </c>
      <c r="UR275">
        <v>-371.5</v>
      </c>
      <c r="US275">
        <v>-371.5</v>
      </c>
      <c r="UT275">
        <v>-371.5</v>
      </c>
      <c r="UU275">
        <v>-371.5</v>
      </c>
      <c r="UV275">
        <v>-371.5</v>
      </c>
      <c r="UW275">
        <v>-371.5</v>
      </c>
      <c r="UX275">
        <v>-371.5</v>
      </c>
      <c r="UY275">
        <v>-371.5</v>
      </c>
      <c r="UZ275">
        <v>-371.5</v>
      </c>
      <c r="VA275">
        <v>-371.5</v>
      </c>
      <c r="VB275">
        <v>-371.5</v>
      </c>
      <c r="VC275">
        <v>-371.5</v>
      </c>
      <c r="VD275">
        <v>-371.5</v>
      </c>
      <c r="VE275">
        <v>-371.5</v>
      </c>
      <c r="VF275" s="1304">
        <v>-371.5</v>
      </c>
      <c r="VG275" s="1304">
        <v>-371.5</v>
      </c>
      <c r="VH275" s="1304">
        <v>-371.5</v>
      </c>
      <c r="VI275" s="1304">
        <v>-371.5</v>
      </c>
      <c r="VJ275" s="1304">
        <v>-371.5</v>
      </c>
      <c r="VK275">
        <v>-371.5</v>
      </c>
      <c r="VL275" s="1304">
        <v>-371.5</v>
      </c>
      <c r="VM275" s="1304">
        <v>-371.5</v>
      </c>
      <c r="VN275" s="1304">
        <v>-6605.4</v>
      </c>
      <c r="VO275" s="1304">
        <v>-6605.4</v>
      </c>
      <c r="VP275" s="1304">
        <v>-7321.3</v>
      </c>
      <c r="VQ275" s="1304">
        <v>-7045.1</v>
      </c>
      <c r="VR275" s="1304">
        <v>-7000.7</v>
      </c>
      <c r="VS275" s="1304">
        <v>-6719.3</v>
      </c>
      <c r="VT275" s="1304">
        <v>-6684</v>
      </c>
      <c r="VU275" s="1304">
        <v>-7058</v>
      </c>
      <c r="VV275" s="1304">
        <v>-7058</v>
      </c>
      <c r="VW275" s="1304">
        <v>-7750.9</v>
      </c>
      <c r="VX275" s="1304">
        <v>-7562.2</v>
      </c>
      <c r="VY275" s="1304">
        <v>-7562.2</v>
      </c>
      <c r="VZ275" s="1304">
        <v>-7437.7</v>
      </c>
      <c r="WA275" s="1304">
        <v>-7144.3</v>
      </c>
      <c r="WB275" s="1304">
        <v>-6980.7</v>
      </c>
      <c r="WC275" s="1304">
        <v>-6980.7</v>
      </c>
      <c r="WD275" s="1304">
        <v>-6805</v>
      </c>
      <c r="WE275" s="1304">
        <v>-6680.5</v>
      </c>
      <c r="WF275" s="1304">
        <v>-6603</v>
      </c>
      <c r="WG275" s="1304">
        <v>-6603</v>
      </c>
      <c r="WH275" s="1304">
        <v>-6420</v>
      </c>
      <c r="WI275" s="1304">
        <v>-6420</v>
      </c>
      <c r="WJ275" s="1304">
        <v>-6171.2</v>
      </c>
      <c r="WK275" s="1304">
        <v>-6171.2</v>
      </c>
      <c r="WL275" s="1304">
        <v>-6171.2</v>
      </c>
      <c r="WM275" s="1304">
        <v>-6171.2</v>
      </c>
      <c r="WN275" s="1304">
        <v>-5807</v>
      </c>
      <c r="WO275" s="1304">
        <f>-5807+38.3</f>
        <v>-5768.7</v>
      </c>
      <c r="WP275" s="1304">
        <v>-6963.5</v>
      </c>
      <c r="WQ275" s="1304">
        <v>-6812.8</v>
      </c>
      <c r="WR275" s="1304">
        <v>-6872.5</v>
      </c>
      <c r="WS275" s="1304">
        <v>-6612.9</v>
      </c>
      <c r="WT275" s="1304">
        <v>-6536.9</v>
      </c>
      <c r="WU275" s="1304">
        <v>-6057.8</v>
      </c>
      <c r="WV275" s="1304">
        <v>-6035.3</v>
      </c>
      <c r="WW275" s="1304">
        <f>-6035.3+18.5</f>
        <v>-6016.8</v>
      </c>
      <c r="WX275" s="1304">
        <v>-6016.8</v>
      </c>
      <c r="WY275" s="1304">
        <v>-5638</v>
      </c>
      <c r="WZ275" s="1304">
        <v>-5638</v>
      </c>
      <c r="XA275" s="1304">
        <v>-5324.9</v>
      </c>
      <c r="XB275" s="1304">
        <v>-5324.9</v>
      </c>
      <c r="XC275" s="1304">
        <v>-5306.8</v>
      </c>
      <c r="XD275" s="1304">
        <v>-5033</v>
      </c>
      <c r="XE275" s="1304">
        <v>-5033</v>
      </c>
      <c r="XF275" s="1304">
        <v>-4857.6000000000004</v>
      </c>
      <c r="XG275" s="1304">
        <v>-5649.4</v>
      </c>
      <c r="XH275" s="1304">
        <v>-5411.1</v>
      </c>
      <c r="XI275" s="1304">
        <v>-6051.6</v>
      </c>
      <c r="XJ275" s="1304">
        <v>-6051.6</v>
      </c>
      <c r="XK275" s="1304">
        <v>-6051.6</v>
      </c>
      <c r="XL275" s="1304">
        <v>-6008.5</v>
      </c>
      <c r="XM275" s="1304">
        <v>-5760</v>
      </c>
      <c r="XN275" s="1304">
        <v>-5555.3</v>
      </c>
      <c r="XO275" s="1304">
        <v>-5360</v>
      </c>
      <c r="XP275" s="1304">
        <v>-5360</v>
      </c>
      <c r="XQ275" s="1304">
        <v>-5168.2</v>
      </c>
      <c r="XR275" s="1304">
        <v>-5168.2</v>
      </c>
      <c r="XS275" s="1304">
        <v>-5168.2</v>
      </c>
      <c r="XT275" s="1304">
        <v>-5168.2</v>
      </c>
      <c r="XU275" s="1304">
        <v>-5036.2</v>
      </c>
      <c r="XV275" s="1304">
        <v>-4936.2</v>
      </c>
      <c r="XW275" s="1304">
        <v>-4936.2</v>
      </c>
      <c r="XX275" s="1304">
        <v>-4936.2</v>
      </c>
      <c r="XY275" s="1304">
        <v>-4936.2</v>
      </c>
      <c r="XZ275" s="1304">
        <v>-4764.6000000000004</v>
      </c>
      <c r="YA275" s="1304">
        <v>-4764.6000000000004</v>
      </c>
      <c r="YB275" s="1304">
        <v>-4640.1000000000004</v>
      </c>
      <c r="YC275" s="1304">
        <v>-4640.1000000000004</v>
      </c>
      <c r="YD275" s="1304">
        <v>-4640.1000000000004</v>
      </c>
      <c r="YE275" s="1304">
        <v>-4542.8</v>
      </c>
      <c r="YF275" s="1304">
        <v>-4542.8</v>
      </c>
      <c r="YG275" s="1304">
        <v>-4267.3</v>
      </c>
      <c r="YH275" s="1304">
        <v>-4233.7</v>
      </c>
      <c r="YI275" s="1304">
        <v>-4233.7</v>
      </c>
      <c r="YJ275" s="1304">
        <v>-4233.7</v>
      </c>
      <c r="YK275" s="1304">
        <v>-4110.1000000000004</v>
      </c>
      <c r="YL275" s="1304">
        <v>-4094.1</v>
      </c>
      <c r="YM275" s="1304">
        <v>-4094.1</v>
      </c>
      <c r="YN275" s="1304">
        <v>-3935.2</v>
      </c>
      <c r="YO275" s="1304">
        <v>-3935.2</v>
      </c>
      <c r="YP275" s="1304">
        <v>-3885.2</v>
      </c>
      <c r="YQ275" s="1304">
        <v>-3762</v>
      </c>
      <c r="YR275" s="1304">
        <v>-3762</v>
      </c>
      <c r="YS275" s="1304">
        <v>-3762</v>
      </c>
      <c r="YT275" s="1304">
        <v>-3732.2</v>
      </c>
      <c r="YU275" s="1304">
        <v>-3732.2</v>
      </c>
      <c r="YV275" s="1304">
        <v>-3549</v>
      </c>
      <c r="YW275" s="1304">
        <v>-3529</v>
      </c>
      <c r="YX275" s="1304">
        <v>-3529</v>
      </c>
      <c r="YY275" s="1304">
        <v>-3334.1</v>
      </c>
      <c r="YZ275" s="1304">
        <v>-3323.1</v>
      </c>
      <c r="ZA275" s="1304">
        <v>-3323.1</v>
      </c>
      <c r="ZB275" s="1304">
        <v>-3236.3</v>
      </c>
      <c r="ZC275" s="1304">
        <v>-3236.3</v>
      </c>
      <c r="ZD275" s="1304">
        <v>-3236.3</v>
      </c>
      <c r="ZE275" s="1304">
        <v>-3111.8</v>
      </c>
      <c r="ZF275" s="1304">
        <v>-3062.3</v>
      </c>
      <c r="ZG275" s="1304">
        <v>-3062.3</v>
      </c>
      <c r="ZH275" s="1304">
        <v>-3062.3</v>
      </c>
      <c r="ZI275" s="1304">
        <v>-2928</v>
      </c>
      <c r="ZJ275" s="1304">
        <v>-2915.5</v>
      </c>
      <c r="ZK275" s="1304">
        <v>-2915.5</v>
      </c>
      <c r="ZL275" s="1304">
        <v>-2795</v>
      </c>
      <c r="ZM275" s="1304">
        <v>-2795</v>
      </c>
      <c r="ZN275" s="1304">
        <v>-2795</v>
      </c>
      <c r="ZO275" s="1304">
        <v>-2795</v>
      </c>
      <c r="ZP275" s="1304">
        <v>-2670</v>
      </c>
      <c r="ZQ275" s="1304">
        <f>-2670+69.5</f>
        <v>-2600.5</v>
      </c>
      <c r="ZR275" s="1304">
        <v>-2578.6</v>
      </c>
      <c r="ZS275" s="1304">
        <v>-2455</v>
      </c>
      <c r="ZT275" s="1304">
        <v>-2455</v>
      </c>
      <c r="ZU275" s="1304">
        <v>-2425</v>
      </c>
      <c r="ZV275" s="1304">
        <v>-2425</v>
      </c>
      <c r="ZW275" s="1304">
        <v>-2425</v>
      </c>
      <c r="ZX275" s="1304">
        <v>-2425</v>
      </c>
      <c r="ZY275" s="1304">
        <v>-2287</v>
      </c>
      <c r="ZZ275" s="1304">
        <v>-2056</v>
      </c>
      <c r="AAA275" s="1304">
        <v>-2056</v>
      </c>
      <c r="AAB275" s="1304">
        <v>-2056</v>
      </c>
      <c r="AAC275" s="1304">
        <v>-2056</v>
      </c>
      <c r="AAD275" s="1304">
        <v>-2056</v>
      </c>
      <c r="AAE275" s="1304">
        <v>-2056</v>
      </c>
      <c r="AAF275" s="1304">
        <v>-1981</v>
      </c>
      <c r="AAG275" s="1304">
        <v>-1981</v>
      </c>
      <c r="AAH275" s="1304">
        <v>-1968</v>
      </c>
      <c r="AAI275" s="1304">
        <v>-1968</v>
      </c>
      <c r="AAJ275" s="1304">
        <v>-1968</v>
      </c>
      <c r="AAK275" s="1304">
        <v>-2043</v>
      </c>
      <c r="AAL275" s="1304">
        <v>-2043</v>
      </c>
      <c r="AAM275" s="1304">
        <v>-2043</v>
      </c>
      <c r="AAN275" s="1304">
        <v>-2043</v>
      </c>
      <c r="AAO275" s="1304">
        <v>-2043</v>
      </c>
      <c r="AAP275" s="1304">
        <v>-1981</v>
      </c>
      <c r="AAQ275" s="1304">
        <v>-1981</v>
      </c>
      <c r="AAR275" s="1304">
        <v>-1981</v>
      </c>
      <c r="AAS275" s="1304">
        <v>-1981</v>
      </c>
      <c r="AAT275" s="1304">
        <v>-1981</v>
      </c>
      <c r="AAU275" s="1304">
        <v>-1981</v>
      </c>
      <c r="AAV275" s="1304">
        <v>-1981</v>
      </c>
      <c r="AAW275" s="1304">
        <v>-1981</v>
      </c>
      <c r="AAX275" s="1304">
        <v>-1981</v>
      </c>
      <c r="AAY275" s="1304">
        <v>-1981</v>
      </c>
      <c r="AAZ275" s="1304">
        <v>-1981</v>
      </c>
      <c r="ABA275" s="1304">
        <v>-1981</v>
      </c>
      <c r="ABB275" s="1304">
        <v>-1981</v>
      </c>
      <c r="ABC275" s="1304">
        <v>-1981</v>
      </c>
      <c r="ABD275" s="1304">
        <v>-1981</v>
      </c>
      <c r="ABE275" s="1304">
        <v>-2720</v>
      </c>
      <c r="ABF275" s="1304">
        <v>-2720</v>
      </c>
      <c r="ABG275" s="1304">
        <v>-2720</v>
      </c>
      <c r="ABH275" s="1304">
        <v>-2720</v>
      </c>
      <c r="ABI275" s="1304">
        <v>-2720</v>
      </c>
      <c r="ABJ275" s="1304">
        <v>-2720</v>
      </c>
      <c r="ABK275" s="1304">
        <v>-2720</v>
      </c>
      <c r="ABL275" s="1304">
        <v>-2720</v>
      </c>
      <c r="ABM275" s="1304">
        <v>-2720</v>
      </c>
      <c r="ABN275" s="1304">
        <v>-2720</v>
      </c>
      <c r="ABO275" s="1304">
        <v>-2720</v>
      </c>
      <c r="ABP275" s="1304">
        <v>-2700</v>
      </c>
      <c r="ABQ275" s="1304">
        <v>-2700</v>
      </c>
      <c r="ABR275" s="1304">
        <v>-2700</v>
      </c>
      <c r="ABS275" s="1304">
        <v>-2700</v>
      </c>
      <c r="ABT275" s="1304">
        <v>-2700</v>
      </c>
      <c r="ABU275" s="1304">
        <v>-2700</v>
      </c>
      <c r="ABV275" s="1304">
        <v>-2634</v>
      </c>
      <c r="ABW275" s="1304">
        <v>-2634</v>
      </c>
      <c r="ABX275" s="1304">
        <v>-2596</v>
      </c>
      <c r="ABY275" s="1304">
        <v>-2596</v>
      </c>
      <c r="ABZ275" s="1304">
        <v>-2596</v>
      </c>
      <c r="ACA275" s="1304">
        <v>-2536</v>
      </c>
      <c r="ACB275" s="1304">
        <v>-2536</v>
      </c>
      <c r="ACC275" s="1304">
        <v>-2536</v>
      </c>
      <c r="ACD275" s="1304">
        <v>-2536</v>
      </c>
      <c r="ACE275" s="1304">
        <v>-2536</v>
      </c>
      <c r="ACF275" s="1304">
        <v>-2473</v>
      </c>
      <c r="ACG275" s="1304">
        <v>-2421</v>
      </c>
      <c r="ACH275" s="1304">
        <v>-2421</v>
      </c>
      <c r="ACI275" s="1304">
        <v>-2421</v>
      </c>
      <c r="ACJ275" s="1304">
        <v>-2421</v>
      </c>
      <c r="ACK275" s="1304">
        <v>-2421</v>
      </c>
      <c r="ACL275" s="1304">
        <v>-2421</v>
      </c>
      <c r="ACM275" s="1304">
        <v>-2392</v>
      </c>
      <c r="ACN275" s="1304">
        <v>-2372</v>
      </c>
      <c r="ACO275" s="1304">
        <v>-2372</v>
      </c>
      <c r="ACP275" s="1304">
        <v>-2372</v>
      </c>
      <c r="ACQ275" s="1304">
        <v>-2730</v>
      </c>
      <c r="ACR275" s="1304">
        <v>-2730</v>
      </c>
      <c r="ACS275" s="1304">
        <v>-2636</v>
      </c>
      <c r="ACT275" s="1304">
        <v>-2636</v>
      </c>
      <c r="ACU275" s="1304">
        <v>-3023</v>
      </c>
      <c r="ACV275" s="1304">
        <v>-3023</v>
      </c>
      <c r="ACW275" s="1304">
        <v>-2994</v>
      </c>
      <c r="ACX275" s="1304">
        <v>-3107</v>
      </c>
      <c r="ACY275" s="1304">
        <v>-3473</v>
      </c>
      <c r="ACZ275" s="1304">
        <v>-3320</v>
      </c>
      <c r="ADA275" s="1304">
        <v>-3193</v>
      </c>
      <c r="ADB275" s="1304">
        <v>-3083</v>
      </c>
      <c r="ADC275" s="1304">
        <v>-3272</v>
      </c>
      <c r="ADD275" s="1304">
        <v>-3272</v>
      </c>
      <c r="ADE275" s="1304">
        <v>-3508</v>
      </c>
      <c r="ADF275" s="1304">
        <v>-3384</v>
      </c>
      <c r="ADG275" s="1304">
        <v>-3384</v>
      </c>
      <c r="ADH275" s="1304">
        <v>-3260</v>
      </c>
      <c r="ADI275" s="1304">
        <v>-3010</v>
      </c>
      <c r="ADJ275" s="1304">
        <v>-2873</v>
      </c>
      <c r="ADK275" s="1304">
        <v>-2624</v>
      </c>
      <c r="ADL275" s="1304">
        <v>-2624</v>
      </c>
      <c r="ADM275" s="1304">
        <v>-2500</v>
      </c>
      <c r="ADN275" s="1304">
        <v>-2301</v>
      </c>
      <c r="ADO275" s="1304">
        <v>-2238</v>
      </c>
      <c r="ADP275" s="1304">
        <v>-1990</v>
      </c>
      <c r="ADQ275" s="1304">
        <v>-1886</v>
      </c>
      <c r="ADR275" s="1304">
        <v>-638</v>
      </c>
      <c r="ADS275" s="1304">
        <v>-638</v>
      </c>
      <c r="ADT275" s="1304">
        <v>-511.5</v>
      </c>
      <c r="ADU275" s="1304">
        <v>-511.5</v>
      </c>
      <c r="ADV275" s="1304">
        <v>-511.5</v>
      </c>
      <c r="ADW275" s="1304">
        <v>-382</v>
      </c>
      <c r="ADX275" s="1304">
        <v>-382</v>
      </c>
      <c r="ADY275" s="1304">
        <v>-259.3</v>
      </c>
      <c r="ADZ275" s="1304">
        <v>-259.3</v>
      </c>
      <c r="AEA275" s="1304">
        <v>-135.19999999999999</v>
      </c>
      <c r="AEB275" s="1304">
        <v>-135.19999999999999</v>
      </c>
      <c r="AEC275" s="1304">
        <v>-47.8</v>
      </c>
      <c r="AED275" s="1304">
        <v>-47.8</v>
      </c>
      <c r="AEE275" s="1304">
        <v>-47.8</v>
      </c>
      <c r="AEF275" s="1304">
        <v>-47.8</v>
      </c>
      <c r="AEG275" s="1304">
        <v>-47.8</v>
      </c>
      <c r="AEH275" s="1304">
        <v>-47.8</v>
      </c>
      <c r="AEI275" s="1304">
        <v>-1101</v>
      </c>
      <c r="AJT275">
        <v>0.8</v>
      </c>
      <c r="AJU275">
        <v>0.8</v>
      </c>
      <c r="AJV275">
        <v>0.8</v>
      </c>
      <c r="AJW275">
        <v>0.8</v>
      </c>
      <c r="AJX275">
        <v>0.8</v>
      </c>
      <c r="AJY275">
        <v>0.8</v>
      </c>
      <c r="AJZ275">
        <v>0.8</v>
      </c>
      <c r="AKA275">
        <v>0.8</v>
      </c>
      <c r="AKB275">
        <v>0.8</v>
      </c>
    </row>
    <row r="276" spans="2:964">
      <c r="O276">
        <v>136</v>
      </c>
      <c r="OS276">
        <v>-29</v>
      </c>
      <c r="OY276">
        <v>1037.3800000000001</v>
      </c>
      <c r="OZ276">
        <v>2589.4</v>
      </c>
      <c r="PA276">
        <v>2488.1999999999998</v>
      </c>
      <c r="PB276">
        <v>2386.98</v>
      </c>
      <c r="PC276">
        <v>2353.1999999999998</v>
      </c>
      <c r="PD276">
        <v>2650.3</v>
      </c>
      <c r="PE276">
        <v>3745</v>
      </c>
      <c r="PF276">
        <v>3673.9</v>
      </c>
      <c r="PG276">
        <v>3607</v>
      </c>
      <c r="PH276">
        <v>3466.6</v>
      </c>
      <c r="PI276">
        <v>3414.8</v>
      </c>
      <c r="PJ276">
        <v>3360.6</v>
      </c>
      <c r="PK276">
        <v>3306.4</v>
      </c>
      <c r="PL276">
        <v>4396.8999999999996</v>
      </c>
      <c r="PM276">
        <v>4346.3</v>
      </c>
      <c r="PN276">
        <v>4329.6000000000004</v>
      </c>
      <c r="PO276">
        <v>4097.8</v>
      </c>
      <c r="PP276">
        <v>3951.5</v>
      </c>
      <c r="PQ276">
        <v>3718.4</v>
      </c>
      <c r="PR276">
        <v>3553.7</v>
      </c>
      <c r="PS276">
        <v>3337.8</v>
      </c>
      <c r="PT276">
        <v>3248.7</v>
      </c>
      <c r="PU276">
        <v>2820</v>
      </c>
      <c r="PV276">
        <v>2519.15</v>
      </c>
      <c r="PW276">
        <v>3673.3</v>
      </c>
      <c r="PX276">
        <v>3540.3</v>
      </c>
      <c r="PY276">
        <v>3432.9</v>
      </c>
      <c r="PZ276">
        <v>3270.7</v>
      </c>
      <c r="QA276">
        <v>3256.6</v>
      </c>
      <c r="QB276">
        <v>3198.7</v>
      </c>
      <c r="QC276">
        <v>3092.5</v>
      </c>
      <c r="QD276">
        <v>3020.6</v>
      </c>
      <c r="QE276">
        <v>2821.7</v>
      </c>
      <c r="QF276">
        <v>2783.9</v>
      </c>
      <c r="QG276">
        <v>2748.5</v>
      </c>
      <c r="QH276">
        <v>3941</v>
      </c>
      <c r="QI276">
        <v>3888</v>
      </c>
      <c r="QJ276">
        <v>3827.6</v>
      </c>
      <c r="QK276">
        <v>3773.3</v>
      </c>
      <c r="QL276">
        <v>3700</v>
      </c>
      <c r="QM276">
        <v>3630.6</v>
      </c>
      <c r="QN276">
        <v>3558.6</v>
      </c>
      <c r="QO276">
        <v>3409.7</v>
      </c>
      <c r="QP276">
        <v>3317</v>
      </c>
      <c r="QQ276">
        <v>3265</v>
      </c>
      <c r="QR276">
        <v>3192</v>
      </c>
      <c r="QS276">
        <v>3104</v>
      </c>
      <c r="QT276">
        <v>3032.8</v>
      </c>
      <c r="QU276">
        <v>3016.9</v>
      </c>
      <c r="QV276">
        <v>2980.9</v>
      </c>
      <c r="QW276">
        <v>2962</v>
      </c>
      <c r="QX276">
        <v>2945</v>
      </c>
      <c r="QY276">
        <v>2926.7</v>
      </c>
      <c r="QZ276">
        <v>2926.7</v>
      </c>
      <c r="RA276">
        <v>2892.5</v>
      </c>
      <c r="RB276">
        <v>2892.5</v>
      </c>
      <c r="RC276">
        <v>2838.2</v>
      </c>
      <c r="RD276">
        <v>3016.9</v>
      </c>
      <c r="RE276">
        <v>2948.6</v>
      </c>
      <c r="RF276">
        <v>2948.6</v>
      </c>
      <c r="RG276">
        <v>2929.7</v>
      </c>
      <c r="RH276">
        <v>2911.4</v>
      </c>
      <c r="RI276">
        <v>2874.8</v>
      </c>
      <c r="RJ276">
        <v>2980.9</v>
      </c>
      <c r="RK276">
        <v>3012.6</v>
      </c>
      <c r="RL276">
        <v>2610.6</v>
      </c>
      <c r="RM276">
        <v>3247.3</v>
      </c>
      <c r="RN276">
        <v>3295.7</v>
      </c>
      <c r="RO276">
        <v>3278.3</v>
      </c>
      <c r="RP276">
        <v>3278.3</v>
      </c>
      <c r="RT276">
        <v>5</v>
      </c>
      <c r="RU276">
        <v>5</v>
      </c>
      <c r="RV276">
        <v>5</v>
      </c>
      <c r="RW276">
        <v>5</v>
      </c>
      <c r="RX276">
        <f>5+18.4</f>
        <v>23.4</v>
      </c>
      <c r="RY276">
        <v>23.4</v>
      </c>
      <c r="RZ276">
        <v>23.4</v>
      </c>
      <c r="SA276">
        <v>23.4</v>
      </c>
      <c r="SB276">
        <v>23.4</v>
      </c>
      <c r="SC276">
        <v>23.4</v>
      </c>
      <c r="SD276">
        <v>23.4</v>
      </c>
      <c r="SE276">
        <v>23.4</v>
      </c>
      <c r="SF276">
        <v>23.4</v>
      </c>
      <c r="SG276">
        <v>23.4</v>
      </c>
      <c r="SH276">
        <v>23.4</v>
      </c>
      <c r="SI276">
        <v>23.4</v>
      </c>
      <c r="SU276">
        <v>4847.6000000000004</v>
      </c>
      <c r="SV276">
        <v>4796.6000000000004</v>
      </c>
      <c r="SW276">
        <v>4763</v>
      </c>
      <c r="SX276">
        <v>5249.6</v>
      </c>
      <c r="SY276">
        <v>5232.2</v>
      </c>
      <c r="SZ276">
        <v>5216</v>
      </c>
      <c r="TA276">
        <v>5024.2</v>
      </c>
      <c r="TB276">
        <v>4850</v>
      </c>
      <c r="TC276">
        <v>4808.2</v>
      </c>
      <c r="TD276">
        <v>4738.5</v>
      </c>
      <c r="TE276">
        <v>4719.2</v>
      </c>
      <c r="TF276">
        <v>4627.1000000000004</v>
      </c>
      <c r="TG276">
        <v>4557.3999999999996</v>
      </c>
      <c r="TH276">
        <v>4516.7</v>
      </c>
      <c r="TI276">
        <v>4389.7</v>
      </c>
      <c r="TJ276">
        <v>4389.7</v>
      </c>
      <c r="TK276">
        <v>4372.3</v>
      </c>
      <c r="TL276">
        <v>4280.2</v>
      </c>
      <c r="TM276">
        <v>4185.7</v>
      </c>
      <c r="TN276">
        <v>4132.2</v>
      </c>
      <c r="TO276">
        <v>4056.9</v>
      </c>
      <c r="TP276">
        <v>4056.9</v>
      </c>
      <c r="TQ276">
        <v>4000.7</v>
      </c>
      <c r="TR276">
        <v>3947.6</v>
      </c>
      <c r="TS276">
        <v>3821.7</v>
      </c>
      <c r="TT276">
        <v>3760</v>
      </c>
      <c r="TU276">
        <v>3706.5</v>
      </c>
      <c r="TV276">
        <v>3626.2</v>
      </c>
      <c r="TW276">
        <v>4284.5</v>
      </c>
      <c r="TX276">
        <v>4241</v>
      </c>
      <c r="TY276">
        <v>5026.2</v>
      </c>
      <c r="TZ276">
        <v>4957.3</v>
      </c>
      <c r="UA276">
        <v>4854.0200000000004</v>
      </c>
      <c r="UB276">
        <v>4766.3999999999996</v>
      </c>
      <c r="UC276">
        <v>4643.8</v>
      </c>
      <c r="UD276">
        <v>4574.1400000000003</v>
      </c>
      <c r="UE276">
        <v>4468.6000000000004</v>
      </c>
      <c r="UF276">
        <v>4384.5</v>
      </c>
      <c r="UG276">
        <v>4214.04</v>
      </c>
      <c r="UH276">
        <v>4146.1000000000004</v>
      </c>
      <c r="UI276">
        <v>4059.6</v>
      </c>
      <c r="UJ276">
        <v>4787.05</v>
      </c>
      <c r="UK276">
        <v>4525.6000000000004</v>
      </c>
      <c r="UL276">
        <v>4309.6000000000004</v>
      </c>
      <c r="UM276">
        <v>4053.9</v>
      </c>
      <c r="UN276">
        <v>3823.03</v>
      </c>
      <c r="UO276">
        <v>4596.1000000000004</v>
      </c>
      <c r="UP276">
        <v>4517.7</v>
      </c>
      <c r="UQ276">
        <v>4516</v>
      </c>
      <c r="UR276">
        <v>4398.3999999999996</v>
      </c>
      <c r="US276">
        <v>4381</v>
      </c>
      <c r="UT276">
        <v>4321.2</v>
      </c>
      <c r="UU276">
        <v>4169</v>
      </c>
      <c r="UV276">
        <v>4085</v>
      </c>
      <c r="UW276">
        <v>3948.7</v>
      </c>
      <c r="UX276">
        <v>3793</v>
      </c>
      <c r="UY276">
        <v>3727.8</v>
      </c>
      <c r="UZ276">
        <v>4515.8999999999996</v>
      </c>
      <c r="VA276">
        <v>-19.5</v>
      </c>
      <c r="VB276">
        <v>-19.5</v>
      </c>
      <c r="VC276">
        <v>-19.5</v>
      </c>
      <c r="VD276">
        <v>-19.5</v>
      </c>
      <c r="VE276">
        <v>-19.5</v>
      </c>
      <c r="VF276" s="1304">
        <v>-19.5</v>
      </c>
      <c r="VG276" s="1304">
        <v>-39</v>
      </c>
      <c r="VH276" s="1304">
        <v>-39</v>
      </c>
      <c r="VI276" s="1304">
        <v>-39</v>
      </c>
      <c r="VJ276" s="1304">
        <v>-39</v>
      </c>
      <c r="VK276">
        <v>-39</v>
      </c>
      <c r="VL276" s="1304">
        <v>-39</v>
      </c>
      <c r="VM276" s="1304">
        <v>-39</v>
      </c>
      <c r="VN276" s="1304">
        <v>-371.5</v>
      </c>
      <c r="VO276" s="1304">
        <v>-371.5</v>
      </c>
      <c r="VP276" s="1304">
        <v>-371.5</v>
      </c>
      <c r="VQ276" s="1304">
        <v>-371.5</v>
      </c>
      <c r="VR276" s="1304">
        <v>-371.5</v>
      </c>
      <c r="VS276" s="1304">
        <v>-371.5</v>
      </c>
      <c r="VT276" s="1304">
        <v>-371.5</v>
      </c>
      <c r="VU276" s="1304">
        <v>-371.5</v>
      </c>
      <c r="VV276" s="1304">
        <v>-371.5</v>
      </c>
      <c r="VW276" s="1304">
        <v>-371.5</v>
      </c>
      <c r="VX276" s="1304">
        <v>-371.5</v>
      </c>
      <c r="VY276" s="1304">
        <v>-371.5</v>
      </c>
      <c r="VZ276" s="1304">
        <v>-371.5</v>
      </c>
      <c r="WA276" s="1304">
        <v>-371.5</v>
      </c>
      <c r="WB276" s="1304">
        <v>-371.5</v>
      </c>
      <c r="WC276" s="1304">
        <v>-371.5</v>
      </c>
      <c r="WD276" s="1304">
        <v>-371.5</v>
      </c>
      <c r="WE276" s="1304">
        <v>-371.5</v>
      </c>
      <c r="WF276" s="1304">
        <v>-371.5</v>
      </c>
      <c r="WG276" s="1304">
        <v>-371.5</v>
      </c>
      <c r="WH276" s="1304">
        <v>-371.5</v>
      </c>
      <c r="WI276" s="1304">
        <v>-371.5</v>
      </c>
      <c r="WJ276" s="1304">
        <v>-371.5</v>
      </c>
      <c r="WK276" s="1304">
        <v>-371.5</v>
      </c>
      <c r="WL276" s="1304">
        <v>-371.5</v>
      </c>
      <c r="WM276" s="1304">
        <v>-371.5</v>
      </c>
      <c r="WN276" s="1304">
        <v>-371.5</v>
      </c>
      <c r="WO276" s="1304">
        <v>-371.5</v>
      </c>
      <c r="WP276" s="1304">
        <v>-371.5</v>
      </c>
      <c r="WQ276" s="1304">
        <v>-371</v>
      </c>
      <c r="WR276" s="1304">
        <v>-371</v>
      </c>
      <c r="WS276" s="1304">
        <v>-371</v>
      </c>
      <c r="WT276" s="1304">
        <v>-371</v>
      </c>
      <c r="WU276" s="1304">
        <v>-371</v>
      </c>
      <c r="WV276" s="1304">
        <v>-371</v>
      </c>
      <c r="WW276" s="1304">
        <v>-371</v>
      </c>
      <c r="WX276" s="1304">
        <v>-371</v>
      </c>
      <c r="WY276" s="1304">
        <v>-371</v>
      </c>
      <c r="WZ276" s="1304">
        <v>-371</v>
      </c>
      <c r="XA276" s="1304">
        <v>-371</v>
      </c>
      <c r="XB276" s="1304">
        <v>-371</v>
      </c>
      <c r="XC276" s="1304">
        <v>-371</v>
      </c>
      <c r="XD276" s="1304">
        <v>-371</v>
      </c>
      <c r="XE276" s="1304">
        <v>-371</v>
      </c>
      <c r="XF276" s="1304">
        <v>-371</v>
      </c>
      <c r="XG276" s="1304">
        <v>-371</v>
      </c>
      <c r="XH276" s="1304">
        <v>-371</v>
      </c>
      <c r="XI276" s="1304">
        <v>-371</v>
      </c>
      <c r="XJ276" s="1304">
        <v>-371</v>
      </c>
      <c r="XK276" s="1304">
        <v>-371</v>
      </c>
      <c r="XL276" s="1304">
        <v>-371</v>
      </c>
      <c r="XM276" s="1304">
        <v>-371</v>
      </c>
      <c r="XN276" s="1304">
        <v>-371</v>
      </c>
      <c r="XO276" s="1304">
        <v>-371</v>
      </c>
      <c r="XP276" s="1304">
        <v>-371</v>
      </c>
      <c r="XQ276" s="1304">
        <v>-371</v>
      </c>
      <c r="XR276" s="1304">
        <v>-371</v>
      </c>
      <c r="XS276" s="1304">
        <v>-371</v>
      </c>
      <c r="XT276" s="1304">
        <v>-371</v>
      </c>
      <c r="XU276" s="1304">
        <v>-371</v>
      </c>
      <c r="XV276" s="1304">
        <v>-371</v>
      </c>
      <c r="XW276" s="1304">
        <v>-371</v>
      </c>
      <c r="XX276" s="1304">
        <v>-371</v>
      </c>
      <c r="XY276" s="1304">
        <v>-371</v>
      </c>
      <c r="XZ276" s="1304">
        <v>-371</v>
      </c>
      <c r="YA276" s="1304">
        <v>-371</v>
      </c>
      <c r="YB276" s="1304">
        <v>-371</v>
      </c>
      <c r="YC276" s="1304">
        <v>-371</v>
      </c>
      <c r="YD276" s="1304">
        <v>-371</v>
      </c>
      <c r="YE276" s="1304">
        <v>-371</v>
      </c>
      <c r="YF276" s="1304">
        <v>-371</v>
      </c>
      <c r="YG276" s="1304">
        <v>-371</v>
      </c>
      <c r="YH276" s="1304">
        <v>-371</v>
      </c>
      <c r="YI276" s="1304">
        <v>-371</v>
      </c>
      <c r="YJ276" s="1304">
        <v>-371</v>
      </c>
      <c r="YK276" s="1304">
        <v>-371</v>
      </c>
      <c r="YL276" s="1304">
        <v>-371</v>
      </c>
      <c r="YM276" s="1304">
        <v>-371</v>
      </c>
      <c r="YN276" s="1304">
        <v>-371</v>
      </c>
      <c r="YO276" s="1304">
        <v>-371</v>
      </c>
      <c r="YP276" s="1304">
        <v>-371</v>
      </c>
      <c r="YQ276" s="1304">
        <v>-371</v>
      </c>
      <c r="YR276" s="1304">
        <v>-371</v>
      </c>
      <c r="YS276" s="1304">
        <v>-371</v>
      </c>
      <c r="YT276" s="1304">
        <v>-371</v>
      </c>
      <c r="YU276" s="1304">
        <v>-371</v>
      </c>
      <c r="YV276" s="1304">
        <v>-371</v>
      </c>
      <c r="YW276" s="1304">
        <v>-371</v>
      </c>
      <c r="YX276" s="1304">
        <v>-371</v>
      </c>
      <c r="YY276" s="1304">
        <v>-371</v>
      </c>
      <c r="YZ276" s="1304">
        <v>-371</v>
      </c>
      <c r="ZA276" s="1304">
        <v>-371</v>
      </c>
      <c r="ZB276" s="1304">
        <v>-371</v>
      </c>
      <c r="ZC276" s="1304">
        <v>-371</v>
      </c>
      <c r="ZD276" s="1304">
        <v>-371</v>
      </c>
      <c r="ZE276" s="1304">
        <v>-371</v>
      </c>
      <c r="ZF276" s="1304">
        <v>-371</v>
      </c>
      <c r="ZG276" s="1304">
        <v>-371</v>
      </c>
      <c r="ZH276" s="1304">
        <v>-371</v>
      </c>
      <c r="ZI276" s="1304">
        <v>-371</v>
      </c>
      <c r="ZJ276" s="1304">
        <v>-371</v>
      </c>
      <c r="ZK276" s="1304">
        <v>-371</v>
      </c>
      <c r="ZL276" s="1304">
        <v>-371</v>
      </c>
      <c r="ZM276" s="1304">
        <v>-371</v>
      </c>
      <c r="ZN276" s="1304">
        <v>-371</v>
      </c>
      <c r="ZO276" s="1304">
        <v>-371</v>
      </c>
      <c r="ZP276" s="1304">
        <v>-371</v>
      </c>
      <c r="ZQ276" s="1304">
        <v>-371</v>
      </c>
      <c r="ZR276" s="1304">
        <v>-371</v>
      </c>
      <c r="ZS276" s="1304">
        <v>-371</v>
      </c>
      <c r="ZT276" s="1304">
        <v>-371</v>
      </c>
      <c r="ZU276" s="1304">
        <v>-371</v>
      </c>
      <c r="ZV276" s="1304">
        <v>-371</v>
      </c>
      <c r="ZW276" s="1304">
        <v>-371</v>
      </c>
      <c r="ZX276" s="1304">
        <v>-371</v>
      </c>
      <c r="ZY276" s="1304">
        <v>-371</v>
      </c>
      <c r="ZZ276" s="1304">
        <v>-371</v>
      </c>
      <c r="AAA276" s="1304">
        <v>-371</v>
      </c>
      <c r="AAB276" s="1304">
        <v>-371</v>
      </c>
      <c r="AAC276" s="1304">
        <v>-371</v>
      </c>
      <c r="AAD276" s="1304">
        <v>-371</v>
      </c>
      <c r="AAE276" s="1304">
        <v>-371</v>
      </c>
      <c r="AAF276" s="1304">
        <v>-371</v>
      </c>
      <c r="AAG276" s="1304">
        <v>-371</v>
      </c>
      <c r="AAH276" s="1304">
        <v>-371</v>
      </c>
      <c r="AAI276" s="1304">
        <v>-371</v>
      </c>
      <c r="AAJ276" s="1304">
        <v>-371</v>
      </c>
      <c r="AAK276" s="1304">
        <v>-371</v>
      </c>
      <c r="AAL276" s="1304">
        <v>-371</v>
      </c>
      <c r="AAM276" s="1304">
        <v>-371</v>
      </c>
      <c r="AAN276" s="1304">
        <v>-371</v>
      </c>
      <c r="AAO276" s="1304">
        <v>-371</v>
      </c>
      <c r="AAP276" s="1304">
        <v>-371</v>
      </c>
      <c r="AAQ276" s="1304">
        <v>-371</v>
      </c>
      <c r="AAR276" s="1304">
        <v>-371</v>
      </c>
      <c r="AAS276" s="1304">
        <v>-371</v>
      </c>
      <c r="AAT276" s="1304">
        <v>-371</v>
      </c>
      <c r="AAU276" s="1304">
        <v>-371</v>
      </c>
      <c r="AAV276" s="1304">
        <v>-371</v>
      </c>
      <c r="AAW276" s="1304">
        <v>-371</v>
      </c>
      <c r="AAX276" s="1304">
        <v>-371</v>
      </c>
      <c r="AAY276" s="1304">
        <v>-371</v>
      </c>
      <c r="AAZ276" s="1304">
        <v>-371</v>
      </c>
      <c r="ABA276" s="1304">
        <v>-371</v>
      </c>
      <c r="ABB276" s="1304">
        <v>-371</v>
      </c>
      <c r="ABC276" s="1304">
        <v>-371</v>
      </c>
      <c r="ABD276" s="1304">
        <v>-371</v>
      </c>
      <c r="ABE276" s="1304">
        <v>-371</v>
      </c>
      <c r="ABF276" s="1304">
        <v>-371</v>
      </c>
      <c r="ABG276" s="1304">
        <v>-371</v>
      </c>
      <c r="ABH276" s="1304">
        <v>-371</v>
      </c>
      <c r="ABI276" s="1304">
        <v>-371</v>
      </c>
      <c r="ABJ276" s="1304">
        <v>-371</v>
      </c>
      <c r="ABK276" s="1304">
        <v>-371</v>
      </c>
      <c r="ABL276" s="1304">
        <v>-371</v>
      </c>
      <c r="ABM276" s="1304">
        <v>-371</v>
      </c>
      <c r="ABN276" s="1304">
        <v>-371</v>
      </c>
      <c r="ABO276" s="1304">
        <v>-371</v>
      </c>
      <c r="ABP276" s="1304">
        <v>-371</v>
      </c>
      <c r="ABQ276" s="1304">
        <v>-371</v>
      </c>
      <c r="ABR276" s="1304">
        <v>-371</v>
      </c>
      <c r="ABS276" s="1304">
        <v>-371</v>
      </c>
      <c r="ABT276" s="1304">
        <v>-371</v>
      </c>
      <c r="ABU276" s="1304">
        <v>-371</v>
      </c>
      <c r="ABV276" s="1304">
        <v>-371</v>
      </c>
      <c r="ABW276" s="1304">
        <v>-371</v>
      </c>
      <c r="ABX276" s="1304">
        <v>-371</v>
      </c>
      <c r="ABY276" s="1304">
        <v>-371</v>
      </c>
      <c r="ABZ276" s="1304">
        <v>-371</v>
      </c>
      <c r="ACA276" s="1304">
        <v>-371</v>
      </c>
      <c r="ACB276" s="1304">
        <v>-371</v>
      </c>
      <c r="ACC276" s="1304">
        <v>-371</v>
      </c>
      <c r="ACD276" s="1304">
        <v>-371</v>
      </c>
      <c r="ACE276" s="1304">
        <v>-371</v>
      </c>
      <c r="ACF276" s="1304">
        <v>-371</v>
      </c>
      <c r="ACG276" s="1304">
        <v>-371</v>
      </c>
      <c r="ACH276" s="1304">
        <v>-371</v>
      </c>
      <c r="ACI276" s="1304">
        <v>-371</v>
      </c>
      <c r="ACJ276" s="1304">
        <v>-371</v>
      </c>
      <c r="ACK276" s="1304">
        <v>-371</v>
      </c>
      <c r="ACL276" s="1304">
        <v>-371</v>
      </c>
      <c r="ACM276" s="1304">
        <v>-371</v>
      </c>
      <c r="ACN276" s="1304">
        <v>-371</v>
      </c>
      <c r="ACO276" s="1304">
        <v>-371</v>
      </c>
      <c r="ACP276" s="1304">
        <v>-371</v>
      </c>
      <c r="ACQ276" s="1304">
        <v>-371</v>
      </c>
      <c r="ACR276" s="1304">
        <v>-371</v>
      </c>
      <c r="ACS276" s="1304">
        <v>-371</v>
      </c>
      <c r="ACT276" s="1304">
        <v>-371</v>
      </c>
      <c r="ACU276" s="1304">
        <v>-371</v>
      </c>
      <c r="ACV276" s="1304">
        <v>-371</v>
      </c>
      <c r="ACW276" s="1304">
        <v>-371</v>
      </c>
      <c r="ACX276" s="1304">
        <v>-371</v>
      </c>
      <c r="ACY276" s="1304">
        <v>-371</v>
      </c>
      <c r="ACZ276" s="1304">
        <v>-371</v>
      </c>
      <c r="ADA276" s="1304">
        <v>-371</v>
      </c>
      <c r="ADB276" s="1304">
        <v>-371</v>
      </c>
      <c r="ADC276" s="1304">
        <v>-371</v>
      </c>
      <c r="ADD276" s="1304">
        <v>-371</v>
      </c>
      <c r="ADE276" s="1304">
        <v>-371</v>
      </c>
      <c r="ADF276" s="1304">
        <v>-371</v>
      </c>
      <c r="ADG276" s="1304">
        <v>-371</v>
      </c>
      <c r="ADH276" s="1304">
        <v>-371</v>
      </c>
      <c r="ADI276" s="1304">
        <v>-371</v>
      </c>
      <c r="ADJ276" s="1304">
        <v>-371</v>
      </c>
      <c r="ADK276" s="1304">
        <v>-371</v>
      </c>
      <c r="ADL276" s="1304">
        <v>-371</v>
      </c>
      <c r="ADM276" s="1304">
        <v>-371</v>
      </c>
      <c r="ADN276" s="1304">
        <v>-371</v>
      </c>
      <c r="ADO276" s="1304">
        <v>-371</v>
      </c>
      <c r="ADP276" s="1304">
        <v>-371</v>
      </c>
      <c r="ADQ276" s="1304">
        <v>-371</v>
      </c>
      <c r="ADR276" s="1304">
        <v>-371</v>
      </c>
      <c r="ADS276" s="1304">
        <v>-371</v>
      </c>
      <c r="ADT276" s="1304">
        <v>-371</v>
      </c>
      <c r="ADU276" s="1304">
        <v>-371</v>
      </c>
      <c r="ADV276" s="1304">
        <v>-371</v>
      </c>
      <c r="ADW276" s="1304">
        <v>-371</v>
      </c>
      <c r="ADX276" s="1304">
        <v>-371</v>
      </c>
      <c r="ADY276" s="1304">
        <v>-371</v>
      </c>
      <c r="ADZ276" s="1304">
        <v>-371</v>
      </c>
      <c r="AEA276" s="1304">
        <v>-371</v>
      </c>
      <c r="AEB276" s="1304">
        <v>-371</v>
      </c>
      <c r="AEC276" s="1304">
        <v>-371</v>
      </c>
      <c r="AED276" s="1304">
        <v>-371</v>
      </c>
      <c r="AEE276" s="1304">
        <v>-371</v>
      </c>
      <c r="AEF276" s="1304">
        <v>-371</v>
      </c>
      <c r="AEG276" s="1304">
        <v>-371</v>
      </c>
      <c r="AEH276" s="1304">
        <v>-371</v>
      </c>
      <c r="AEI276" s="1304">
        <v>0</v>
      </c>
    </row>
    <row r="277" spans="2:964">
      <c r="O277">
        <v>1594</v>
      </c>
      <c r="PD277">
        <v>-24.4</v>
      </c>
      <c r="PE277">
        <v>-24.4</v>
      </c>
      <c r="PF277">
        <v>-24.4</v>
      </c>
      <c r="PG277">
        <v>-24.4</v>
      </c>
      <c r="PH277">
        <v>-24.4</v>
      </c>
      <c r="PI277">
        <v>-24.4</v>
      </c>
      <c r="PJ277">
        <v>-24.4</v>
      </c>
      <c r="PK277">
        <v>-24.4</v>
      </c>
      <c r="PL277">
        <v>-24.4</v>
      </c>
      <c r="PM277">
        <v>-24.4</v>
      </c>
      <c r="PN277">
        <v>-24.4</v>
      </c>
      <c r="PO277">
        <v>-24.4</v>
      </c>
      <c r="PP277">
        <v>-24.4</v>
      </c>
      <c r="PQ277">
        <v>-24.4</v>
      </c>
      <c r="PR277">
        <v>-24.4</v>
      </c>
      <c r="PS277">
        <v>-24.4</v>
      </c>
      <c r="PT277">
        <v>-24.4</v>
      </c>
      <c r="PU277">
        <v>-24.4</v>
      </c>
      <c r="PV277">
        <v>-24.4</v>
      </c>
      <c r="PW277">
        <v>-24.4</v>
      </c>
      <c r="PX277">
        <v>-24.4</v>
      </c>
      <c r="PY277">
        <v>-24.4</v>
      </c>
      <c r="PZ277">
        <v>-24.4</v>
      </c>
      <c r="QA277">
        <v>-24.4</v>
      </c>
      <c r="QB277">
        <v>-24.4</v>
      </c>
      <c r="QC277">
        <v>-24.4</v>
      </c>
      <c r="QD277">
        <v>-24.4</v>
      </c>
      <c r="QE277">
        <v>-24.4</v>
      </c>
      <c r="QF277">
        <v>-24.4</v>
      </c>
      <c r="QG277">
        <v>-24.4</v>
      </c>
      <c r="QH277">
        <v>-24.4</v>
      </c>
      <c r="QI277">
        <v>-24.4</v>
      </c>
      <c r="QJ277">
        <v>-24.4</v>
      </c>
      <c r="QK277">
        <v>-24.4</v>
      </c>
      <c r="QL277">
        <v>-24.4</v>
      </c>
      <c r="QM277">
        <v>-24.4</v>
      </c>
      <c r="QN277">
        <v>-24.4</v>
      </c>
      <c r="QO277">
        <v>-24.4</v>
      </c>
      <c r="QP277">
        <v>-24.4</v>
      </c>
      <c r="QQ277">
        <v>-24.4</v>
      </c>
      <c r="QR277">
        <v>-24.4</v>
      </c>
      <c r="QS277">
        <v>-24.4</v>
      </c>
      <c r="QT277">
        <v>-24.4</v>
      </c>
      <c r="QU277">
        <v>-24.4</v>
      </c>
      <c r="QV277">
        <v>-24.4</v>
      </c>
      <c r="QW277">
        <v>-24.4</v>
      </c>
      <c r="QX277">
        <v>-24.4</v>
      </c>
      <c r="QY277">
        <v>-24.4</v>
      </c>
      <c r="QZ277">
        <v>-24.4</v>
      </c>
      <c r="RA277">
        <v>-24.4</v>
      </c>
      <c r="RB277">
        <v>-24.4</v>
      </c>
      <c r="RC277">
        <v>-24.4</v>
      </c>
      <c r="RD277">
        <v>-24.4</v>
      </c>
      <c r="RE277">
        <v>-24.4</v>
      </c>
      <c r="RF277">
        <v>-24.4</v>
      </c>
      <c r="RG277">
        <v>-24.4</v>
      </c>
      <c r="RH277">
        <v>-24.4</v>
      </c>
      <c r="RI277">
        <v>-24.4</v>
      </c>
      <c r="RJ277">
        <v>-155.5</v>
      </c>
      <c r="RK277">
        <v>-155.5</v>
      </c>
      <c r="RL277">
        <v>-155.5</v>
      </c>
      <c r="RM277">
        <v>-155.5</v>
      </c>
      <c r="RN277">
        <v>-155.5</v>
      </c>
      <c r="RO277">
        <v>-155.5</v>
      </c>
      <c r="RP277">
        <v>-155.5</v>
      </c>
      <c r="RT277">
        <v>6</v>
      </c>
      <c r="RU277">
        <v>6</v>
      </c>
      <c r="SU277">
        <v>-155.5</v>
      </c>
      <c r="SV277">
        <v>-155.5</v>
      </c>
      <c r="SW277">
        <v>-155.5</v>
      </c>
      <c r="SX277">
        <v>-155.5</v>
      </c>
      <c r="SY277">
        <v>-155.5</v>
      </c>
      <c r="SZ277">
        <v>-155.5</v>
      </c>
      <c r="TA277">
        <v>-155.5</v>
      </c>
      <c r="TB277">
        <v>-155.5</v>
      </c>
      <c r="TC277">
        <v>-155.5</v>
      </c>
      <c r="TD277">
        <v>-155.5</v>
      </c>
      <c r="TE277">
        <v>-155.5</v>
      </c>
      <c r="TF277">
        <v>-155.5</v>
      </c>
      <c r="TG277">
        <v>-155.5</v>
      </c>
      <c r="TH277">
        <v>-155.5</v>
      </c>
      <c r="TI277">
        <v>-155.5</v>
      </c>
      <c r="TJ277">
        <v>-155.5</v>
      </c>
      <c r="TK277">
        <v>-155.5</v>
      </c>
      <c r="TL277">
        <v>-155.5</v>
      </c>
      <c r="TM277">
        <v>-155.5</v>
      </c>
      <c r="TN277">
        <v>-155.5</v>
      </c>
      <c r="TO277">
        <v>-155.5</v>
      </c>
      <c r="TP277">
        <v>-155.5</v>
      </c>
      <c r="TQ277">
        <v>-155.5</v>
      </c>
      <c r="TR277">
        <v>-155.5</v>
      </c>
      <c r="TS277">
        <v>-155.5</v>
      </c>
      <c r="TT277">
        <v>-155.5</v>
      </c>
      <c r="TU277">
        <v>-155.5</v>
      </c>
      <c r="TV277">
        <v>-155.5</v>
      </c>
      <c r="TW277">
        <v>-315.5</v>
      </c>
      <c r="TX277">
        <v>-315.5</v>
      </c>
      <c r="TY277">
        <v>-315.5</v>
      </c>
      <c r="TZ277">
        <v>-315.5</v>
      </c>
      <c r="UA277">
        <v>-315.5</v>
      </c>
      <c r="UB277">
        <v>-315.5</v>
      </c>
      <c r="UC277">
        <v>-315.5</v>
      </c>
      <c r="UD277">
        <v>-315.5</v>
      </c>
      <c r="UE277">
        <v>-315.5</v>
      </c>
      <c r="UF277">
        <v>-315.5</v>
      </c>
      <c r="UG277">
        <v>-315.5</v>
      </c>
      <c r="UH277">
        <v>-315.5</v>
      </c>
      <c r="UI277">
        <v>-315.5</v>
      </c>
      <c r="UJ277">
        <v>-315.5</v>
      </c>
      <c r="UK277">
        <v>-315.5</v>
      </c>
      <c r="UL277">
        <v>-325.5</v>
      </c>
      <c r="UM277">
        <v>-325.5</v>
      </c>
      <c r="UN277">
        <v>-325.5</v>
      </c>
      <c r="UO277">
        <v>-325.5</v>
      </c>
      <c r="UP277">
        <v>-458.5</v>
      </c>
      <c r="UQ277">
        <v>-458.5</v>
      </c>
      <c r="UR277">
        <v>-458.5</v>
      </c>
      <c r="US277">
        <v>-458.5</v>
      </c>
      <c r="UT277">
        <v>-458.5</v>
      </c>
      <c r="UU277">
        <v>-458.5</v>
      </c>
      <c r="UV277">
        <v>-590</v>
      </c>
      <c r="UW277">
        <v>-590</v>
      </c>
      <c r="UX277">
        <v>-665</v>
      </c>
      <c r="UY277">
        <v>-665</v>
      </c>
      <c r="UZ277">
        <v>-665</v>
      </c>
      <c r="VA277">
        <v>4052</v>
      </c>
      <c r="VB277">
        <v>3861</v>
      </c>
      <c r="VC277">
        <v>3709.4</v>
      </c>
      <c r="VD277">
        <v>3490.9</v>
      </c>
      <c r="VE277">
        <v>4866.7</v>
      </c>
      <c r="VF277" s="1304">
        <v>4484.2</v>
      </c>
      <c r="VG277" s="1304">
        <v>4080.8</v>
      </c>
      <c r="VH277" s="1304">
        <v>4769.8999999999996</v>
      </c>
      <c r="VI277" s="1304">
        <v>4691.7</v>
      </c>
      <c r="VJ277" s="1304">
        <v>4623.8</v>
      </c>
      <c r="VK277">
        <v>4301.3</v>
      </c>
      <c r="VL277" s="1304">
        <v>4053.4</v>
      </c>
      <c r="VM277" s="1304">
        <v>3815.6</v>
      </c>
      <c r="VN277" s="1304">
        <v>-39</v>
      </c>
      <c r="VO277" s="1304">
        <v>-39</v>
      </c>
      <c r="VP277" s="1304">
        <v>-39</v>
      </c>
      <c r="VQ277" s="1304">
        <v>-39</v>
      </c>
      <c r="VR277" s="1304">
        <v>-39</v>
      </c>
      <c r="VS277" s="1304">
        <v>-39</v>
      </c>
      <c r="VT277" s="1304">
        <v>-39</v>
      </c>
      <c r="VU277" s="1304">
        <f>-19.5*3</f>
        <v>-58.5</v>
      </c>
      <c r="VV277" s="1304">
        <v>-59</v>
      </c>
      <c r="VW277" s="1304">
        <v>-59</v>
      </c>
      <c r="VX277" s="1304">
        <v>-59</v>
      </c>
      <c r="VY277" s="1304">
        <v>-59</v>
      </c>
      <c r="VZ277" s="1304">
        <v>-59</v>
      </c>
      <c r="WA277" s="1304">
        <v>-59</v>
      </c>
      <c r="WB277" s="1304">
        <v>-59</v>
      </c>
      <c r="WC277" s="1304">
        <v>-59</v>
      </c>
      <c r="WD277" s="1304">
        <v>-59</v>
      </c>
      <c r="WE277" s="1304">
        <v>-59</v>
      </c>
      <c r="WF277" s="1304">
        <v>-59</v>
      </c>
      <c r="WG277" s="1304">
        <v>-59</v>
      </c>
      <c r="WH277" s="1304">
        <v>-59</v>
      </c>
      <c r="WI277" s="1304">
        <v>-59</v>
      </c>
      <c r="WJ277" s="1304">
        <v>-59</v>
      </c>
      <c r="WK277" s="1304">
        <v>-59</v>
      </c>
      <c r="WL277" s="1304">
        <v>-59</v>
      </c>
      <c r="WM277" s="1304">
        <v>-59</v>
      </c>
      <c r="WN277" s="1304">
        <v>-59</v>
      </c>
      <c r="WO277" s="1304">
        <v>-59</v>
      </c>
      <c r="WP277" s="1304">
        <v>-59</v>
      </c>
      <c r="WQ277" s="1304">
        <v>-59</v>
      </c>
      <c r="WR277" s="1304">
        <v>-59</v>
      </c>
      <c r="WS277" s="1304">
        <v>-59</v>
      </c>
      <c r="WT277" s="1304">
        <v>-59</v>
      </c>
      <c r="WU277" s="1304">
        <v>-59</v>
      </c>
      <c r="WV277" s="1304">
        <v>-59</v>
      </c>
      <c r="WW277" s="1304">
        <v>-59</v>
      </c>
      <c r="WX277" s="1304">
        <v>-59</v>
      </c>
      <c r="WY277" s="1304">
        <v>-59</v>
      </c>
      <c r="WZ277" s="1304">
        <v>-78.599999999999994</v>
      </c>
      <c r="XA277" s="1304">
        <v>-98.2</v>
      </c>
      <c r="XB277" s="1304">
        <v>-98.2</v>
      </c>
      <c r="XC277" s="1304">
        <v>-98.2</v>
      </c>
      <c r="XD277" s="1304">
        <v>-98.2</v>
      </c>
      <c r="XE277" s="1304">
        <v>-98.2</v>
      </c>
      <c r="XF277" s="1304">
        <v>-98.2</v>
      </c>
      <c r="XG277" s="1304">
        <v>-98.2</v>
      </c>
      <c r="XH277" s="1304">
        <v>-98.2</v>
      </c>
      <c r="XI277" s="1304">
        <v>-98.2</v>
      </c>
      <c r="XJ277" s="1304">
        <v>-98.1</v>
      </c>
      <c r="XK277" s="1304">
        <v>-98.1</v>
      </c>
      <c r="XL277" s="1304">
        <v>-98.1</v>
      </c>
      <c r="XM277" s="1304">
        <v>-98.1</v>
      </c>
      <c r="XN277" s="1304">
        <v>-98.1</v>
      </c>
      <c r="XO277" s="1304">
        <v>-98.1</v>
      </c>
      <c r="XP277" s="1304">
        <v>-98.1</v>
      </c>
      <c r="XQ277" s="1304">
        <v>-98.1</v>
      </c>
      <c r="XR277" s="1304">
        <v>-98.1</v>
      </c>
      <c r="XS277" s="1304">
        <v>-98.1</v>
      </c>
      <c r="XT277" s="1304">
        <v>-98.1</v>
      </c>
      <c r="XU277" s="1304">
        <v>-98.1</v>
      </c>
      <c r="XV277" s="1304">
        <v>-98.1</v>
      </c>
      <c r="XW277" s="1304">
        <v>-98.1</v>
      </c>
      <c r="XX277" s="1304">
        <v>-98.1</v>
      </c>
      <c r="XY277" s="1304">
        <v>-98.1</v>
      </c>
      <c r="XZ277" s="1304">
        <v>-118.1</v>
      </c>
      <c r="YA277" s="1304">
        <v>-118.1</v>
      </c>
      <c r="YB277" s="1304">
        <v>-118.1</v>
      </c>
      <c r="YC277" s="1304">
        <v>-118.1</v>
      </c>
      <c r="YD277" s="1304">
        <v>-118.1</v>
      </c>
      <c r="YE277" s="1304">
        <v>-118.1</v>
      </c>
      <c r="YF277" s="1304">
        <v>-118.1</v>
      </c>
      <c r="YG277" s="1304">
        <v>-118.1</v>
      </c>
      <c r="YH277" s="1304">
        <v>-118.1</v>
      </c>
      <c r="YI277" s="1304">
        <v>-118.1</v>
      </c>
      <c r="YJ277" s="1304">
        <v>-118.1</v>
      </c>
      <c r="YK277" s="1304">
        <v>-118.1</v>
      </c>
      <c r="YL277" s="1304">
        <v>-118.1</v>
      </c>
      <c r="YM277" s="1304">
        <v>-118.1</v>
      </c>
      <c r="YN277" s="1304">
        <v>-137.19999999999999</v>
      </c>
      <c r="YO277" s="1304">
        <v>-137.19999999999999</v>
      </c>
      <c r="YP277" s="1304">
        <v>-137.19999999999999</v>
      </c>
      <c r="YQ277" s="1304">
        <v>-137.19999999999999</v>
      </c>
      <c r="YR277" s="1304">
        <v>-137.19999999999999</v>
      </c>
      <c r="YS277" s="1304">
        <v>-156.80000000000001</v>
      </c>
      <c r="YT277" s="1304">
        <v>-156.80000000000001</v>
      </c>
      <c r="YU277" s="1304">
        <v>-156.80000000000001</v>
      </c>
      <c r="YV277" s="1304">
        <v>-156.80000000000001</v>
      </c>
      <c r="YW277" s="1304">
        <v>-156.80000000000001</v>
      </c>
      <c r="YX277" s="1304">
        <v>-156.80000000000001</v>
      </c>
      <c r="YY277" s="1304">
        <v>-175.5</v>
      </c>
      <c r="YZ277" s="1304">
        <v>-175.5</v>
      </c>
      <c r="ZA277" s="1304">
        <v>-175.5</v>
      </c>
      <c r="ZB277" s="1304">
        <v>-175.5</v>
      </c>
      <c r="ZC277" s="1304">
        <v>-175.5</v>
      </c>
      <c r="ZD277" s="1304">
        <v>-175.5</v>
      </c>
      <c r="ZE277" s="1304">
        <v>-175.5</v>
      </c>
      <c r="ZF277" s="1304">
        <v>-175.5</v>
      </c>
      <c r="ZG277" s="1304">
        <v>-175.5</v>
      </c>
      <c r="ZH277" s="1304">
        <v>-175.5</v>
      </c>
      <c r="ZI277" s="1304">
        <v>-175.5</v>
      </c>
      <c r="ZJ277" s="1304">
        <v>-175.5</v>
      </c>
      <c r="ZK277" s="1304">
        <v>-175.5</v>
      </c>
      <c r="ZL277" s="1304">
        <v>-175.5</v>
      </c>
      <c r="ZM277" s="1304">
        <v>-175.5</v>
      </c>
      <c r="ZN277" s="1304">
        <v>-175.5</v>
      </c>
      <c r="ZO277" s="1304">
        <v>-175.5</v>
      </c>
      <c r="ZP277" s="1304">
        <v>-175.5</v>
      </c>
      <c r="ZQ277" s="1304">
        <v>-175.5</v>
      </c>
      <c r="ZR277" s="1304">
        <v>-175.5</v>
      </c>
      <c r="ZS277" s="1304">
        <v>-175.5</v>
      </c>
      <c r="ZT277" s="1304">
        <v>-175.5</v>
      </c>
      <c r="ZU277" s="1304">
        <v>-175.5</v>
      </c>
      <c r="ZV277" s="1304">
        <v>-175.5</v>
      </c>
      <c r="ZW277" s="1304">
        <v>-175.5</v>
      </c>
      <c r="ZX277" s="1304">
        <v>-175.5</v>
      </c>
      <c r="ZY277" s="1304">
        <v>-175.5</v>
      </c>
      <c r="ZZ277" s="1304">
        <v>-175.5</v>
      </c>
      <c r="AAA277" s="1304">
        <v>-175.5</v>
      </c>
      <c r="AAB277" s="1304">
        <v>-175.5</v>
      </c>
      <c r="AAC277" s="1304">
        <v>-175.5</v>
      </c>
      <c r="AAD277" s="1304">
        <v>-175.5</v>
      </c>
      <c r="AAE277" s="1304">
        <v>-175.5</v>
      </c>
      <c r="AAF277" s="1304">
        <v>-175.5</v>
      </c>
      <c r="AAG277" s="1304">
        <v>-175.5</v>
      </c>
      <c r="AAH277" s="1304">
        <v>-175.5</v>
      </c>
      <c r="AAI277" s="1304">
        <v>-175.5</v>
      </c>
      <c r="AAJ277" s="1304">
        <v>-175.5</v>
      </c>
      <c r="AAK277" s="1304">
        <v>-175.5</v>
      </c>
      <c r="AAL277" s="1304">
        <v>-175.5</v>
      </c>
      <c r="AAM277" s="1304">
        <v>-175.5</v>
      </c>
      <c r="AAN277" s="1304">
        <f>-175.5-20</f>
        <v>-195.5</v>
      </c>
      <c r="AAO277" s="1304">
        <v>-195.5</v>
      </c>
      <c r="AAP277" s="1304">
        <v>-195.5</v>
      </c>
      <c r="AAQ277" s="1304">
        <v>-195.5</v>
      </c>
      <c r="AAR277" s="1304">
        <v>-195.5</v>
      </c>
      <c r="AAS277" s="1304">
        <v>-195.5</v>
      </c>
      <c r="AAT277" s="1304">
        <v>-195.5</v>
      </c>
      <c r="AAU277" s="1304">
        <v>-195.5</v>
      </c>
      <c r="AAV277" s="1304">
        <v>-195.5</v>
      </c>
      <c r="AAW277" s="1304">
        <v>-195.5</v>
      </c>
      <c r="AAX277" s="1304">
        <v>-195.5</v>
      </c>
      <c r="AAY277" s="1304">
        <v>-195</v>
      </c>
      <c r="AAZ277" s="1304">
        <v>-195</v>
      </c>
      <c r="ABA277" s="1304">
        <v>-195</v>
      </c>
      <c r="ABB277" s="1304">
        <v>-195</v>
      </c>
      <c r="ABC277" s="1304">
        <v>-195</v>
      </c>
      <c r="ABD277" s="1304">
        <v>-195</v>
      </c>
      <c r="ABE277" s="1304">
        <v>-195</v>
      </c>
      <c r="ABF277" s="1304">
        <v>-195</v>
      </c>
      <c r="ABG277" s="1304">
        <v>-195</v>
      </c>
      <c r="ABH277" s="1304">
        <v>-195</v>
      </c>
      <c r="ABI277" s="1304">
        <v>-195</v>
      </c>
      <c r="ABJ277" s="1304">
        <v>-195</v>
      </c>
      <c r="ABK277" s="1304">
        <v>-195</v>
      </c>
      <c r="ABL277" s="1304">
        <v>-195</v>
      </c>
      <c r="ABM277" s="1304">
        <v>-195</v>
      </c>
      <c r="ABN277" s="1304">
        <v>-195</v>
      </c>
      <c r="ABO277" s="1304">
        <v>-195</v>
      </c>
      <c r="ABP277" s="1304">
        <v>-195</v>
      </c>
      <c r="ABQ277" s="1304">
        <v>-195</v>
      </c>
      <c r="ABR277" s="1304">
        <v>-195</v>
      </c>
      <c r="ABS277" s="1304">
        <v>-195</v>
      </c>
      <c r="ABT277" s="1304">
        <v>-195</v>
      </c>
      <c r="ABU277" s="1304">
        <v>-195</v>
      </c>
      <c r="ABV277" s="1304">
        <v>-195</v>
      </c>
      <c r="ABW277" s="1304">
        <v>-195</v>
      </c>
      <c r="ABX277" s="1304">
        <v>-195</v>
      </c>
      <c r="ABY277" s="1304">
        <v>-195</v>
      </c>
      <c r="ABZ277" s="1304">
        <v>-195</v>
      </c>
      <c r="ACA277" s="1304">
        <v>-195</v>
      </c>
      <c r="ACB277" s="1304">
        <v>-195</v>
      </c>
      <c r="ACC277" s="1304">
        <v>-214.5</v>
      </c>
      <c r="ACD277" s="1304">
        <v>-234</v>
      </c>
      <c r="ACE277" s="1304">
        <v>-234</v>
      </c>
      <c r="ACF277" s="1304">
        <v>-253.5</v>
      </c>
      <c r="ACG277" s="1304">
        <v>-253.5</v>
      </c>
      <c r="ACH277" s="1304">
        <v>-253.5</v>
      </c>
      <c r="ACI277" s="1304">
        <v>-253.5</v>
      </c>
      <c r="ACJ277" s="1304">
        <v>-253.5</v>
      </c>
      <c r="ACK277" s="1304">
        <v>-253.5</v>
      </c>
      <c r="ACL277" s="1304">
        <v>-253.5</v>
      </c>
      <c r="ACM277" s="1304">
        <v>-253.5</v>
      </c>
      <c r="ACN277" s="1304">
        <v>-253.5</v>
      </c>
      <c r="ACO277" s="1304">
        <v>-253.5</v>
      </c>
      <c r="ACP277" s="1304">
        <v>-253.5</v>
      </c>
      <c r="ACQ277" s="1304">
        <v>-253.5</v>
      </c>
      <c r="ACR277" s="1304">
        <v>-273</v>
      </c>
      <c r="ACS277" s="1304">
        <v>-273</v>
      </c>
      <c r="ACT277" s="1304">
        <v>-273</v>
      </c>
      <c r="ACU277" s="1304">
        <v>-273</v>
      </c>
      <c r="ACV277" s="1304">
        <v>-273</v>
      </c>
      <c r="ACW277" s="1304">
        <v>-273</v>
      </c>
      <c r="ACX277" s="1304">
        <v>-273</v>
      </c>
      <c r="ACY277" s="1304">
        <v>-273</v>
      </c>
      <c r="ACZ277" s="1304">
        <v>-273</v>
      </c>
      <c r="ADA277" s="1304">
        <v>-273</v>
      </c>
      <c r="ADB277" s="1304">
        <v>-273</v>
      </c>
      <c r="ADC277" s="1304">
        <v>-273</v>
      </c>
      <c r="ADD277" s="1304">
        <v>-273</v>
      </c>
      <c r="ADE277" s="1304">
        <v>-273</v>
      </c>
      <c r="ADF277" s="1304">
        <v>-273</v>
      </c>
      <c r="ADG277" s="1304">
        <v>-273</v>
      </c>
      <c r="ADH277" s="1304">
        <v>-273</v>
      </c>
      <c r="ADI277" s="1304">
        <v>-273</v>
      </c>
      <c r="ADJ277" s="1304">
        <v>-273</v>
      </c>
      <c r="ADK277" s="1304">
        <v>-273</v>
      </c>
      <c r="ADL277" s="1304">
        <v>-273</v>
      </c>
      <c r="ADM277" s="1304">
        <v>-273</v>
      </c>
      <c r="ADN277" s="1304">
        <v>-273</v>
      </c>
      <c r="ADO277" s="1304">
        <v>-273</v>
      </c>
      <c r="ADP277" s="1304">
        <v>-273</v>
      </c>
      <c r="ADQ277" s="1304">
        <v>-273</v>
      </c>
      <c r="ADR277" s="1304">
        <v>-273</v>
      </c>
      <c r="ADS277" s="1304">
        <v>-273</v>
      </c>
      <c r="ADT277" s="1304">
        <v>-273</v>
      </c>
      <c r="ADU277" s="1304">
        <v>-273</v>
      </c>
      <c r="ADV277" s="1304">
        <v>-273</v>
      </c>
      <c r="ADW277" s="1304">
        <v>-273</v>
      </c>
      <c r="ADX277" s="1304">
        <v>-273</v>
      </c>
      <c r="ADY277" s="1304">
        <v>-273</v>
      </c>
      <c r="ADZ277" s="1304">
        <v>-273</v>
      </c>
      <c r="AEA277" s="1304">
        <v>-273</v>
      </c>
      <c r="AEB277" s="1304">
        <v>-273</v>
      </c>
      <c r="AEC277" s="1304">
        <v>-273</v>
      </c>
      <c r="AED277" s="1304">
        <v>-273</v>
      </c>
      <c r="AEE277" s="1304">
        <v>-273</v>
      </c>
      <c r="AEF277" s="1304">
        <v>-273</v>
      </c>
      <c r="AEG277" s="1304">
        <v>-273</v>
      </c>
      <c r="AEH277" s="1304">
        <v>-273</v>
      </c>
      <c r="AEI277" s="1304">
        <v>376</v>
      </c>
    </row>
    <row r="278" spans="2:964">
      <c r="O278">
        <v>15</v>
      </c>
      <c r="PN278">
        <v>-2</v>
      </c>
      <c r="RB278">
        <v>9.6999999999999993</v>
      </c>
      <c r="RH278">
        <v>-155.5</v>
      </c>
      <c r="RI278">
        <v>-155.5</v>
      </c>
      <c r="RJ278">
        <v>155</v>
      </c>
      <c r="RK278">
        <v>155</v>
      </c>
      <c r="RM278">
        <v>27</v>
      </c>
      <c r="RT278">
        <v>0.315</v>
      </c>
      <c r="RU278">
        <v>0.315</v>
      </c>
      <c r="TR278">
        <v>-25.3</v>
      </c>
      <c r="UV278">
        <v>100</v>
      </c>
      <c r="UW278">
        <v>100</v>
      </c>
      <c r="UX278">
        <v>100</v>
      </c>
      <c r="UY278">
        <v>100</v>
      </c>
      <c r="UZ278">
        <v>100</v>
      </c>
      <c r="VA278">
        <v>-665</v>
      </c>
      <c r="VB278">
        <v>-665</v>
      </c>
      <c r="VC278">
        <v>-665</v>
      </c>
      <c r="VD278">
        <v>-665</v>
      </c>
      <c r="VE278">
        <v>-665</v>
      </c>
      <c r="VF278" s="1304">
        <v>-665</v>
      </c>
      <c r="VG278" s="1304">
        <v>-665</v>
      </c>
      <c r="VH278" s="1304">
        <v>-665</v>
      </c>
      <c r="VI278" s="1304">
        <v>-665</v>
      </c>
      <c r="VJ278" s="1304">
        <v>-665</v>
      </c>
      <c r="VK278">
        <v>-665</v>
      </c>
      <c r="VL278" s="1304">
        <v>-665</v>
      </c>
      <c r="VM278" s="1304">
        <v>-665</v>
      </c>
      <c r="VN278" s="1304">
        <v>3689</v>
      </c>
      <c r="VO278" s="1304">
        <v>3468.2</v>
      </c>
      <c r="VP278" s="1304">
        <v>4129.8</v>
      </c>
      <c r="VQ278" s="1304">
        <v>4045.2</v>
      </c>
      <c r="VR278" s="1304">
        <v>3994.7</v>
      </c>
      <c r="VS278" s="1304">
        <v>3944.3</v>
      </c>
      <c r="VT278" s="1304">
        <v>3711</v>
      </c>
      <c r="VU278" s="1304">
        <v>4285.8</v>
      </c>
      <c r="VV278" s="1304">
        <v>4139.8</v>
      </c>
      <c r="VW278" s="1304">
        <v>4800.5</v>
      </c>
      <c r="VX278" s="1304">
        <v>4709.2</v>
      </c>
      <c r="VY278" s="1304">
        <v>4354</v>
      </c>
      <c r="VZ278" s="1304">
        <v>4296.3999999999996</v>
      </c>
      <c r="WA278" s="1304">
        <v>4188.1000000000004</v>
      </c>
      <c r="WB278" s="1304">
        <v>4068.7</v>
      </c>
      <c r="WC278" s="1304">
        <v>3897</v>
      </c>
      <c r="WD278" s="1304">
        <v>3713</v>
      </c>
      <c r="WE278" s="1304">
        <v>3451.2</v>
      </c>
      <c r="WF278" s="1304">
        <v>4096.8</v>
      </c>
      <c r="WG278" s="1304">
        <v>4077.5</v>
      </c>
      <c r="WH278" s="1304">
        <v>3918.6</v>
      </c>
      <c r="WI278" s="1304">
        <v>3627</v>
      </c>
      <c r="WJ278" s="1304">
        <v>3480.9</v>
      </c>
      <c r="WK278" s="1304">
        <v>3351</v>
      </c>
      <c r="WL278" s="1304">
        <v>3315</v>
      </c>
      <c r="WM278" s="1304">
        <v>3183</v>
      </c>
      <c r="WN278" s="1304">
        <v>3101</v>
      </c>
      <c r="WO278" s="1304">
        <v>3050</v>
      </c>
      <c r="WP278" s="1304">
        <v>4140.5</v>
      </c>
      <c r="WQ278" s="1304">
        <v>4073.8</v>
      </c>
      <c r="WR278" s="1304">
        <v>3986.3</v>
      </c>
      <c r="WS278" s="1304">
        <v>3935.2</v>
      </c>
      <c r="WT278" s="1304">
        <v>3872.2</v>
      </c>
      <c r="WU278" s="1304">
        <v>3701</v>
      </c>
      <c r="WV278" s="1304">
        <v>3077</v>
      </c>
      <c r="WW278" s="1304">
        <v>2880</v>
      </c>
      <c r="WX278" s="1304">
        <v>2821.7</v>
      </c>
      <c r="WY278" s="1304">
        <v>2800</v>
      </c>
      <c r="WZ278" s="1304">
        <v>2596</v>
      </c>
      <c r="XA278" s="1304">
        <v>2489</v>
      </c>
      <c r="XB278" s="1304">
        <v>2402</v>
      </c>
      <c r="XC278" s="1304">
        <v>2379</v>
      </c>
      <c r="XD278" s="1304">
        <v>2328.5</v>
      </c>
      <c r="XE278" s="1304">
        <v>2192.4</v>
      </c>
      <c r="XF278" s="1304">
        <v>2166</v>
      </c>
      <c r="XG278" s="1304">
        <v>2909</v>
      </c>
      <c r="XH278" s="1304">
        <v>2834</v>
      </c>
      <c r="XI278" s="1304">
        <v>3517.3</v>
      </c>
      <c r="XJ278" s="1304">
        <v>3483.1</v>
      </c>
      <c r="XK278" s="1304">
        <v>3460.3</v>
      </c>
      <c r="XL278" s="1304">
        <v>3424.5</v>
      </c>
      <c r="XM278" s="1304">
        <v>3386.8</v>
      </c>
      <c r="XN278" s="1304">
        <v>3262.1</v>
      </c>
      <c r="XO278" s="1304">
        <v>3190</v>
      </c>
      <c r="XP278" s="1304">
        <v>3157</v>
      </c>
      <c r="XQ278" s="1304">
        <v>3066.22</v>
      </c>
      <c r="XR278" s="1304">
        <v>3000</v>
      </c>
      <c r="XS278" s="1304">
        <v>2995</v>
      </c>
      <c r="XT278" s="1304">
        <v>2967.7</v>
      </c>
      <c r="XU278" s="1304">
        <v>2904.2</v>
      </c>
      <c r="XV278" s="1304">
        <v>2809</v>
      </c>
      <c r="XW278" s="1304">
        <v>2824.2</v>
      </c>
      <c r="XX278" s="1304">
        <v>2806</v>
      </c>
      <c r="XY278" s="1304">
        <v>2760.2</v>
      </c>
      <c r="XZ278" s="1304">
        <v>2703</v>
      </c>
      <c r="YA278" s="1304">
        <v>2698</v>
      </c>
      <c r="YB278" s="1304">
        <v>2682</v>
      </c>
      <c r="YC278" s="1304">
        <v>2632.7</v>
      </c>
      <c r="YD278" s="1304">
        <v>2623.2</v>
      </c>
      <c r="YE278" s="1304">
        <v>2619</v>
      </c>
      <c r="YF278" s="1304">
        <v>2619</v>
      </c>
      <c r="YG278" s="1304">
        <v>2594.3000000000002</v>
      </c>
      <c r="YH278" s="1304">
        <v>2560</v>
      </c>
      <c r="YI278" s="1304">
        <v>2542</v>
      </c>
      <c r="YJ278" s="1304">
        <v>2500.1</v>
      </c>
      <c r="YK278" s="1304">
        <v>2500.1</v>
      </c>
      <c r="YL278" s="1304">
        <v>2483</v>
      </c>
      <c r="YM278" s="1304">
        <v>2461</v>
      </c>
      <c r="YN278" s="1304">
        <v>2464</v>
      </c>
      <c r="YO278" s="1304">
        <v>2428.5</v>
      </c>
      <c r="YP278" s="1304">
        <v>2411.1</v>
      </c>
      <c r="YQ278" s="1304">
        <v>2410</v>
      </c>
      <c r="YR278" s="1304">
        <v>2382.4</v>
      </c>
      <c r="YS278" s="1304">
        <v>2364</v>
      </c>
      <c r="YT278" s="1304">
        <v>2285</v>
      </c>
      <c r="YU278" s="1304">
        <v>2285</v>
      </c>
      <c r="YV278" s="1304">
        <v>2285</v>
      </c>
      <c r="YW278" s="1304">
        <v>2284</v>
      </c>
      <c r="YX278" s="1304">
        <v>2266.3000000000002</v>
      </c>
      <c r="YY278" s="1304">
        <v>2231.1</v>
      </c>
      <c r="YZ278" s="1304">
        <v>2231.1</v>
      </c>
      <c r="ZA278" s="1304">
        <v>2231.1</v>
      </c>
      <c r="ZB278" s="1304">
        <v>2231.1</v>
      </c>
      <c r="ZC278" s="1304">
        <v>2169.5</v>
      </c>
      <c r="ZD278" s="1304">
        <v>2152</v>
      </c>
      <c r="ZE278" s="1304">
        <v>2152</v>
      </c>
      <c r="ZF278" s="1304">
        <v>2131</v>
      </c>
      <c r="ZG278" s="1304">
        <v>2131</v>
      </c>
      <c r="ZH278" s="1304">
        <v>2105.5</v>
      </c>
      <c r="ZI278" s="1304">
        <v>2139</v>
      </c>
      <c r="ZJ278" s="1304">
        <v>2121.3000000000002</v>
      </c>
      <c r="ZK278" s="1304">
        <v>2121.3000000000002</v>
      </c>
      <c r="ZL278" s="1304">
        <v>2121.3000000000002</v>
      </c>
      <c r="ZM278" s="1304">
        <v>2121.3000000000002</v>
      </c>
      <c r="ZN278" s="1304">
        <v>2104</v>
      </c>
      <c r="ZO278" s="1304">
        <v>2104</v>
      </c>
      <c r="ZP278" s="1304">
        <v>2104</v>
      </c>
      <c r="ZQ278" s="1304">
        <v>2104</v>
      </c>
      <c r="ZR278" s="1304">
        <v>2104</v>
      </c>
      <c r="ZS278" s="1304">
        <v>2065</v>
      </c>
      <c r="ZT278" s="1304">
        <v>2065</v>
      </c>
      <c r="ZU278" s="1304">
        <v>2048</v>
      </c>
      <c r="ZV278" s="1304">
        <v>2048</v>
      </c>
      <c r="ZW278" s="1304">
        <v>2048</v>
      </c>
      <c r="ZX278" s="1304">
        <v>1975</v>
      </c>
      <c r="ZY278" s="1304">
        <v>1930</v>
      </c>
      <c r="ZZ278" s="1304">
        <v>1850.5</v>
      </c>
      <c r="AAA278" s="1304">
        <v>1833</v>
      </c>
      <c r="AAB278" s="1304">
        <v>1799</v>
      </c>
      <c r="AAC278" s="1304">
        <v>1783</v>
      </c>
      <c r="AAD278" s="1304">
        <v>1783</v>
      </c>
      <c r="AAE278" s="1304">
        <v>1685</v>
      </c>
      <c r="AAF278" s="1304">
        <v>1670</v>
      </c>
      <c r="AAG278" s="1304">
        <v>1670</v>
      </c>
      <c r="AAH278" s="1304">
        <v>1640</v>
      </c>
      <c r="AAI278" s="1304">
        <v>1640</v>
      </c>
      <c r="AAJ278" s="1304">
        <v>1637</v>
      </c>
      <c r="AAK278" s="1304">
        <v>1718</v>
      </c>
      <c r="AAL278" s="1304">
        <v>1718</v>
      </c>
      <c r="AAM278" s="1304">
        <v>1718</v>
      </c>
      <c r="AAN278" s="1304">
        <v>1688</v>
      </c>
      <c r="AAO278" s="1304">
        <v>1688</v>
      </c>
      <c r="AAP278" s="1304">
        <v>1688</v>
      </c>
      <c r="AAQ278" s="1304">
        <v>1673</v>
      </c>
      <c r="AAR278" s="1304">
        <v>1656</v>
      </c>
      <c r="AAS278" s="1304">
        <v>1656</v>
      </c>
      <c r="AAT278" s="1304">
        <v>1656</v>
      </c>
      <c r="AAU278" s="1304">
        <v>1638</v>
      </c>
      <c r="AAV278" s="1304">
        <v>1638</v>
      </c>
      <c r="AAW278" s="1304">
        <v>1638</v>
      </c>
      <c r="AAX278" s="1304">
        <v>1638</v>
      </c>
      <c r="AAY278" s="1304">
        <v>1621</v>
      </c>
      <c r="AAZ278" s="1304">
        <v>1621</v>
      </c>
      <c r="ABA278" s="1304">
        <v>1586</v>
      </c>
      <c r="ABB278" s="1304">
        <v>1586</v>
      </c>
      <c r="ABC278" s="1304">
        <v>1569</v>
      </c>
      <c r="ABD278" s="1304">
        <v>1569</v>
      </c>
      <c r="ABE278" s="1304">
        <v>2420</v>
      </c>
      <c r="ABF278" s="1304">
        <v>2420</v>
      </c>
      <c r="ABG278" s="1304">
        <v>2403</v>
      </c>
      <c r="ABH278" s="1304">
        <v>2403</v>
      </c>
      <c r="ABI278" s="1304">
        <v>2333</v>
      </c>
      <c r="ABJ278" s="1304">
        <v>2329</v>
      </c>
      <c r="ABK278" s="1304">
        <v>2329</v>
      </c>
      <c r="ABL278" s="1304">
        <v>2321</v>
      </c>
      <c r="ABM278" s="1304">
        <v>2234</v>
      </c>
      <c r="ABN278" s="1304">
        <v>2231</v>
      </c>
      <c r="ABO278" s="1304">
        <v>2198</v>
      </c>
      <c r="ABP278" s="1304">
        <v>2198</v>
      </c>
      <c r="ABQ278" s="1304">
        <v>2173</v>
      </c>
      <c r="ABR278" s="1304">
        <v>2113</v>
      </c>
      <c r="ABS278" s="1304">
        <v>2095</v>
      </c>
      <c r="ABT278" s="1304">
        <v>2095</v>
      </c>
      <c r="ABU278" s="1304">
        <v>2074</v>
      </c>
      <c r="ABV278" s="1304">
        <v>2056</v>
      </c>
      <c r="ABW278" s="1304">
        <v>1987</v>
      </c>
      <c r="ABX278" s="1304">
        <v>1987</v>
      </c>
      <c r="ABY278" s="1304">
        <v>1974</v>
      </c>
      <c r="ABZ278" s="1304">
        <v>1957</v>
      </c>
      <c r="ACA278" s="1304">
        <v>1953</v>
      </c>
      <c r="ACB278" s="1304">
        <v>1760</v>
      </c>
      <c r="ACC278" s="1304">
        <v>1742</v>
      </c>
      <c r="ACD278" s="1304">
        <v>1705</v>
      </c>
      <c r="ACE278" s="1304">
        <v>1705</v>
      </c>
      <c r="ACF278" s="1304">
        <v>1705</v>
      </c>
      <c r="ACG278" s="1304">
        <v>1606</v>
      </c>
      <c r="ACH278" s="1304">
        <v>1606</v>
      </c>
      <c r="ACI278" s="1304">
        <v>1561</v>
      </c>
      <c r="ACJ278" s="1304">
        <v>1510</v>
      </c>
      <c r="ACK278" s="1304">
        <v>1325</v>
      </c>
      <c r="ACL278" s="1304">
        <v>1295</v>
      </c>
      <c r="ACM278" s="1304">
        <v>1265</v>
      </c>
      <c r="ACN278" s="1304">
        <v>1262</v>
      </c>
      <c r="ACO278" s="1304">
        <v>1253</v>
      </c>
      <c r="ACP278" s="1304">
        <v>1167</v>
      </c>
      <c r="ACQ278" s="1304">
        <v>1131</v>
      </c>
      <c r="ACR278" s="1304">
        <v>1073</v>
      </c>
      <c r="ACS278" s="1304">
        <v>1073</v>
      </c>
      <c r="ACT278" s="1304">
        <v>1013</v>
      </c>
      <c r="ACU278" s="1304">
        <v>1116</v>
      </c>
      <c r="ACV278" s="1304">
        <v>1024</v>
      </c>
      <c r="ACW278" s="1304">
        <v>1012</v>
      </c>
      <c r="ACX278" s="1304">
        <v>1057</v>
      </c>
      <c r="ACY278" s="1304">
        <v>1273</v>
      </c>
      <c r="ACZ278" s="1304">
        <v>1143</v>
      </c>
      <c r="ADA278" s="1304">
        <v>1076</v>
      </c>
      <c r="ADB278" s="1304">
        <v>998</v>
      </c>
      <c r="ADC278" s="1304">
        <v>997</v>
      </c>
      <c r="ADD278" s="1304">
        <v>892</v>
      </c>
      <c r="ADE278" s="1304">
        <v>1136</v>
      </c>
      <c r="ADF278" s="1304">
        <v>996</v>
      </c>
      <c r="ADG278" s="1304">
        <v>961</v>
      </c>
      <c r="ADH278" s="1304">
        <v>927</v>
      </c>
      <c r="ADI278" s="1304">
        <v>911</v>
      </c>
      <c r="ADJ278" s="1304">
        <v>877</v>
      </c>
      <c r="ADK278" s="1304">
        <v>860</v>
      </c>
      <c r="ADL278" s="1304">
        <v>860</v>
      </c>
      <c r="ADM278" s="1304">
        <v>824</v>
      </c>
      <c r="ADN278" s="1304">
        <v>895</v>
      </c>
      <c r="ADO278" s="1304">
        <v>895</v>
      </c>
      <c r="ADP278" s="1304">
        <v>895</v>
      </c>
      <c r="ADQ278" s="1304">
        <v>895</v>
      </c>
      <c r="ADR278" s="1304">
        <v>895</v>
      </c>
      <c r="ADS278" s="1304">
        <v>895</v>
      </c>
      <c r="ADT278" s="1304">
        <v>895</v>
      </c>
      <c r="ADU278" s="1304">
        <v>895</v>
      </c>
      <c r="ADV278" s="1304">
        <v>895</v>
      </c>
      <c r="ADW278" s="1304">
        <v>849</v>
      </c>
      <c r="ADX278" s="1304">
        <v>831</v>
      </c>
      <c r="ADY278" s="1304">
        <v>831</v>
      </c>
      <c r="ADZ278" s="1304">
        <v>768</v>
      </c>
      <c r="AEA278" s="1304">
        <v>747</v>
      </c>
      <c r="AEB278" s="1304">
        <v>747</v>
      </c>
      <c r="AEC278" s="1304">
        <v>747</v>
      </c>
      <c r="AED278" s="1304">
        <v>747</v>
      </c>
      <c r="AEE278" s="1304">
        <v>747</v>
      </c>
      <c r="AEF278" s="1304">
        <v>730</v>
      </c>
      <c r="AEG278" s="1304">
        <v>695</v>
      </c>
      <c r="AEH278" s="1304">
        <v>695</v>
      </c>
      <c r="AEI278" s="1304">
        <v>695</v>
      </c>
    </row>
    <row r="279" spans="2:964">
      <c r="O279">
        <v>3</v>
      </c>
      <c r="RI279">
        <v>155</v>
      </c>
      <c r="RU279">
        <v>3</v>
      </c>
      <c r="RV279">
        <v>3</v>
      </c>
      <c r="RW279">
        <v>3</v>
      </c>
      <c r="RX279">
        <v>3</v>
      </c>
      <c r="RY279">
        <v>3</v>
      </c>
      <c r="RZ279">
        <v>3</v>
      </c>
      <c r="SA279">
        <v>3</v>
      </c>
      <c r="VC279">
        <v>30</v>
      </c>
      <c r="VN279" s="1304">
        <v>-665</v>
      </c>
      <c r="VO279" s="1304">
        <v>-665</v>
      </c>
      <c r="VP279" s="1304">
        <v>-665</v>
      </c>
      <c r="VQ279" s="1304">
        <v>-665</v>
      </c>
      <c r="VR279" s="1304">
        <v>-665</v>
      </c>
      <c r="VS279" s="1304">
        <v>-665</v>
      </c>
      <c r="VT279" s="1304">
        <v>-665</v>
      </c>
      <c r="VU279" s="1304">
        <v>-665</v>
      </c>
      <c r="VV279" s="1304">
        <v>-665</v>
      </c>
      <c r="VW279" s="1304">
        <v>-665</v>
      </c>
      <c r="VX279" s="1304">
        <v>-665</v>
      </c>
      <c r="VY279" s="1304">
        <v>-665</v>
      </c>
      <c r="VZ279" s="1304">
        <v>-665</v>
      </c>
      <c r="WA279" s="1304">
        <v>-665</v>
      </c>
      <c r="WB279" s="1304">
        <v>-710</v>
      </c>
      <c r="WC279" s="1304">
        <v>-710</v>
      </c>
      <c r="WD279" s="1304">
        <v>-741</v>
      </c>
      <c r="WE279" s="1304">
        <v>-741</v>
      </c>
      <c r="WF279" s="1304">
        <v>-741</v>
      </c>
      <c r="WG279" s="1304">
        <v>-741</v>
      </c>
      <c r="WH279" s="1304">
        <v>-741</v>
      </c>
      <c r="WI279" s="1304">
        <v>-741</v>
      </c>
      <c r="WJ279" s="1304">
        <v>-741</v>
      </c>
      <c r="WK279" s="1304">
        <v>-741</v>
      </c>
      <c r="WL279" s="1304">
        <v>-741</v>
      </c>
      <c r="WM279" s="1304">
        <v>-741</v>
      </c>
      <c r="WN279" s="1304">
        <v>-741</v>
      </c>
      <c r="WO279" s="1304">
        <v>-741</v>
      </c>
      <c r="WP279" s="1304">
        <v>-741</v>
      </c>
      <c r="WQ279" s="1304">
        <v>-741</v>
      </c>
      <c r="WR279" s="1304">
        <f>-741-74-77</f>
        <v>-892</v>
      </c>
      <c r="WS279" s="1304">
        <v>-977</v>
      </c>
      <c r="WT279" s="1304">
        <v>-970</v>
      </c>
      <c r="WU279" s="1304">
        <v>-970</v>
      </c>
      <c r="WV279" s="1304">
        <v>-970</v>
      </c>
      <c r="WW279" s="1304">
        <v>-970</v>
      </c>
      <c r="WX279" s="1304">
        <v>-970</v>
      </c>
      <c r="WY279" s="1304">
        <v>-970</v>
      </c>
      <c r="WZ279" s="1304">
        <v>-970</v>
      </c>
      <c r="XA279" s="1304">
        <v>-970</v>
      </c>
      <c r="XB279" s="1304">
        <v>-970</v>
      </c>
      <c r="XC279" s="1304">
        <v>-970</v>
      </c>
      <c r="XD279" s="1304">
        <v>-970</v>
      </c>
      <c r="XE279" s="1304">
        <v>-970</v>
      </c>
      <c r="XF279" s="1304">
        <v>-970</v>
      </c>
      <c r="XG279" s="1304">
        <v>-970</v>
      </c>
      <c r="XH279" s="1304">
        <v>-970</v>
      </c>
      <c r="XI279" s="1304">
        <v>-970</v>
      </c>
      <c r="XJ279" s="1304">
        <v>-970</v>
      </c>
      <c r="XK279" s="1304">
        <v>-970</v>
      </c>
      <c r="XL279" s="1304">
        <v>-970</v>
      </c>
      <c r="XM279" s="1304">
        <v>-970</v>
      </c>
      <c r="XN279" s="1304">
        <v>-970</v>
      </c>
      <c r="XO279" s="1304">
        <v>-970</v>
      </c>
      <c r="XP279" s="1304">
        <v>-970</v>
      </c>
      <c r="XQ279" s="1304">
        <v>-970</v>
      </c>
      <c r="XR279" s="1304">
        <v>-970</v>
      </c>
      <c r="XS279" s="1304">
        <v>-970</v>
      </c>
      <c r="XT279" s="1304">
        <v>-970</v>
      </c>
      <c r="XU279" s="1304">
        <v>-970</v>
      </c>
      <c r="XV279" s="1304">
        <v>-970</v>
      </c>
      <c r="XW279" s="1304">
        <v>-970</v>
      </c>
      <c r="XX279" s="1304">
        <v>-970</v>
      </c>
      <c r="XY279" s="1304">
        <v>-970</v>
      </c>
      <c r="XZ279" s="1304">
        <v>-970</v>
      </c>
      <c r="YA279" s="1304">
        <v>-970</v>
      </c>
      <c r="YB279" s="1304">
        <v>-970</v>
      </c>
      <c r="YC279" s="1304">
        <v>-970</v>
      </c>
      <c r="YD279" s="1304">
        <v>-970</v>
      </c>
      <c r="YE279" s="1304">
        <v>-970</v>
      </c>
      <c r="YF279" s="1304">
        <v>-970</v>
      </c>
      <c r="YG279" s="1304">
        <v>-970</v>
      </c>
      <c r="YH279" s="1304">
        <v>-970</v>
      </c>
      <c r="YI279" s="1304">
        <v>-970</v>
      </c>
      <c r="YJ279" s="1304">
        <v>-970</v>
      </c>
      <c r="YK279" s="1304">
        <v>-970</v>
      </c>
      <c r="YL279" s="1304">
        <v>-970</v>
      </c>
      <c r="YM279" s="1304">
        <v>-970</v>
      </c>
      <c r="YN279" s="1304">
        <v>-970</v>
      </c>
      <c r="YO279" s="1304">
        <v>-970</v>
      </c>
      <c r="YP279" s="1304">
        <v>-970</v>
      </c>
      <c r="YQ279" s="1304">
        <v>-970</v>
      </c>
      <c r="YR279" s="1304">
        <v>-970</v>
      </c>
      <c r="YS279" s="1304">
        <v>-970</v>
      </c>
      <c r="YT279" s="1304">
        <v>-970</v>
      </c>
      <c r="YU279" s="1304">
        <v>-970</v>
      </c>
      <c r="YV279" s="1304">
        <v>-970</v>
      </c>
      <c r="YW279" s="1304">
        <v>-970</v>
      </c>
      <c r="YX279" s="1304">
        <v>-970</v>
      </c>
      <c r="YY279" s="1304">
        <v>-970</v>
      </c>
      <c r="YZ279" s="1304">
        <v>-970</v>
      </c>
      <c r="ZA279" s="1304">
        <v>-970</v>
      </c>
      <c r="ZB279" s="1304">
        <v>-970</v>
      </c>
      <c r="ZC279" s="1304">
        <v>-970</v>
      </c>
      <c r="ZD279" s="1304">
        <v>-970</v>
      </c>
      <c r="ZE279" s="1304">
        <v>-970</v>
      </c>
      <c r="ZF279" s="1304">
        <v>-970</v>
      </c>
      <c r="ZG279" s="1304">
        <v>-970</v>
      </c>
      <c r="ZH279" s="1304">
        <v>-970</v>
      </c>
      <c r="ZI279" s="1304">
        <v>-970</v>
      </c>
      <c r="ZJ279" s="1304">
        <v>-970</v>
      </c>
      <c r="ZK279" s="1304">
        <v>-970</v>
      </c>
      <c r="ZL279" s="1304">
        <v>-970</v>
      </c>
      <c r="ZM279" s="1304">
        <v>-970</v>
      </c>
      <c r="ZN279" s="1304">
        <v>-970</v>
      </c>
      <c r="ZO279" s="1304">
        <v>-970</v>
      </c>
      <c r="ZP279" s="1304">
        <v>-970</v>
      </c>
      <c r="ZQ279" s="1304">
        <v>-970</v>
      </c>
      <c r="ZR279" s="1304">
        <v>-970</v>
      </c>
      <c r="ZS279" s="1304">
        <v>-970</v>
      </c>
      <c r="ZT279" s="1304">
        <v>-970</v>
      </c>
      <c r="ZU279" s="1304">
        <v>-970</v>
      </c>
      <c r="ZV279" s="1304">
        <v>-970</v>
      </c>
      <c r="ZW279" s="1304">
        <v>-970</v>
      </c>
      <c r="ZX279" s="1304">
        <v>-970</v>
      </c>
      <c r="ZY279" s="1304">
        <v>-970</v>
      </c>
      <c r="ZZ279" s="1304">
        <v>-970</v>
      </c>
      <c r="AAA279" s="1304">
        <v>-970</v>
      </c>
      <c r="AAB279" s="1304">
        <v>-970</v>
      </c>
      <c r="AAC279" s="1304">
        <v>-970</v>
      </c>
      <c r="AAD279" s="1304">
        <v>-970</v>
      </c>
      <c r="AAE279" s="1304">
        <v>-970</v>
      </c>
      <c r="AAF279" s="1304">
        <v>-970</v>
      </c>
      <c r="AAG279" s="1304">
        <v>-970</v>
      </c>
      <c r="AAH279" s="1304">
        <v>-970</v>
      </c>
      <c r="AAI279" s="1304">
        <v>-970</v>
      </c>
      <c r="AAJ279" s="1304">
        <v>-970</v>
      </c>
      <c r="AAK279" s="1304">
        <v>-970</v>
      </c>
      <c r="AAL279" s="1304">
        <v>-970</v>
      </c>
      <c r="AAM279" s="1304">
        <v>-970</v>
      </c>
      <c r="AAN279" s="1304">
        <v>-970</v>
      </c>
      <c r="AAO279" s="1304">
        <v>-970</v>
      </c>
      <c r="AAP279" s="1304">
        <v>-970</v>
      </c>
      <c r="AAQ279" s="1304">
        <v>-970</v>
      </c>
      <c r="AAR279" s="1304">
        <v>-970</v>
      </c>
      <c r="AAS279" s="1304">
        <v>-970</v>
      </c>
      <c r="AAT279" s="1304">
        <v>-970</v>
      </c>
      <c r="AAU279" s="1304">
        <v>-970</v>
      </c>
      <c r="AAV279" s="1304">
        <v>-970</v>
      </c>
      <c r="AAW279" s="1304">
        <v>-970</v>
      </c>
      <c r="AAX279" s="1304">
        <v>-970</v>
      </c>
      <c r="AAY279" s="1304">
        <v>-970</v>
      </c>
      <c r="AAZ279" s="1304">
        <v>-970</v>
      </c>
      <c r="ABA279" s="1304">
        <v>-970</v>
      </c>
      <c r="ABB279" s="1304">
        <v>-970</v>
      </c>
      <c r="ABC279" s="1304">
        <v>-970</v>
      </c>
      <c r="ABD279" s="1304">
        <v>-970</v>
      </c>
      <c r="ABE279" s="1304">
        <v>-970</v>
      </c>
      <c r="ABF279" s="1304">
        <v>-970</v>
      </c>
      <c r="ABG279" s="1304">
        <v>-970</v>
      </c>
      <c r="ABH279" s="1304">
        <v>-970</v>
      </c>
      <c r="ABI279" s="1304">
        <v>-970</v>
      </c>
      <c r="ABJ279" s="1304">
        <v>-970</v>
      </c>
      <c r="ABK279" s="1304">
        <v>-970</v>
      </c>
      <c r="ABL279" s="1304">
        <v>-970</v>
      </c>
      <c r="ABM279" s="1304">
        <v>-970</v>
      </c>
      <c r="ABN279" s="1304">
        <v>-970</v>
      </c>
      <c r="ABO279" s="1304">
        <v>-970</v>
      </c>
      <c r="ABP279" s="1304">
        <v>-970</v>
      </c>
      <c r="ABQ279" s="1304">
        <v>-970</v>
      </c>
      <c r="ABR279" s="1304">
        <v>-970</v>
      </c>
      <c r="ABS279" s="1304">
        <v>-970</v>
      </c>
      <c r="ABT279" s="1304">
        <v>-970</v>
      </c>
      <c r="ABU279" s="1304">
        <v>-970</v>
      </c>
      <c r="ABV279" s="1304">
        <v>-970</v>
      </c>
      <c r="ABW279" s="1304">
        <v>-970</v>
      </c>
      <c r="ABX279" s="1304">
        <v>-970</v>
      </c>
      <c r="ABY279" s="1304">
        <v>-970</v>
      </c>
      <c r="ABZ279" s="1304">
        <v>-970</v>
      </c>
      <c r="ACA279" s="1304">
        <v>-970</v>
      </c>
      <c r="ACB279" s="1304">
        <v>-970</v>
      </c>
      <c r="ACC279" s="1304">
        <v>-970</v>
      </c>
      <c r="ACD279" s="1304">
        <v>-970</v>
      </c>
      <c r="ACE279" s="1304">
        <v>-970</v>
      </c>
      <c r="ACF279" s="1304">
        <v>-970</v>
      </c>
      <c r="ACG279" s="1304">
        <v>-970</v>
      </c>
      <c r="ACH279" s="1304">
        <v>-970</v>
      </c>
      <c r="ACI279" s="1304">
        <v>-970</v>
      </c>
      <c r="ACJ279" s="1304">
        <v>-970</v>
      </c>
      <c r="ACK279" s="1304">
        <v>-970</v>
      </c>
      <c r="ACL279" s="1304">
        <v>-970</v>
      </c>
      <c r="ACM279" s="1304">
        <v>-970</v>
      </c>
      <c r="ACN279" s="1304">
        <v>-970</v>
      </c>
      <c r="ACO279" s="1304">
        <v>-970</v>
      </c>
      <c r="ACP279" s="1304">
        <v>-970</v>
      </c>
      <c r="ACQ279" s="1304">
        <v>-970</v>
      </c>
      <c r="ACR279" s="1304">
        <v>-970</v>
      </c>
      <c r="ACS279" s="1304">
        <v>-970</v>
      </c>
      <c r="ACT279" s="1304">
        <v>-970</v>
      </c>
      <c r="ACU279" s="1304">
        <v>-970</v>
      </c>
      <c r="ACV279" s="1304">
        <v>-970</v>
      </c>
      <c r="ACW279" s="1304">
        <v>-970</v>
      </c>
      <c r="ACX279" s="1304">
        <v>-970</v>
      </c>
      <c r="ACY279" s="1304">
        <v>-970</v>
      </c>
      <c r="ACZ279" s="1304">
        <v>-970</v>
      </c>
      <c r="ADA279" s="1304">
        <v>-970</v>
      </c>
      <c r="ADB279" s="1304">
        <v>-970</v>
      </c>
      <c r="ADC279" s="1304">
        <v>-970</v>
      </c>
      <c r="ADD279" s="1304">
        <v>-970</v>
      </c>
      <c r="ADE279" s="1304">
        <v>-970</v>
      </c>
      <c r="ADF279" s="1304">
        <v>-970</v>
      </c>
      <c r="ADG279" s="1304">
        <v>-970</v>
      </c>
      <c r="ADH279" s="1304">
        <v>-970</v>
      </c>
      <c r="ADI279" s="1304">
        <v>-970</v>
      </c>
      <c r="ADJ279" s="1304">
        <v>-970</v>
      </c>
      <c r="ADK279" s="1304">
        <v>-970</v>
      </c>
      <c r="ADL279" s="1304">
        <v>-970</v>
      </c>
      <c r="ADM279" s="1304">
        <v>-970</v>
      </c>
      <c r="ADN279" s="1304">
        <v>-970</v>
      </c>
      <c r="ADO279" s="1304">
        <v>-970</v>
      </c>
      <c r="ADP279" s="1304">
        <v>-970</v>
      </c>
      <c r="ADQ279" s="1304">
        <v>-970</v>
      </c>
      <c r="ADR279" s="1304">
        <v>-970</v>
      </c>
      <c r="ADS279" s="1304">
        <v>-970</v>
      </c>
      <c r="ADT279" s="1304">
        <v>-970</v>
      </c>
      <c r="ADU279" s="1304">
        <v>-970</v>
      </c>
      <c r="ADV279" s="1304">
        <v>-970</v>
      </c>
      <c r="ADW279" s="1304">
        <v>-970</v>
      </c>
      <c r="ADX279" s="1304">
        <v>-970</v>
      </c>
      <c r="ADY279" s="1304">
        <v>-970</v>
      </c>
      <c r="ADZ279" s="1304">
        <v>-970</v>
      </c>
      <c r="AEA279" s="1304">
        <v>-970</v>
      </c>
      <c r="AEB279" s="1304">
        <v>-970</v>
      </c>
      <c r="AEC279" s="1304">
        <v>-970</v>
      </c>
      <c r="AED279" s="1304">
        <v>-970</v>
      </c>
      <c r="AEE279" s="1304">
        <v>-970</v>
      </c>
      <c r="AEF279" s="1304">
        <v>-970</v>
      </c>
      <c r="AEG279" s="1304">
        <v>-970</v>
      </c>
      <c r="AEH279" s="1304">
        <v>-970</v>
      </c>
      <c r="AEI279" s="1304">
        <v>-970</v>
      </c>
    </row>
    <row r="280" spans="2:964">
      <c r="O280">
        <v>5024</v>
      </c>
      <c r="RU280">
        <v>2.2000000000000002</v>
      </c>
      <c r="RV280">
        <v>2.2000000000000002</v>
      </c>
      <c r="RW280">
        <v>2.2000000000000002</v>
      </c>
      <c r="RX280">
        <v>2.2000000000000002</v>
      </c>
      <c r="RY280">
        <v>2.2000000000000002</v>
      </c>
      <c r="RZ280">
        <v>2.2000000000000002</v>
      </c>
      <c r="SA280">
        <v>2.2000000000000002</v>
      </c>
      <c r="SB280">
        <v>2.2000000000000002</v>
      </c>
      <c r="SC280">
        <v>2.2000000000000002</v>
      </c>
      <c r="SD280">
        <v>2.2000000000000002</v>
      </c>
      <c r="SE280">
        <v>2.2000000000000002</v>
      </c>
      <c r="SF280">
        <v>2.2000000000000002</v>
      </c>
      <c r="SG280">
        <v>2.2000000000000002</v>
      </c>
      <c r="SH280">
        <v>2.2000000000000002</v>
      </c>
      <c r="WS280" s="1304">
        <v>300</v>
      </c>
      <c r="WT280" s="1304">
        <v>300</v>
      </c>
      <c r="WU280" s="1304">
        <v>300</v>
      </c>
      <c r="WV280" s="1304">
        <v>300</v>
      </c>
      <c r="WW280" s="1304">
        <v>300</v>
      </c>
      <c r="WX280" s="1304">
        <v>300</v>
      </c>
      <c r="WY280" s="1304">
        <v>300</v>
      </c>
      <c r="WZ280" s="1304">
        <v>300</v>
      </c>
      <c r="XA280" s="1304">
        <v>300</v>
      </c>
      <c r="XB280" s="1304">
        <v>300</v>
      </c>
      <c r="XC280" s="1304">
        <v>300</v>
      </c>
      <c r="XD280" s="1304">
        <v>300</v>
      </c>
      <c r="XE280" s="1304">
        <v>300</v>
      </c>
      <c r="XF280" s="1304">
        <v>300</v>
      </c>
      <c r="XG280" s="1304">
        <v>300</v>
      </c>
      <c r="XH280" s="1304">
        <v>300</v>
      </c>
      <c r="XI280" s="1304">
        <v>300</v>
      </c>
      <c r="XJ280" s="1304">
        <v>300</v>
      </c>
      <c r="XK280" s="1304">
        <v>300</v>
      </c>
      <c r="XL280" s="1304">
        <v>300</v>
      </c>
      <c r="XM280" s="1304">
        <v>300</v>
      </c>
      <c r="XN280" s="1304">
        <v>300</v>
      </c>
      <c r="XO280" s="1304">
        <v>300</v>
      </c>
      <c r="XP280" s="1304">
        <v>300</v>
      </c>
      <c r="XQ280" s="1304">
        <v>300</v>
      </c>
      <c r="XR280" s="1304">
        <v>300</v>
      </c>
      <c r="XS280" s="1304">
        <v>300</v>
      </c>
      <c r="XT280" s="1304">
        <v>300</v>
      </c>
      <c r="XU280" s="1304">
        <v>300</v>
      </c>
      <c r="XV280" s="1304">
        <v>300</v>
      </c>
      <c r="XW280" s="1304">
        <v>300</v>
      </c>
      <c r="XX280" s="1304">
        <v>300</v>
      </c>
      <c r="XY280" s="1304">
        <v>300</v>
      </c>
      <c r="XZ280" s="1304">
        <v>300</v>
      </c>
      <c r="YA280" s="1304">
        <v>300</v>
      </c>
      <c r="YB280" s="1304">
        <v>300</v>
      </c>
      <c r="YC280" s="1304">
        <v>300</v>
      </c>
      <c r="YD280" s="1304">
        <v>300</v>
      </c>
      <c r="YE280" s="1304">
        <v>300</v>
      </c>
      <c r="YF280" s="1304">
        <v>300</v>
      </c>
      <c r="YG280" s="1304">
        <v>300</v>
      </c>
      <c r="YH280" s="1304">
        <v>300</v>
      </c>
      <c r="YI280" s="1304">
        <v>300</v>
      </c>
      <c r="YJ280" s="1304">
        <v>300</v>
      </c>
      <c r="YK280" s="1304">
        <v>300</v>
      </c>
      <c r="YL280" s="1304">
        <v>300</v>
      </c>
      <c r="YM280" s="1304">
        <v>300</v>
      </c>
      <c r="YN280" s="1304">
        <v>300</v>
      </c>
      <c r="YO280" s="1304">
        <v>300</v>
      </c>
      <c r="YP280" s="1304">
        <v>300</v>
      </c>
      <c r="YQ280" s="1304">
        <v>300</v>
      </c>
      <c r="YR280" s="1304">
        <v>300</v>
      </c>
      <c r="YS280" s="1304">
        <v>300</v>
      </c>
      <c r="YT280" s="1304">
        <v>300</v>
      </c>
      <c r="YU280" s="1304">
        <v>300</v>
      </c>
      <c r="YV280" s="1304">
        <v>300</v>
      </c>
      <c r="YW280" s="1304">
        <v>300</v>
      </c>
      <c r="YX280" s="1304">
        <v>300</v>
      </c>
      <c r="YY280" s="1304">
        <v>300</v>
      </c>
      <c r="YZ280" s="1304">
        <v>300</v>
      </c>
      <c r="ZA280" s="1304">
        <v>300</v>
      </c>
      <c r="ZB280" s="1304">
        <v>300</v>
      </c>
      <c r="ZC280" s="1304">
        <v>300</v>
      </c>
      <c r="ZD280" s="1304">
        <v>300</v>
      </c>
      <c r="ZE280" s="1304">
        <v>300</v>
      </c>
      <c r="ZF280" s="1304">
        <v>300</v>
      </c>
      <c r="ZG280" s="1304">
        <v>300</v>
      </c>
      <c r="ZH280" s="1304">
        <v>300</v>
      </c>
      <c r="ZI280" s="1304">
        <v>300</v>
      </c>
      <c r="ZJ280" s="1304">
        <v>300</v>
      </c>
      <c r="ZK280" s="1304">
        <v>300</v>
      </c>
      <c r="ZL280" s="1304">
        <v>300</v>
      </c>
      <c r="ZM280" s="1304">
        <v>300</v>
      </c>
      <c r="ZN280" s="1304">
        <v>300</v>
      </c>
      <c r="ZO280" s="1304">
        <v>300</v>
      </c>
      <c r="ZP280" s="1304">
        <v>300</v>
      </c>
      <c r="ZQ280" s="1304">
        <v>300</v>
      </c>
      <c r="ZR280" s="1304">
        <v>300</v>
      </c>
      <c r="ZS280" s="1304">
        <v>300</v>
      </c>
      <c r="ZT280" s="1304">
        <v>300</v>
      </c>
      <c r="ZU280" s="1304">
        <v>300</v>
      </c>
      <c r="ZV280" s="1304">
        <v>300</v>
      </c>
      <c r="ZW280" s="1304">
        <v>300</v>
      </c>
      <c r="ZX280" s="1304">
        <v>300</v>
      </c>
      <c r="ZY280" s="1304">
        <v>300</v>
      </c>
      <c r="ZZ280" s="1304">
        <v>300</v>
      </c>
      <c r="AAA280" s="1304">
        <v>300</v>
      </c>
      <c r="AAB280" s="1304">
        <v>300</v>
      </c>
      <c r="AAC280" s="1304">
        <v>300</v>
      </c>
      <c r="AAD280" s="1304">
        <v>300</v>
      </c>
      <c r="AAE280" s="1304">
        <v>300</v>
      </c>
      <c r="AAF280" s="1304">
        <v>300</v>
      </c>
      <c r="AAG280" s="1304">
        <v>300</v>
      </c>
      <c r="AAH280" s="1304">
        <v>300</v>
      </c>
      <c r="AAI280" s="1304">
        <v>300</v>
      </c>
      <c r="AAJ280" s="1304">
        <v>300</v>
      </c>
      <c r="AAK280" s="1304">
        <v>300</v>
      </c>
      <c r="AAL280" s="1304">
        <v>300</v>
      </c>
      <c r="AAM280" s="1304">
        <v>300</v>
      </c>
      <c r="AAN280" s="1304">
        <v>300</v>
      </c>
      <c r="AAO280" s="1304">
        <v>300</v>
      </c>
      <c r="AAP280" s="1304">
        <v>300</v>
      </c>
      <c r="AAQ280" s="1304">
        <v>300</v>
      </c>
      <c r="AAR280" s="1304">
        <v>300</v>
      </c>
      <c r="AAS280" s="1304">
        <v>300</v>
      </c>
      <c r="AAT280" s="1304">
        <v>300</v>
      </c>
      <c r="AAU280" s="1304">
        <v>300</v>
      </c>
      <c r="AAV280" s="1304">
        <v>300</v>
      </c>
      <c r="AAW280" s="1304">
        <v>300</v>
      </c>
      <c r="AAX280" s="1304">
        <v>300</v>
      </c>
      <c r="AAY280" s="1304">
        <v>300</v>
      </c>
      <c r="AAZ280" s="1304">
        <v>300</v>
      </c>
      <c r="ABA280" s="1304">
        <v>300</v>
      </c>
      <c r="ABB280" s="1304">
        <v>300</v>
      </c>
      <c r="ABC280" s="1304">
        <v>300</v>
      </c>
      <c r="ABD280" s="1304">
        <v>300</v>
      </c>
      <c r="ABE280" s="1304">
        <v>300</v>
      </c>
      <c r="ABF280" s="1304">
        <v>300</v>
      </c>
      <c r="ABG280" s="1304">
        <v>300</v>
      </c>
      <c r="ABH280" s="1304">
        <v>300</v>
      </c>
      <c r="ABI280" s="1304">
        <v>300</v>
      </c>
      <c r="ABJ280" s="1304">
        <v>300</v>
      </c>
      <c r="ABK280" s="1304">
        <v>300</v>
      </c>
      <c r="ABL280" s="1304">
        <v>300</v>
      </c>
      <c r="ABM280" s="1304">
        <v>300</v>
      </c>
      <c r="ABN280" s="1304">
        <v>300</v>
      </c>
      <c r="ABO280" s="1304">
        <v>300</v>
      </c>
      <c r="ABP280" s="1304">
        <v>300</v>
      </c>
      <c r="ABQ280" s="1304">
        <v>300</v>
      </c>
      <c r="ABR280" s="1304">
        <v>300</v>
      </c>
      <c r="ABS280" s="1304">
        <v>300</v>
      </c>
      <c r="ABT280" s="1304">
        <v>300</v>
      </c>
      <c r="ABU280" s="1304">
        <v>300</v>
      </c>
      <c r="ABV280" s="1304">
        <v>300</v>
      </c>
      <c r="ABW280" s="1304">
        <v>300</v>
      </c>
      <c r="ABX280" s="1304">
        <v>300</v>
      </c>
      <c r="ABY280" s="1304">
        <v>300</v>
      </c>
      <c r="ABZ280" s="1304">
        <v>300</v>
      </c>
      <c r="ACA280" s="1304">
        <v>300</v>
      </c>
      <c r="ACB280" s="1304">
        <v>300</v>
      </c>
      <c r="ACC280" s="1304">
        <v>300</v>
      </c>
      <c r="ACD280" s="1304">
        <v>300</v>
      </c>
      <c r="ACE280" s="1304">
        <v>300</v>
      </c>
      <c r="ACF280" s="1304">
        <v>300</v>
      </c>
      <c r="ACG280" s="1304">
        <v>300</v>
      </c>
      <c r="ACH280" s="1304">
        <v>300</v>
      </c>
      <c r="ACI280" s="1304">
        <v>300</v>
      </c>
      <c r="ACJ280" s="1304">
        <v>300</v>
      </c>
      <c r="ACK280" s="1304">
        <v>300</v>
      </c>
      <c r="ACL280" s="1304">
        <v>300</v>
      </c>
      <c r="ACM280" s="1304">
        <v>300</v>
      </c>
      <c r="ACN280" s="1304">
        <v>300</v>
      </c>
      <c r="ACO280" s="1304">
        <v>300</v>
      </c>
      <c r="ACP280" s="1304">
        <v>300</v>
      </c>
      <c r="ACQ280" s="1304">
        <v>300</v>
      </c>
      <c r="ACR280" s="1304">
        <v>300</v>
      </c>
      <c r="ACS280" s="1304">
        <v>300</v>
      </c>
      <c r="ACT280" s="1304">
        <v>300</v>
      </c>
      <c r="ACU280" s="1304">
        <v>300</v>
      </c>
      <c r="ACV280" s="1304">
        <v>300</v>
      </c>
      <c r="ACW280" s="1304">
        <v>300</v>
      </c>
      <c r="ACX280" s="1304">
        <v>300</v>
      </c>
      <c r="ACY280" s="1304">
        <v>300</v>
      </c>
      <c r="ACZ280" s="1304">
        <v>300</v>
      </c>
      <c r="ADA280" s="1304">
        <v>300</v>
      </c>
      <c r="ADB280" s="1304">
        <v>300</v>
      </c>
      <c r="ADC280" s="1304">
        <v>300</v>
      </c>
      <c r="ADD280" s="1304">
        <v>300</v>
      </c>
      <c r="ADE280" s="1304">
        <v>300</v>
      </c>
      <c r="ADF280" s="1304">
        <v>300</v>
      </c>
      <c r="ADG280" s="1304">
        <v>300</v>
      </c>
      <c r="ADH280" s="1304">
        <v>300</v>
      </c>
      <c r="ADI280" s="1304">
        <v>300</v>
      </c>
      <c r="ADJ280" s="1304">
        <v>300</v>
      </c>
      <c r="ADK280" s="1304">
        <v>300</v>
      </c>
      <c r="ADL280" s="1304">
        <v>300</v>
      </c>
      <c r="ADM280" s="1304">
        <v>300</v>
      </c>
      <c r="ADN280" s="1304">
        <v>300</v>
      </c>
      <c r="ADO280" s="1304">
        <v>300</v>
      </c>
      <c r="ADP280" s="1304">
        <v>300</v>
      </c>
      <c r="ADQ280" s="1304">
        <v>300</v>
      </c>
      <c r="ADR280" s="1304">
        <v>300</v>
      </c>
      <c r="ADS280" s="1304">
        <v>300</v>
      </c>
      <c r="ADT280" s="1304">
        <v>300</v>
      </c>
      <c r="ADU280" s="1304">
        <v>300</v>
      </c>
      <c r="ADV280" s="1304">
        <v>300</v>
      </c>
      <c r="ADW280" s="1304">
        <v>300</v>
      </c>
      <c r="ADX280" s="1304">
        <v>300</v>
      </c>
      <c r="ADY280" s="1304">
        <v>300</v>
      </c>
      <c r="ADZ280" s="1304">
        <v>300</v>
      </c>
      <c r="AEA280" s="1304">
        <v>300</v>
      </c>
      <c r="AEB280" s="1304">
        <v>300</v>
      </c>
      <c r="AEC280" s="1304">
        <v>300</v>
      </c>
      <c r="AED280" s="1304">
        <v>300</v>
      </c>
      <c r="AEE280" s="1304">
        <v>300</v>
      </c>
      <c r="AEF280" s="1304">
        <v>300</v>
      </c>
      <c r="AEG280" s="1304">
        <v>300</v>
      </c>
      <c r="AEH280" s="1304">
        <v>300</v>
      </c>
      <c r="AEI280" s="1304">
        <v>300</v>
      </c>
    </row>
    <row r="281" spans="2:964">
      <c r="O281">
        <v>33</v>
      </c>
      <c r="RV281">
        <v>1.9</v>
      </c>
      <c r="WV281" s="1304">
        <v>365.5</v>
      </c>
      <c r="WW281" s="1304">
        <v>365.5</v>
      </c>
      <c r="WX281" s="1304">
        <v>365.5</v>
      </c>
      <c r="WY281" s="1304">
        <v>365.5</v>
      </c>
      <c r="WZ281" s="1304">
        <v>365.5</v>
      </c>
      <c r="XA281" s="1304">
        <v>365.5</v>
      </c>
      <c r="XB281" s="1304">
        <v>365.5</v>
      </c>
      <c r="XC281" s="1304">
        <v>365.5</v>
      </c>
      <c r="XD281" s="1304">
        <v>365.5</v>
      </c>
      <c r="XE281" s="1304">
        <v>365.5</v>
      </c>
      <c r="XF281" s="1304">
        <v>365.5</v>
      </c>
      <c r="XG281" s="1304">
        <v>365.5</v>
      </c>
      <c r="XH281" s="1304">
        <v>365.5</v>
      </c>
      <c r="XI281" s="1304">
        <v>365.5</v>
      </c>
      <c r="XJ281" s="1304">
        <v>365.5</v>
      </c>
      <c r="XK281" s="1304">
        <v>365.5</v>
      </c>
      <c r="XL281" s="1304">
        <v>365.5</v>
      </c>
      <c r="XM281" s="1304">
        <v>365.5</v>
      </c>
      <c r="XN281" s="1304">
        <v>365.5</v>
      </c>
      <c r="XO281" s="1304">
        <v>365.5</v>
      </c>
      <c r="XP281" s="1304">
        <v>365.5</v>
      </c>
      <c r="XQ281" s="1304">
        <v>365.5</v>
      </c>
      <c r="XR281" s="1304">
        <v>365.5</v>
      </c>
      <c r="XS281" s="1304">
        <v>365.5</v>
      </c>
      <c r="XT281" s="1304">
        <v>365.5</v>
      </c>
      <c r="XU281" s="1304">
        <v>365.5</v>
      </c>
      <c r="XV281" s="1304">
        <v>365.5</v>
      </c>
      <c r="XW281" s="1304">
        <v>365.5</v>
      </c>
      <c r="XX281" s="1304">
        <v>365.5</v>
      </c>
      <c r="XY281" s="1304">
        <v>365.5</v>
      </c>
      <c r="XZ281" s="1304">
        <v>365.5</v>
      </c>
      <c r="YA281" s="1304">
        <v>365.5</v>
      </c>
      <c r="YB281" s="1304">
        <v>365.5</v>
      </c>
      <c r="YC281" s="1304">
        <v>365.5</v>
      </c>
      <c r="YD281" s="1304">
        <v>365.5</v>
      </c>
      <c r="YE281" s="1304">
        <v>350</v>
      </c>
      <c r="YF281" s="1304">
        <v>350</v>
      </c>
      <c r="YG281" s="1304">
        <v>350</v>
      </c>
      <c r="YH281" s="1304">
        <v>350</v>
      </c>
      <c r="YI281" s="1304">
        <v>350</v>
      </c>
      <c r="YJ281" s="1304">
        <v>350</v>
      </c>
      <c r="YK281" s="1304">
        <v>350</v>
      </c>
      <c r="YL281" s="1304">
        <v>350</v>
      </c>
      <c r="YM281" s="1304">
        <v>350</v>
      </c>
      <c r="YN281" s="1304">
        <v>350</v>
      </c>
      <c r="YO281" s="1304">
        <v>350</v>
      </c>
      <c r="YP281" s="1304">
        <v>350</v>
      </c>
      <c r="YQ281" s="1304">
        <v>350</v>
      </c>
      <c r="YR281" s="1304">
        <v>350</v>
      </c>
      <c r="YS281" s="1304">
        <v>350</v>
      </c>
      <c r="YT281" s="1304">
        <v>350</v>
      </c>
      <c r="YU281" s="1304">
        <v>350</v>
      </c>
      <c r="YV281" s="1304">
        <v>350</v>
      </c>
      <c r="YW281" s="1304">
        <v>350</v>
      </c>
      <c r="YX281" s="1304">
        <v>350</v>
      </c>
      <c r="YY281" s="1304">
        <v>350</v>
      </c>
      <c r="YZ281" s="1304">
        <v>350</v>
      </c>
      <c r="ZA281" s="1304">
        <v>350</v>
      </c>
      <c r="ZB281" s="1304">
        <v>350</v>
      </c>
      <c r="ZC281" s="1304">
        <v>350</v>
      </c>
      <c r="ZD281" s="1304">
        <v>350</v>
      </c>
      <c r="ZE281" s="1304">
        <v>350</v>
      </c>
      <c r="ZF281" s="1304">
        <v>350</v>
      </c>
      <c r="ZG281" s="1304">
        <v>350</v>
      </c>
      <c r="ZH281" s="1304">
        <v>350</v>
      </c>
      <c r="ZI281" s="1304">
        <v>350</v>
      </c>
      <c r="ZJ281" s="1304">
        <v>350</v>
      </c>
      <c r="ZK281" s="1304">
        <v>350</v>
      </c>
      <c r="ZL281" s="1304">
        <v>350</v>
      </c>
      <c r="ZM281" s="1304">
        <v>350</v>
      </c>
      <c r="ZN281" s="1304">
        <v>350</v>
      </c>
      <c r="ZO281" s="1304">
        <v>350</v>
      </c>
      <c r="ZP281" s="1304">
        <v>350</v>
      </c>
      <c r="ZQ281" s="1304">
        <v>350</v>
      </c>
      <c r="ZR281" s="1304">
        <v>350</v>
      </c>
      <c r="ZS281" s="1304">
        <v>350</v>
      </c>
      <c r="ZT281" s="1304">
        <v>350</v>
      </c>
      <c r="ZU281" s="1304">
        <v>350</v>
      </c>
      <c r="ZV281" s="1304">
        <v>350</v>
      </c>
      <c r="ZW281" s="1304">
        <v>350</v>
      </c>
      <c r="ZX281" s="1304">
        <v>370</v>
      </c>
      <c r="ZY281" s="1304">
        <v>370</v>
      </c>
      <c r="ZZ281" s="1304">
        <v>370</v>
      </c>
      <c r="AAA281" s="1304">
        <f>370-26</f>
        <v>344</v>
      </c>
      <c r="AAB281" s="1304">
        <v>344</v>
      </c>
      <c r="AAC281" s="1304">
        <v>344</v>
      </c>
      <c r="AAD281" s="1304">
        <v>344</v>
      </c>
      <c r="AAE281" s="1304">
        <v>344</v>
      </c>
      <c r="AAF281" s="1304">
        <v>344</v>
      </c>
      <c r="AAG281" s="1304">
        <v>344</v>
      </c>
      <c r="AAH281" s="1304">
        <v>344</v>
      </c>
      <c r="AAI281" s="1304">
        <v>344</v>
      </c>
      <c r="AAJ281" s="1304">
        <v>344</v>
      </c>
      <c r="AAK281" s="1304">
        <v>344</v>
      </c>
      <c r="AAL281" s="1304">
        <v>344</v>
      </c>
      <c r="AAM281" s="1304">
        <v>344</v>
      </c>
      <c r="AAN281" s="1304">
        <v>344</v>
      </c>
      <c r="AAO281" s="1304">
        <v>344</v>
      </c>
      <c r="AAP281" s="1304">
        <v>344</v>
      </c>
      <c r="AAQ281" s="1304">
        <v>344</v>
      </c>
      <c r="AAR281" s="1304">
        <v>344</v>
      </c>
      <c r="AAS281" s="1304">
        <v>344</v>
      </c>
      <c r="AAT281" s="1304">
        <v>344</v>
      </c>
      <c r="AAU281" s="1304">
        <v>344</v>
      </c>
      <c r="AAV281" s="1304">
        <v>344</v>
      </c>
      <c r="AAW281" s="1304">
        <v>344</v>
      </c>
      <c r="AAX281" s="1304">
        <v>344</v>
      </c>
      <c r="AAY281" s="1304">
        <v>344</v>
      </c>
      <c r="AAZ281" s="1304">
        <v>344</v>
      </c>
      <c r="ABA281" s="1304">
        <v>344</v>
      </c>
      <c r="ABB281" s="1304">
        <v>344</v>
      </c>
      <c r="ABC281" s="1304">
        <v>344</v>
      </c>
      <c r="ABD281" s="1304">
        <v>344</v>
      </c>
      <c r="ABE281" s="1304">
        <v>344</v>
      </c>
      <c r="ABF281" s="1304">
        <v>344</v>
      </c>
      <c r="ABG281" s="1304">
        <v>344</v>
      </c>
      <c r="ABH281" s="1304">
        <v>344</v>
      </c>
      <c r="ABI281" s="1304">
        <v>344</v>
      </c>
      <c r="ABJ281" s="1304">
        <v>344</v>
      </c>
      <c r="ABK281" s="1304">
        <v>344</v>
      </c>
      <c r="ABL281" s="1304">
        <v>344</v>
      </c>
      <c r="ABM281" s="1304">
        <v>344</v>
      </c>
      <c r="ABN281" s="1304">
        <v>344</v>
      </c>
      <c r="ABO281" s="1304">
        <v>344</v>
      </c>
      <c r="ABP281" s="1304">
        <v>344</v>
      </c>
      <c r="ABQ281" s="1304">
        <v>344</v>
      </c>
      <c r="ABR281" s="1304">
        <v>344</v>
      </c>
      <c r="ABS281" s="1304">
        <v>344</v>
      </c>
      <c r="ABT281" s="1304">
        <v>344</v>
      </c>
      <c r="ABU281" s="1304">
        <v>344</v>
      </c>
      <c r="ABV281" s="1304">
        <v>344</v>
      </c>
      <c r="ABW281" s="1304">
        <v>344</v>
      </c>
      <c r="ABX281" s="1304">
        <v>344</v>
      </c>
      <c r="ABY281" s="1304">
        <v>344</v>
      </c>
      <c r="ABZ281" s="1304">
        <v>344</v>
      </c>
      <c r="ACA281" s="1304">
        <v>344</v>
      </c>
      <c r="ACB281" s="1304">
        <v>344</v>
      </c>
      <c r="ACC281" s="1304">
        <v>344</v>
      </c>
      <c r="ACD281" s="1304">
        <v>344</v>
      </c>
      <c r="ACE281" s="1304">
        <v>344</v>
      </c>
      <c r="ACF281" s="1304">
        <v>344</v>
      </c>
      <c r="ACG281" s="1304">
        <v>344</v>
      </c>
      <c r="ACH281" s="1304">
        <v>344</v>
      </c>
      <c r="ACI281" s="1304">
        <v>344</v>
      </c>
      <c r="ACJ281" s="1304">
        <v>344</v>
      </c>
      <c r="ACK281" s="1304">
        <v>344</v>
      </c>
      <c r="ACL281" s="1304">
        <v>344</v>
      </c>
      <c r="ACM281" s="1304">
        <v>344</v>
      </c>
      <c r="ACN281" s="1304">
        <v>344</v>
      </c>
      <c r="ACO281" s="1304">
        <v>344</v>
      </c>
      <c r="ACP281" s="1304">
        <v>344</v>
      </c>
      <c r="ACQ281" s="1304">
        <v>344</v>
      </c>
      <c r="ACR281" s="1304">
        <v>344</v>
      </c>
      <c r="ACS281" s="1304">
        <v>344</v>
      </c>
      <c r="ACT281" s="1304">
        <v>344</v>
      </c>
      <c r="ACU281" s="1304">
        <v>344</v>
      </c>
      <c r="ACV281" s="1304">
        <v>344</v>
      </c>
      <c r="ACW281" s="1304">
        <v>344</v>
      </c>
      <c r="ACX281" s="1304">
        <v>344</v>
      </c>
      <c r="ACY281" s="1304">
        <v>344</v>
      </c>
      <c r="ACZ281" s="1304">
        <v>344</v>
      </c>
      <c r="ADA281" s="1304">
        <v>344</v>
      </c>
      <c r="ADB281" s="1304">
        <v>344</v>
      </c>
      <c r="ADC281" s="1304">
        <v>344</v>
      </c>
      <c r="ADD281" s="1304">
        <v>344</v>
      </c>
      <c r="ADE281" s="1304">
        <v>344</v>
      </c>
      <c r="ADF281" s="1304">
        <v>344</v>
      </c>
      <c r="ADG281" s="1304">
        <v>344</v>
      </c>
      <c r="ADH281" s="1304">
        <v>344</v>
      </c>
      <c r="ADI281" s="1304">
        <v>344</v>
      </c>
      <c r="ADJ281" s="1304">
        <v>344</v>
      </c>
      <c r="ADK281" s="1304">
        <v>344</v>
      </c>
      <c r="ADL281" s="1304">
        <v>344</v>
      </c>
      <c r="ADM281" s="1304">
        <v>344</v>
      </c>
      <c r="ADN281" s="1304">
        <v>344</v>
      </c>
      <c r="ADO281" s="1304">
        <v>344</v>
      </c>
      <c r="ADP281" s="1304">
        <v>344</v>
      </c>
      <c r="ADQ281" s="1304">
        <v>344</v>
      </c>
      <c r="ADR281" s="1304">
        <v>344</v>
      </c>
      <c r="ADS281" s="1304">
        <v>344</v>
      </c>
      <c r="ADT281" s="1304">
        <v>344</v>
      </c>
      <c r="ADU281" s="1304">
        <v>344</v>
      </c>
      <c r="ADV281" s="1304">
        <v>344</v>
      </c>
      <c r="ADW281" s="1304">
        <v>344</v>
      </c>
      <c r="ADX281" s="1304">
        <v>344</v>
      </c>
      <c r="ADY281" s="1304">
        <v>344</v>
      </c>
      <c r="ADZ281" s="1304">
        <v>344</v>
      </c>
      <c r="AEA281" s="1304">
        <v>344</v>
      </c>
      <c r="AEB281" s="1304">
        <v>344</v>
      </c>
      <c r="AEC281" s="1304">
        <v>344</v>
      </c>
      <c r="AED281" s="1304">
        <v>344</v>
      </c>
      <c r="AEE281" s="1304">
        <v>344</v>
      </c>
      <c r="AEF281" s="1304">
        <v>344</v>
      </c>
      <c r="AEG281" s="1304">
        <v>344</v>
      </c>
      <c r="AEH281" s="1304">
        <v>344</v>
      </c>
      <c r="AEI281" s="1304">
        <v>344</v>
      </c>
    </row>
    <row r="282" spans="2:964">
      <c r="RW282">
        <v>5</v>
      </c>
      <c r="RX282">
        <v>5</v>
      </c>
      <c r="RY282">
        <v>5</v>
      </c>
      <c r="RZ282">
        <v>5</v>
      </c>
      <c r="SA282">
        <v>5</v>
      </c>
      <c r="SB282">
        <v>5</v>
      </c>
      <c r="SC282">
        <v>5</v>
      </c>
      <c r="SD282">
        <v>5</v>
      </c>
      <c r="SE282">
        <v>5</v>
      </c>
      <c r="SF282">
        <v>5</v>
      </c>
      <c r="SG282">
        <v>5</v>
      </c>
      <c r="SH282">
        <v>5</v>
      </c>
      <c r="SI282">
        <v>5</v>
      </c>
      <c r="SJ282">
        <v>5</v>
      </c>
      <c r="SK282">
        <v>5</v>
      </c>
      <c r="SL282">
        <v>5</v>
      </c>
      <c r="SM282">
        <v>5</v>
      </c>
      <c r="SN282">
        <v>5</v>
      </c>
      <c r="SO282">
        <v>5</v>
      </c>
      <c r="SP282">
        <v>5</v>
      </c>
      <c r="SQ282">
        <v>5</v>
      </c>
      <c r="SR282">
        <v>5</v>
      </c>
      <c r="SS282">
        <v>5</v>
      </c>
      <c r="ST282">
        <v>-23</v>
      </c>
      <c r="YJ282" s="1304">
        <v>-50</v>
      </c>
      <c r="YN282" s="1304">
        <v>-54</v>
      </c>
      <c r="ZA282" s="1304">
        <v>-24</v>
      </c>
      <c r="ZJ282" s="1304">
        <v>140.30000000000001</v>
      </c>
      <c r="ZK282" s="1304">
        <v>140.30000000000001</v>
      </c>
      <c r="ZL282" s="1304">
        <v>140.30000000000001</v>
      </c>
      <c r="ZM282" s="1304">
        <v>140.30000000000001</v>
      </c>
      <c r="ZN282" s="1304">
        <v>140.30000000000001</v>
      </c>
      <c r="ZO282" s="1304">
        <v>140.30000000000001</v>
      </c>
      <c r="ZP282" s="1304">
        <v>140.30000000000001</v>
      </c>
      <c r="ZQ282" s="1304">
        <v>140.30000000000001</v>
      </c>
      <c r="ZR282" s="1304">
        <v>140.30000000000001</v>
      </c>
      <c r="ZS282" s="1304">
        <v>140.30000000000001</v>
      </c>
      <c r="ZT282" s="1304">
        <v>140.30000000000001</v>
      </c>
      <c r="ZU282" s="1304">
        <v>140.30000000000001</v>
      </c>
      <c r="ZV282" s="1304">
        <v>140.30000000000001</v>
      </c>
      <c r="ZW282" s="1304">
        <v>140.30000000000001</v>
      </c>
      <c r="ZX282" s="1304">
        <v>140.30000000000001</v>
      </c>
      <c r="ZY282" s="1304">
        <v>102</v>
      </c>
      <c r="ZZ282" s="1304">
        <v>102</v>
      </c>
      <c r="AAA282" s="1304">
        <v>102</v>
      </c>
      <c r="AAB282" s="1304">
        <v>102</v>
      </c>
      <c r="AAC282" s="1304">
        <v>102</v>
      </c>
      <c r="AAD282" s="1304">
        <v>102</v>
      </c>
      <c r="AAE282" s="1304">
        <v>102</v>
      </c>
      <c r="AAF282" s="1304">
        <v>102</v>
      </c>
      <c r="AAG282" s="1304">
        <v>102</v>
      </c>
      <c r="AAH282" s="1304">
        <v>102</v>
      </c>
      <c r="AAI282" s="1304">
        <v>102</v>
      </c>
      <c r="AAJ282" s="1304">
        <v>102</v>
      </c>
      <c r="AAK282" s="1304">
        <v>102</v>
      </c>
      <c r="AAL282" s="1304">
        <v>102</v>
      </c>
      <c r="AAM282" s="1304">
        <v>102</v>
      </c>
      <c r="AAN282" s="1304">
        <v>102</v>
      </c>
      <c r="AAO282" s="1304">
        <v>102</v>
      </c>
      <c r="AAP282" s="1304">
        <v>102</v>
      </c>
      <c r="AAQ282" s="1304">
        <v>102</v>
      </c>
      <c r="AAR282" s="1304">
        <v>102</v>
      </c>
      <c r="AAS282" s="1304">
        <v>102</v>
      </c>
      <c r="AAT282" s="1304">
        <v>102</v>
      </c>
      <c r="AAU282" s="1304">
        <v>102</v>
      </c>
      <c r="AAV282" s="1304">
        <v>102</v>
      </c>
      <c r="AAW282" s="1304">
        <v>102</v>
      </c>
      <c r="AAX282" s="1304">
        <v>102</v>
      </c>
      <c r="AAY282" s="1304">
        <v>102</v>
      </c>
      <c r="AAZ282" s="1304">
        <v>102</v>
      </c>
      <c r="ABA282" s="1304">
        <v>102</v>
      </c>
      <c r="ABB282" s="1304">
        <v>102</v>
      </c>
      <c r="ABC282" s="1304">
        <v>102</v>
      </c>
      <c r="ABD282" s="1304">
        <v>102</v>
      </c>
      <c r="ABE282" s="1304">
        <v>102</v>
      </c>
      <c r="ABF282" s="1304">
        <v>102</v>
      </c>
      <c r="ABG282" s="1304">
        <v>102</v>
      </c>
      <c r="ABH282" s="1304">
        <v>102</v>
      </c>
      <c r="ABI282" s="1304">
        <v>102</v>
      </c>
      <c r="ABJ282" s="1304">
        <v>102</v>
      </c>
      <c r="ABK282" s="1304">
        <v>102</v>
      </c>
      <c r="ABL282" s="1304">
        <v>102</v>
      </c>
      <c r="ABM282" s="1304">
        <v>102</v>
      </c>
      <c r="ABN282" s="1304">
        <v>102</v>
      </c>
      <c r="ABO282" s="1304">
        <v>102</v>
      </c>
      <c r="ABP282" s="1304">
        <v>102</v>
      </c>
      <c r="ABQ282" s="1304">
        <v>102</v>
      </c>
      <c r="ABR282" s="1304">
        <v>102</v>
      </c>
      <c r="ABS282" s="1304">
        <v>102</v>
      </c>
      <c r="ABT282" s="1304">
        <v>102</v>
      </c>
      <c r="ABU282" s="1304">
        <v>102</v>
      </c>
      <c r="ABV282" s="1304">
        <v>102</v>
      </c>
      <c r="ABW282" s="1304">
        <v>102</v>
      </c>
      <c r="ABX282" s="1304">
        <v>102</v>
      </c>
      <c r="ABY282" s="1304">
        <v>102</v>
      </c>
      <c r="ABZ282" s="1304">
        <v>102</v>
      </c>
      <c r="ACA282" s="1304">
        <v>102</v>
      </c>
      <c r="ACB282" s="1304">
        <v>102</v>
      </c>
      <c r="ACC282" s="1304">
        <v>102</v>
      </c>
      <c r="ACD282" s="1304">
        <v>102</v>
      </c>
      <c r="ACE282" s="1304">
        <v>102</v>
      </c>
      <c r="ACF282" s="1304">
        <v>102</v>
      </c>
      <c r="ACG282" s="1304">
        <v>102</v>
      </c>
      <c r="ACH282" s="1304">
        <v>102</v>
      </c>
      <c r="ACI282" s="1304">
        <v>102</v>
      </c>
      <c r="ACJ282" s="1304">
        <v>102</v>
      </c>
      <c r="ACK282" s="1304">
        <v>102</v>
      </c>
      <c r="ACL282" s="1304">
        <v>102</v>
      </c>
      <c r="ACM282" s="1304">
        <v>102</v>
      </c>
      <c r="ACN282" s="1304">
        <v>102</v>
      </c>
      <c r="ACO282" s="1304">
        <v>102</v>
      </c>
      <c r="ACP282" s="1304">
        <v>102</v>
      </c>
      <c r="ACQ282" s="1304">
        <v>102</v>
      </c>
      <c r="ACR282" s="1304">
        <v>102</v>
      </c>
      <c r="ACS282" s="1304">
        <v>102</v>
      </c>
      <c r="ACT282" s="1304">
        <v>102</v>
      </c>
      <c r="ACU282" s="1304">
        <v>102</v>
      </c>
      <c r="ACV282" s="1304">
        <v>102</v>
      </c>
      <c r="ACW282" s="1304">
        <v>102</v>
      </c>
      <c r="ACX282" s="1304">
        <v>102</v>
      </c>
      <c r="ACY282" s="1304">
        <v>102</v>
      </c>
      <c r="ACZ282" s="1304">
        <v>102</v>
      </c>
      <c r="ADA282" s="1304">
        <v>102</v>
      </c>
      <c r="ADB282" s="1304">
        <v>102</v>
      </c>
      <c r="ADC282" s="1304">
        <v>102</v>
      </c>
      <c r="ADD282" s="1304">
        <v>102</v>
      </c>
      <c r="ADE282" s="1304">
        <v>102</v>
      </c>
      <c r="ADF282" s="1304">
        <v>102</v>
      </c>
      <c r="ADG282" s="1304">
        <v>102</v>
      </c>
      <c r="ADH282" s="1304">
        <v>102</v>
      </c>
      <c r="ADI282" s="1304">
        <v>102</v>
      </c>
      <c r="ADJ282" s="1304">
        <v>102</v>
      </c>
      <c r="ADK282" s="1304">
        <v>102</v>
      </c>
      <c r="ADL282" s="1304">
        <v>102</v>
      </c>
      <c r="ADM282" s="1304">
        <v>102</v>
      </c>
      <c r="ADN282" s="1304">
        <v>0</v>
      </c>
      <c r="ADO282" s="1304">
        <v>0</v>
      </c>
      <c r="ADP282" s="1304">
        <v>0</v>
      </c>
      <c r="ADQ282" s="1304">
        <v>0</v>
      </c>
      <c r="ADR282" s="1304">
        <v>0</v>
      </c>
      <c r="ADS282" s="1304">
        <v>0</v>
      </c>
      <c r="ADT282" s="1304">
        <v>0</v>
      </c>
      <c r="ADU282" s="1304">
        <v>0</v>
      </c>
      <c r="ADV282" s="1304">
        <v>0</v>
      </c>
      <c r="ADW282" s="1304">
        <v>0</v>
      </c>
      <c r="ADX282" s="1304">
        <v>0</v>
      </c>
      <c r="ADY282" s="1304">
        <v>0</v>
      </c>
      <c r="ADZ282" s="1304">
        <v>0</v>
      </c>
      <c r="AEA282" s="1304">
        <v>0</v>
      </c>
      <c r="AEB282" s="1304">
        <v>0</v>
      </c>
      <c r="AEC282" s="1304">
        <v>0</v>
      </c>
      <c r="AED282" s="1304">
        <v>0</v>
      </c>
      <c r="AEE282" s="1304">
        <v>0</v>
      </c>
      <c r="AEF282" s="1304">
        <v>0</v>
      </c>
      <c r="AEG282" s="1304">
        <v>0</v>
      </c>
      <c r="AEH282" s="1304">
        <v>0</v>
      </c>
      <c r="AEI282" s="1304">
        <v>0</v>
      </c>
    </row>
    <row r="283" spans="2:964">
      <c r="RW283">
        <v>0.21299999999999999</v>
      </c>
      <c r="ZL283" s="1304">
        <v>-13.2</v>
      </c>
      <c r="ZM283" s="1304">
        <v>-13.2</v>
      </c>
      <c r="ZT283" s="1304">
        <v>-13</v>
      </c>
      <c r="ZU283" s="1304">
        <v>4.5</v>
      </c>
      <c r="ZV283" s="1304">
        <v>4.5</v>
      </c>
      <c r="ZW283" s="1304">
        <v>4.5</v>
      </c>
      <c r="ZX283" s="1304">
        <v>4.5</v>
      </c>
      <c r="AAB283" s="1304">
        <v>422.5</v>
      </c>
      <c r="AAC283" s="1304">
        <v>430</v>
      </c>
      <c r="AAD283" s="1304">
        <v>430</v>
      </c>
      <c r="AAE283" s="1304">
        <f>430-25</f>
        <v>405</v>
      </c>
      <c r="AAF283" s="1304">
        <v>419</v>
      </c>
      <c r="AAG283" s="1304">
        <v>397</v>
      </c>
      <c r="AAH283" s="1304">
        <f>382.3-43-6.7*1.3</f>
        <v>330.59000000000003</v>
      </c>
      <c r="AAI283" s="1304">
        <v>327</v>
      </c>
      <c r="AAJ283" s="1304">
        <v>309</v>
      </c>
      <c r="AAK283" s="1304">
        <f>322.5+3</f>
        <v>325.5</v>
      </c>
      <c r="AAL283" s="1304">
        <v>317.7</v>
      </c>
      <c r="AAM283" s="1304">
        <f>163.6-6.5</f>
        <v>157.1</v>
      </c>
      <c r="AAN283" s="1304">
        <v>158.30000000000001</v>
      </c>
      <c r="AAO283" s="1304">
        <v>260.39999999999998</v>
      </c>
      <c r="AAP283" s="1304">
        <f>260.4+11.4-4.725+0.2+11.89-20-2-29.7</f>
        <v>227.46499999999992</v>
      </c>
      <c r="AAQ283" s="1304">
        <v>208</v>
      </c>
      <c r="AAR283" s="1304">
        <v>201</v>
      </c>
      <c r="AAS283" s="1304">
        <v>189</v>
      </c>
      <c r="AAT283" s="1304">
        <v>250</v>
      </c>
      <c r="AAU283" s="1304">
        <v>208.1</v>
      </c>
      <c r="AAV283" s="1304">
        <v>187</v>
      </c>
      <c r="AAW283" s="1304">
        <v>258</v>
      </c>
      <c r="AAX283" s="1304">
        <v>283</v>
      </c>
      <c r="AAY283" s="1304">
        <v>323.60000000000002</v>
      </c>
      <c r="AAZ283" s="1304">
        <v>435</v>
      </c>
      <c r="ABA283" s="1304">
        <v>1068</v>
      </c>
      <c r="ABB283" s="1304">
        <v>1093.2</v>
      </c>
      <c r="ABC283" s="1304">
        <v>1082</v>
      </c>
      <c r="ABD283" s="1304">
        <v>1053</v>
      </c>
      <c r="ABE283" s="1304">
        <v>1030</v>
      </c>
      <c r="ABF283" s="1304">
        <v>795</v>
      </c>
      <c r="ABG283" s="1304">
        <v>906</v>
      </c>
      <c r="ABH283" s="1304">
        <v>803</v>
      </c>
      <c r="ABI283" s="1304">
        <f>1081-18</f>
        <v>1063</v>
      </c>
      <c r="ABJ283" s="1304">
        <v>1066</v>
      </c>
      <c r="ABK283" s="1304">
        <v>1059</v>
      </c>
      <c r="ABL283" s="1304">
        <v>1003</v>
      </c>
      <c r="ABM283" s="1304">
        <v>1110</v>
      </c>
      <c r="ABN283" s="1304">
        <v>918</v>
      </c>
      <c r="ABO283" s="1304">
        <v>1393</v>
      </c>
      <c r="ABP283" s="1304">
        <v>1683</v>
      </c>
      <c r="ABQ283" s="1304">
        <v>1553</v>
      </c>
      <c r="ABR283" s="1304">
        <v>1452</v>
      </c>
      <c r="ABS283" s="1304">
        <v>1430</v>
      </c>
      <c r="ABT283" s="1304">
        <v>1381</v>
      </c>
      <c r="ABU283" s="1304">
        <v>1360</v>
      </c>
      <c r="ABV283" s="1304">
        <v>1359</v>
      </c>
      <c r="ABW283" s="1304">
        <v>1335</v>
      </c>
      <c r="ABX283" s="1304">
        <v>1329</v>
      </c>
      <c r="ABY283" s="1304">
        <v>1199</v>
      </c>
      <c r="ABZ283" s="1304">
        <v>1201.5</v>
      </c>
      <c r="ACA283" s="1304">
        <v>1118</v>
      </c>
      <c r="ACB283" s="1304">
        <v>893</v>
      </c>
      <c r="ACC283" s="1304">
        <v>889</v>
      </c>
      <c r="ACD283" s="1304">
        <v>722.2</v>
      </c>
      <c r="ACE283" s="1304">
        <v>896</v>
      </c>
      <c r="ACF283" s="1304">
        <v>774.3</v>
      </c>
      <c r="ACG283" s="1304">
        <v>602</v>
      </c>
      <c r="ACH283" s="1304">
        <v>777</v>
      </c>
      <c r="ACI283" s="1304">
        <v>760</v>
      </c>
      <c r="ACJ283" s="1304">
        <v>760</v>
      </c>
      <c r="ACK283" s="1304">
        <v>1355</v>
      </c>
      <c r="ACL283" s="1304">
        <v>1224</v>
      </c>
      <c r="ACM283" s="1304">
        <v>1244</v>
      </c>
      <c r="ACN283" s="1304">
        <v>1306</v>
      </c>
      <c r="ACO283" s="1304">
        <v>1337</v>
      </c>
      <c r="ACP283" s="1304">
        <v>1432</v>
      </c>
      <c r="ACQ283" s="1304">
        <v>1050</v>
      </c>
      <c r="ACR283" s="1304">
        <v>986</v>
      </c>
      <c r="ACS283" s="1304">
        <f>957-52</f>
        <v>905</v>
      </c>
      <c r="ACT283" s="1304">
        <f>1632+25</f>
        <v>1657</v>
      </c>
      <c r="ACU283" s="1304">
        <v>1677</v>
      </c>
      <c r="ACV283" s="1304">
        <f>2325+48.3</f>
        <v>2373.3000000000002</v>
      </c>
      <c r="ACW283" s="1304">
        <v>2200</v>
      </c>
      <c r="ACX283" s="1304">
        <v>1760</v>
      </c>
      <c r="ACY283" s="1304">
        <v>1909</v>
      </c>
      <c r="ACZ283" s="1304">
        <v>1844</v>
      </c>
      <c r="ADA283" s="1304">
        <v>1604</v>
      </c>
      <c r="ADB283" s="1304">
        <f>1472+13</f>
        <v>1485</v>
      </c>
      <c r="ADC283" s="1304">
        <v>1600</v>
      </c>
      <c r="ADD283" s="1304">
        <v>1562</v>
      </c>
      <c r="ADE283" s="1304">
        <f>1272-300</f>
        <v>972</v>
      </c>
      <c r="ADF283" s="1304">
        <v>364</v>
      </c>
      <c r="ADG283" s="1304">
        <f>400-200</f>
        <v>200</v>
      </c>
      <c r="ADH283" s="1304">
        <v>-135</v>
      </c>
      <c r="ADI283" s="1304">
        <v>-235</v>
      </c>
      <c r="ADJ283" s="1304">
        <f>-235-290</f>
        <v>-525</v>
      </c>
      <c r="ADK283" s="1304">
        <f>-525-1319</f>
        <v>-1844</v>
      </c>
      <c r="ADL283" s="1304">
        <f>-1844+200</f>
        <v>-1644</v>
      </c>
      <c r="ADM283" s="1304">
        <f>-1644-360-40</f>
        <v>-2044</v>
      </c>
      <c r="ADN283" s="1304">
        <v>-2244</v>
      </c>
      <c r="ADO283" s="1304">
        <v>-2400</v>
      </c>
      <c r="ADP283" s="1304">
        <v>-2400</v>
      </c>
      <c r="ADQ283" s="1304">
        <v>-2400</v>
      </c>
      <c r="ADR283" s="1304">
        <v>-2400</v>
      </c>
      <c r="ADS283" s="1304">
        <v>-2400</v>
      </c>
      <c r="ADT283" s="1304">
        <v>-2400</v>
      </c>
      <c r="ADU283" s="1304">
        <v>-2400</v>
      </c>
      <c r="ADV283" s="1304">
        <v>-2400</v>
      </c>
      <c r="ADW283" s="1304">
        <v>-2400</v>
      </c>
      <c r="ADX283" s="1304">
        <v>-2400</v>
      </c>
      <c r="ADY283" s="1304">
        <f>-2400-500</f>
        <v>-2900</v>
      </c>
      <c r="ADZ283" s="1304">
        <v>-2900</v>
      </c>
      <c r="AEA283" s="1304">
        <v>-2900</v>
      </c>
      <c r="AEB283" s="1304">
        <v>-2900</v>
      </c>
      <c r="AEC283" s="1304">
        <v>-2900</v>
      </c>
      <c r="AED283" s="1304">
        <v>-2900</v>
      </c>
      <c r="AEE283" s="1304">
        <v>-2900</v>
      </c>
      <c r="AEF283" s="1304">
        <v>-2900</v>
      </c>
      <c r="AEG283" s="1304">
        <v>-2900</v>
      </c>
      <c r="AEH283" s="1304">
        <v>-2900</v>
      </c>
      <c r="AEI283" s="1304">
        <v>-2900</v>
      </c>
    </row>
    <row r="284" spans="2:964">
      <c r="O284">
        <v>5024</v>
      </c>
      <c r="RW284">
        <v>5.5</v>
      </c>
      <c r="RX284">
        <v>5.5</v>
      </c>
      <c r="RY284">
        <v>5.5</v>
      </c>
      <c r="RZ284">
        <v>5.5</v>
      </c>
      <c r="SA284">
        <v>5.5</v>
      </c>
      <c r="SB284">
        <v>5.5</v>
      </c>
      <c r="SC284">
        <v>5.5</v>
      </c>
      <c r="SD284">
        <v>5.5</v>
      </c>
      <c r="SE284">
        <v>5.5</v>
      </c>
      <c r="SF284">
        <v>5.5</v>
      </c>
      <c r="SG284">
        <v>5.5</v>
      </c>
      <c r="SH284">
        <v>5.5</v>
      </c>
      <c r="SI284">
        <v>5.5</v>
      </c>
      <c r="SJ284">
        <v>5.5</v>
      </c>
      <c r="SK284">
        <v>5.5</v>
      </c>
      <c r="SL284">
        <v>5.5</v>
      </c>
      <c r="SM284">
        <v>5.5</v>
      </c>
      <c r="SN284">
        <v>5.5</v>
      </c>
      <c r="SO284">
        <v>5.5</v>
      </c>
      <c r="SP284">
        <v>5.5</v>
      </c>
      <c r="SQ284">
        <v>5.5</v>
      </c>
      <c r="SR284">
        <v>5.5</v>
      </c>
      <c r="SS284">
        <v>5.5</v>
      </c>
      <c r="ST284">
        <v>5.5</v>
      </c>
      <c r="ZT284" s="1304">
        <v>4.5</v>
      </c>
      <c r="AAE284" s="1304">
        <v>18.2</v>
      </c>
      <c r="AAF284" s="1304">
        <v>18.2</v>
      </c>
      <c r="AAG284" s="1304">
        <v>18.2</v>
      </c>
      <c r="AAH284" s="1304">
        <v>18.2</v>
      </c>
      <c r="AAI284" s="1304">
        <v>18.2</v>
      </c>
      <c r="AAJ284" s="1304">
        <v>18.2</v>
      </c>
      <c r="AAK284" s="1304">
        <v>18.2</v>
      </c>
      <c r="AAL284" s="1304">
        <v>18.2</v>
      </c>
      <c r="AAM284" s="1304">
        <v>18.2</v>
      </c>
      <c r="AAN284" s="1304">
        <v>18.2</v>
      </c>
      <c r="AAO284" s="1304">
        <v>18.2</v>
      </c>
      <c r="AAP284" s="1304">
        <v>18.2</v>
      </c>
      <c r="AAQ284" s="1304">
        <v>18.2</v>
      </c>
      <c r="AAR284" s="1304">
        <v>18.2</v>
      </c>
      <c r="AAS284" s="1304">
        <v>18.2</v>
      </c>
      <c r="AAT284" s="1304">
        <v>18.2</v>
      </c>
      <c r="AAU284" s="1304">
        <v>18.2</v>
      </c>
      <c r="AAV284" s="1304">
        <v>0</v>
      </c>
      <c r="AAW284" s="1304">
        <v>0</v>
      </c>
      <c r="AAX284" s="1304">
        <v>0</v>
      </c>
      <c r="AAY284" s="1304">
        <v>0</v>
      </c>
      <c r="AAZ284" s="1304">
        <v>0</v>
      </c>
      <c r="ABA284" s="1304">
        <v>0</v>
      </c>
      <c r="ABB284" s="1304">
        <v>0</v>
      </c>
      <c r="ABC284" s="1304">
        <v>0</v>
      </c>
      <c r="ABD284" s="1304">
        <v>0</v>
      </c>
      <c r="ABE284" s="1304">
        <v>0</v>
      </c>
      <c r="ABF284" s="1304">
        <v>0</v>
      </c>
      <c r="ABG284" s="1304">
        <v>0</v>
      </c>
      <c r="ABH284" s="1304">
        <v>0</v>
      </c>
      <c r="ABI284" s="1304">
        <v>0</v>
      </c>
      <c r="ABJ284" s="1304">
        <v>0</v>
      </c>
      <c r="ABK284" s="1304">
        <v>0</v>
      </c>
      <c r="ABL284" s="1304">
        <v>0</v>
      </c>
      <c r="ABM284" s="1304">
        <v>0</v>
      </c>
      <c r="ABN284" s="1304">
        <v>0</v>
      </c>
      <c r="ABO284" s="1304">
        <v>0</v>
      </c>
      <c r="ABP284" s="1304">
        <v>0</v>
      </c>
      <c r="ABQ284" s="1304">
        <v>0</v>
      </c>
      <c r="ABR284" s="1304">
        <v>0</v>
      </c>
      <c r="ABS284" s="1304">
        <v>0</v>
      </c>
      <c r="ABT284" s="1304">
        <v>0</v>
      </c>
      <c r="ABU284" s="1304">
        <v>0</v>
      </c>
      <c r="ABV284" s="1304">
        <v>0</v>
      </c>
      <c r="ABW284" s="1304">
        <v>0</v>
      </c>
      <c r="ABX284" s="1304">
        <v>0</v>
      </c>
      <c r="ABY284" s="1304">
        <v>0</v>
      </c>
      <c r="ABZ284" s="1304">
        <v>0</v>
      </c>
      <c r="ACA284" s="1304">
        <v>0</v>
      </c>
      <c r="ACB284" s="1304">
        <v>0</v>
      </c>
      <c r="ACC284" s="1304">
        <v>0</v>
      </c>
      <c r="ACD284" s="1304">
        <v>0</v>
      </c>
      <c r="ACE284" s="1304">
        <v>0</v>
      </c>
      <c r="ACF284" s="1304">
        <v>0</v>
      </c>
      <c r="ACG284" s="1304">
        <v>0</v>
      </c>
      <c r="ACH284" s="1304">
        <v>0</v>
      </c>
      <c r="ACI284" s="1304">
        <v>0</v>
      </c>
      <c r="ACJ284" s="1304">
        <v>0</v>
      </c>
      <c r="ACK284" s="1304">
        <v>0</v>
      </c>
      <c r="ACL284" s="1304">
        <v>0</v>
      </c>
      <c r="ACM284" s="1304">
        <v>0</v>
      </c>
      <c r="ACN284" s="1304">
        <v>0</v>
      </c>
      <c r="ACO284" s="1304">
        <v>0</v>
      </c>
      <c r="ACP284" s="1304">
        <v>0</v>
      </c>
      <c r="ACQ284" s="1304">
        <v>0</v>
      </c>
      <c r="ACR284" s="1304">
        <v>0</v>
      </c>
      <c r="ACS284" s="1304">
        <v>0</v>
      </c>
      <c r="ACT284" s="1304">
        <v>0</v>
      </c>
      <c r="ACU284" s="1304">
        <v>0</v>
      </c>
      <c r="ACV284" s="1304">
        <v>0</v>
      </c>
      <c r="ACW284" s="1304">
        <v>0</v>
      </c>
      <c r="ACX284" s="1304">
        <v>0</v>
      </c>
      <c r="ACY284" s="1304">
        <v>0</v>
      </c>
      <c r="ACZ284" s="1304">
        <v>0</v>
      </c>
      <c r="ADA284" s="1304">
        <v>0</v>
      </c>
      <c r="ADB284" s="1304">
        <v>0</v>
      </c>
      <c r="ADC284" s="1304">
        <v>0</v>
      </c>
      <c r="ADD284" s="1304">
        <v>0</v>
      </c>
      <c r="ADE284" s="1304">
        <v>0</v>
      </c>
      <c r="ADF284" s="1304">
        <v>0</v>
      </c>
      <c r="ADG284" s="1304">
        <v>0</v>
      </c>
      <c r="ADH284" s="1304">
        <v>0</v>
      </c>
      <c r="ADI284" s="1304">
        <v>0</v>
      </c>
      <c r="ADJ284" s="1304">
        <v>0</v>
      </c>
      <c r="ADK284" s="1304">
        <v>0</v>
      </c>
      <c r="ADL284" s="1304">
        <v>0</v>
      </c>
      <c r="ADM284" s="1304">
        <v>0</v>
      </c>
      <c r="ADN284" s="1304">
        <v>0</v>
      </c>
      <c r="ADO284" s="1304">
        <v>0</v>
      </c>
      <c r="ADP284" s="1304">
        <v>0</v>
      </c>
      <c r="ADQ284" s="1304">
        <v>0</v>
      </c>
      <c r="ADR284" s="1304">
        <v>0</v>
      </c>
      <c r="ADS284" s="1304">
        <v>0</v>
      </c>
      <c r="ADT284" s="1304">
        <v>0</v>
      </c>
      <c r="ADU284" s="1304">
        <v>0</v>
      </c>
      <c r="ADV284" s="1304">
        <v>0</v>
      </c>
      <c r="ADW284" s="1304">
        <v>0</v>
      </c>
      <c r="ADX284" s="1304">
        <v>0</v>
      </c>
      <c r="ADY284" s="1304">
        <v>0</v>
      </c>
      <c r="ADZ284" s="1304">
        <v>0</v>
      </c>
      <c r="AEA284" s="1304">
        <v>0</v>
      </c>
      <c r="AEB284" s="1304">
        <v>0</v>
      </c>
      <c r="AEC284" s="1304">
        <v>0</v>
      </c>
      <c r="AED284" s="1304">
        <v>0</v>
      </c>
      <c r="AEE284" s="1304">
        <v>0</v>
      </c>
      <c r="AEF284" s="1304">
        <v>0</v>
      </c>
      <c r="AEG284" s="1304">
        <v>0</v>
      </c>
      <c r="AEH284" s="1304">
        <v>0</v>
      </c>
      <c r="AEI284" s="1304">
        <v>0</v>
      </c>
      <c r="AJT284">
        <v>5.5</v>
      </c>
      <c r="AJU284">
        <v>5.5</v>
      </c>
      <c r="AJV284">
        <v>5.5</v>
      </c>
      <c r="AJW284">
        <v>5.5</v>
      </c>
      <c r="AJX284">
        <v>5.5</v>
      </c>
      <c r="AJY284">
        <v>5.5</v>
      </c>
      <c r="AJZ284">
        <v>5.5</v>
      </c>
      <c r="AKA284">
        <v>5.5</v>
      </c>
      <c r="AKB284">
        <v>5.5</v>
      </c>
    </row>
    <row r="285" spans="2:964">
      <c r="RW285">
        <v>4.66</v>
      </c>
      <c r="AAO285" s="1304">
        <v>97</v>
      </c>
      <c r="AAP285" s="1304">
        <v>102.2</v>
      </c>
      <c r="AAQ285" s="1304">
        <v>102.2</v>
      </c>
      <c r="AAR285" s="1304">
        <v>102.2</v>
      </c>
      <c r="AAS285" s="1304">
        <v>102.2</v>
      </c>
      <c r="AAT285" s="1304">
        <v>102.2</v>
      </c>
      <c r="AAU285" s="1304">
        <v>102.2</v>
      </c>
      <c r="AAV285" s="1304">
        <v>102.2</v>
      </c>
      <c r="AAW285" s="1304">
        <v>107.7</v>
      </c>
      <c r="AAX285" s="1304">
        <v>107.7</v>
      </c>
      <c r="AAY285" s="1304">
        <v>107.7</v>
      </c>
      <c r="AAZ285" s="1304">
        <v>107.7</v>
      </c>
      <c r="ABA285" s="1304">
        <v>107.7</v>
      </c>
      <c r="ABB285" s="1304">
        <v>107.7</v>
      </c>
      <c r="ABC285" s="1304">
        <v>107.7</v>
      </c>
      <c r="ABD285" s="1304">
        <v>107.7</v>
      </c>
      <c r="ABE285" s="1304">
        <v>107.7</v>
      </c>
      <c r="ABF285" s="1304">
        <v>107.7</v>
      </c>
      <c r="ABG285" s="1304">
        <v>107.7</v>
      </c>
      <c r="ABH285" s="1304">
        <v>107.7</v>
      </c>
      <c r="ABI285" s="1304">
        <v>107.7</v>
      </c>
      <c r="ABJ285" s="1304">
        <v>107.7</v>
      </c>
      <c r="ABK285" s="1304">
        <v>107.7</v>
      </c>
      <c r="ABL285" s="1304">
        <v>107.7</v>
      </c>
      <c r="ABM285" s="1304">
        <v>107.7</v>
      </c>
      <c r="ABN285" s="1304">
        <v>107.7</v>
      </c>
      <c r="ABO285" s="1304">
        <v>107.7</v>
      </c>
      <c r="ABP285" s="1304">
        <v>107.7</v>
      </c>
      <c r="ABQ285" s="1304">
        <v>107.7</v>
      </c>
      <c r="ABR285" s="1304">
        <v>107.7</v>
      </c>
      <c r="ABS285" s="1304">
        <v>107.7</v>
      </c>
      <c r="ABT285" s="1304">
        <v>107.7</v>
      </c>
      <c r="ABU285" s="1304">
        <v>107.7</v>
      </c>
      <c r="ABV285" s="1304">
        <v>107.7</v>
      </c>
      <c r="ABW285" s="1304">
        <v>107.7</v>
      </c>
      <c r="ABX285" s="1304">
        <v>107.7</v>
      </c>
      <c r="ABY285" s="1304">
        <v>107.7</v>
      </c>
      <c r="ABZ285" s="1304">
        <v>107.7</v>
      </c>
      <c r="ACA285" s="1304">
        <v>107.7</v>
      </c>
      <c r="ACB285" s="1304">
        <v>107.7</v>
      </c>
      <c r="ACC285" s="1304">
        <v>107.7</v>
      </c>
      <c r="ACD285" s="1304">
        <v>107.7</v>
      </c>
      <c r="ACE285" s="1304">
        <v>107.7</v>
      </c>
      <c r="ACF285" s="1304">
        <v>107.7</v>
      </c>
      <c r="ACG285" s="1304">
        <v>107.7</v>
      </c>
      <c r="ACH285" s="1304">
        <v>107.7</v>
      </c>
      <c r="ACI285" s="1304">
        <v>107.7</v>
      </c>
      <c r="ACJ285" s="1304">
        <v>107.7</v>
      </c>
      <c r="ACK285" s="1304">
        <v>107.7</v>
      </c>
      <c r="ACL285" s="1304">
        <v>107.7</v>
      </c>
      <c r="ACM285" s="1304">
        <v>107.7</v>
      </c>
      <c r="ACN285" s="1304">
        <v>107.7</v>
      </c>
      <c r="ACO285" s="1304">
        <v>107.7</v>
      </c>
      <c r="ACP285" s="1304">
        <v>107.7</v>
      </c>
      <c r="ACQ285" s="1304">
        <v>107.7</v>
      </c>
      <c r="ACR285" s="1304">
        <v>107.7</v>
      </c>
      <c r="ACS285" s="1304">
        <v>107.7</v>
      </c>
      <c r="ACT285" s="1304">
        <v>107.7</v>
      </c>
      <c r="ACU285" s="1304">
        <v>107.7</v>
      </c>
      <c r="ACV285" s="1304">
        <v>107.7</v>
      </c>
      <c r="ACW285" s="1304">
        <v>107.7</v>
      </c>
      <c r="ACX285" s="1304">
        <v>107.7</v>
      </c>
      <c r="ACY285" s="1304">
        <v>107.7</v>
      </c>
      <c r="ACZ285" s="1304">
        <v>107.7</v>
      </c>
      <c r="ADA285" s="1304">
        <v>107.7</v>
      </c>
      <c r="ADB285" s="1304">
        <v>107.7</v>
      </c>
      <c r="ADC285" s="1304">
        <v>107.7</v>
      </c>
      <c r="ADD285" s="1304">
        <v>107.7</v>
      </c>
      <c r="ADE285" s="1304">
        <v>107.7</v>
      </c>
      <c r="ADF285" s="1304">
        <v>107.7</v>
      </c>
      <c r="ADG285" s="1304">
        <v>107.7</v>
      </c>
      <c r="ADH285" s="1304">
        <v>107.7</v>
      </c>
      <c r="ADI285" s="1304">
        <v>107.7</v>
      </c>
      <c r="ADJ285" s="1304">
        <v>107.7</v>
      </c>
      <c r="ADK285" s="1304">
        <v>107.7</v>
      </c>
      <c r="ADL285" s="1304">
        <v>107.7</v>
      </c>
      <c r="ADM285" s="1304">
        <v>107.7</v>
      </c>
      <c r="ADN285" s="1304">
        <v>107.7</v>
      </c>
      <c r="ADO285" s="1304">
        <v>107.7</v>
      </c>
      <c r="ADP285" s="1304">
        <v>107.7</v>
      </c>
      <c r="ADQ285" s="1304">
        <v>107.7</v>
      </c>
      <c r="ADR285" s="1304">
        <v>107.7</v>
      </c>
      <c r="ADS285" s="1304">
        <v>107.7</v>
      </c>
      <c r="ADT285" s="1304">
        <v>107.7</v>
      </c>
      <c r="ADU285" s="1304">
        <v>107.7</v>
      </c>
      <c r="ADV285" s="1304">
        <v>107.7</v>
      </c>
      <c r="ADW285" s="1304">
        <v>107.7</v>
      </c>
      <c r="ADX285" s="1304">
        <v>107.7</v>
      </c>
      <c r="ADY285" s="1304">
        <v>107.7</v>
      </c>
      <c r="ADZ285" s="1304">
        <v>107.7</v>
      </c>
      <c r="AEA285" s="1304">
        <v>107.7</v>
      </c>
      <c r="AEB285" s="1304">
        <v>107.7</v>
      </c>
      <c r="AEC285" s="1304">
        <v>107.7</v>
      </c>
      <c r="AED285" s="1304">
        <v>107.7</v>
      </c>
      <c r="AEE285" s="1304">
        <v>107.7</v>
      </c>
      <c r="AEF285" s="1304">
        <v>107.7</v>
      </c>
      <c r="AEG285" s="1304">
        <v>107.7</v>
      </c>
      <c r="AEH285" s="1304">
        <v>107.7</v>
      </c>
      <c r="AEI285" s="1304">
        <v>107.7</v>
      </c>
    </row>
    <row r="286" spans="2:964">
      <c r="B286" s="1990" t="s">
        <v>7803</v>
      </c>
      <c r="C286">
        <f>120+200</f>
        <v>320</v>
      </c>
      <c r="H286">
        <v>319</v>
      </c>
      <c r="RW286">
        <v>10</v>
      </c>
      <c r="RX286">
        <v>10</v>
      </c>
      <c r="RY286">
        <v>10</v>
      </c>
      <c r="RZ286">
        <v>10</v>
      </c>
      <c r="SA286">
        <v>10</v>
      </c>
      <c r="SB286">
        <v>10</v>
      </c>
      <c r="SC286">
        <v>10</v>
      </c>
      <c r="SD286">
        <v>10</v>
      </c>
      <c r="SE286">
        <v>10</v>
      </c>
      <c r="SF286">
        <v>10</v>
      </c>
      <c r="SG286">
        <v>10</v>
      </c>
      <c r="SH286">
        <v>10</v>
      </c>
      <c r="AAX286" s="1304">
        <v>-387</v>
      </c>
      <c r="AAY286" s="1304">
        <v>-645</v>
      </c>
      <c r="AAZ286" s="1304">
        <v>-645</v>
      </c>
      <c r="ABA286" s="1304">
        <v>-645</v>
      </c>
      <c r="ABB286" s="1304">
        <v>-645</v>
      </c>
      <c r="ABC286" s="1304">
        <v>-645</v>
      </c>
      <c r="ABD286" s="1304">
        <v>-645</v>
      </c>
      <c r="ABE286" s="1304">
        <v>-645</v>
      </c>
      <c r="ABF286" s="1304">
        <v>-645</v>
      </c>
      <c r="ABG286" s="1304">
        <v>-645</v>
      </c>
      <c r="ABH286" s="1304">
        <v>-645</v>
      </c>
      <c r="ABI286" s="1304">
        <v>-645</v>
      </c>
      <c r="ABJ286" s="1304">
        <v>-645</v>
      </c>
      <c r="ABK286" s="1304">
        <v>-645</v>
      </c>
      <c r="ABL286" s="1304">
        <v>-645</v>
      </c>
      <c r="ABM286" s="1304">
        <v>-645</v>
      </c>
      <c r="ABN286" s="1304">
        <v>-645</v>
      </c>
      <c r="ABO286" s="1304">
        <v>-645</v>
      </c>
      <c r="ABP286" s="1304">
        <v>-645</v>
      </c>
      <c r="ABQ286" s="1304">
        <v>-645</v>
      </c>
      <c r="ABR286" s="1304">
        <v>-645</v>
      </c>
      <c r="ABS286" s="1304">
        <v>-645</v>
      </c>
      <c r="ABT286" s="1304">
        <v>-645</v>
      </c>
      <c r="ABU286" s="1304">
        <v>-645</v>
      </c>
      <c r="ABV286" s="1304">
        <v>-645</v>
      </c>
      <c r="ABW286" s="1304">
        <v>-645</v>
      </c>
      <c r="ABX286" s="1304">
        <v>-645</v>
      </c>
      <c r="ABY286" s="1304">
        <v>-645</v>
      </c>
      <c r="ABZ286" s="1304">
        <v>-645</v>
      </c>
      <c r="ACA286" s="1304">
        <v>-645</v>
      </c>
      <c r="ACB286" s="1304">
        <v>-645</v>
      </c>
      <c r="ACC286" s="1304">
        <v>-645</v>
      </c>
      <c r="ACD286" s="1304">
        <v>-645</v>
      </c>
      <c r="ACE286" s="1304">
        <v>-645</v>
      </c>
      <c r="ACF286" s="1304">
        <v>-774</v>
      </c>
      <c r="ACG286" s="1304">
        <v>-774</v>
      </c>
      <c r="ACH286" s="1304">
        <v>-774</v>
      </c>
      <c r="ACI286" s="1304">
        <v>-774</v>
      </c>
      <c r="ACJ286" s="1304">
        <v>-774</v>
      </c>
      <c r="ACK286" s="1304">
        <v>-774</v>
      </c>
      <c r="ACL286" s="1304">
        <v>-774</v>
      </c>
      <c r="ACM286" s="1304">
        <v>-774</v>
      </c>
      <c r="ACN286" s="1304">
        <v>-774</v>
      </c>
      <c r="ACO286" s="1304">
        <v>-774</v>
      </c>
      <c r="ACP286" s="1304">
        <v>-774</v>
      </c>
      <c r="ACQ286" s="1304">
        <v>-774</v>
      </c>
      <c r="ACR286" s="1304">
        <v>-774</v>
      </c>
      <c r="ACS286" s="1304">
        <v>-774</v>
      </c>
      <c r="ACT286" s="1304">
        <v>-774</v>
      </c>
      <c r="ACU286" s="1304">
        <v>-774</v>
      </c>
      <c r="ACV286" s="1304">
        <v>-774</v>
      </c>
      <c r="ACW286" s="1304">
        <v>-774</v>
      </c>
      <c r="ACX286" s="1304">
        <v>-774</v>
      </c>
      <c r="ACY286" s="1304">
        <v>-774</v>
      </c>
      <c r="ACZ286" s="1304">
        <v>-774</v>
      </c>
      <c r="ADA286" s="1304">
        <v>-774</v>
      </c>
      <c r="ADB286" s="1304">
        <v>-774</v>
      </c>
      <c r="ADC286" s="1304">
        <v>-774</v>
      </c>
      <c r="ADD286" s="1304">
        <v>-774</v>
      </c>
      <c r="ADE286" s="1304">
        <v>-774</v>
      </c>
      <c r="ADF286" s="1304">
        <v>-774</v>
      </c>
      <c r="ADG286" s="1304">
        <v>-774</v>
      </c>
      <c r="ADH286" s="1304">
        <v>-774</v>
      </c>
      <c r="ADI286" s="1304">
        <v>-774</v>
      </c>
      <c r="ADJ286" s="1304">
        <v>-774</v>
      </c>
      <c r="ADK286" s="1304">
        <v>-774</v>
      </c>
      <c r="ADL286" s="1304">
        <v>0</v>
      </c>
      <c r="ADM286" s="1304">
        <v>0</v>
      </c>
      <c r="ADN286" s="1304">
        <v>0</v>
      </c>
      <c r="ADO286" s="1304">
        <v>0</v>
      </c>
      <c r="ADP286" s="1304">
        <v>0</v>
      </c>
      <c r="ADQ286" s="1304">
        <v>0</v>
      </c>
      <c r="ADR286" s="1304">
        <v>0</v>
      </c>
      <c r="ADS286" s="1304">
        <v>0</v>
      </c>
      <c r="ADT286" s="1304">
        <v>0</v>
      </c>
      <c r="ADU286" s="1304">
        <v>0</v>
      </c>
      <c r="ADV286" s="1304">
        <v>0</v>
      </c>
      <c r="ADW286" s="1304">
        <v>0</v>
      </c>
      <c r="ADX286" s="1304">
        <v>0</v>
      </c>
      <c r="ADY286" s="1304">
        <v>0</v>
      </c>
      <c r="ADZ286" s="1304">
        <v>0</v>
      </c>
      <c r="AEA286" s="1304">
        <v>0</v>
      </c>
      <c r="AEB286" s="1304">
        <v>0</v>
      </c>
      <c r="AEC286" s="1304">
        <v>0</v>
      </c>
      <c r="AED286" s="1304">
        <v>0</v>
      </c>
      <c r="AEE286" s="1304">
        <v>0</v>
      </c>
      <c r="AEF286" s="1304">
        <v>0</v>
      </c>
      <c r="AEG286" s="1304">
        <v>0</v>
      </c>
      <c r="AEH286" s="1304">
        <v>0</v>
      </c>
      <c r="AEI286" s="1304">
        <v>0</v>
      </c>
    </row>
    <row r="287" spans="2:964">
      <c r="H287">
        <v>524</v>
      </c>
      <c r="RW287">
        <v>-20</v>
      </c>
      <c r="RX287">
        <v>-20</v>
      </c>
      <c r="RY287">
        <v>-20</v>
      </c>
      <c r="RZ287">
        <v>-15</v>
      </c>
      <c r="SA287">
        <v>-15</v>
      </c>
      <c r="SB287">
        <v>-15</v>
      </c>
      <c r="SC287">
        <v>-8</v>
      </c>
      <c r="SD287">
        <v>-8</v>
      </c>
      <c r="SE287">
        <v>-8</v>
      </c>
      <c r="SF287">
        <v>-8</v>
      </c>
      <c r="SG287">
        <v>-8</v>
      </c>
      <c r="SH287">
        <v>-8</v>
      </c>
      <c r="SI287">
        <v>-8</v>
      </c>
      <c r="SJ287">
        <v>0</v>
      </c>
      <c r="ADB287" s="1304">
        <v>14</v>
      </c>
      <c r="ADC287" s="1304">
        <v>340</v>
      </c>
      <c r="ADD287" s="1304">
        <v>340</v>
      </c>
      <c r="ADE287" s="1304">
        <v>340</v>
      </c>
      <c r="ADF287" s="1304">
        <f>340+90</f>
        <v>430</v>
      </c>
      <c r="ADG287" s="1304">
        <v>440</v>
      </c>
      <c r="ADH287" s="1304">
        <v>440</v>
      </c>
      <c r="ADI287" s="1304">
        <v>440</v>
      </c>
      <c r="ADJ287" s="1304">
        <v>440</v>
      </c>
      <c r="ADK287" s="1304">
        <v>440</v>
      </c>
      <c r="ADL287" s="1304">
        <v>440</v>
      </c>
      <c r="ADM287" s="1304">
        <v>440</v>
      </c>
      <c r="ADN287" s="1304">
        <v>440</v>
      </c>
      <c r="ADO287" s="1304">
        <v>440</v>
      </c>
      <c r="ADP287" s="1304">
        <f>440-200</f>
        <v>240</v>
      </c>
      <c r="ADQ287" s="1304">
        <v>240</v>
      </c>
      <c r="ADR287" s="1304">
        <v>140</v>
      </c>
      <c r="ADS287" s="1304">
        <v>140</v>
      </c>
      <c r="ADT287" s="1304">
        <v>140</v>
      </c>
      <c r="ADU287" s="1304">
        <v>140</v>
      </c>
      <c r="ADV287" s="1304">
        <v>140</v>
      </c>
      <c r="ADW287" s="1304">
        <v>140</v>
      </c>
      <c r="ADX287" s="1304">
        <v>140</v>
      </c>
      <c r="ADY287" s="1304">
        <v>140</v>
      </c>
      <c r="ADZ287" s="1304">
        <v>140</v>
      </c>
      <c r="AEA287" s="1304">
        <v>140</v>
      </c>
      <c r="AEB287" s="1304">
        <v>140</v>
      </c>
      <c r="AEC287" s="1304">
        <v>140</v>
      </c>
      <c r="AED287" s="1304">
        <v>140</v>
      </c>
      <c r="AEE287" s="1304">
        <v>140</v>
      </c>
      <c r="AEF287" s="1304">
        <v>140</v>
      </c>
      <c r="AEG287" s="1304">
        <v>140</v>
      </c>
      <c r="AEH287" s="1304">
        <v>140</v>
      </c>
      <c r="AEI287" s="1304">
        <v>140</v>
      </c>
    </row>
    <row r="288" spans="2:964">
      <c r="H288">
        <v>100</v>
      </c>
      <c r="RW288">
        <v>18</v>
      </c>
      <c r="RX288">
        <v>18</v>
      </c>
      <c r="RY288">
        <v>18</v>
      </c>
      <c r="RZ288">
        <v>18</v>
      </c>
      <c r="ADR288" s="2393" t="s">
        <v>7833</v>
      </c>
      <c r="ADS288" s="1304">
        <v>60</v>
      </c>
      <c r="ADT288" s="1304">
        <v>200</v>
      </c>
      <c r="ADU288" s="1304">
        <v>0</v>
      </c>
      <c r="ADV288" s="1304">
        <v>0</v>
      </c>
      <c r="ADW288" s="1304">
        <v>0</v>
      </c>
      <c r="ADX288" s="1304">
        <v>0</v>
      </c>
      <c r="ADY288" s="1304">
        <v>0</v>
      </c>
      <c r="ADZ288" s="1304">
        <v>0</v>
      </c>
      <c r="AEA288" s="1304">
        <v>0</v>
      </c>
      <c r="AEB288" s="1304">
        <v>0</v>
      </c>
      <c r="AEC288" s="1304">
        <v>0</v>
      </c>
      <c r="AED288" s="1304">
        <v>0</v>
      </c>
      <c r="AEE288" s="1304">
        <v>0</v>
      </c>
      <c r="AEF288" s="1304">
        <v>0</v>
      </c>
      <c r="AEG288" s="1304">
        <v>0</v>
      </c>
      <c r="AEH288" s="1304">
        <v>0</v>
      </c>
      <c r="AEI288" s="1304">
        <v>0</v>
      </c>
    </row>
    <row r="289" spans="2:964">
      <c r="H289">
        <v>228</v>
      </c>
      <c r="RW289">
        <v>34.200000000000003</v>
      </c>
      <c r="ABD289" s="1304">
        <v>10</v>
      </c>
      <c r="ADU289" s="1304">
        <v>900</v>
      </c>
      <c r="ADV289" s="1304">
        <v>1000</v>
      </c>
      <c r="ADW289" s="1304">
        <v>235</v>
      </c>
      <c r="ADX289" s="1304">
        <v>235</v>
      </c>
      <c r="ADY289" s="1304">
        <v>235</v>
      </c>
      <c r="ADZ289" s="1304">
        <v>235</v>
      </c>
      <c r="AEA289" s="1304">
        <v>235</v>
      </c>
      <c r="AEB289" s="1304">
        <v>235</v>
      </c>
      <c r="AEC289" s="1304">
        <v>235</v>
      </c>
      <c r="AED289" s="1304">
        <v>235</v>
      </c>
      <c r="AEE289" s="1304">
        <v>235</v>
      </c>
      <c r="AEF289" s="1304">
        <v>235</v>
      </c>
      <c r="AEG289" s="1304">
        <v>235</v>
      </c>
      <c r="AEH289" s="1304">
        <v>235</v>
      </c>
      <c r="AEI289" s="1304">
        <v>235</v>
      </c>
    </row>
    <row r="290" spans="2:964">
      <c r="H290">
        <v>2</v>
      </c>
      <c r="RW290">
        <v>16.100000000000001</v>
      </c>
    </row>
    <row r="291" spans="2:964">
      <c r="H291">
        <v>195</v>
      </c>
      <c r="RW291">
        <v>-28</v>
      </c>
      <c r="RX291">
        <v>-28</v>
      </c>
      <c r="RY291">
        <v>-28</v>
      </c>
      <c r="RZ291">
        <v>-28</v>
      </c>
      <c r="SA291">
        <v>-28</v>
      </c>
      <c r="WL291" s="1304">
        <v>4250.25</v>
      </c>
    </row>
    <row r="292" spans="2:964">
      <c r="H292">
        <v>145</v>
      </c>
      <c r="RX292">
        <v>1.5</v>
      </c>
      <c r="RY292">
        <v>1.5</v>
      </c>
      <c r="RZ292">
        <v>1.5</v>
      </c>
      <c r="SA292">
        <v>1.5</v>
      </c>
      <c r="SB292">
        <v>1.5</v>
      </c>
      <c r="SC292">
        <v>1.5</v>
      </c>
      <c r="SD292">
        <v>1.5</v>
      </c>
      <c r="SE292">
        <v>1.5</v>
      </c>
      <c r="SF292">
        <v>1.5</v>
      </c>
      <c r="SG292">
        <v>1.5</v>
      </c>
      <c r="SH292">
        <v>1.5</v>
      </c>
      <c r="SI292">
        <v>1.5</v>
      </c>
      <c r="SJ292">
        <v>1.5</v>
      </c>
      <c r="SK292">
        <v>1.5</v>
      </c>
      <c r="SL292">
        <v>1.5</v>
      </c>
      <c r="SM292">
        <v>1.5</v>
      </c>
      <c r="SN292">
        <v>1.5</v>
      </c>
      <c r="SO292">
        <v>1.5</v>
      </c>
      <c r="WL292" s="1304">
        <v>-1320.4</v>
      </c>
    </row>
    <row r="293" spans="2:964">
      <c r="H293">
        <v>355.9</v>
      </c>
      <c r="RX293">
        <v>3.5</v>
      </c>
      <c r="RY293">
        <v>3.5</v>
      </c>
      <c r="RZ293">
        <v>3.5</v>
      </c>
      <c r="SA293">
        <v>3.5</v>
      </c>
      <c r="SB293">
        <v>3.5</v>
      </c>
      <c r="SC293">
        <v>3.5</v>
      </c>
      <c r="SD293">
        <v>3.5</v>
      </c>
      <c r="SE293">
        <v>3.5</v>
      </c>
      <c r="SF293">
        <v>3.5</v>
      </c>
      <c r="SG293">
        <v>3.5</v>
      </c>
      <c r="SH293">
        <v>3.5</v>
      </c>
      <c r="SI293">
        <v>3.5</v>
      </c>
    </row>
    <row r="294" spans="2:964">
      <c r="B294" s="1990" t="s">
        <v>7804</v>
      </c>
      <c r="E294">
        <v>2</v>
      </c>
      <c r="H294">
        <v>15</v>
      </c>
      <c r="RY294">
        <v>2.5</v>
      </c>
      <c r="RZ294">
        <v>2.5</v>
      </c>
      <c r="SA294">
        <v>1.5</v>
      </c>
      <c r="SB294">
        <v>1.5</v>
      </c>
      <c r="SC294">
        <v>1.5</v>
      </c>
      <c r="SD294">
        <v>1.5</v>
      </c>
      <c r="SE294">
        <v>1.5</v>
      </c>
      <c r="SF294">
        <v>1.5</v>
      </c>
      <c r="SG294">
        <v>1.5</v>
      </c>
      <c r="SH294">
        <v>1.5</v>
      </c>
      <c r="SI294">
        <v>1</v>
      </c>
      <c r="SJ294">
        <v>1</v>
      </c>
      <c r="SK294">
        <v>1</v>
      </c>
      <c r="SL294">
        <v>1</v>
      </c>
      <c r="SM294">
        <v>1</v>
      </c>
      <c r="SN294">
        <v>1</v>
      </c>
      <c r="SO294">
        <v>1</v>
      </c>
      <c r="SP294">
        <v>1</v>
      </c>
      <c r="SQ294">
        <v>1</v>
      </c>
      <c r="SR294">
        <v>1</v>
      </c>
      <c r="SS294">
        <v>1</v>
      </c>
      <c r="ST294">
        <v>1</v>
      </c>
      <c r="AJT294">
        <v>1</v>
      </c>
      <c r="AJU294">
        <v>1</v>
      </c>
      <c r="AJV294">
        <v>1</v>
      </c>
      <c r="AJW294">
        <v>1</v>
      </c>
      <c r="AJX294">
        <v>1</v>
      </c>
      <c r="AJY294">
        <v>1</v>
      </c>
      <c r="AJZ294">
        <v>1</v>
      </c>
      <c r="AKA294">
        <v>1</v>
      </c>
      <c r="AKB294">
        <v>1</v>
      </c>
    </row>
    <row r="295" spans="2:964">
      <c r="E295">
        <v>3.2</v>
      </c>
      <c r="H295">
        <v>290</v>
      </c>
      <c r="RY295">
        <v>18</v>
      </c>
      <c r="RZ295">
        <v>18</v>
      </c>
      <c r="SA295">
        <v>18</v>
      </c>
      <c r="ADP295" s="1304" t="s">
        <v>7283</v>
      </c>
      <c r="ADR295" s="1304">
        <v>3618</v>
      </c>
    </row>
    <row r="296" spans="2:964">
      <c r="E296">
        <v>5</v>
      </c>
      <c r="H296">
        <v>100</v>
      </c>
      <c r="RZ296">
        <v>1</v>
      </c>
      <c r="SA296">
        <v>1</v>
      </c>
      <c r="SB296">
        <v>1</v>
      </c>
      <c r="SC296">
        <v>1</v>
      </c>
      <c r="SD296">
        <v>1</v>
      </c>
      <c r="SE296">
        <v>1</v>
      </c>
      <c r="SF296">
        <v>1</v>
      </c>
      <c r="SG296">
        <v>1</v>
      </c>
      <c r="SH296">
        <v>1</v>
      </c>
      <c r="SI296">
        <v>1</v>
      </c>
      <c r="SJ296">
        <v>1</v>
      </c>
      <c r="SK296">
        <v>1</v>
      </c>
      <c r="SL296">
        <v>1</v>
      </c>
      <c r="SM296">
        <v>1</v>
      </c>
      <c r="SN296">
        <v>1</v>
      </c>
      <c r="SO296">
        <v>1</v>
      </c>
      <c r="SP296">
        <v>1</v>
      </c>
      <c r="SQ296">
        <v>1</v>
      </c>
      <c r="SR296">
        <v>1</v>
      </c>
      <c r="SS296">
        <v>1</v>
      </c>
      <c r="ST296">
        <v>1</v>
      </c>
      <c r="ADP296" s="1304" t="s">
        <v>7283</v>
      </c>
      <c r="ADR296" s="1304">
        <v>800</v>
      </c>
    </row>
    <row r="297" spans="2:964">
      <c r="E297">
        <v>3.2</v>
      </c>
      <c r="H297">
        <v>100</v>
      </c>
      <c r="RZ297">
        <v>6.8</v>
      </c>
      <c r="SA297">
        <v>6.8</v>
      </c>
      <c r="SB297">
        <v>6.8</v>
      </c>
      <c r="SC297">
        <v>6.8</v>
      </c>
      <c r="SD297">
        <v>0.6</v>
      </c>
      <c r="ADP297" s="1304" t="s">
        <v>7281</v>
      </c>
      <c r="ADR297" s="1304">
        <v>738</v>
      </c>
    </row>
    <row r="298" spans="2:964">
      <c r="E298">
        <v>7</v>
      </c>
      <c r="I298" s="1304">
        <v>293</v>
      </c>
      <c r="RZ298">
        <v>20</v>
      </c>
      <c r="ADP298" s="1304" t="s">
        <v>7919</v>
      </c>
      <c r="ADR298" s="1304">
        <v>1400</v>
      </c>
    </row>
    <row r="299" spans="2:964">
      <c r="E299">
        <v>7.2</v>
      </c>
      <c r="H299">
        <v>400</v>
      </c>
      <c r="SA299">
        <v>-2</v>
      </c>
      <c r="SB299">
        <v>-2</v>
      </c>
      <c r="SC299">
        <v>-2</v>
      </c>
      <c r="SD299">
        <v>-2</v>
      </c>
      <c r="SE299">
        <v>-2</v>
      </c>
      <c r="SF299">
        <v>-2</v>
      </c>
      <c r="SG299">
        <v>-2</v>
      </c>
      <c r="SH299">
        <v>-2</v>
      </c>
      <c r="SI299">
        <v>-2</v>
      </c>
      <c r="SJ299">
        <v>-2</v>
      </c>
      <c r="SK299">
        <v>-2</v>
      </c>
      <c r="SL299">
        <v>-2</v>
      </c>
      <c r="SM299">
        <v>-2</v>
      </c>
      <c r="SN299">
        <v>-2</v>
      </c>
      <c r="SO299">
        <v>-2</v>
      </c>
      <c r="SP299">
        <v>-2</v>
      </c>
      <c r="SQ299">
        <v>-2</v>
      </c>
      <c r="SR299">
        <v>-2</v>
      </c>
      <c r="SS299">
        <v>-2</v>
      </c>
      <c r="ST299">
        <v>-2</v>
      </c>
      <c r="ADP299" s="1304" t="s">
        <v>6196</v>
      </c>
      <c r="ADR299" s="1304">
        <v>1850</v>
      </c>
      <c r="AJT299">
        <v>-2</v>
      </c>
      <c r="AJU299">
        <v>-2</v>
      </c>
      <c r="AJV299">
        <v>-2</v>
      </c>
      <c r="AJW299">
        <v>-2</v>
      </c>
      <c r="AJX299">
        <v>-2</v>
      </c>
      <c r="AJY299">
        <v>-2</v>
      </c>
      <c r="AJZ299">
        <v>-2</v>
      </c>
      <c r="AKA299">
        <v>-2</v>
      </c>
      <c r="AKB299">
        <v>-2</v>
      </c>
    </row>
    <row r="300" spans="2:964">
      <c r="E300">
        <v>0.4</v>
      </c>
      <c r="I300" s="1304">
        <v>202</v>
      </c>
      <c r="SA300">
        <v>5.7</v>
      </c>
      <c r="ADP300" s="1304" t="s">
        <v>7920</v>
      </c>
      <c r="ADR300" s="1304">
        <v>300</v>
      </c>
    </row>
    <row r="301" spans="2:964">
      <c r="E301">
        <v>7</v>
      </c>
      <c r="H301">
        <v>400</v>
      </c>
      <c r="SA301">
        <v>1</v>
      </c>
      <c r="SB301">
        <v>1</v>
      </c>
      <c r="SC301">
        <v>1</v>
      </c>
      <c r="SD301">
        <v>1</v>
      </c>
      <c r="SE301">
        <v>1</v>
      </c>
      <c r="SF301">
        <v>1</v>
      </c>
      <c r="SG301">
        <v>1</v>
      </c>
      <c r="SH301">
        <v>1</v>
      </c>
      <c r="SI301">
        <v>1</v>
      </c>
      <c r="SJ301">
        <v>1</v>
      </c>
      <c r="SK301">
        <v>1</v>
      </c>
      <c r="SL301">
        <v>1</v>
      </c>
      <c r="SM301">
        <v>1</v>
      </c>
      <c r="SN301">
        <v>1</v>
      </c>
      <c r="SO301">
        <v>1</v>
      </c>
      <c r="SP301">
        <v>1</v>
      </c>
      <c r="SQ301">
        <v>1</v>
      </c>
      <c r="SR301">
        <v>1</v>
      </c>
      <c r="SS301">
        <v>1</v>
      </c>
      <c r="ST301">
        <v>1</v>
      </c>
      <c r="ADP301" s="1304" t="s">
        <v>7921</v>
      </c>
      <c r="ADR301" s="1304">
        <v>250</v>
      </c>
      <c r="AJT301">
        <v>1</v>
      </c>
      <c r="AJU301">
        <v>1</v>
      </c>
      <c r="AJV301">
        <v>1</v>
      </c>
      <c r="AJW301">
        <v>1</v>
      </c>
      <c r="AJX301">
        <v>1</v>
      </c>
      <c r="AJY301">
        <v>1</v>
      </c>
      <c r="AJZ301">
        <v>1</v>
      </c>
      <c r="AKA301">
        <v>1</v>
      </c>
      <c r="AKB301">
        <v>1</v>
      </c>
    </row>
    <row r="302" spans="2:964">
      <c r="E302">
        <v>3</v>
      </c>
      <c r="H302">
        <v>5.7</v>
      </c>
      <c r="O302">
        <v>23</v>
      </c>
      <c r="SB302">
        <v>6.5</v>
      </c>
      <c r="SC302">
        <v>6.5</v>
      </c>
      <c r="SD302">
        <v>6.5</v>
      </c>
      <c r="SE302">
        <v>6.5</v>
      </c>
      <c r="SF302">
        <v>6.5</v>
      </c>
      <c r="SG302">
        <v>6.5</v>
      </c>
      <c r="SH302">
        <v>6.5</v>
      </c>
      <c r="SI302">
        <v>6.5</v>
      </c>
    </row>
    <row r="303" spans="2:964">
      <c r="E303">
        <v>4</v>
      </c>
      <c r="O303">
        <v>45</v>
      </c>
      <c r="SC303">
        <v>3</v>
      </c>
      <c r="SD303">
        <v>3</v>
      </c>
      <c r="SE303">
        <v>3</v>
      </c>
      <c r="SF303">
        <v>3</v>
      </c>
      <c r="SG303">
        <v>3</v>
      </c>
      <c r="SH303">
        <v>6</v>
      </c>
      <c r="SI303">
        <v>6</v>
      </c>
      <c r="SJ303">
        <v>6</v>
      </c>
      <c r="SK303">
        <v>6</v>
      </c>
      <c r="SL303">
        <v>6</v>
      </c>
      <c r="SM303">
        <v>6</v>
      </c>
      <c r="SN303">
        <v>6</v>
      </c>
      <c r="SO303">
        <v>6</v>
      </c>
      <c r="SP303">
        <v>6</v>
      </c>
      <c r="SQ303">
        <v>6</v>
      </c>
      <c r="SR303">
        <v>6</v>
      </c>
      <c r="SS303">
        <v>6</v>
      </c>
      <c r="ST303">
        <v>6</v>
      </c>
      <c r="AJT303">
        <v>6</v>
      </c>
      <c r="AJU303">
        <v>6</v>
      </c>
      <c r="AJV303">
        <v>6</v>
      </c>
      <c r="AJW303">
        <v>6</v>
      </c>
      <c r="AJX303">
        <v>6</v>
      </c>
      <c r="AJY303">
        <v>6</v>
      </c>
      <c r="AJZ303">
        <v>6</v>
      </c>
      <c r="AKA303">
        <v>6</v>
      </c>
      <c r="AKB303">
        <v>6</v>
      </c>
    </row>
    <row r="304" spans="2:964">
      <c r="E304">
        <v>0.5</v>
      </c>
      <c r="O304">
        <v>100</v>
      </c>
      <c r="SC304">
        <v>17.5</v>
      </c>
      <c r="SD304">
        <v>10</v>
      </c>
      <c r="SE304">
        <v>17</v>
      </c>
      <c r="SF304">
        <v>17</v>
      </c>
      <c r="SG304">
        <v>17</v>
      </c>
      <c r="SH304">
        <v>17</v>
      </c>
      <c r="SI304">
        <v>17</v>
      </c>
      <c r="SJ304">
        <v>17</v>
      </c>
      <c r="SK304">
        <v>17</v>
      </c>
      <c r="SL304">
        <v>17</v>
      </c>
      <c r="SM304">
        <v>17</v>
      </c>
      <c r="SN304">
        <v>17</v>
      </c>
      <c r="SO304">
        <v>17</v>
      </c>
      <c r="SP304">
        <v>17</v>
      </c>
      <c r="SQ304">
        <v>17</v>
      </c>
      <c r="SR304">
        <v>17</v>
      </c>
      <c r="SS304">
        <v>17</v>
      </c>
      <c r="ST304">
        <v>17</v>
      </c>
      <c r="AJT304">
        <v>17</v>
      </c>
      <c r="AJU304">
        <v>17</v>
      </c>
      <c r="AJV304">
        <v>17</v>
      </c>
      <c r="AJW304">
        <v>17</v>
      </c>
      <c r="AJX304">
        <v>17</v>
      </c>
      <c r="AJY304">
        <v>17</v>
      </c>
      <c r="AJZ304">
        <v>17</v>
      </c>
      <c r="AKA304">
        <v>17</v>
      </c>
      <c r="AKB304">
        <v>17</v>
      </c>
    </row>
    <row r="305" spans="5:964">
      <c r="E305">
        <v>0.36</v>
      </c>
      <c r="O305">
        <v>40</v>
      </c>
      <c r="SE305">
        <v>0.4</v>
      </c>
      <c r="SF305">
        <v>0.4</v>
      </c>
      <c r="SG305">
        <v>0.4</v>
      </c>
      <c r="SH305">
        <v>0.4</v>
      </c>
      <c r="SI305">
        <v>0.4</v>
      </c>
      <c r="SJ305">
        <v>0.4</v>
      </c>
      <c r="SK305">
        <v>0.4</v>
      </c>
      <c r="SL305">
        <v>0.4</v>
      </c>
      <c r="SM305">
        <v>0.4</v>
      </c>
      <c r="SN305">
        <v>0.4</v>
      </c>
      <c r="SO305">
        <v>0.4</v>
      </c>
      <c r="SP305">
        <v>0.4</v>
      </c>
      <c r="SQ305">
        <v>0.4</v>
      </c>
      <c r="SR305">
        <v>0.4</v>
      </c>
      <c r="SS305">
        <v>0.4</v>
      </c>
      <c r="ST305">
        <v>0.4</v>
      </c>
      <c r="AJT305">
        <v>0.4</v>
      </c>
      <c r="AJU305">
        <v>0.4</v>
      </c>
      <c r="AJV305">
        <v>0.4</v>
      </c>
      <c r="AJW305">
        <v>0.4</v>
      </c>
    </row>
    <row r="306" spans="5:964">
      <c r="E306">
        <v>4</v>
      </c>
      <c r="O306">
        <v>40</v>
      </c>
      <c r="SE306">
        <v>17.100000000000001</v>
      </c>
      <c r="SF306">
        <v>17.100000000000001</v>
      </c>
      <c r="SG306">
        <v>17.100000000000001</v>
      </c>
      <c r="SH306">
        <v>17.100000000000001</v>
      </c>
      <c r="SI306">
        <v>17.100000000000001</v>
      </c>
      <c r="SJ306">
        <v>17.100000000000001</v>
      </c>
      <c r="SK306">
        <v>17.100000000000001</v>
      </c>
      <c r="SL306">
        <v>17.100000000000001</v>
      </c>
      <c r="SM306">
        <v>17.100000000000001</v>
      </c>
      <c r="SN306">
        <v>17.100000000000001</v>
      </c>
      <c r="SO306">
        <v>17.100000000000001</v>
      </c>
      <c r="SP306">
        <v>17.100000000000001</v>
      </c>
      <c r="SQ306">
        <v>17.100000000000001</v>
      </c>
      <c r="SR306">
        <v>17.100000000000001</v>
      </c>
      <c r="SS306">
        <v>17.100000000000001</v>
      </c>
    </row>
    <row r="307" spans="5:964">
      <c r="E307">
        <v>4</v>
      </c>
      <c r="O307">
        <v>23</v>
      </c>
      <c r="SG307">
        <v>4.4000000000000004</v>
      </c>
      <c r="SH307">
        <v>4.4000000000000004</v>
      </c>
      <c r="SI307">
        <v>4.4000000000000004</v>
      </c>
    </row>
    <row r="308" spans="5:964">
      <c r="E308">
        <v>0.2</v>
      </c>
      <c r="O308">
        <v>48</v>
      </c>
      <c r="SH308">
        <v>5.8</v>
      </c>
      <c r="SI308">
        <v>5.8</v>
      </c>
      <c r="SJ308">
        <v>5.8</v>
      </c>
      <c r="SK308">
        <v>5.8</v>
      </c>
      <c r="SL308">
        <v>5.8</v>
      </c>
      <c r="SM308">
        <v>3</v>
      </c>
      <c r="SN308">
        <v>3</v>
      </c>
      <c r="SO308">
        <v>3</v>
      </c>
      <c r="SP308">
        <v>3</v>
      </c>
      <c r="SQ308">
        <v>3</v>
      </c>
      <c r="SR308">
        <v>3</v>
      </c>
      <c r="SS308">
        <v>3</v>
      </c>
      <c r="ST308">
        <v>3</v>
      </c>
      <c r="AJT308">
        <v>3</v>
      </c>
      <c r="AJU308">
        <v>3</v>
      </c>
      <c r="AJV308">
        <v>3</v>
      </c>
      <c r="AJW308">
        <v>3</v>
      </c>
      <c r="AJX308">
        <v>3</v>
      </c>
      <c r="AJY308">
        <v>3</v>
      </c>
      <c r="AJZ308">
        <v>2</v>
      </c>
      <c r="AKA308">
        <v>2</v>
      </c>
      <c r="AKB308">
        <v>2</v>
      </c>
    </row>
    <row r="309" spans="5:964">
      <c r="E309">
        <v>3</v>
      </c>
      <c r="O309">
        <v>30</v>
      </c>
      <c r="SH309">
        <v>16.5</v>
      </c>
      <c r="SI309">
        <v>16.5</v>
      </c>
      <c r="SJ309">
        <v>16.5</v>
      </c>
      <c r="SK309">
        <v>16.5</v>
      </c>
      <c r="SL309">
        <v>16.5</v>
      </c>
      <c r="SM309">
        <v>16.5</v>
      </c>
      <c r="SN309">
        <v>16.5</v>
      </c>
    </row>
    <row r="310" spans="5:964">
      <c r="E310">
        <v>4</v>
      </c>
      <c r="O310">
        <v>33</v>
      </c>
      <c r="SH310">
        <v>5.2</v>
      </c>
      <c r="SI310">
        <v>5.2</v>
      </c>
      <c r="SJ310">
        <v>5.2</v>
      </c>
      <c r="SK310">
        <v>5.2</v>
      </c>
      <c r="SL310">
        <v>5.2</v>
      </c>
      <c r="SM310">
        <v>5.2</v>
      </c>
      <c r="SN310">
        <v>5.2</v>
      </c>
      <c r="SO310">
        <v>5.2</v>
      </c>
      <c r="SP310">
        <v>5.2</v>
      </c>
      <c r="SQ310">
        <v>5.2</v>
      </c>
      <c r="SR310">
        <v>5.2</v>
      </c>
      <c r="SS310">
        <v>5.2</v>
      </c>
      <c r="ST310">
        <v>5.2</v>
      </c>
      <c r="AJT310">
        <v>5.2</v>
      </c>
      <c r="AJU310">
        <v>5.2</v>
      </c>
      <c r="AJV310">
        <v>5.2</v>
      </c>
      <c r="AJW310">
        <v>5.2</v>
      </c>
      <c r="AJX310">
        <v>5.2</v>
      </c>
      <c r="AJY310">
        <v>5.2</v>
      </c>
      <c r="AJZ310">
        <v>5.2</v>
      </c>
      <c r="AKA310">
        <v>5.2</v>
      </c>
      <c r="AKB310">
        <v>5.2</v>
      </c>
    </row>
    <row r="311" spans="5:964">
      <c r="E311">
        <v>3</v>
      </c>
      <c r="O311">
        <v>100</v>
      </c>
      <c r="SI311">
        <v>5.75</v>
      </c>
    </row>
    <row r="312" spans="5:964">
      <c r="E312">
        <v>4</v>
      </c>
      <c r="O312">
        <v>33</v>
      </c>
      <c r="SI312">
        <v>6</v>
      </c>
      <c r="SJ312">
        <v>6</v>
      </c>
      <c r="SK312">
        <v>6</v>
      </c>
      <c r="SL312">
        <v>6</v>
      </c>
      <c r="SM312">
        <v>6</v>
      </c>
      <c r="SN312">
        <v>6</v>
      </c>
      <c r="SO312">
        <v>6</v>
      </c>
      <c r="SP312">
        <v>6</v>
      </c>
      <c r="SQ312">
        <v>6</v>
      </c>
      <c r="SR312">
        <v>6</v>
      </c>
      <c r="SS312">
        <v>6</v>
      </c>
      <c r="ST312">
        <v>6</v>
      </c>
      <c r="AJT312">
        <v>6</v>
      </c>
      <c r="AJU312">
        <v>6</v>
      </c>
      <c r="AJV312">
        <v>6</v>
      </c>
      <c r="AJW312">
        <v>6</v>
      </c>
      <c r="AJX312">
        <v>6</v>
      </c>
      <c r="AJY312">
        <v>6</v>
      </c>
      <c r="AJZ312">
        <v>6</v>
      </c>
      <c r="AKA312">
        <v>3</v>
      </c>
      <c r="AKB312">
        <v>3</v>
      </c>
    </row>
    <row r="313" spans="5:964">
      <c r="F313">
        <v>5</v>
      </c>
      <c r="O313">
        <v>28</v>
      </c>
      <c r="SJ313">
        <v>3.5</v>
      </c>
      <c r="SK313">
        <v>3.5</v>
      </c>
      <c r="SL313">
        <v>3.5</v>
      </c>
      <c r="SM313">
        <v>3.5</v>
      </c>
      <c r="SN313">
        <v>3.5</v>
      </c>
      <c r="SO313">
        <v>3.5</v>
      </c>
      <c r="SP313">
        <v>3.5</v>
      </c>
      <c r="SQ313">
        <v>3.5</v>
      </c>
      <c r="SR313">
        <v>3.5</v>
      </c>
      <c r="SS313">
        <v>3.5</v>
      </c>
      <c r="ST313">
        <v>3.5</v>
      </c>
      <c r="AJT313">
        <v>3.5</v>
      </c>
      <c r="AJU313">
        <v>3.5</v>
      </c>
      <c r="AJV313">
        <v>3.5</v>
      </c>
      <c r="AJW313">
        <v>2</v>
      </c>
      <c r="AJX313">
        <v>2</v>
      </c>
      <c r="AJY313">
        <v>2</v>
      </c>
      <c r="AJZ313">
        <v>2</v>
      </c>
      <c r="AKA313">
        <v>2</v>
      </c>
      <c r="AKB313">
        <v>2</v>
      </c>
    </row>
    <row r="314" spans="5:964">
      <c r="F314">
        <v>6.2</v>
      </c>
      <c r="O314">
        <v>33</v>
      </c>
      <c r="SJ314">
        <v>13.5</v>
      </c>
      <c r="SK314">
        <v>13.5</v>
      </c>
      <c r="SL314">
        <v>13.5</v>
      </c>
      <c r="SM314">
        <v>13.5</v>
      </c>
      <c r="SN314">
        <v>13.5</v>
      </c>
      <c r="SO314">
        <v>13.5</v>
      </c>
      <c r="SP314">
        <v>13.5</v>
      </c>
      <c r="SQ314">
        <v>13.5</v>
      </c>
      <c r="SR314">
        <v>13.5</v>
      </c>
      <c r="SS314">
        <v>13.5</v>
      </c>
      <c r="ST314">
        <v>13.5</v>
      </c>
      <c r="AJT314">
        <v>13.5</v>
      </c>
      <c r="AJU314">
        <v>13.5</v>
      </c>
      <c r="AJV314">
        <v>13.5</v>
      </c>
      <c r="AJW314">
        <v>13.5</v>
      </c>
      <c r="AJX314">
        <v>13.5</v>
      </c>
      <c r="AJY314">
        <v>13.5</v>
      </c>
      <c r="AJZ314">
        <v>13.5</v>
      </c>
      <c r="AKA314">
        <v>13.5</v>
      </c>
      <c r="AKB314">
        <v>13.5</v>
      </c>
    </row>
    <row r="315" spans="5:964">
      <c r="E315">
        <v>3</v>
      </c>
      <c r="O315">
        <v>23</v>
      </c>
      <c r="SJ315">
        <v>0.6</v>
      </c>
    </row>
    <row r="316" spans="5:964">
      <c r="E316">
        <v>2</v>
      </c>
      <c r="O316">
        <v>29</v>
      </c>
      <c r="SJ316">
        <v>0.65</v>
      </c>
      <c r="SK316">
        <v>0.65</v>
      </c>
      <c r="SL316">
        <v>0.65</v>
      </c>
      <c r="SM316">
        <v>0.65</v>
      </c>
      <c r="SN316">
        <v>0.65</v>
      </c>
      <c r="SO316">
        <v>0.65</v>
      </c>
      <c r="SP316">
        <v>0.65</v>
      </c>
      <c r="SQ316">
        <v>0.65</v>
      </c>
      <c r="SR316">
        <v>0.65</v>
      </c>
      <c r="SS316">
        <v>0.65</v>
      </c>
      <c r="ST316">
        <v>0.65</v>
      </c>
    </row>
    <row r="317" spans="5:964">
      <c r="E317">
        <v>0.5</v>
      </c>
      <c r="O317">
        <v>50</v>
      </c>
      <c r="SJ317">
        <v>10</v>
      </c>
      <c r="SK317">
        <v>10</v>
      </c>
      <c r="SL317">
        <v>10</v>
      </c>
    </row>
    <row r="318" spans="5:964">
      <c r="E318">
        <v>10</v>
      </c>
      <c r="O318">
        <v>40</v>
      </c>
      <c r="SK318">
        <v>0.9</v>
      </c>
      <c r="SL318">
        <v>0.9</v>
      </c>
    </row>
    <row r="319" spans="5:964">
      <c r="E319">
        <v>1.5</v>
      </c>
      <c r="O319">
        <v>33.5</v>
      </c>
      <c r="SK319">
        <v>4</v>
      </c>
      <c r="SL319">
        <v>4</v>
      </c>
      <c r="SM319">
        <v>4</v>
      </c>
      <c r="SN319">
        <v>4</v>
      </c>
      <c r="SO319">
        <v>4</v>
      </c>
      <c r="SP319">
        <v>4</v>
      </c>
      <c r="SQ319">
        <v>4</v>
      </c>
      <c r="SR319">
        <v>4</v>
      </c>
      <c r="SS319">
        <v>4</v>
      </c>
      <c r="ST319">
        <v>4</v>
      </c>
      <c r="AJT319">
        <v>4</v>
      </c>
      <c r="AJU319">
        <v>4</v>
      </c>
      <c r="AJV319">
        <v>4</v>
      </c>
      <c r="AJW319">
        <v>4</v>
      </c>
      <c r="AJX319">
        <v>4</v>
      </c>
      <c r="AJY319">
        <v>4</v>
      </c>
      <c r="AJZ319">
        <v>4</v>
      </c>
      <c r="AKA319">
        <v>4</v>
      </c>
      <c r="AKB319">
        <v>4</v>
      </c>
    </row>
    <row r="320" spans="5:964">
      <c r="E320">
        <v>1</v>
      </c>
      <c r="O320">
        <v>100</v>
      </c>
      <c r="SK320">
        <v>-9.8000000000000007</v>
      </c>
      <c r="SL320">
        <v>-9.8000000000000007</v>
      </c>
      <c r="SM320">
        <v>-9.8000000000000007</v>
      </c>
      <c r="SN320">
        <v>-9.8000000000000007</v>
      </c>
      <c r="SO320">
        <v>-9.8000000000000007</v>
      </c>
      <c r="SP320">
        <v>-14</v>
      </c>
      <c r="SQ320">
        <v>-14</v>
      </c>
      <c r="SR320">
        <v>-14</v>
      </c>
      <c r="SS320">
        <v>-19.78</v>
      </c>
      <c r="ST320">
        <v>-19.78</v>
      </c>
      <c r="AJT320">
        <v>-19.78</v>
      </c>
    </row>
    <row r="321" spans="5:964">
      <c r="E321">
        <v>4</v>
      </c>
      <c r="O321">
        <v>40</v>
      </c>
      <c r="SK321">
        <v>5.2</v>
      </c>
      <c r="SL321">
        <v>5.2</v>
      </c>
    </row>
    <row r="322" spans="5:964">
      <c r="E322">
        <v>2</v>
      </c>
      <c r="O322">
        <v>50</v>
      </c>
      <c r="SL322">
        <v>13.35</v>
      </c>
      <c r="SM322">
        <v>13.35</v>
      </c>
      <c r="SN322">
        <v>13.35</v>
      </c>
      <c r="SO322">
        <v>13.35</v>
      </c>
      <c r="SP322">
        <v>13.35</v>
      </c>
      <c r="SQ322">
        <v>13.35</v>
      </c>
      <c r="SR322">
        <v>13.35</v>
      </c>
      <c r="SS322">
        <v>13.35</v>
      </c>
      <c r="ST322">
        <v>13.35</v>
      </c>
      <c r="AJT322">
        <v>13.35</v>
      </c>
      <c r="AJU322">
        <v>13.35</v>
      </c>
      <c r="AJV322">
        <v>13.35</v>
      </c>
      <c r="AJW322">
        <v>13.35</v>
      </c>
      <c r="AJX322">
        <v>13.35</v>
      </c>
      <c r="AJY322">
        <v>13.35</v>
      </c>
      <c r="AJZ322">
        <v>10</v>
      </c>
    </row>
    <row r="323" spans="5:964">
      <c r="E323">
        <v>1</v>
      </c>
      <c r="O323">
        <v>8</v>
      </c>
      <c r="SL323">
        <v>6.3</v>
      </c>
      <c r="SM323">
        <v>6.3</v>
      </c>
      <c r="SN323">
        <v>6.3</v>
      </c>
      <c r="SO323">
        <v>6.3</v>
      </c>
      <c r="SP323">
        <v>6.3</v>
      </c>
      <c r="SQ323">
        <v>6.3</v>
      </c>
      <c r="SR323">
        <v>6.3</v>
      </c>
      <c r="SS323">
        <v>6.3</v>
      </c>
      <c r="ST323">
        <v>6.3</v>
      </c>
      <c r="AJT323">
        <v>6.3</v>
      </c>
      <c r="AJU323">
        <v>6.3</v>
      </c>
      <c r="AJV323">
        <v>6.3</v>
      </c>
      <c r="AJW323">
        <v>6.3</v>
      </c>
      <c r="AJX323">
        <v>0.1</v>
      </c>
      <c r="AJY323">
        <v>0.1</v>
      </c>
      <c r="AJZ323">
        <v>0.1</v>
      </c>
      <c r="AKA323">
        <v>0.1</v>
      </c>
      <c r="AKB323">
        <v>0.1</v>
      </c>
    </row>
    <row r="324" spans="5:964">
      <c r="E324">
        <v>3</v>
      </c>
      <c r="O324">
        <v>40</v>
      </c>
      <c r="SM324">
        <v>0.8</v>
      </c>
      <c r="SN324">
        <v>0.8</v>
      </c>
      <c r="SO324">
        <v>0.8</v>
      </c>
      <c r="SP324">
        <v>0.8</v>
      </c>
      <c r="SQ324">
        <v>0.8</v>
      </c>
      <c r="SR324">
        <v>0.8</v>
      </c>
      <c r="SS324">
        <v>0.8</v>
      </c>
      <c r="ST324">
        <v>0.8</v>
      </c>
      <c r="AJT324">
        <v>0.8</v>
      </c>
      <c r="AJU324">
        <v>0.8</v>
      </c>
      <c r="AJV324">
        <v>0.8</v>
      </c>
      <c r="AJW324">
        <v>0.8</v>
      </c>
      <c r="AJX324">
        <v>0.8</v>
      </c>
      <c r="AJY324">
        <v>0.8</v>
      </c>
      <c r="AJZ324">
        <v>0.8</v>
      </c>
      <c r="AKA324">
        <v>0.8</v>
      </c>
      <c r="AKB324">
        <v>0.8</v>
      </c>
    </row>
    <row r="325" spans="5:964">
      <c r="E325">
        <v>3</v>
      </c>
      <c r="O325">
        <v>25</v>
      </c>
      <c r="SM325">
        <v>17.100000000000001</v>
      </c>
      <c r="SN325">
        <v>17.100000000000001</v>
      </c>
      <c r="SO325">
        <v>34.200000000000003</v>
      </c>
      <c r="SP325">
        <v>10.199999999999999</v>
      </c>
      <c r="SQ325">
        <v>10.199999999999999</v>
      </c>
      <c r="SR325">
        <v>10.199999999999999</v>
      </c>
      <c r="SS325">
        <v>10.199999999999999</v>
      </c>
      <c r="ST325">
        <v>10.199999999999999</v>
      </c>
      <c r="AJT325">
        <v>10.199999999999999</v>
      </c>
      <c r="AJU325">
        <v>10.199999999999999</v>
      </c>
      <c r="AJV325">
        <v>10.199999999999999</v>
      </c>
      <c r="AJW325">
        <v>10.199999999999999</v>
      </c>
      <c r="AJX325">
        <v>10.199999999999999</v>
      </c>
      <c r="AJY325">
        <v>10.199999999999999</v>
      </c>
    </row>
    <row r="326" spans="5:964">
      <c r="E326">
        <v>1</v>
      </c>
      <c r="O326">
        <v>33</v>
      </c>
    </row>
    <row r="327" spans="5:964">
      <c r="E327">
        <v>1.5</v>
      </c>
      <c r="O327">
        <v>20</v>
      </c>
      <c r="SN327">
        <v>2.2999999999999998</v>
      </c>
      <c r="SO327">
        <v>2.2999999999999998</v>
      </c>
      <c r="SP327">
        <v>2.2999999999999998</v>
      </c>
      <c r="SQ327">
        <v>2.2999999999999998</v>
      </c>
      <c r="SR327">
        <v>2.2999999999999998</v>
      </c>
      <c r="SS327">
        <v>2.2999999999999998</v>
      </c>
      <c r="ST327">
        <v>2.2999999999999998</v>
      </c>
      <c r="AJT327">
        <v>2.2999999999999998</v>
      </c>
      <c r="AJU327">
        <v>2.2999999999999998</v>
      </c>
      <c r="AJV327">
        <v>2.2999999999999998</v>
      </c>
      <c r="AJW327">
        <v>2.2999999999999998</v>
      </c>
      <c r="AJX327">
        <v>2.2999999999999998</v>
      </c>
      <c r="AJY327">
        <v>2.2999999999999998</v>
      </c>
      <c r="AJZ327">
        <v>2.2999999999999998</v>
      </c>
      <c r="AKA327">
        <v>2.2999999999999998</v>
      </c>
      <c r="AKB327">
        <v>2.2999999999999998</v>
      </c>
    </row>
    <row r="328" spans="5:964">
      <c r="E328">
        <v>1</v>
      </c>
      <c r="O328">
        <v>100</v>
      </c>
      <c r="SO328">
        <v>21</v>
      </c>
      <c r="SP328">
        <v>21</v>
      </c>
      <c r="SQ328">
        <v>21</v>
      </c>
      <c r="SR328">
        <v>21</v>
      </c>
      <c r="SS328">
        <v>0</v>
      </c>
    </row>
    <row r="329" spans="5:964">
      <c r="E329">
        <v>2</v>
      </c>
      <c r="O329">
        <v>40</v>
      </c>
      <c r="SO329">
        <v>0.3</v>
      </c>
      <c r="SP329">
        <v>0.3</v>
      </c>
      <c r="SQ329">
        <v>0.3</v>
      </c>
      <c r="SR329">
        <v>0.3</v>
      </c>
      <c r="SS329">
        <v>0.3</v>
      </c>
      <c r="ST329">
        <v>0.3</v>
      </c>
    </row>
    <row r="330" spans="5:964">
      <c r="E330">
        <v>0.5</v>
      </c>
      <c r="O330">
        <v>35</v>
      </c>
    </row>
    <row r="331" spans="5:964">
      <c r="E331">
        <v>3</v>
      </c>
      <c r="O331">
        <v>33</v>
      </c>
      <c r="SQ331">
        <v>1</v>
      </c>
      <c r="SR331">
        <v>1</v>
      </c>
      <c r="SS331">
        <v>1</v>
      </c>
      <c r="ST331">
        <v>1</v>
      </c>
      <c r="AJT331">
        <v>1</v>
      </c>
      <c r="AJU331">
        <v>1</v>
      </c>
      <c r="AJV331">
        <v>1</v>
      </c>
      <c r="AJW331">
        <v>1</v>
      </c>
      <c r="AJX331">
        <v>1</v>
      </c>
      <c r="AJY331">
        <v>1</v>
      </c>
      <c r="AJZ331">
        <v>1</v>
      </c>
      <c r="AKA331">
        <v>1</v>
      </c>
      <c r="AKB331">
        <v>1</v>
      </c>
    </row>
    <row r="332" spans="5:964">
      <c r="E332">
        <v>2</v>
      </c>
      <c r="O332">
        <v>10</v>
      </c>
      <c r="SQ332">
        <v>17</v>
      </c>
      <c r="SR332">
        <v>17</v>
      </c>
      <c r="SS332">
        <v>17</v>
      </c>
      <c r="ST332">
        <v>17</v>
      </c>
      <c r="AJT332">
        <v>17</v>
      </c>
      <c r="AJU332">
        <v>17</v>
      </c>
      <c r="AJV332">
        <v>17</v>
      </c>
      <c r="AJW332">
        <v>17</v>
      </c>
      <c r="AJX332">
        <v>17</v>
      </c>
    </row>
    <row r="333" spans="5:964">
      <c r="E333">
        <v>1</v>
      </c>
      <c r="O333">
        <v>35</v>
      </c>
      <c r="SQ333">
        <v>17.149999999999999</v>
      </c>
      <c r="SR333">
        <v>17.149999999999999</v>
      </c>
      <c r="SS333">
        <v>17.149999999999999</v>
      </c>
    </row>
    <row r="334" spans="5:964">
      <c r="E334">
        <v>3</v>
      </c>
      <c r="O334">
        <v>33</v>
      </c>
      <c r="SR334">
        <v>3</v>
      </c>
      <c r="SS334">
        <v>3</v>
      </c>
      <c r="ST334">
        <v>3</v>
      </c>
      <c r="AJT334">
        <v>3</v>
      </c>
    </row>
    <row r="335" spans="5:964">
      <c r="E335">
        <v>1</v>
      </c>
      <c r="O335">
        <v>100</v>
      </c>
      <c r="SR335">
        <v>4</v>
      </c>
      <c r="SS335">
        <v>4</v>
      </c>
      <c r="ST335">
        <v>4</v>
      </c>
      <c r="AJT335">
        <v>4</v>
      </c>
      <c r="AJU335">
        <v>4</v>
      </c>
      <c r="AJV335">
        <v>4</v>
      </c>
      <c r="AJW335">
        <v>4</v>
      </c>
      <c r="AJX335">
        <v>4</v>
      </c>
      <c r="AJY335">
        <v>4</v>
      </c>
      <c r="AJZ335">
        <v>4</v>
      </c>
      <c r="AKA335">
        <v>4</v>
      </c>
      <c r="AKB335">
        <v>4</v>
      </c>
    </row>
    <row r="336" spans="5:964">
      <c r="O336">
        <v>50</v>
      </c>
      <c r="SR336">
        <v>6.2</v>
      </c>
      <c r="SS336">
        <v>6.2</v>
      </c>
      <c r="ST336">
        <v>6.2</v>
      </c>
      <c r="AJT336">
        <v>6.2</v>
      </c>
      <c r="AJU336">
        <v>6.2</v>
      </c>
      <c r="AJV336">
        <v>6.2</v>
      </c>
      <c r="AJW336">
        <v>6.2</v>
      </c>
      <c r="AJX336">
        <v>6.2</v>
      </c>
      <c r="AJY336">
        <v>6.2</v>
      </c>
      <c r="AJZ336">
        <v>6.2</v>
      </c>
      <c r="AKA336">
        <v>6.2</v>
      </c>
      <c r="AKB336">
        <v>6.2</v>
      </c>
    </row>
    <row r="337" spans="5:964">
      <c r="E337">
        <v>1</v>
      </c>
      <c r="O337">
        <v>50</v>
      </c>
      <c r="SR337">
        <v>2.7</v>
      </c>
      <c r="SS337">
        <v>2.7</v>
      </c>
      <c r="ST337">
        <v>2.7</v>
      </c>
      <c r="AJT337">
        <v>2.7</v>
      </c>
      <c r="AJU337">
        <v>2.7</v>
      </c>
      <c r="AJV337">
        <v>2.7</v>
      </c>
      <c r="AJW337">
        <v>2.7</v>
      </c>
      <c r="AJX337">
        <v>2.7</v>
      </c>
      <c r="AJY337">
        <v>2.7</v>
      </c>
      <c r="AJZ337">
        <v>2.7</v>
      </c>
      <c r="AKA337">
        <v>2.7</v>
      </c>
      <c r="AKB337">
        <v>2.7</v>
      </c>
    </row>
    <row r="338" spans="5:964">
      <c r="E338">
        <v>1</v>
      </c>
      <c r="O338">
        <v>50</v>
      </c>
      <c r="SR338">
        <v>10</v>
      </c>
      <c r="SS338">
        <v>10</v>
      </c>
      <c r="ST338">
        <v>10</v>
      </c>
      <c r="AJT338">
        <v>10</v>
      </c>
      <c r="AJU338">
        <v>10</v>
      </c>
      <c r="AJV338">
        <v>10</v>
      </c>
      <c r="AJW338">
        <v>10</v>
      </c>
      <c r="AJX338">
        <v>10</v>
      </c>
      <c r="AJY338">
        <v>10</v>
      </c>
      <c r="AJZ338">
        <v>10</v>
      </c>
      <c r="AKA338">
        <v>10</v>
      </c>
      <c r="AKB338">
        <v>10</v>
      </c>
    </row>
    <row r="339" spans="5:964">
      <c r="E339">
        <v>1</v>
      </c>
      <c r="O339">
        <v>20</v>
      </c>
      <c r="SS339">
        <v>17.25</v>
      </c>
      <c r="ST339">
        <v>17.25</v>
      </c>
      <c r="AJT339">
        <v>17.25</v>
      </c>
      <c r="AJU339">
        <v>17.25</v>
      </c>
      <c r="AJV339">
        <v>17.25</v>
      </c>
    </row>
    <row r="340" spans="5:964">
      <c r="E340">
        <v>0.38</v>
      </c>
      <c r="O340">
        <v>15</v>
      </c>
      <c r="ST340">
        <v>0.86</v>
      </c>
      <c r="AJT340">
        <v>0.86</v>
      </c>
      <c r="AJU340">
        <v>0.86</v>
      </c>
      <c r="AJV340">
        <v>0.86</v>
      </c>
      <c r="AJW340">
        <v>0.86</v>
      </c>
      <c r="AJX340">
        <v>0.86</v>
      </c>
      <c r="AJY340">
        <v>0.86</v>
      </c>
      <c r="AJZ340">
        <v>0.86</v>
      </c>
      <c r="AKA340">
        <v>0.86</v>
      </c>
      <c r="AKB340">
        <v>0.86</v>
      </c>
    </row>
    <row r="341" spans="5:964">
      <c r="E341">
        <v>1</v>
      </c>
      <c r="O341">
        <v>33</v>
      </c>
      <c r="AJT341">
        <v>5</v>
      </c>
      <c r="AJU341">
        <v>5</v>
      </c>
      <c r="AJV341">
        <v>5</v>
      </c>
      <c r="AJW341">
        <v>5</v>
      </c>
      <c r="AJX341">
        <v>5</v>
      </c>
      <c r="AJY341">
        <v>5</v>
      </c>
      <c r="AJZ341">
        <v>5</v>
      </c>
      <c r="AKA341">
        <v>5</v>
      </c>
      <c r="AKB341">
        <v>5</v>
      </c>
    </row>
    <row r="342" spans="5:964">
      <c r="O342">
        <v>33</v>
      </c>
      <c r="AJT342">
        <v>1</v>
      </c>
      <c r="AJU342">
        <v>1</v>
      </c>
      <c r="AJV342">
        <v>1</v>
      </c>
      <c r="AJW342">
        <v>1</v>
      </c>
      <c r="AJX342">
        <v>1</v>
      </c>
      <c r="AJY342">
        <v>1</v>
      </c>
      <c r="AJZ342">
        <v>1</v>
      </c>
      <c r="AKA342">
        <v>1</v>
      </c>
      <c r="AKB342">
        <v>1</v>
      </c>
    </row>
    <row r="343" spans="5:964">
      <c r="O343">
        <v>130</v>
      </c>
      <c r="AJT343">
        <v>4</v>
      </c>
      <c r="AJU343">
        <v>4</v>
      </c>
      <c r="AJV343">
        <v>4</v>
      </c>
      <c r="AJW343">
        <v>4</v>
      </c>
      <c r="AJX343">
        <v>0.2</v>
      </c>
      <c r="AJY343">
        <v>0.2</v>
      </c>
      <c r="AJZ343">
        <v>0.2</v>
      </c>
      <c r="AKA343">
        <v>0.2</v>
      </c>
      <c r="AKB343">
        <v>0.2</v>
      </c>
    </row>
    <row r="344" spans="5:964">
      <c r="O344">
        <v>29</v>
      </c>
      <c r="AJT344">
        <v>2</v>
      </c>
      <c r="AJU344">
        <v>2</v>
      </c>
      <c r="AJV344">
        <v>2</v>
      </c>
      <c r="AJW344">
        <v>2</v>
      </c>
      <c r="AJX344">
        <v>2</v>
      </c>
      <c r="AJY344">
        <v>2</v>
      </c>
      <c r="AJZ344">
        <v>2</v>
      </c>
      <c r="AKA344">
        <v>2</v>
      </c>
      <c r="AKB344">
        <v>2</v>
      </c>
    </row>
    <row r="345" spans="5:964">
      <c r="O345">
        <v>19</v>
      </c>
      <c r="AJT345">
        <v>7.5</v>
      </c>
      <c r="AJU345">
        <v>7.5</v>
      </c>
      <c r="AJV345">
        <v>7.5</v>
      </c>
      <c r="AJW345">
        <v>7.5</v>
      </c>
      <c r="AJX345">
        <v>7.5</v>
      </c>
      <c r="AJY345">
        <v>7.5</v>
      </c>
      <c r="AJZ345">
        <v>7.5</v>
      </c>
      <c r="AKA345">
        <v>7.5</v>
      </c>
      <c r="AKB345">
        <v>7.5</v>
      </c>
    </row>
    <row r="346" spans="5:964">
      <c r="O346">
        <v>50</v>
      </c>
      <c r="AJT346">
        <v>10.199999999999999</v>
      </c>
      <c r="AJU346">
        <v>10.199999999999999</v>
      </c>
      <c r="AJV346">
        <v>10.199999999999999</v>
      </c>
      <c r="AJW346">
        <v>10.199999999999999</v>
      </c>
      <c r="AJX346">
        <v>10.199999999999999</v>
      </c>
      <c r="AJY346">
        <v>10.199999999999999</v>
      </c>
      <c r="AJZ346">
        <v>10.199999999999999</v>
      </c>
      <c r="AKA346">
        <v>10.199999999999999</v>
      </c>
      <c r="AKB346">
        <v>10.199999999999999</v>
      </c>
    </row>
    <row r="347" spans="5:964">
      <c r="O347">
        <v>19</v>
      </c>
      <c r="AJT347">
        <v>1.3</v>
      </c>
      <c r="AJU347">
        <v>1.3</v>
      </c>
      <c r="AJV347">
        <v>1.3</v>
      </c>
      <c r="AJW347">
        <v>1.3</v>
      </c>
      <c r="AJX347">
        <v>1.3</v>
      </c>
      <c r="AJY347">
        <v>1.3</v>
      </c>
      <c r="AJZ347">
        <v>1.3</v>
      </c>
      <c r="AKA347">
        <v>1.3</v>
      </c>
      <c r="AKB347">
        <v>1.3</v>
      </c>
    </row>
    <row r="348" spans="5:964">
      <c r="O348">
        <v>50</v>
      </c>
      <c r="AJU348">
        <v>2.5</v>
      </c>
      <c r="AJV348">
        <v>2.5</v>
      </c>
      <c r="AJW348">
        <v>2.5</v>
      </c>
      <c r="AJX348">
        <v>2.5</v>
      </c>
      <c r="AJY348">
        <v>2.5</v>
      </c>
    </row>
    <row r="349" spans="5:964">
      <c r="O349">
        <v>32</v>
      </c>
      <c r="AJU349">
        <v>3.7</v>
      </c>
      <c r="AJV349">
        <v>3.7</v>
      </c>
      <c r="AJW349">
        <v>3.7</v>
      </c>
      <c r="AJX349">
        <v>3.7</v>
      </c>
      <c r="AJY349">
        <v>3.7</v>
      </c>
    </row>
    <row r="350" spans="5:964">
      <c r="O350">
        <v>100</v>
      </c>
      <c r="AJU350">
        <v>-11.5</v>
      </c>
      <c r="AJV350">
        <v>-11.5</v>
      </c>
      <c r="AJW350">
        <v>-11.5</v>
      </c>
      <c r="AJX350">
        <v>-11.5</v>
      </c>
      <c r="AJY350">
        <v>-11.5</v>
      </c>
      <c r="AJZ350">
        <v>-11.5</v>
      </c>
      <c r="AKA350">
        <v>-11.5</v>
      </c>
      <c r="AKB350">
        <v>-11.5</v>
      </c>
    </row>
    <row r="351" spans="5:964">
      <c r="O351">
        <v>26</v>
      </c>
      <c r="AJW351">
        <v>21.7</v>
      </c>
      <c r="AJX351">
        <v>21.7</v>
      </c>
      <c r="AJY351">
        <v>13</v>
      </c>
      <c r="AJZ351">
        <v>13</v>
      </c>
      <c r="AKA351">
        <v>13</v>
      </c>
      <c r="AKB351">
        <v>11.2</v>
      </c>
    </row>
    <row r="352" spans="5:964">
      <c r="O352">
        <v>33</v>
      </c>
      <c r="AJW352">
        <v>21.9</v>
      </c>
      <c r="AJX352">
        <v>21.9</v>
      </c>
      <c r="AJY352">
        <v>21.7</v>
      </c>
      <c r="AJZ352">
        <v>21.7</v>
      </c>
      <c r="AKA352">
        <v>21.7</v>
      </c>
      <c r="AKB352">
        <v>21.7</v>
      </c>
    </row>
    <row r="353" spans="5:964">
      <c r="O353">
        <v>40</v>
      </c>
      <c r="AJX353">
        <v>17.899999999999999</v>
      </c>
      <c r="AJY353">
        <v>21.9</v>
      </c>
      <c r="AJZ353">
        <v>21.9</v>
      </c>
      <c r="AKA353">
        <v>21.9</v>
      </c>
      <c r="AKB353">
        <v>21.9</v>
      </c>
    </row>
    <row r="354" spans="5:964">
      <c r="O354">
        <v>22</v>
      </c>
      <c r="AJX354">
        <v>1</v>
      </c>
      <c r="AJY354">
        <v>17.899999999999999</v>
      </c>
      <c r="AJZ354">
        <v>17.899999999999999</v>
      </c>
      <c r="AKA354">
        <v>17.899999999999999</v>
      </c>
      <c r="AKB354">
        <v>17.899999999999999</v>
      </c>
    </row>
    <row r="355" spans="5:964">
      <c r="O355">
        <v>40</v>
      </c>
      <c r="AJY355">
        <v>1</v>
      </c>
      <c r="AJZ355">
        <v>2</v>
      </c>
      <c r="AKA355">
        <v>2</v>
      </c>
      <c r="AKB355">
        <v>2.2999999999999998</v>
      </c>
    </row>
    <row r="356" spans="5:964">
      <c r="O356">
        <v>100</v>
      </c>
      <c r="AJY356">
        <v>0.8</v>
      </c>
      <c r="AJZ356">
        <v>0.8</v>
      </c>
      <c r="AKA356">
        <v>0.8</v>
      </c>
      <c r="AKB356">
        <v>0.8</v>
      </c>
    </row>
    <row r="357" spans="5:964">
      <c r="E357">
        <f>204+20</f>
        <v>224</v>
      </c>
      <c r="O357">
        <v>21</v>
      </c>
      <c r="AJZ357">
        <v>24.8</v>
      </c>
      <c r="AKA357">
        <v>24.8</v>
      </c>
      <c r="AKB357">
        <v>24.8</v>
      </c>
    </row>
    <row r="358" spans="5:964">
      <c r="E358">
        <v>-50.7</v>
      </c>
      <c r="O358">
        <v>7.9</v>
      </c>
      <c r="AJZ358">
        <v>17.149999999999999</v>
      </c>
      <c r="AKA358">
        <v>17.149999999999999</v>
      </c>
      <c r="AKB358">
        <v>0.15</v>
      </c>
    </row>
    <row r="359" spans="5:964">
      <c r="E359">
        <f>+E357+E358</f>
        <v>173.3</v>
      </c>
      <c r="O359">
        <v>49.5</v>
      </c>
      <c r="AKA359">
        <v>1</v>
      </c>
      <c r="AKB359">
        <v>1</v>
      </c>
    </row>
    <row r="360" spans="5:964">
      <c r="O360">
        <v>23</v>
      </c>
      <c r="AKA360">
        <v>17.2</v>
      </c>
      <c r="AKB360">
        <v>0.9</v>
      </c>
    </row>
    <row r="361" spans="5:964">
      <c r="O361">
        <v>40</v>
      </c>
    </row>
    <row r="362" spans="5:964">
      <c r="O362">
        <v>20</v>
      </c>
    </row>
    <row r="363" spans="5:964">
      <c r="O363">
        <v>50</v>
      </c>
    </row>
    <row r="364" spans="5:964">
      <c r="O364">
        <v>23</v>
      </c>
    </row>
    <row r="365" spans="5:964">
      <c r="O365">
        <v>30</v>
      </c>
    </row>
    <row r="366" spans="5:964">
      <c r="O366">
        <v>64.3</v>
      </c>
    </row>
    <row r="6270" spans="14:14">
      <c r="N6270" s="1304">
        <v>200000000</v>
      </c>
    </row>
  </sheetData>
  <autoFilter ref="A215:AKB240"/>
  <pageMargins left="0.70866141732283472" right="0.70866141732283472" top="0.74803149606299213" bottom="0.74803149606299213" header="0.31496062992125984" footer="0.31496062992125984"/>
  <pageSetup paperSize="9" scale="10" orientation="landscape"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O8"/>
  <sheetViews>
    <sheetView workbookViewId="0">
      <selection activeCell="I17" sqref="I17"/>
    </sheetView>
  </sheetViews>
  <sheetFormatPr defaultRowHeight="14.4"/>
  <sheetData>
    <row r="7" spans="3:15">
      <c r="C7" s="1909" t="s">
        <v>6443</v>
      </c>
      <c r="D7">
        <v>0.1</v>
      </c>
      <c r="E7">
        <v>0.35</v>
      </c>
      <c r="F7">
        <v>0.51</v>
      </c>
      <c r="G7">
        <v>0.6</v>
      </c>
      <c r="H7">
        <v>1.1599999999999999</v>
      </c>
      <c r="I7">
        <v>1.5</v>
      </c>
      <c r="J7">
        <v>0.2</v>
      </c>
      <c r="K7">
        <v>0.5</v>
      </c>
      <c r="L7">
        <v>0.2</v>
      </c>
      <c r="M7">
        <v>0.1</v>
      </c>
      <c r="N7">
        <v>0.5</v>
      </c>
      <c r="O7">
        <v>1</v>
      </c>
    </row>
    <row r="8" spans="3:15">
      <c r="C8" s="1909" t="s">
        <v>7648</v>
      </c>
      <c r="D8">
        <v>0.64</v>
      </c>
      <c r="E8">
        <v>0.24</v>
      </c>
      <c r="F8">
        <v>0.5</v>
      </c>
      <c r="G8">
        <v>5.73</v>
      </c>
      <c r="H8">
        <v>0.27</v>
      </c>
      <c r="I8">
        <v>0.24</v>
      </c>
      <c r="J8">
        <v>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27"/>
  <sheetViews>
    <sheetView workbookViewId="0">
      <selection activeCell="F7" sqref="F7"/>
    </sheetView>
  </sheetViews>
  <sheetFormatPr defaultRowHeight="14.4"/>
  <cols>
    <col min="1" max="1" width="4.6640625" customWidth="1"/>
    <col min="2" max="2" width="8.88671875" style="240"/>
    <col min="3" max="3" width="13" style="240" customWidth="1"/>
    <col min="4" max="4" width="50.21875" style="240" customWidth="1"/>
    <col min="5" max="8" width="8.88671875" style="240"/>
  </cols>
  <sheetData>
    <row r="2" spans="2:8">
      <c r="D2" s="1790" t="s">
        <v>7288</v>
      </c>
    </row>
    <row r="4" spans="2:8">
      <c r="B4" s="9" t="s">
        <v>0</v>
      </c>
      <c r="C4" s="9" t="s">
        <v>7287</v>
      </c>
      <c r="D4" s="9" t="s">
        <v>7280</v>
      </c>
    </row>
    <row r="5" spans="2:8" ht="55.8" customHeight="1">
      <c r="B5" s="9">
        <v>1</v>
      </c>
      <c r="C5" s="9" t="s">
        <v>7281</v>
      </c>
      <c r="D5" s="9" t="s">
        <v>7285</v>
      </c>
    </row>
    <row r="6" spans="2:8">
      <c r="B6" s="9">
        <v>2</v>
      </c>
      <c r="C6" s="9" t="s">
        <v>7283</v>
      </c>
      <c r="D6" s="9" t="s">
        <v>8057</v>
      </c>
    </row>
    <row r="7" spans="2:8" ht="57.6" customHeight="1">
      <c r="B7" s="9">
        <v>3</v>
      </c>
      <c r="C7" s="9" t="s">
        <v>7282</v>
      </c>
      <c r="D7" s="9" t="s">
        <v>7286</v>
      </c>
    </row>
    <row r="8" spans="2:8" ht="88.8" customHeight="1">
      <c r="B8" s="9">
        <v>4</v>
      </c>
      <c r="C8" s="9" t="s">
        <v>7284</v>
      </c>
      <c r="D8" s="9"/>
    </row>
    <row r="10" spans="2:8">
      <c r="C10" s="1790" t="s">
        <v>7289</v>
      </c>
      <c r="D10" s="1790" t="s">
        <v>8035</v>
      </c>
    </row>
    <row r="13" spans="2:8" s="1304" customFormat="1">
      <c r="B13" s="240"/>
      <c r="C13" s="240"/>
      <c r="D13" s="240"/>
      <c r="E13" s="240"/>
      <c r="F13" s="240"/>
      <c r="G13" s="240"/>
      <c r="H13" s="240"/>
    </row>
    <row r="14" spans="2:8" s="1304" customFormat="1">
      <c r="B14" s="240"/>
      <c r="C14" s="240"/>
      <c r="D14" s="240"/>
      <c r="E14" s="240"/>
      <c r="F14" s="240"/>
      <c r="G14" s="240"/>
      <c r="H14" s="240"/>
    </row>
    <row r="15" spans="2:8" s="1304" customFormat="1">
      <c r="B15" s="240"/>
      <c r="C15" s="240"/>
      <c r="D15" s="240"/>
      <c r="E15" s="240"/>
      <c r="F15" s="240"/>
      <c r="G15" s="240"/>
      <c r="H15" s="240"/>
    </row>
    <row r="16" spans="2:8" s="1304" customFormat="1">
      <c r="B16" s="240"/>
      <c r="C16" s="240"/>
      <c r="D16" s="240"/>
      <c r="E16" s="240"/>
      <c r="F16" s="240"/>
      <c r="G16" s="240"/>
      <c r="H16" s="240"/>
    </row>
    <row r="17" spans="2:8" s="1304" customFormat="1">
      <c r="B17" s="240"/>
      <c r="C17" s="240"/>
      <c r="D17" s="240"/>
      <c r="E17" s="240"/>
      <c r="F17" s="240"/>
      <c r="G17" s="240"/>
      <c r="H17" s="240"/>
    </row>
    <row r="18" spans="2:8" s="1304" customFormat="1">
      <c r="B18" s="240"/>
      <c r="C18" s="240"/>
      <c r="D18" s="240"/>
      <c r="E18" s="240"/>
      <c r="F18" s="240"/>
      <c r="G18" s="240"/>
      <c r="H18" s="240"/>
    </row>
    <row r="19" spans="2:8" s="1304" customFormat="1">
      <c r="B19" s="240"/>
      <c r="C19" s="240"/>
      <c r="D19" s="1790" t="s">
        <v>7288</v>
      </c>
      <c r="E19" s="240"/>
      <c r="F19" s="240"/>
      <c r="G19" s="240"/>
      <c r="H19" s="240"/>
    </row>
    <row r="20" spans="2:8" s="1304" customFormat="1">
      <c r="B20" s="240"/>
      <c r="C20" s="240"/>
      <c r="D20" s="240"/>
      <c r="E20" s="240"/>
      <c r="F20" s="240"/>
      <c r="G20" s="240"/>
      <c r="H20" s="240"/>
    </row>
    <row r="21" spans="2:8" s="1304" customFormat="1">
      <c r="B21" s="9" t="s">
        <v>0</v>
      </c>
      <c r="C21" s="9" t="s">
        <v>7287</v>
      </c>
      <c r="D21" s="9" t="s">
        <v>7280</v>
      </c>
      <c r="E21" s="240"/>
      <c r="F21" s="240"/>
      <c r="G21" s="240"/>
      <c r="H21" s="240"/>
    </row>
    <row r="22" spans="2:8" s="1304" customFormat="1" ht="55.8" customHeight="1">
      <c r="B22" s="9">
        <v>1</v>
      </c>
      <c r="C22" s="9" t="s">
        <v>7281</v>
      </c>
      <c r="D22" s="9" t="s">
        <v>7285</v>
      </c>
      <c r="E22" s="240"/>
      <c r="F22" s="240"/>
      <c r="G22" s="240"/>
      <c r="H22" s="240"/>
    </row>
    <row r="23" spans="2:8" s="1304" customFormat="1">
      <c r="B23" s="9">
        <v>2</v>
      </c>
      <c r="C23" s="9" t="s">
        <v>7283</v>
      </c>
      <c r="D23" s="9" t="s">
        <v>8057</v>
      </c>
      <c r="E23" s="240"/>
      <c r="F23" s="240"/>
      <c r="G23" s="240"/>
      <c r="H23" s="240"/>
    </row>
    <row r="24" spans="2:8" s="1304" customFormat="1" ht="57.6" customHeight="1">
      <c r="B24" s="9">
        <v>3</v>
      </c>
      <c r="C24" s="9" t="s">
        <v>7282</v>
      </c>
      <c r="D24" s="9" t="s">
        <v>7286</v>
      </c>
      <c r="E24" s="240"/>
      <c r="F24" s="240"/>
      <c r="G24" s="240"/>
      <c r="H24" s="240"/>
    </row>
    <row r="25" spans="2:8" s="1304" customFormat="1" ht="88.8" customHeight="1">
      <c r="B25" s="9">
        <v>4</v>
      </c>
      <c r="C25" s="9" t="s">
        <v>7284</v>
      </c>
      <c r="D25" s="9"/>
      <c r="E25" s="240"/>
      <c r="F25" s="240"/>
      <c r="G25" s="240"/>
      <c r="H25" s="240"/>
    </row>
    <row r="26" spans="2:8" s="1304" customFormat="1">
      <c r="B26" s="240"/>
      <c r="C26" s="240"/>
      <c r="D26" s="240"/>
      <c r="E26" s="240"/>
      <c r="F26" s="240"/>
      <c r="G26" s="240"/>
      <c r="H26" s="240"/>
    </row>
    <row r="27" spans="2:8" s="1304" customFormat="1">
      <c r="B27" s="240"/>
      <c r="C27" s="1790" t="s">
        <v>7289</v>
      </c>
      <c r="D27" s="1790" t="s">
        <v>8035</v>
      </c>
      <c r="E27" s="240"/>
      <c r="F27" s="240"/>
      <c r="G27" s="240"/>
      <c r="H27" s="240"/>
    </row>
  </sheetData>
  <pageMargins left="0.70866141732283472" right="0.70866141732283472" top="0.74803149606299213" bottom="0.74803149606299213" header="0.31496062992125984" footer="0.31496062992125984"/>
  <pageSetup paperSize="9" fitToHeight="5"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
    <comment s:ref="A1" rgbClr="CFC4F8"/>
  </commentList>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11</vt:i4>
      </vt:variant>
      <vt:variant>
        <vt:lpstr>Диаграммы</vt:lpstr>
      </vt:variant>
      <vt:variant>
        <vt:i4>1</vt:i4>
      </vt:variant>
    </vt:vector>
  </HeadingPairs>
  <TitlesOfParts>
    <vt:vector size="12" baseType="lpstr">
      <vt:lpstr>Лист3</vt:lpstr>
      <vt:lpstr>Qoraqalpoq </vt:lpstr>
      <vt:lpstr>QAraqalpoq Jonibek og`a </vt:lpstr>
      <vt:lpstr>Лист4</vt:lpstr>
      <vt:lpstr>Лист5</vt:lpstr>
      <vt:lpstr>36 ой </vt:lpstr>
      <vt:lpstr>84 ой </vt:lpstr>
      <vt:lpstr>сомпютер </vt:lpstr>
      <vt:lpstr>Лист1</vt:lpstr>
      <vt:lpstr>Лист2</vt:lpstr>
      <vt:lpstr>limit </vt:lpstr>
      <vt:lpstr>Диаграмма1</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ACS</cp:lastModifiedBy>
  <cp:lastPrinted>2026-06-05T05:10:49Z</cp:lastPrinted>
  <dcterms:created xsi:type="dcterms:W3CDTF">2021-08-05T05:26:00Z</dcterms:created>
  <dcterms:modified xsi:type="dcterms:W3CDTF">2026-06-09T13:33:29Z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FE7649E9A86D4AEB916BCE51B01C8BE8</vt:lpwstr>
  </property>
  <property fmtid="{D5CDD505-2E9C-101B-9397-08002B2CF9AE}" pid="3" name="KSOProductBuildVer">
    <vt:lpwstr>1049-11.2.0.11029</vt:lpwstr>
  </property>
</Properties>
</file>